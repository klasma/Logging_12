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45744</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45744</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45744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45744</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45744</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45744</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45744</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45744</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45744</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45744</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6056-2023</t>
        </is>
      </c>
      <c r="B12" s="1" t="n">
        <v>44964</v>
      </c>
      <c r="C12" s="1" t="n">
        <v>45744</v>
      </c>
      <c r="D12" t="inlineStr">
        <is>
          <t>SKÅNE LÄN</t>
        </is>
      </c>
      <c r="E12" t="inlineStr">
        <is>
          <t>HÖRBY</t>
        </is>
      </c>
      <c r="G12" t="n">
        <v>1.1</v>
      </c>
      <c r="H12" t="n">
        <v>0</v>
      </c>
      <c r="I12" t="n">
        <v>8</v>
      </c>
      <c r="J12" t="n">
        <v>3</v>
      </c>
      <c r="K12" t="n">
        <v>0</v>
      </c>
      <c r="L12" t="n">
        <v>0</v>
      </c>
      <c r="M12" t="n">
        <v>0</v>
      </c>
      <c r="N12" t="n">
        <v>0</v>
      </c>
      <c r="O12" t="n">
        <v>3</v>
      </c>
      <c r="P12" t="n">
        <v>0</v>
      </c>
      <c r="Q12" t="n">
        <v>11</v>
      </c>
      <c r="R12" s="2" t="inlineStr">
        <is>
          <t>Bokkantlav
Bokvårtlav
Lunglav
Bokfjädermossa
Guldlockmossa
Havstulpanlav
Klippfrullania
Kransrams
Lönnlav
Trädporella
Västlig hakmossa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43416-2020</t>
        </is>
      </c>
      <c r="B13" s="1" t="n">
        <v>44078</v>
      </c>
      <c r="C13" s="1" t="n">
        <v>45744</v>
      </c>
      <c r="D13" t="inlineStr">
        <is>
          <t>SKÅNE LÄN</t>
        </is>
      </c>
      <c r="E13" t="inlineStr">
        <is>
          <t>KRISTIANSTAD</t>
        </is>
      </c>
      <c r="G13" t="n">
        <v>20</v>
      </c>
      <c r="H13" t="n">
        <v>1</v>
      </c>
      <c r="I13" t="n">
        <v>9</v>
      </c>
      <c r="J13" t="n">
        <v>0</v>
      </c>
      <c r="K13" t="n">
        <v>0</v>
      </c>
      <c r="L13" t="n">
        <v>0</v>
      </c>
      <c r="M13" t="n">
        <v>0</v>
      </c>
      <c r="N13" t="n">
        <v>0</v>
      </c>
      <c r="O13" t="n">
        <v>0</v>
      </c>
      <c r="P13" t="n">
        <v>0</v>
      </c>
      <c r="Q13" t="n">
        <v>10</v>
      </c>
      <c r="R13" s="2" t="inlineStr">
        <is>
          <t>Bläcksopp
Fjällsopp
Gulfotshätta
Gulskölding
Igelkottsröksvamp
Lömsk flugsvamp
Myskmadra
Rutbläcksvamp
Småskölding
Blåsippa</t>
        </is>
      </c>
      <c r="S13">
        <f>HYPERLINK("https://klasma.github.io/Logging_1290/artfynd/A 43416-2020 artfynd.xlsx", "A 43416-2020")</f>
        <v/>
      </c>
      <c r="T13">
        <f>HYPERLINK("https://klasma.github.io/Logging_1290/kartor/A 43416-2020 karta.png", "A 43416-2020")</f>
        <v/>
      </c>
      <c r="V13">
        <f>HYPERLINK("https://klasma.github.io/Logging_1290/klagomål/A 43416-2020 FSC-klagomål.docx", "A 43416-2020")</f>
        <v/>
      </c>
      <c r="W13">
        <f>HYPERLINK("https://klasma.github.io/Logging_1290/klagomålsmail/A 43416-2020 FSC-klagomål mail.docx", "A 43416-2020")</f>
        <v/>
      </c>
      <c r="X13">
        <f>HYPERLINK("https://klasma.github.io/Logging_1290/tillsyn/A 43416-2020 tillsynsbegäran.docx", "A 43416-2020")</f>
        <v/>
      </c>
      <c r="Y13">
        <f>HYPERLINK("https://klasma.github.io/Logging_1290/tillsynsmail/A 43416-2020 tillsynsbegäran mail.docx", "A 43416-2020")</f>
        <v/>
      </c>
    </row>
    <row r="14" ht="15" customHeight="1">
      <c r="A14" t="inlineStr">
        <is>
          <t>A 2837-2023</t>
        </is>
      </c>
      <c r="B14" s="1" t="n">
        <v>44945</v>
      </c>
      <c r="C14" s="1" t="n">
        <v>45744</v>
      </c>
      <c r="D14" t="inlineStr">
        <is>
          <t>SKÅNE LÄN</t>
        </is>
      </c>
      <c r="E14" t="inlineStr">
        <is>
          <t>KRISTIANSTAD</t>
        </is>
      </c>
      <c r="F14" t="inlineStr">
        <is>
          <t>Kyrkan</t>
        </is>
      </c>
      <c r="G14" t="n">
        <v>23.2</v>
      </c>
      <c r="H14" t="n">
        <v>6</v>
      </c>
      <c r="I14" t="n">
        <v>1</v>
      </c>
      <c r="J14" t="n">
        <v>4</v>
      </c>
      <c r="K14" t="n">
        <v>0</v>
      </c>
      <c r="L14" t="n">
        <v>1</v>
      </c>
      <c r="M14" t="n">
        <v>0</v>
      </c>
      <c r="N14" t="n">
        <v>0</v>
      </c>
      <c r="O14" t="n">
        <v>5</v>
      </c>
      <c r="P14" t="n">
        <v>1</v>
      </c>
      <c r="Q14" t="n">
        <v>10</v>
      </c>
      <c r="R14" s="2" t="inlineStr">
        <is>
          <t>Bechsteins fladdermus
Bokkantlav
Bokvårtlav
Fransfladdermus
Liten lundlav
Fällmossa
Dvärgpipistrell
Större brunfladdermus
Vattenfladdermus
Revlummer</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23417-2019</t>
        </is>
      </c>
      <c r="B15" s="1" t="n">
        <v>43593</v>
      </c>
      <c r="C15" s="1" t="n">
        <v>45744</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Toppvaxskivling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45744</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45744</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45744</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45744</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45744</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45744</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45744</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45744</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45744</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45744</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45744</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45744</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45744</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45744</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45744</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45744</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19823-2020</t>
        </is>
      </c>
      <c r="B32" s="1" t="n">
        <v>43941</v>
      </c>
      <c r="C32" s="1" t="n">
        <v>45744</v>
      </c>
      <c r="D32" t="inlineStr">
        <is>
          <t>SKÅNE LÄN</t>
        </is>
      </c>
      <c r="E32" t="inlineStr">
        <is>
          <t>HÄSSLEHOLM</t>
        </is>
      </c>
      <c r="G32" t="n">
        <v>7</v>
      </c>
      <c r="H32" t="n">
        <v>2</v>
      </c>
      <c r="I32" t="n">
        <v>2</v>
      </c>
      <c r="J32" t="n">
        <v>3</v>
      </c>
      <c r="K32" t="n">
        <v>0</v>
      </c>
      <c r="L32" t="n">
        <v>0</v>
      </c>
      <c r="M32" t="n">
        <v>0</v>
      </c>
      <c r="N32" t="n">
        <v>0</v>
      </c>
      <c r="O32" t="n">
        <v>3</v>
      </c>
      <c r="P32" t="n">
        <v>0</v>
      </c>
      <c r="Q32" t="n">
        <v>6</v>
      </c>
      <c r="R32" s="2" t="inlineStr">
        <is>
          <t>Asksolvecklare
Brunflammig fältmätare
Gulsparv
Murgröna
Rostfläck
Blåsippa</t>
        </is>
      </c>
      <c r="S32">
        <f>HYPERLINK("https://klasma.github.io/Logging_1293/artfynd/A 19823-2020 artfynd.xlsx", "A 19823-2020")</f>
        <v/>
      </c>
      <c r="T32">
        <f>HYPERLINK("https://klasma.github.io/Logging_1293/kartor/A 19823-2020 karta.png", "A 19823-2020")</f>
        <v/>
      </c>
      <c r="V32">
        <f>HYPERLINK("https://klasma.github.io/Logging_1293/klagomål/A 19823-2020 FSC-klagomål.docx", "A 19823-2020")</f>
        <v/>
      </c>
      <c r="W32">
        <f>HYPERLINK("https://klasma.github.io/Logging_1293/klagomålsmail/A 19823-2020 FSC-klagomål mail.docx", "A 19823-2020")</f>
        <v/>
      </c>
      <c r="X32">
        <f>HYPERLINK("https://klasma.github.io/Logging_1293/tillsyn/A 19823-2020 tillsynsbegäran.docx", "A 19823-2020")</f>
        <v/>
      </c>
      <c r="Y32">
        <f>HYPERLINK("https://klasma.github.io/Logging_1293/tillsynsmail/A 19823-2020 tillsynsbegäran mail.docx", "A 19823-2020")</f>
        <v/>
      </c>
      <c r="Z32">
        <f>HYPERLINK("https://klasma.github.io/Logging_1293/fåglar/A 19823-2020 prioriterade fågelarter.docx", "A 19823-2020")</f>
        <v/>
      </c>
    </row>
    <row r="33" ht="15" customHeight="1">
      <c r="A33" t="inlineStr">
        <is>
          <t>A 33728-2020</t>
        </is>
      </c>
      <c r="B33" s="1" t="n">
        <v>44022</v>
      </c>
      <c r="C33" s="1" t="n">
        <v>45744</v>
      </c>
      <c r="D33" t="inlineStr">
        <is>
          <t>SKÅNE LÄN</t>
        </is>
      </c>
      <c r="E33" t="inlineStr">
        <is>
          <t>KRISTIANSTAD</t>
        </is>
      </c>
      <c r="F33" t="inlineStr">
        <is>
          <t>Övriga Aktiebolag</t>
        </is>
      </c>
      <c r="G33" t="n">
        <v>17.3</v>
      </c>
      <c r="H33" t="n">
        <v>4</v>
      </c>
      <c r="I33" t="n">
        <v>1</v>
      </c>
      <c r="J33" t="n">
        <v>3</v>
      </c>
      <c r="K33" t="n">
        <v>1</v>
      </c>
      <c r="L33" t="n">
        <v>0</v>
      </c>
      <c r="M33" t="n">
        <v>0</v>
      </c>
      <c r="N33" t="n">
        <v>0</v>
      </c>
      <c r="O33" t="n">
        <v>4</v>
      </c>
      <c r="P33" t="n">
        <v>1</v>
      </c>
      <c r="Q33" t="n">
        <v>6</v>
      </c>
      <c r="R33" s="2" t="inlineStr">
        <is>
          <t>Crunoecia irrorata
Entita
Spillkråka
Talltita
Myskmadra
Mindre vattensalamander</t>
        </is>
      </c>
      <c r="S33">
        <f>HYPERLINK("https://klasma.github.io/Logging_1290/artfynd/A 33728-2020 artfynd.xlsx", "A 33728-2020")</f>
        <v/>
      </c>
      <c r="T33">
        <f>HYPERLINK("https://klasma.github.io/Logging_1290/kartor/A 33728-2020 karta.png", "A 33728-2020")</f>
        <v/>
      </c>
      <c r="V33">
        <f>HYPERLINK("https://klasma.github.io/Logging_1290/klagomål/A 33728-2020 FSC-klagomål.docx", "A 33728-2020")</f>
        <v/>
      </c>
      <c r="W33">
        <f>HYPERLINK("https://klasma.github.io/Logging_1290/klagomålsmail/A 33728-2020 FSC-klagomål mail.docx", "A 33728-2020")</f>
        <v/>
      </c>
      <c r="X33">
        <f>HYPERLINK("https://klasma.github.io/Logging_1290/tillsyn/A 33728-2020 tillsynsbegäran.docx", "A 33728-2020")</f>
        <v/>
      </c>
      <c r="Y33">
        <f>HYPERLINK("https://klasma.github.io/Logging_1290/tillsynsmail/A 33728-2020 tillsynsbegäran mail.docx", "A 33728-2020")</f>
        <v/>
      </c>
      <c r="Z33">
        <f>HYPERLINK("https://klasma.github.io/Logging_1290/fåglar/A 33728-2020 prioriterade fågelarter.docx", "A 33728-2020")</f>
        <v/>
      </c>
    </row>
    <row r="34" ht="15" customHeight="1">
      <c r="A34" t="inlineStr">
        <is>
          <t>A 10694-2021</t>
        </is>
      </c>
      <c r="B34" s="1" t="n">
        <v>44258</v>
      </c>
      <c r="C34" s="1" t="n">
        <v>45744</v>
      </c>
      <c r="D34" t="inlineStr">
        <is>
          <t>SKÅNE LÄN</t>
        </is>
      </c>
      <c r="E34" t="inlineStr">
        <is>
          <t>TRELLEBORG</t>
        </is>
      </c>
      <c r="G34" t="n">
        <v>1.2</v>
      </c>
      <c r="H34" t="n">
        <v>6</v>
      </c>
      <c r="I34" t="n">
        <v>0</v>
      </c>
      <c r="J34" t="n">
        <v>3</v>
      </c>
      <c r="K34" t="n">
        <v>2</v>
      </c>
      <c r="L34" t="n">
        <v>0</v>
      </c>
      <c r="M34" t="n">
        <v>0</v>
      </c>
      <c r="N34" t="n">
        <v>0</v>
      </c>
      <c r="O34" t="n">
        <v>5</v>
      </c>
      <c r="P34" t="n">
        <v>2</v>
      </c>
      <c r="Q34" t="n">
        <v>6</v>
      </c>
      <c r="R34" s="2" t="inlineStr">
        <is>
          <t>Kricka
Svarthakad buskskvätta
Blå kärrhök
Havsörn
Smådopping
Röd glada</t>
        </is>
      </c>
      <c r="S34">
        <f>HYPERLINK("https://klasma.github.io/Logging_1287/artfynd/A 10694-2021 artfynd.xlsx", "A 10694-2021")</f>
        <v/>
      </c>
      <c r="T34">
        <f>HYPERLINK("https://klasma.github.io/Logging_1287/kartor/A 10694-2021 karta.png", "A 10694-2021")</f>
        <v/>
      </c>
      <c r="V34">
        <f>HYPERLINK("https://klasma.github.io/Logging_1287/klagomål/A 10694-2021 FSC-klagomål.docx", "A 10694-2021")</f>
        <v/>
      </c>
      <c r="W34">
        <f>HYPERLINK("https://klasma.github.io/Logging_1287/klagomålsmail/A 10694-2021 FSC-klagomål mail.docx", "A 10694-2021")</f>
        <v/>
      </c>
      <c r="X34">
        <f>HYPERLINK("https://klasma.github.io/Logging_1287/tillsyn/A 10694-2021 tillsynsbegäran.docx", "A 10694-2021")</f>
        <v/>
      </c>
      <c r="Y34">
        <f>HYPERLINK("https://klasma.github.io/Logging_1287/tillsynsmail/A 10694-2021 tillsynsbegäran mail.docx", "A 10694-2021")</f>
        <v/>
      </c>
      <c r="Z34">
        <f>HYPERLINK("https://klasma.github.io/Logging_1287/fåglar/A 10694-2021 prioriterade fågelarter.docx", "A 10694-2021")</f>
        <v/>
      </c>
    </row>
    <row r="35" ht="15" customHeight="1">
      <c r="A35" t="inlineStr">
        <is>
          <t>A 22967-2021</t>
        </is>
      </c>
      <c r="B35" s="1" t="n">
        <v>44328</v>
      </c>
      <c r="C35" s="1" t="n">
        <v>45744</v>
      </c>
      <c r="D35" t="inlineStr">
        <is>
          <t>SKÅNE LÄN</t>
        </is>
      </c>
      <c r="E35" t="inlineStr">
        <is>
          <t>KRISTIANSTAD</t>
        </is>
      </c>
      <c r="G35" t="n">
        <v>3.1</v>
      </c>
      <c r="H35" t="n">
        <v>5</v>
      </c>
      <c r="I35" t="n">
        <v>0</v>
      </c>
      <c r="J35" t="n">
        <v>3</v>
      </c>
      <c r="K35" t="n">
        <v>0</v>
      </c>
      <c r="L35" t="n">
        <v>0</v>
      </c>
      <c r="M35" t="n">
        <v>0</v>
      </c>
      <c r="N35" t="n">
        <v>0</v>
      </c>
      <c r="O35" t="n">
        <v>3</v>
      </c>
      <c r="P35" t="n">
        <v>0</v>
      </c>
      <c r="Q35" t="n">
        <v>6</v>
      </c>
      <c r="R35" s="2" t="inlineStr">
        <is>
          <t>Gullklöver
Gulsparv
Talltita
Järnsparv
Kungsfågel
Törnskata</t>
        </is>
      </c>
      <c r="S35">
        <f>HYPERLINK("https://klasma.github.io/Logging_1290/artfynd/A 22967-2021 artfynd.xlsx", "A 22967-2021")</f>
        <v/>
      </c>
      <c r="T35">
        <f>HYPERLINK("https://klasma.github.io/Logging_1290/kartor/A 22967-2021 karta.png", "A 22967-2021")</f>
        <v/>
      </c>
      <c r="V35">
        <f>HYPERLINK("https://klasma.github.io/Logging_1290/klagomål/A 22967-2021 FSC-klagomål.docx", "A 22967-2021")</f>
        <v/>
      </c>
      <c r="W35">
        <f>HYPERLINK("https://klasma.github.io/Logging_1290/klagomålsmail/A 22967-2021 FSC-klagomål mail.docx", "A 22967-2021")</f>
        <v/>
      </c>
      <c r="X35">
        <f>HYPERLINK("https://klasma.github.io/Logging_1290/tillsyn/A 22967-2021 tillsynsbegäran.docx", "A 22967-2021")</f>
        <v/>
      </c>
      <c r="Y35">
        <f>HYPERLINK("https://klasma.github.io/Logging_1290/tillsynsmail/A 22967-2021 tillsynsbegäran mail.docx", "A 22967-2021")</f>
        <v/>
      </c>
      <c r="Z35">
        <f>HYPERLINK("https://klasma.github.io/Logging_1290/fåglar/A 22967-2021 prioriterade fågelarter.docx", "A 22967-2021")</f>
        <v/>
      </c>
    </row>
    <row r="36" ht="15" customHeight="1">
      <c r="A36" t="inlineStr">
        <is>
          <t>A 9599-2025</t>
        </is>
      </c>
      <c r="B36" s="1" t="n">
        <v>45715</v>
      </c>
      <c r="C36" s="1" t="n">
        <v>45744</v>
      </c>
      <c r="D36" t="inlineStr">
        <is>
          <t>SKÅNE LÄN</t>
        </is>
      </c>
      <c r="E36" t="inlineStr">
        <is>
          <t>KRISTIANSTAD</t>
        </is>
      </c>
      <c r="G36" t="n">
        <v>25.7</v>
      </c>
      <c r="H36" t="n">
        <v>0</v>
      </c>
      <c r="I36" t="n">
        <v>2</v>
      </c>
      <c r="J36" t="n">
        <v>3</v>
      </c>
      <c r="K36" t="n">
        <v>1</v>
      </c>
      <c r="L36" t="n">
        <v>0</v>
      </c>
      <c r="M36" t="n">
        <v>0</v>
      </c>
      <c r="N36" t="n">
        <v>0</v>
      </c>
      <c r="O36" t="n">
        <v>4</v>
      </c>
      <c r="P36" t="n">
        <v>1</v>
      </c>
      <c r="Q36" t="n">
        <v>6</v>
      </c>
      <c r="R36" s="2" t="inlineStr">
        <is>
          <t>Silkesspindling
Bokkantlav
Bokvårtlav
Lövfagerspindling
Fällmossa
Rutbläcksvamp</t>
        </is>
      </c>
      <c r="S36">
        <f>HYPERLINK("https://klasma.github.io/Logging_1290/artfynd/A 9599-2025 artfynd.xlsx", "A 9599-2025")</f>
        <v/>
      </c>
      <c r="T36">
        <f>HYPERLINK("https://klasma.github.io/Logging_1290/kartor/A 9599-2025 karta.png", "A 9599-2025")</f>
        <v/>
      </c>
      <c r="V36">
        <f>HYPERLINK("https://klasma.github.io/Logging_1290/klagomål/A 9599-2025 FSC-klagomål.docx", "A 9599-2025")</f>
        <v/>
      </c>
      <c r="W36">
        <f>HYPERLINK("https://klasma.github.io/Logging_1290/klagomålsmail/A 9599-2025 FSC-klagomål mail.docx", "A 9599-2025")</f>
        <v/>
      </c>
      <c r="X36">
        <f>HYPERLINK("https://klasma.github.io/Logging_1290/tillsyn/A 9599-2025 tillsynsbegäran.docx", "A 9599-2025")</f>
        <v/>
      </c>
      <c r="Y36">
        <f>HYPERLINK("https://klasma.github.io/Logging_1290/tillsynsmail/A 9599-2025 tillsynsbegäran mail.docx", "A 9599-2025")</f>
        <v/>
      </c>
    </row>
    <row r="37" ht="15" customHeight="1">
      <c r="A37" t="inlineStr">
        <is>
          <t>A 24304-2020</t>
        </is>
      </c>
      <c r="B37" s="1" t="n">
        <v>43976</v>
      </c>
      <c r="C37" s="1" t="n">
        <v>45744</v>
      </c>
      <c r="D37" t="inlineStr">
        <is>
          <t>SKÅNE LÄN</t>
        </is>
      </c>
      <c r="E37" t="inlineStr">
        <is>
          <t>OSBY</t>
        </is>
      </c>
      <c r="F37" t="inlineStr">
        <is>
          <t>Kyrkan</t>
        </is>
      </c>
      <c r="G37" t="n">
        <v>13.9</v>
      </c>
      <c r="H37" t="n">
        <v>1</v>
      </c>
      <c r="I37" t="n">
        <v>3</v>
      </c>
      <c r="J37" t="n">
        <v>1</v>
      </c>
      <c r="K37" t="n">
        <v>1</v>
      </c>
      <c r="L37" t="n">
        <v>0</v>
      </c>
      <c r="M37" t="n">
        <v>0</v>
      </c>
      <c r="N37" t="n">
        <v>0</v>
      </c>
      <c r="O37" t="n">
        <v>2</v>
      </c>
      <c r="P37" t="n">
        <v>1</v>
      </c>
      <c r="Q37" t="n">
        <v>5</v>
      </c>
      <c r="R37" s="2" t="inlineStr">
        <is>
          <t>Knärot
Vedtrappmossa
Brandticka
Kornknutmossa
Skuggmossa</t>
        </is>
      </c>
      <c r="S37">
        <f>HYPERLINK("https://klasma.github.io/Logging_1273/artfynd/A 24304-2020 artfynd.xlsx", "A 24304-2020")</f>
        <v/>
      </c>
      <c r="T37">
        <f>HYPERLINK("https://klasma.github.io/Logging_1273/kartor/A 24304-2020 karta.png", "A 24304-2020")</f>
        <v/>
      </c>
      <c r="U37">
        <f>HYPERLINK("https://klasma.github.io/Logging_1273/knärot/A 24304-2020 karta knärot.png",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74502-2021</t>
        </is>
      </c>
      <c r="B38" s="1" t="n">
        <v>44560</v>
      </c>
      <c r="C38" s="1" t="n">
        <v>45744</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45-2022</t>
        </is>
      </c>
      <c r="B39" s="1" t="n">
        <v>44564</v>
      </c>
      <c r="C39" s="1" t="n">
        <v>45744</v>
      </c>
      <c r="D39" t="inlineStr">
        <is>
          <t>SKÅNE LÄN</t>
        </is>
      </c>
      <c r="E39" t="inlineStr">
        <is>
          <t>SIMRISHAMN</t>
        </is>
      </c>
      <c r="F39" t="inlineStr">
        <is>
          <t>Övriga Aktiebolag</t>
        </is>
      </c>
      <c r="G39" t="n">
        <v>7.2</v>
      </c>
      <c r="H39" t="n">
        <v>0</v>
      </c>
      <c r="I39" t="n">
        <v>1</v>
      </c>
      <c r="J39" t="n">
        <v>4</v>
      </c>
      <c r="K39" t="n">
        <v>0</v>
      </c>
      <c r="L39" t="n">
        <v>0</v>
      </c>
      <c r="M39" t="n">
        <v>0</v>
      </c>
      <c r="N39" t="n">
        <v>0</v>
      </c>
      <c r="O39" t="n">
        <v>4</v>
      </c>
      <c r="P39" t="n">
        <v>0</v>
      </c>
      <c r="Q39" t="n">
        <v>5</v>
      </c>
      <c r="R39" s="2" t="inlineStr">
        <is>
          <t>Bokvårtlav
Lunglav
Mjukdån
Småjungfrukam
Stor knopplav</t>
        </is>
      </c>
      <c r="S39">
        <f>HYPERLINK("https://klasma.github.io/Logging_1291/artfynd/A 45-2022 artfynd.xlsx", "A 45-2022")</f>
        <v/>
      </c>
      <c r="T39">
        <f>HYPERLINK("https://klasma.github.io/Logging_1291/kartor/A 45-2022 karta.png", "A 45-2022")</f>
        <v/>
      </c>
      <c r="V39">
        <f>HYPERLINK("https://klasma.github.io/Logging_1291/klagomål/A 45-2022 FSC-klagomål.docx", "A 45-2022")</f>
        <v/>
      </c>
      <c r="W39">
        <f>HYPERLINK("https://klasma.github.io/Logging_1291/klagomålsmail/A 45-2022 FSC-klagomål mail.docx", "A 45-2022")</f>
        <v/>
      </c>
      <c r="X39">
        <f>HYPERLINK("https://klasma.github.io/Logging_1291/tillsyn/A 45-2022 tillsynsbegäran.docx", "A 45-2022")</f>
        <v/>
      </c>
      <c r="Y39">
        <f>HYPERLINK("https://klasma.github.io/Logging_1291/tillsynsmail/A 45-2022 tillsynsbegäran mail.docx", "A 45-2022")</f>
        <v/>
      </c>
    </row>
    <row r="40" ht="15" customHeight="1">
      <c r="A40" t="inlineStr">
        <is>
          <t>A 18589-2022</t>
        </is>
      </c>
      <c r="B40" s="1" t="n">
        <v>44687</v>
      </c>
      <c r="C40" s="1" t="n">
        <v>45744</v>
      </c>
      <c r="D40" t="inlineStr">
        <is>
          <t>SKÅNE LÄN</t>
        </is>
      </c>
      <c r="E40" t="inlineStr">
        <is>
          <t>SIMRISHAMN</t>
        </is>
      </c>
      <c r="G40" t="n">
        <v>2.5</v>
      </c>
      <c r="H40" t="n">
        <v>1</v>
      </c>
      <c r="I40" t="n">
        <v>0</v>
      </c>
      <c r="J40" t="n">
        <v>2</v>
      </c>
      <c r="K40" t="n">
        <v>1</v>
      </c>
      <c r="L40" t="n">
        <v>1</v>
      </c>
      <c r="M40" t="n">
        <v>1</v>
      </c>
      <c r="N40" t="n">
        <v>0</v>
      </c>
      <c r="O40" t="n">
        <v>5</v>
      </c>
      <c r="P40" t="n">
        <v>3</v>
      </c>
      <c r="Q40" t="n">
        <v>5</v>
      </c>
      <c r="R40" s="2" t="inlineStr">
        <is>
          <t>Skogsalm
Ask
Backsippa
Sminkrot
Åkerkulla</t>
        </is>
      </c>
      <c r="S40">
        <f>HYPERLINK("https://klasma.github.io/Logging_1291/artfynd/A 18589-2022 artfynd.xlsx", "A 18589-2022")</f>
        <v/>
      </c>
      <c r="T40">
        <f>HYPERLINK("https://klasma.github.io/Logging_1291/kartor/A 18589-2022 karta.png", "A 18589-2022")</f>
        <v/>
      </c>
      <c r="V40">
        <f>HYPERLINK("https://klasma.github.io/Logging_1291/klagomål/A 18589-2022 FSC-klagomål.docx", "A 18589-2022")</f>
        <v/>
      </c>
      <c r="W40">
        <f>HYPERLINK("https://klasma.github.io/Logging_1291/klagomålsmail/A 18589-2022 FSC-klagomål mail.docx", "A 18589-2022")</f>
        <v/>
      </c>
      <c r="X40">
        <f>HYPERLINK("https://klasma.github.io/Logging_1291/tillsyn/A 18589-2022 tillsynsbegäran.docx", "A 18589-2022")</f>
        <v/>
      </c>
      <c r="Y40">
        <f>HYPERLINK("https://klasma.github.io/Logging_1291/tillsynsmail/A 18589-2022 tillsynsbegäran mail.docx", "A 18589-2022")</f>
        <v/>
      </c>
    </row>
    <row r="41" ht="15" customHeight="1">
      <c r="A41" t="inlineStr">
        <is>
          <t>A 39855-2022</t>
        </is>
      </c>
      <c r="B41" s="1" t="n">
        <v>44819</v>
      </c>
      <c r="C41" s="1" t="n">
        <v>45744</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4059-2023</t>
        </is>
      </c>
      <c r="B42" s="1" t="n">
        <v>44952</v>
      </c>
      <c r="C42" s="1" t="n">
        <v>45744</v>
      </c>
      <c r="D42" t="inlineStr">
        <is>
          <t>SKÅNE LÄN</t>
        </is>
      </c>
      <c r="E42" t="inlineStr">
        <is>
          <t>HÄSSLEHOLM</t>
        </is>
      </c>
      <c r="G42" t="n">
        <v>2.9</v>
      </c>
      <c r="H42" t="n">
        <v>5</v>
      </c>
      <c r="I42" t="n">
        <v>0</v>
      </c>
      <c r="J42" t="n">
        <v>0</v>
      </c>
      <c r="K42" t="n">
        <v>0</v>
      </c>
      <c r="L42" t="n">
        <v>0</v>
      </c>
      <c r="M42" t="n">
        <v>0</v>
      </c>
      <c r="N42" t="n">
        <v>0</v>
      </c>
      <c r="O42" t="n">
        <v>0</v>
      </c>
      <c r="P42" t="n">
        <v>0</v>
      </c>
      <c r="Q42" t="n">
        <v>5</v>
      </c>
      <c r="R42" s="2" t="inlineStr">
        <is>
          <t>Dvärgpipistrell
Gråskimlig fladdermus
Större brunfladdermus
Trollpipistrell
Vattenfladdermus</t>
        </is>
      </c>
      <c r="S42">
        <f>HYPERLINK("https://klasma.github.io/Logging_1293/artfynd/A 4059-2023 artfynd.xlsx", "A 4059-2023")</f>
        <v/>
      </c>
      <c r="T42">
        <f>HYPERLINK("https://klasma.github.io/Logging_1293/kartor/A 4059-2023 karta.png", "A 4059-2023")</f>
        <v/>
      </c>
      <c r="V42">
        <f>HYPERLINK("https://klasma.github.io/Logging_1293/klagomål/A 4059-2023 FSC-klagomål.docx", "A 4059-2023")</f>
        <v/>
      </c>
      <c r="W42">
        <f>HYPERLINK("https://klasma.github.io/Logging_1293/klagomålsmail/A 4059-2023 FSC-klagomål mail.docx", "A 4059-2023")</f>
        <v/>
      </c>
      <c r="X42">
        <f>HYPERLINK("https://klasma.github.io/Logging_1293/tillsyn/A 4059-2023 tillsynsbegäran.docx", "A 4059-2023")</f>
        <v/>
      </c>
      <c r="Y42">
        <f>HYPERLINK("https://klasma.github.io/Logging_1293/tillsynsmail/A 4059-2023 tillsynsbegäran mail.docx", "A 4059-2023")</f>
        <v/>
      </c>
    </row>
    <row r="43" ht="15" customHeight="1">
      <c r="A43" t="inlineStr">
        <is>
          <t>A 13467-2023</t>
        </is>
      </c>
      <c r="B43" s="1" t="n">
        <v>45005</v>
      </c>
      <c r="C43" s="1" t="n">
        <v>45744</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14150-2023</t>
        </is>
      </c>
      <c r="B44" s="1" t="n">
        <v>45009</v>
      </c>
      <c r="C44" s="1" t="n">
        <v>45744</v>
      </c>
      <c r="D44" t="inlineStr">
        <is>
          <t>SKÅNE LÄN</t>
        </is>
      </c>
      <c r="E44" t="inlineStr">
        <is>
          <t>SVEDALA</t>
        </is>
      </c>
      <c r="G44" t="n">
        <v>2.5</v>
      </c>
      <c r="H44" t="n">
        <v>0</v>
      </c>
      <c r="I44" t="n">
        <v>4</v>
      </c>
      <c r="J44" t="n">
        <v>1</v>
      </c>
      <c r="K44" t="n">
        <v>0</v>
      </c>
      <c r="L44" t="n">
        <v>0</v>
      </c>
      <c r="M44" t="n">
        <v>0</v>
      </c>
      <c r="N44" t="n">
        <v>0</v>
      </c>
      <c r="O44" t="n">
        <v>1</v>
      </c>
      <c r="P44" t="n">
        <v>0</v>
      </c>
      <c r="Q44" t="n">
        <v>5</v>
      </c>
      <c r="R44" s="2" t="inlineStr">
        <is>
          <t>Hypoxylon petriniae
Guldlockmossa
Lönnlav
Platt fjädermossa
Tibast</t>
        </is>
      </c>
      <c r="S44">
        <f>HYPERLINK("https://klasma.github.io/Logging_1263/artfynd/A 14150-2023 artfynd.xlsx", "A 14150-2023")</f>
        <v/>
      </c>
      <c r="T44">
        <f>HYPERLINK("https://klasma.github.io/Logging_1263/kartor/A 14150-2023 karta.png", "A 14150-2023")</f>
        <v/>
      </c>
      <c r="V44">
        <f>HYPERLINK("https://klasma.github.io/Logging_1263/klagomål/A 14150-2023 FSC-klagomål.docx", "A 14150-2023")</f>
        <v/>
      </c>
      <c r="W44">
        <f>HYPERLINK("https://klasma.github.io/Logging_1263/klagomålsmail/A 14150-2023 FSC-klagomål mail.docx", "A 14150-2023")</f>
        <v/>
      </c>
      <c r="X44">
        <f>HYPERLINK("https://klasma.github.io/Logging_1263/tillsyn/A 14150-2023 tillsynsbegäran.docx", "A 14150-2023")</f>
        <v/>
      </c>
      <c r="Y44">
        <f>HYPERLINK("https://klasma.github.io/Logging_1263/tillsynsmail/A 14150-2023 tillsynsbegäran mail.docx", "A 14150-2023")</f>
        <v/>
      </c>
    </row>
    <row r="45" ht="15" customHeight="1">
      <c r="A45" t="inlineStr">
        <is>
          <t>A 19019-2024</t>
        </is>
      </c>
      <c r="B45" s="1" t="n">
        <v>45427</v>
      </c>
      <c r="C45" s="1" t="n">
        <v>45744</v>
      </c>
      <c r="D45" t="inlineStr">
        <is>
          <t>SKÅNE LÄN</t>
        </is>
      </c>
      <c r="E45" t="inlineStr">
        <is>
          <t>HÄSSLEHOLM</t>
        </is>
      </c>
      <c r="G45" t="n">
        <v>5.4</v>
      </c>
      <c r="H45" t="n">
        <v>0</v>
      </c>
      <c r="I45" t="n">
        <v>4</v>
      </c>
      <c r="J45" t="n">
        <v>0</v>
      </c>
      <c r="K45" t="n">
        <v>1</v>
      </c>
      <c r="L45" t="n">
        <v>0</v>
      </c>
      <c r="M45" t="n">
        <v>0</v>
      </c>
      <c r="N45" t="n">
        <v>0</v>
      </c>
      <c r="O45" t="n">
        <v>1</v>
      </c>
      <c r="P45" t="n">
        <v>1</v>
      </c>
      <c r="Q45" t="n">
        <v>5</v>
      </c>
      <c r="R45" s="2" t="inlineStr">
        <is>
          <t>Ädelkronlav
Fällmossa
Havstulpanlav
Klippfrullania
Rostfläck</t>
        </is>
      </c>
      <c r="S45">
        <f>HYPERLINK("https://klasma.github.io/Logging_1293/artfynd/A 19019-2024 artfynd.xlsx", "A 19019-2024")</f>
        <v/>
      </c>
      <c r="T45">
        <f>HYPERLINK("https://klasma.github.io/Logging_1293/kartor/A 19019-2024 karta.png", "A 19019-2024")</f>
        <v/>
      </c>
      <c r="V45">
        <f>HYPERLINK("https://klasma.github.io/Logging_1293/klagomål/A 19019-2024 FSC-klagomål.docx", "A 19019-2024")</f>
        <v/>
      </c>
      <c r="W45">
        <f>HYPERLINK("https://klasma.github.io/Logging_1293/klagomålsmail/A 19019-2024 FSC-klagomål mail.docx", "A 19019-2024")</f>
        <v/>
      </c>
      <c r="X45">
        <f>HYPERLINK("https://klasma.github.io/Logging_1293/tillsyn/A 19019-2024 tillsynsbegäran.docx", "A 19019-2024")</f>
        <v/>
      </c>
      <c r="Y45">
        <f>HYPERLINK("https://klasma.github.io/Logging_1293/tillsynsmail/A 19019-2024 tillsynsbegäran mail.docx", "A 19019-2024")</f>
        <v/>
      </c>
    </row>
    <row r="46" ht="15" customHeight="1">
      <c r="A46" t="inlineStr">
        <is>
          <t>A 20194-2024</t>
        </is>
      </c>
      <c r="B46" s="1" t="n">
        <v>45434</v>
      </c>
      <c r="C46" s="1" t="n">
        <v>45744</v>
      </c>
      <c r="D46" t="inlineStr">
        <is>
          <t>SKÅNE LÄN</t>
        </is>
      </c>
      <c r="E46" t="inlineStr">
        <is>
          <t>HÖRBY</t>
        </is>
      </c>
      <c r="G46" t="n">
        <v>4.4</v>
      </c>
      <c r="H46" t="n">
        <v>0</v>
      </c>
      <c r="I46" t="n">
        <v>2</v>
      </c>
      <c r="J46" t="n">
        <v>0</v>
      </c>
      <c r="K46" t="n">
        <v>0</v>
      </c>
      <c r="L46" t="n">
        <v>1</v>
      </c>
      <c r="M46" t="n">
        <v>2</v>
      </c>
      <c r="N46" t="n">
        <v>0</v>
      </c>
      <c r="O46" t="n">
        <v>3</v>
      </c>
      <c r="P46" t="n">
        <v>3</v>
      </c>
      <c r="Q46" t="n">
        <v>5</v>
      </c>
      <c r="R46" s="2" t="inlineStr">
        <is>
          <t>Naverlönn
Skogsalm
Ask
Scharlakansskål
Stor häxört</t>
        </is>
      </c>
      <c r="S46">
        <f>HYPERLINK("https://klasma.github.io/Logging_1266/artfynd/A 20194-2024 artfynd.xlsx", "A 20194-2024")</f>
        <v/>
      </c>
      <c r="T46">
        <f>HYPERLINK("https://klasma.github.io/Logging_1266/kartor/A 20194-2024 karta.png", "A 20194-2024")</f>
        <v/>
      </c>
      <c r="V46">
        <f>HYPERLINK("https://klasma.github.io/Logging_1266/klagomål/A 20194-2024 FSC-klagomål.docx", "A 20194-2024")</f>
        <v/>
      </c>
      <c r="W46">
        <f>HYPERLINK("https://klasma.github.io/Logging_1266/klagomålsmail/A 20194-2024 FSC-klagomål mail.docx", "A 20194-2024")</f>
        <v/>
      </c>
      <c r="X46">
        <f>HYPERLINK("https://klasma.github.io/Logging_1266/tillsyn/A 20194-2024 tillsynsbegäran.docx", "A 20194-2024")</f>
        <v/>
      </c>
      <c r="Y46">
        <f>HYPERLINK("https://klasma.github.io/Logging_1266/tillsynsmail/A 20194-2024 tillsynsbegäran mail.docx", "A 20194-2024")</f>
        <v/>
      </c>
    </row>
    <row r="47" ht="15" customHeight="1">
      <c r="A47" t="inlineStr">
        <is>
          <t>A 4615-2025</t>
        </is>
      </c>
      <c r="B47" s="1" t="n">
        <v>45687</v>
      </c>
      <c r="C47" s="1" t="n">
        <v>45744</v>
      </c>
      <c r="D47" t="inlineStr">
        <is>
          <t>SKÅNE LÄN</t>
        </is>
      </c>
      <c r="E47" t="inlineStr">
        <is>
          <t>HÄSSLEHOLM</t>
        </is>
      </c>
      <c r="G47" t="n">
        <v>1.7</v>
      </c>
      <c r="H47" t="n">
        <v>5</v>
      </c>
      <c r="I47" t="n">
        <v>0</v>
      </c>
      <c r="J47" t="n">
        <v>2</v>
      </c>
      <c r="K47" t="n">
        <v>0</v>
      </c>
      <c r="L47" t="n">
        <v>0</v>
      </c>
      <c r="M47" t="n">
        <v>0</v>
      </c>
      <c r="N47" t="n">
        <v>0</v>
      </c>
      <c r="O47" t="n">
        <v>2</v>
      </c>
      <c r="P47" t="n">
        <v>0</v>
      </c>
      <c r="Q47" t="n">
        <v>5</v>
      </c>
      <c r="R47" s="2" t="inlineStr">
        <is>
          <t>Entita
Talltita
Grönsiska
Kungsfågel
Tjäder</t>
        </is>
      </c>
      <c r="S47">
        <f>HYPERLINK("https://klasma.github.io/Logging_1293/artfynd/A 4615-2025 artfynd.xlsx", "A 4615-2025")</f>
        <v/>
      </c>
      <c r="T47">
        <f>HYPERLINK("https://klasma.github.io/Logging_1293/kartor/A 4615-2025 karta.png", "A 4615-2025")</f>
        <v/>
      </c>
      <c r="V47">
        <f>HYPERLINK("https://klasma.github.io/Logging_1293/klagomål/A 4615-2025 FSC-klagomål.docx", "A 4615-2025")</f>
        <v/>
      </c>
      <c r="W47">
        <f>HYPERLINK("https://klasma.github.io/Logging_1293/klagomålsmail/A 4615-2025 FSC-klagomål mail.docx", "A 4615-2025")</f>
        <v/>
      </c>
      <c r="X47">
        <f>HYPERLINK("https://klasma.github.io/Logging_1293/tillsyn/A 4615-2025 tillsynsbegäran.docx", "A 4615-2025")</f>
        <v/>
      </c>
      <c r="Y47">
        <f>HYPERLINK("https://klasma.github.io/Logging_1293/tillsynsmail/A 4615-2025 tillsynsbegäran mail.docx", "A 4615-2025")</f>
        <v/>
      </c>
      <c r="Z47">
        <f>HYPERLINK("https://klasma.github.io/Logging_1293/fåglar/A 4615-2025 prioriterade fågelarter.docx", "A 4615-2025")</f>
        <v/>
      </c>
    </row>
    <row r="48" ht="15" customHeight="1">
      <c r="A48" t="inlineStr">
        <is>
          <t>A 19986-2019</t>
        </is>
      </c>
      <c r="B48" s="1" t="n">
        <v>43567</v>
      </c>
      <c r="C48" s="1" t="n">
        <v>45744</v>
      </c>
      <c r="D48" t="inlineStr">
        <is>
          <t>SKÅNE LÄN</t>
        </is>
      </c>
      <c r="E48" t="inlineStr">
        <is>
          <t>SIMRISHAMN</t>
        </is>
      </c>
      <c r="G48" t="n">
        <v>2</v>
      </c>
      <c r="H48" t="n">
        <v>1</v>
      </c>
      <c r="I48" t="n">
        <v>1</v>
      </c>
      <c r="J48" t="n">
        <v>1</v>
      </c>
      <c r="K48" t="n">
        <v>1</v>
      </c>
      <c r="L48" t="n">
        <v>0</v>
      </c>
      <c r="M48" t="n">
        <v>0</v>
      </c>
      <c r="N48" t="n">
        <v>0</v>
      </c>
      <c r="O48" t="n">
        <v>2</v>
      </c>
      <c r="P48" t="n">
        <v>1</v>
      </c>
      <c r="Q48" t="n">
        <v>4</v>
      </c>
      <c r="R48" s="2" t="inlineStr">
        <is>
          <t>Småvänderot
Majviva
Axag
Gullviva</t>
        </is>
      </c>
      <c r="S48">
        <f>HYPERLINK("https://klasma.github.io/Logging_1291/artfynd/A 19986-2019 artfynd.xlsx", "A 19986-2019")</f>
        <v/>
      </c>
      <c r="T48">
        <f>HYPERLINK("https://klasma.github.io/Logging_1291/kartor/A 19986-2019 karta.png", "A 19986-2019")</f>
        <v/>
      </c>
      <c r="V48">
        <f>HYPERLINK("https://klasma.github.io/Logging_1291/klagomål/A 19986-2019 FSC-klagomål.docx", "A 19986-2019")</f>
        <v/>
      </c>
      <c r="W48">
        <f>HYPERLINK("https://klasma.github.io/Logging_1291/klagomålsmail/A 19986-2019 FSC-klagomål mail.docx", "A 19986-2019")</f>
        <v/>
      </c>
      <c r="X48">
        <f>HYPERLINK("https://klasma.github.io/Logging_1291/tillsyn/A 19986-2019 tillsynsbegäran.docx", "A 19986-2019")</f>
        <v/>
      </c>
      <c r="Y48">
        <f>HYPERLINK("https://klasma.github.io/Logging_1291/tillsynsmail/A 19986-2019 tillsynsbegäran mail.docx", "A 19986-2019")</f>
        <v/>
      </c>
    </row>
    <row r="49" ht="15" customHeight="1">
      <c r="A49" t="inlineStr">
        <is>
          <t>A 55942-2019</t>
        </is>
      </c>
      <c r="B49" s="1" t="n">
        <v>43755</v>
      </c>
      <c r="C49" s="1" t="n">
        <v>45744</v>
      </c>
      <c r="D49" t="inlineStr">
        <is>
          <t>SKÅNE LÄN</t>
        </is>
      </c>
      <c r="E49" t="inlineStr">
        <is>
          <t>KÄVLINGE</t>
        </is>
      </c>
      <c r="F49" t="inlineStr">
        <is>
          <t>Övriga Aktiebolag</t>
        </is>
      </c>
      <c r="G49" t="n">
        <v>5.4</v>
      </c>
      <c r="H49" t="n">
        <v>0</v>
      </c>
      <c r="I49" t="n">
        <v>3</v>
      </c>
      <c r="J49" t="n">
        <v>1</v>
      </c>
      <c r="K49" t="n">
        <v>0</v>
      </c>
      <c r="L49" t="n">
        <v>0</v>
      </c>
      <c r="M49" t="n">
        <v>0</v>
      </c>
      <c r="N49" t="n">
        <v>0</v>
      </c>
      <c r="O49" t="n">
        <v>1</v>
      </c>
      <c r="P49" t="n">
        <v>0</v>
      </c>
      <c r="Q49" t="n">
        <v>4</v>
      </c>
      <c r="R49" s="2" t="inlineStr">
        <is>
          <t>Paddfot
Bokoxe
Guldlockmossa
Lönnlav</t>
        </is>
      </c>
      <c r="S49">
        <f>HYPERLINK("https://klasma.github.io/Logging_1261/artfynd/A 55942-2019 artfynd.xlsx", "A 55942-2019")</f>
        <v/>
      </c>
      <c r="T49">
        <f>HYPERLINK("https://klasma.github.io/Logging_1261/kartor/A 55942-2019 karta.png", "A 55942-2019")</f>
        <v/>
      </c>
      <c r="V49">
        <f>HYPERLINK("https://klasma.github.io/Logging_1261/klagomål/A 55942-2019 FSC-klagomål.docx", "A 55942-2019")</f>
        <v/>
      </c>
      <c r="W49">
        <f>HYPERLINK("https://klasma.github.io/Logging_1261/klagomålsmail/A 55942-2019 FSC-klagomål mail.docx", "A 55942-2019")</f>
        <v/>
      </c>
      <c r="X49">
        <f>HYPERLINK("https://klasma.github.io/Logging_1261/tillsyn/A 55942-2019 tillsynsbegäran.docx", "A 55942-2019")</f>
        <v/>
      </c>
      <c r="Y49">
        <f>HYPERLINK("https://klasma.github.io/Logging_1261/tillsynsmail/A 55942-2019 tillsynsbegäran mail.docx", "A 55942-2019")</f>
        <v/>
      </c>
    </row>
    <row r="50" ht="15" customHeight="1">
      <c r="A50" t="inlineStr">
        <is>
          <t>A 56519-2019</t>
        </is>
      </c>
      <c r="B50" s="1" t="n">
        <v>43763</v>
      </c>
      <c r="C50" s="1" t="n">
        <v>45744</v>
      </c>
      <c r="D50" t="inlineStr">
        <is>
          <t>SKÅNE LÄN</t>
        </is>
      </c>
      <c r="E50" t="inlineStr">
        <is>
          <t>TOMELILLA</t>
        </is>
      </c>
      <c r="F50" t="inlineStr">
        <is>
          <t>Övriga Aktiebolag</t>
        </is>
      </c>
      <c r="G50" t="n">
        <v>3.2</v>
      </c>
      <c r="H50" t="n">
        <v>1</v>
      </c>
      <c r="I50" t="n">
        <v>2</v>
      </c>
      <c r="J50" t="n">
        <v>2</v>
      </c>
      <c r="K50" t="n">
        <v>0</v>
      </c>
      <c r="L50" t="n">
        <v>0</v>
      </c>
      <c r="M50" t="n">
        <v>0</v>
      </c>
      <c r="N50" t="n">
        <v>0</v>
      </c>
      <c r="O50" t="n">
        <v>2</v>
      </c>
      <c r="P50" t="n">
        <v>0</v>
      </c>
      <c r="Q50" t="n">
        <v>4</v>
      </c>
      <c r="R50" s="2" t="inlineStr">
        <is>
          <t>Barbastell
Krusfrö
Kransrams
Sårläka</t>
        </is>
      </c>
      <c r="S50">
        <f>HYPERLINK("https://klasma.github.io/Logging_1270/artfynd/A 56519-2019 artfynd.xlsx", "A 56519-2019")</f>
        <v/>
      </c>
      <c r="T50">
        <f>HYPERLINK("https://klasma.github.io/Logging_1270/kartor/A 56519-2019 karta.png", "A 56519-2019")</f>
        <v/>
      </c>
      <c r="V50">
        <f>HYPERLINK("https://klasma.github.io/Logging_1270/klagomål/A 56519-2019 FSC-klagomål.docx", "A 56519-2019")</f>
        <v/>
      </c>
      <c r="W50">
        <f>HYPERLINK("https://klasma.github.io/Logging_1270/klagomålsmail/A 56519-2019 FSC-klagomål mail.docx", "A 56519-2019")</f>
        <v/>
      </c>
      <c r="X50">
        <f>HYPERLINK("https://klasma.github.io/Logging_1270/tillsyn/A 56519-2019 tillsynsbegäran.docx", "A 56519-2019")</f>
        <v/>
      </c>
      <c r="Y50">
        <f>HYPERLINK("https://klasma.github.io/Logging_1270/tillsynsmail/A 56519-2019 tillsynsbegäran mail.docx", "A 56519-2019")</f>
        <v/>
      </c>
    </row>
    <row r="51" ht="15" customHeight="1">
      <c r="A51" t="inlineStr">
        <is>
          <t>A 59155-2022</t>
        </is>
      </c>
      <c r="B51" s="1" t="n">
        <v>44897</v>
      </c>
      <c r="C51" s="1" t="n">
        <v>45744</v>
      </c>
      <c r="D51" t="inlineStr">
        <is>
          <t>SKÅNE LÄN</t>
        </is>
      </c>
      <c r="E51" t="inlineStr">
        <is>
          <t>ÖSTRA GÖINGE</t>
        </is>
      </c>
      <c r="G51" t="n">
        <v>5.2</v>
      </c>
      <c r="H51" t="n">
        <v>0</v>
      </c>
      <c r="I51" t="n">
        <v>2</v>
      </c>
      <c r="J51" t="n">
        <v>0</v>
      </c>
      <c r="K51" t="n">
        <v>1</v>
      </c>
      <c r="L51" t="n">
        <v>1</v>
      </c>
      <c r="M51" t="n">
        <v>0</v>
      </c>
      <c r="N51" t="n">
        <v>0</v>
      </c>
      <c r="O51" t="n">
        <v>2</v>
      </c>
      <c r="P51" t="n">
        <v>2</v>
      </c>
      <c r="Q51" t="n">
        <v>4</v>
      </c>
      <c r="R51" s="2" t="inlineStr">
        <is>
          <t>Ask
Blek kraterlav
Gulfotshätta
Lönnlav</t>
        </is>
      </c>
      <c r="S51">
        <f>HYPERLINK("https://klasma.github.io/Logging_1256/artfynd/A 59155-2022 artfynd.xlsx", "A 59155-2022")</f>
        <v/>
      </c>
      <c r="T51">
        <f>HYPERLINK("https://klasma.github.io/Logging_1256/kartor/A 59155-2022 karta.png", "A 59155-2022")</f>
        <v/>
      </c>
      <c r="V51">
        <f>HYPERLINK("https://klasma.github.io/Logging_1256/klagomål/A 59155-2022 FSC-klagomål.docx", "A 59155-2022")</f>
        <v/>
      </c>
      <c r="W51">
        <f>HYPERLINK("https://klasma.github.io/Logging_1256/klagomålsmail/A 59155-2022 FSC-klagomål mail.docx", "A 59155-2022")</f>
        <v/>
      </c>
      <c r="X51">
        <f>HYPERLINK("https://klasma.github.io/Logging_1256/tillsyn/A 59155-2022 tillsynsbegäran.docx", "A 59155-2022")</f>
        <v/>
      </c>
      <c r="Y51">
        <f>HYPERLINK("https://klasma.github.io/Logging_1256/tillsynsmail/A 59155-2022 tillsynsbegäran mail.docx", "A 59155-2022")</f>
        <v/>
      </c>
    </row>
    <row r="52" ht="15" customHeight="1">
      <c r="A52" t="inlineStr">
        <is>
          <t>A 60427-2022</t>
        </is>
      </c>
      <c r="B52" s="1" t="n">
        <v>44911</v>
      </c>
      <c r="C52" s="1" t="n">
        <v>45744</v>
      </c>
      <c r="D52" t="inlineStr">
        <is>
          <t>SKÅNE LÄN</t>
        </is>
      </c>
      <c r="E52" t="inlineStr">
        <is>
          <t>HÖÖR</t>
        </is>
      </c>
      <c r="G52" t="n">
        <v>4.1</v>
      </c>
      <c r="H52" t="n">
        <v>1</v>
      </c>
      <c r="I52" t="n">
        <v>3</v>
      </c>
      <c r="J52" t="n">
        <v>0</v>
      </c>
      <c r="K52" t="n">
        <v>0</v>
      </c>
      <c r="L52" t="n">
        <v>0</v>
      </c>
      <c r="M52" t="n">
        <v>0</v>
      </c>
      <c r="N52" t="n">
        <v>0</v>
      </c>
      <c r="O52" t="n">
        <v>0</v>
      </c>
      <c r="P52" t="n">
        <v>0</v>
      </c>
      <c r="Q52" t="n">
        <v>4</v>
      </c>
      <c r="R52" s="2" t="inlineStr">
        <is>
          <t>Kransrams
Myskmadra
Vårärt
Blåsippa</t>
        </is>
      </c>
      <c r="S52">
        <f>HYPERLINK("https://klasma.github.io/Logging_1267/artfynd/A 60427-2022 artfynd.xlsx", "A 60427-2022")</f>
        <v/>
      </c>
      <c r="T52">
        <f>HYPERLINK("https://klasma.github.io/Logging_1267/kartor/A 60427-2022 karta.png", "A 60427-2022")</f>
        <v/>
      </c>
      <c r="V52">
        <f>HYPERLINK("https://klasma.github.io/Logging_1267/klagomål/A 60427-2022 FSC-klagomål.docx", "A 60427-2022")</f>
        <v/>
      </c>
      <c r="W52">
        <f>HYPERLINK("https://klasma.github.io/Logging_1267/klagomålsmail/A 60427-2022 FSC-klagomål mail.docx", "A 60427-2022")</f>
        <v/>
      </c>
      <c r="X52">
        <f>HYPERLINK("https://klasma.github.io/Logging_1267/tillsyn/A 60427-2022 tillsynsbegäran.docx", "A 60427-2022")</f>
        <v/>
      </c>
      <c r="Y52">
        <f>HYPERLINK("https://klasma.github.io/Logging_1267/tillsynsmail/A 60427-2022 tillsynsbegäran mail.docx", "A 60427-2022")</f>
        <v/>
      </c>
    </row>
    <row r="53" ht="15" customHeight="1">
      <c r="A53" t="inlineStr">
        <is>
          <t>A 24278-2023</t>
        </is>
      </c>
      <c r="B53" s="1" t="n">
        <v>45079</v>
      </c>
      <c r="C53" s="1" t="n">
        <v>45744</v>
      </c>
      <c r="D53" t="inlineStr">
        <is>
          <t>SKÅNE LÄN</t>
        </is>
      </c>
      <c r="E53" t="inlineStr">
        <is>
          <t>HÖÖR</t>
        </is>
      </c>
      <c r="G53" t="n">
        <v>0.8</v>
      </c>
      <c r="H53" t="n">
        <v>4</v>
      </c>
      <c r="I53" t="n">
        <v>0</v>
      </c>
      <c r="J53" t="n">
        <v>3</v>
      </c>
      <c r="K53" t="n">
        <v>0</v>
      </c>
      <c r="L53" t="n">
        <v>0</v>
      </c>
      <c r="M53" t="n">
        <v>0</v>
      </c>
      <c r="N53" t="n">
        <v>0</v>
      </c>
      <c r="O53" t="n">
        <v>3</v>
      </c>
      <c r="P53" t="n">
        <v>0</v>
      </c>
      <c r="Q53" t="n">
        <v>4</v>
      </c>
      <c r="R53" s="2" t="inlineStr">
        <is>
          <t>Björktrast
Rödvingetrast
Spillkråka
Trana</t>
        </is>
      </c>
      <c r="S53">
        <f>HYPERLINK("https://klasma.github.io/Logging_1267/artfynd/A 24278-2023 artfynd.xlsx", "A 24278-2023")</f>
        <v/>
      </c>
      <c r="T53">
        <f>HYPERLINK("https://klasma.github.io/Logging_1267/kartor/A 24278-2023 karta.png", "A 24278-2023")</f>
        <v/>
      </c>
      <c r="V53">
        <f>HYPERLINK("https://klasma.github.io/Logging_1267/klagomål/A 24278-2023 FSC-klagomål.docx", "A 24278-2023")</f>
        <v/>
      </c>
      <c r="W53">
        <f>HYPERLINK("https://klasma.github.io/Logging_1267/klagomålsmail/A 24278-2023 FSC-klagomål mail.docx", "A 24278-2023")</f>
        <v/>
      </c>
      <c r="X53">
        <f>HYPERLINK("https://klasma.github.io/Logging_1267/tillsyn/A 24278-2023 tillsynsbegäran.docx", "A 24278-2023")</f>
        <v/>
      </c>
      <c r="Y53">
        <f>HYPERLINK("https://klasma.github.io/Logging_1267/tillsynsmail/A 24278-2023 tillsynsbegäran mail.docx", "A 24278-2023")</f>
        <v/>
      </c>
      <c r="Z53">
        <f>HYPERLINK("https://klasma.github.io/Logging_1267/fåglar/A 24278-2023 prioriterade fågelarter.docx", "A 24278-2023")</f>
        <v/>
      </c>
    </row>
    <row r="54" ht="15" customHeight="1">
      <c r="A54" t="inlineStr">
        <is>
          <t>A 28703-2023</t>
        </is>
      </c>
      <c r="B54" s="1" t="n">
        <v>45103</v>
      </c>
      <c r="C54" s="1" t="n">
        <v>45744</v>
      </c>
      <c r="D54" t="inlineStr">
        <is>
          <t>SKÅNE LÄN</t>
        </is>
      </c>
      <c r="E54" t="inlineStr">
        <is>
          <t>KLIPPAN</t>
        </is>
      </c>
      <c r="G54" t="n">
        <v>4.9</v>
      </c>
      <c r="H54" t="n">
        <v>2</v>
      </c>
      <c r="I54" t="n">
        <v>2</v>
      </c>
      <c r="J54" t="n">
        <v>2</v>
      </c>
      <c r="K54" t="n">
        <v>0</v>
      </c>
      <c r="L54" t="n">
        <v>0</v>
      </c>
      <c r="M54" t="n">
        <v>0</v>
      </c>
      <c r="N54" t="n">
        <v>0</v>
      </c>
      <c r="O54" t="n">
        <v>2</v>
      </c>
      <c r="P54" t="n">
        <v>0</v>
      </c>
      <c r="Q54" t="n">
        <v>4</v>
      </c>
      <c r="R54" s="2" t="inlineStr">
        <is>
          <t>Entita
Spillkråka
Blomkålssvamp
Sotriska</t>
        </is>
      </c>
      <c r="S54">
        <f>HYPERLINK("https://klasma.github.io/Logging_1276/artfynd/A 28703-2023 artfynd.xlsx", "A 28703-2023")</f>
        <v/>
      </c>
      <c r="T54">
        <f>HYPERLINK("https://klasma.github.io/Logging_1276/kartor/A 28703-2023 karta.png", "A 28703-2023")</f>
        <v/>
      </c>
      <c r="V54">
        <f>HYPERLINK("https://klasma.github.io/Logging_1276/klagomål/A 28703-2023 FSC-klagomål.docx", "A 28703-2023")</f>
        <v/>
      </c>
      <c r="W54">
        <f>HYPERLINK("https://klasma.github.io/Logging_1276/klagomålsmail/A 28703-2023 FSC-klagomål mail.docx", "A 28703-2023")</f>
        <v/>
      </c>
      <c r="X54">
        <f>HYPERLINK("https://klasma.github.io/Logging_1276/tillsyn/A 28703-2023 tillsynsbegäran.docx", "A 28703-2023")</f>
        <v/>
      </c>
      <c r="Y54">
        <f>HYPERLINK("https://klasma.github.io/Logging_1276/tillsynsmail/A 28703-2023 tillsynsbegäran mail.docx", "A 28703-2023")</f>
        <v/>
      </c>
      <c r="Z54">
        <f>HYPERLINK("https://klasma.github.io/Logging_1276/fåglar/A 28703-2023 prioriterade fågelarter.docx", "A 28703-2023")</f>
        <v/>
      </c>
    </row>
    <row r="55" ht="15" customHeight="1">
      <c r="A55" t="inlineStr">
        <is>
          <t>A 28963-2023</t>
        </is>
      </c>
      <c r="B55" s="1" t="n">
        <v>45104</v>
      </c>
      <c r="C55" s="1" t="n">
        <v>45744</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60543-2023</t>
        </is>
      </c>
      <c r="B56" s="1" t="n">
        <v>45259</v>
      </c>
      <c r="C56" s="1" t="n">
        <v>45744</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62987-2023</t>
        </is>
      </c>
      <c r="B57" s="1" t="n">
        <v>45272</v>
      </c>
      <c r="C57" s="1" t="n">
        <v>45744</v>
      </c>
      <c r="D57" t="inlineStr">
        <is>
          <t>SKÅNE LÄN</t>
        </is>
      </c>
      <c r="E57" t="inlineStr">
        <is>
          <t>KRISTIANSTAD</t>
        </is>
      </c>
      <c r="G57" t="n">
        <v>13.5</v>
      </c>
      <c r="H57" t="n">
        <v>3</v>
      </c>
      <c r="I57" t="n">
        <v>1</v>
      </c>
      <c r="J57" t="n">
        <v>0</v>
      </c>
      <c r="K57" t="n">
        <v>0</v>
      </c>
      <c r="L57" t="n">
        <v>0</v>
      </c>
      <c r="M57" t="n">
        <v>0</v>
      </c>
      <c r="N57" t="n">
        <v>0</v>
      </c>
      <c r="O57" t="n">
        <v>0</v>
      </c>
      <c r="P57" t="n">
        <v>0</v>
      </c>
      <c r="Q57" t="n">
        <v>4</v>
      </c>
      <c r="R57" s="2" t="inlineStr">
        <is>
          <t>Västlig hakmossa
Åkergroda
Mindre vattensalamander
Skogsödla</t>
        </is>
      </c>
      <c r="S57">
        <f>HYPERLINK("https://klasma.github.io/Logging_1290/artfynd/A 62987-2023 artfynd.xlsx", "A 62987-2023")</f>
        <v/>
      </c>
      <c r="T57">
        <f>HYPERLINK("https://klasma.github.io/Logging_1290/kartor/A 62987-2023 karta.png", "A 62987-2023")</f>
        <v/>
      </c>
      <c r="V57">
        <f>HYPERLINK("https://klasma.github.io/Logging_1290/klagomål/A 62987-2023 FSC-klagomål.docx", "A 62987-2023")</f>
        <v/>
      </c>
      <c r="W57">
        <f>HYPERLINK("https://klasma.github.io/Logging_1290/klagomålsmail/A 62987-2023 FSC-klagomål mail.docx", "A 62987-2023")</f>
        <v/>
      </c>
      <c r="X57">
        <f>HYPERLINK("https://klasma.github.io/Logging_1290/tillsyn/A 62987-2023 tillsynsbegäran.docx", "A 62987-2023")</f>
        <v/>
      </c>
      <c r="Y57">
        <f>HYPERLINK("https://klasma.github.io/Logging_1290/tillsynsmail/A 62987-2023 tillsynsbegäran mail.docx", "A 62987-2023")</f>
        <v/>
      </c>
    </row>
    <row r="58" ht="15" customHeight="1">
      <c r="A58" t="inlineStr">
        <is>
          <t>A 726-2024</t>
        </is>
      </c>
      <c r="B58" s="1" t="n">
        <v>45300</v>
      </c>
      <c r="C58" s="1" t="n">
        <v>45744</v>
      </c>
      <c r="D58" t="inlineStr">
        <is>
          <t>SKÅNE LÄN</t>
        </is>
      </c>
      <c r="E58" t="inlineStr">
        <is>
          <t>HÖRBY</t>
        </is>
      </c>
      <c r="G58" t="n">
        <v>5</v>
      </c>
      <c r="H58" t="n">
        <v>3</v>
      </c>
      <c r="I58" t="n">
        <v>0</v>
      </c>
      <c r="J58" t="n">
        <v>2</v>
      </c>
      <c r="K58" t="n">
        <v>2</v>
      </c>
      <c r="L58" t="n">
        <v>0</v>
      </c>
      <c r="M58" t="n">
        <v>0</v>
      </c>
      <c r="N58" t="n">
        <v>0</v>
      </c>
      <c r="O58" t="n">
        <v>4</v>
      </c>
      <c r="P58" t="n">
        <v>2</v>
      </c>
      <c r="Q58" t="n">
        <v>4</v>
      </c>
      <c r="R58" s="2" t="inlineStr">
        <is>
          <t>Småvänderot
Tofsvipa
Björktrast
Gulsparv</t>
        </is>
      </c>
      <c r="S58">
        <f>HYPERLINK("https://klasma.github.io/Logging_1266/artfynd/A 726-2024 artfynd.xlsx", "A 726-2024")</f>
        <v/>
      </c>
      <c r="T58">
        <f>HYPERLINK("https://klasma.github.io/Logging_1266/kartor/A 726-2024 karta.png", "A 726-2024")</f>
        <v/>
      </c>
      <c r="V58">
        <f>HYPERLINK("https://klasma.github.io/Logging_1266/klagomål/A 726-2024 FSC-klagomål.docx", "A 726-2024")</f>
        <v/>
      </c>
      <c r="W58">
        <f>HYPERLINK("https://klasma.github.io/Logging_1266/klagomålsmail/A 726-2024 FSC-klagomål mail.docx", "A 726-2024")</f>
        <v/>
      </c>
      <c r="X58">
        <f>HYPERLINK("https://klasma.github.io/Logging_1266/tillsyn/A 726-2024 tillsynsbegäran.docx", "A 726-2024")</f>
        <v/>
      </c>
      <c r="Y58">
        <f>HYPERLINK("https://klasma.github.io/Logging_1266/tillsynsmail/A 726-2024 tillsynsbegäran mail.docx", "A 726-2024")</f>
        <v/>
      </c>
      <c r="Z58">
        <f>HYPERLINK("https://klasma.github.io/Logging_1266/fåglar/A 726-2024 prioriterade fågelarter.docx", "A 726-2024")</f>
        <v/>
      </c>
    </row>
    <row r="59" ht="15" customHeight="1">
      <c r="A59" t="inlineStr">
        <is>
          <t>A 2787-2024</t>
        </is>
      </c>
      <c r="B59" s="1" t="n">
        <v>45314</v>
      </c>
      <c r="C59" s="1" t="n">
        <v>45744</v>
      </c>
      <c r="D59" t="inlineStr">
        <is>
          <t>SKÅNE LÄN</t>
        </is>
      </c>
      <c r="E59" t="inlineStr">
        <is>
          <t>HÖÖR</t>
        </is>
      </c>
      <c r="G59" t="n">
        <v>0.8</v>
      </c>
      <c r="H59" t="n">
        <v>4</v>
      </c>
      <c r="I59" t="n">
        <v>0</v>
      </c>
      <c r="J59" t="n">
        <v>2</v>
      </c>
      <c r="K59" t="n">
        <v>0</v>
      </c>
      <c r="L59" t="n">
        <v>0</v>
      </c>
      <c r="M59" t="n">
        <v>0</v>
      </c>
      <c r="N59" t="n">
        <v>0</v>
      </c>
      <c r="O59" t="n">
        <v>2</v>
      </c>
      <c r="P59" t="n">
        <v>0</v>
      </c>
      <c r="Q59" t="n">
        <v>4</v>
      </c>
      <c r="R59" s="2" t="inlineStr">
        <is>
          <t>Brunlångöra
Nordfladdermus
Större brunfladdermus
Vattenfladdermus</t>
        </is>
      </c>
      <c r="S59">
        <f>HYPERLINK("https://klasma.github.io/Logging_1267/artfynd/A 2787-2024 artfynd.xlsx", "A 2787-2024")</f>
        <v/>
      </c>
      <c r="T59">
        <f>HYPERLINK("https://klasma.github.io/Logging_1267/kartor/A 2787-2024 karta.png", "A 2787-2024")</f>
        <v/>
      </c>
      <c r="V59">
        <f>HYPERLINK("https://klasma.github.io/Logging_1267/klagomål/A 2787-2024 FSC-klagomål.docx", "A 2787-2024")</f>
        <v/>
      </c>
      <c r="W59">
        <f>HYPERLINK("https://klasma.github.io/Logging_1267/klagomålsmail/A 2787-2024 FSC-klagomål mail.docx", "A 2787-2024")</f>
        <v/>
      </c>
      <c r="X59">
        <f>HYPERLINK("https://klasma.github.io/Logging_1267/tillsyn/A 2787-2024 tillsynsbegäran.docx", "A 2787-2024")</f>
        <v/>
      </c>
      <c r="Y59">
        <f>HYPERLINK("https://klasma.github.io/Logging_1267/tillsynsmail/A 2787-2024 tillsynsbegäran mail.docx", "A 2787-2024")</f>
        <v/>
      </c>
    </row>
    <row r="60" ht="15" customHeight="1">
      <c r="A60" t="inlineStr">
        <is>
          <t>A 22337-2024</t>
        </is>
      </c>
      <c r="B60" s="1" t="n">
        <v>45446</v>
      </c>
      <c r="C60" s="1" t="n">
        <v>45744</v>
      </c>
      <c r="D60" t="inlineStr">
        <is>
          <t>SKÅNE LÄN</t>
        </is>
      </c>
      <c r="E60" t="inlineStr">
        <is>
          <t>SJÖBO</t>
        </is>
      </c>
      <c r="G60" t="n">
        <v>12.6</v>
      </c>
      <c r="H60" t="n">
        <v>1</v>
      </c>
      <c r="I60" t="n">
        <v>3</v>
      </c>
      <c r="J60" t="n">
        <v>0</v>
      </c>
      <c r="K60" t="n">
        <v>1</v>
      </c>
      <c r="L60" t="n">
        <v>0</v>
      </c>
      <c r="M60" t="n">
        <v>0</v>
      </c>
      <c r="N60" t="n">
        <v>0</v>
      </c>
      <c r="O60" t="n">
        <v>1</v>
      </c>
      <c r="P60" t="n">
        <v>1</v>
      </c>
      <c r="Q60" t="n">
        <v>4</v>
      </c>
      <c r="R60" s="2" t="inlineStr">
        <is>
          <t>Fläcklungört
Kransrams
Myskmadra
Skogsknipprot</t>
        </is>
      </c>
      <c r="S60">
        <f>HYPERLINK("https://klasma.github.io/Logging_1265/artfynd/A 22337-2024 artfynd.xlsx", "A 22337-2024")</f>
        <v/>
      </c>
      <c r="T60">
        <f>HYPERLINK("https://klasma.github.io/Logging_1265/kartor/A 22337-2024 karta.png", "A 22337-2024")</f>
        <v/>
      </c>
      <c r="V60">
        <f>HYPERLINK("https://klasma.github.io/Logging_1265/klagomål/A 22337-2024 FSC-klagomål.docx", "A 22337-2024")</f>
        <v/>
      </c>
      <c r="W60">
        <f>HYPERLINK("https://klasma.github.io/Logging_1265/klagomålsmail/A 22337-2024 FSC-klagomål mail.docx", "A 22337-2024")</f>
        <v/>
      </c>
      <c r="X60">
        <f>HYPERLINK("https://klasma.github.io/Logging_1265/tillsyn/A 22337-2024 tillsynsbegäran.docx", "A 22337-2024")</f>
        <v/>
      </c>
      <c r="Y60">
        <f>HYPERLINK("https://klasma.github.io/Logging_1265/tillsynsmail/A 22337-2024 tillsynsbegäran mail.docx", "A 22337-2024")</f>
        <v/>
      </c>
    </row>
    <row r="61" ht="15" customHeight="1">
      <c r="A61" t="inlineStr">
        <is>
          <t>A 29843-2024</t>
        </is>
      </c>
      <c r="B61" s="1" t="n">
        <v>45485</v>
      </c>
      <c r="C61" s="1" t="n">
        <v>45744</v>
      </c>
      <c r="D61" t="inlineStr">
        <is>
          <t>SKÅNE LÄN</t>
        </is>
      </c>
      <c r="E61" t="inlineStr">
        <is>
          <t>HÄSSLEHOLM</t>
        </is>
      </c>
      <c r="G61" t="n">
        <v>2.7</v>
      </c>
      <c r="H61" t="n">
        <v>0</v>
      </c>
      <c r="I61" t="n">
        <v>2</v>
      </c>
      <c r="J61" t="n">
        <v>1</v>
      </c>
      <c r="K61" t="n">
        <v>1</v>
      </c>
      <c r="L61" t="n">
        <v>0</v>
      </c>
      <c r="M61" t="n">
        <v>0</v>
      </c>
      <c r="N61" t="n">
        <v>0</v>
      </c>
      <c r="O61" t="n">
        <v>2</v>
      </c>
      <c r="P61" t="n">
        <v>1</v>
      </c>
      <c r="Q61" t="n">
        <v>4</v>
      </c>
      <c r="R61" s="2" t="inlineStr">
        <is>
          <t>Gulvit blekspik
Bokvårtlav
Gulnål
Platt fjädermossa</t>
        </is>
      </c>
      <c r="S61">
        <f>HYPERLINK("https://klasma.github.io/Logging_1293/artfynd/A 29843-2024 artfynd.xlsx", "A 29843-2024")</f>
        <v/>
      </c>
      <c r="T61">
        <f>HYPERLINK("https://klasma.github.io/Logging_1293/kartor/A 29843-2024 karta.png", "A 29843-2024")</f>
        <v/>
      </c>
      <c r="V61">
        <f>HYPERLINK("https://klasma.github.io/Logging_1293/klagomål/A 29843-2024 FSC-klagomål.docx", "A 29843-2024")</f>
        <v/>
      </c>
      <c r="W61">
        <f>HYPERLINK("https://klasma.github.io/Logging_1293/klagomålsmail/A 29843-2024 FSC-klagomål mail.docx", "A 29843-2024")</f>
        <v/>
      </c>
      <c r="X61">
        <f>HYPERLINK("https://klasma.github.io/Logging_1293/tillsyn/A 29843-2024 tillsynsbegäran.docx", "A 29843-2024")</f>
        <v/>
      </c>
      <c r="Y61">
        <f>HYPERLINK("https://klasma.github.io/Logging_1293/tillsynsmail/A 29843-2024 tillsynsbegäran mail.docx", "A 29843-2024")</f>
        <v/>
      </c>
    </row>
    <row r="62" ht="15" customHeight="1">
      <c r="A62" t="inlineStr">
        <is>
          <t>A 42062-2024</t>
        </is>
      </c>
      <c r="B62" s="1" t="n">
        <v>45561</v>
      </c>
      <c r="C62" s="1" t="n">
        <v>45744</v>
      </c>
      <c r="D62" t="inlineStr">
        <is>
          <t>SKÅNE LÄN</t>
        </is>
      </c>
      <c r="E62" t="inlineStr">
        <is>
          <t>BROMÖLLA</t>
        </is>
      </c>
      <c r="G62" t="n">
        <v>12.2</v>
      </c>
      <c r="H62" t="n">
        <v>0</v>
      </c>
      <c r="I62" t="n">
        <v>4</v>
      </c>
      <c r="J62" t="n">
        <v>0</v>
      </c>
      <c r="K62" t="n">
        <v>0</v>
      </c>
      <c r="L62" t="n">
        <v>0</v>
      </c>
      <c r="M62" t="n">
        <v>0</v>
      </c>
      <c r="N62" t="n">
        <v>0</v>
      </c>
      <c r="O62" t="n">
        <v>0</v>
      </c>
      <c r="P62" t="n">
        <v>0</v>
      </c>
      <c r="Q62" t="n">
        <v>4</v>
      </c>
      <c r="R62" s="2" t="inlineStr">
        <is>
          <t>Ekskinn
Havstulpanlav
Rostfläck
Västlig hakmossa</t>
        </is>
      </c>
      <c r="S62">
        <f>HYPERLINK("https://klasma.github.io/Logging_1272/artfynd/A 42062-2024 artfynd.xlsx", "A 42062-2024")</f>
        <v/>
      </c>
      <c r="T62">
        <f>HYPERLINK("https://klasma.github.io/Logging_1272/kartor/A 42062-2024 karta.png", "A 42062-2024")</f>
        <v/>
      </c>
      <c r="V62">
        <f>HYPERLINK("https://klasma.github.io/Logging_1272/klagomål/A 42062-2024 FSC-klagomål.docx", "A 42062-2024")</f>
        <v/>
      </c>
      <c r="W62">
        <f>HYPERLINK("https://klasma.github.io/Logging_1272/klagomålsmail/A 42062-2024 FSC-klagomål mail.docx", "A 42062-2024")</f>
        <v/>
      </c>
      <c r="X62">
        <f>HYPERLINK("https://klasma.github.io/Logging_1272/tillsyn/A 42062-2024 tillsynsbegäran.docx", "A 42062-2024")</f>
        <v/>
      </c>
      <c r="Y62">
        <f>HYPERLINK("https://klasma.github.io/Logging_1272/tillsynsmail/A 42062-2024 tillsynsbegäran mail.docx", "A 42062-2024")</f>
        <v/>
      </c>
    </row>
    <row r="63" ht="15" customHeight="1">
      <c r="A63" t="inlineStr">
        <is>
          <t>A 4598-2025</t>
        </is>
      </c>
      <c r="B63" s="1" t="n">
        <v>45687</v>
      </c>
      <c r="C63" s="1" t="n">
        <v>45744</v>
      </c>
      <c r="D63" t="inlineStr">
        <is>
          <t>SKÅNE LÄN</t>
        </is>
      </c>
      <c r="E63" t="inlineStr">
        <is>
          <t>HÄSSLEHOLM</t>
        </is>
      </c>
      <c r="G63" t="n">
        <v>3.3</v>
      </c>
      <c r="H63" t="n">
        <v>4</v>
      </c>
      <c r="I63" t="n">
        <v>0</v>
      </c>
      <c r="J63" t="n">
        <v>2</v>
      </c>
      <c r="K63" t="n">
        <v>0</v>
      </c>
      <c r="L63" t="n">
        <v>0</v>
      </c>
      <c r="M63" t="n">
        <v>0</v>
      </c>
      <c r="N63" t="n">
        <v>0</v>
      </c>
      <c r="O63" t="n">
        <v>2</v>
      </c>
      <c r="P63" t="n">
        <v>0</v>
      </c>
      <c r="Q63" t="n">
        <v>4</v>
      </c>
      <c r="R63" s="2" t="inlineStr">
        <is>
          <t>Entita
Spillkråka
Grönsiska
Kungsfågel</t>
        </is>
      </c>
      <c r="S63">
        <f>HYPERLINK("https://klasma.github.io/Logging_1293/artfynd/A 4598-2025 artfynd.xlsx", "A 4598-2025")</f>
        <v/>
      </c>
      <c r="T63">
        <f>HYPERLINK("https://klasma.github.io/Logging_1293/kartor/A 4598-2025 karta.png", "A 4598-2025")</f>
        <v/>
      </c>
      <c r="V63">
        <f>HYPERLINK("https://klasma.github.io/Logging_1293/klagomål/A 4598-2025 FSC-klagomål.docx", "A 4598-2025")</f>
        <v/>
      </c>
      <c r="W63">
        <f>HYPERLINK("https://klasma.github.io/Logging_1293/klagomålsmail/A 4598-2025 FSC-klagomål mail.docx", "A 4598-2025")</f>
        <v/>
      </c>
      <c r="X63">
        <f>HYPERLINK("https://klasma.github.io/Logging_1293/tillsyn/A 4598-2025 tillsynsbegäran.docx", "A 4598-2025")</f>
        <v/>
      </c>
      <c r="Y63">
        <f>HYPERLINK("https://klasma.github.io/Logging_1293/tillsynsmail/A 4598-2025 tillsynsbegäran mail.docx", "A 4598-2025")</f>
        <v/>
      </c>
      <c r="Z63">
        <f>HYPERLINK("https://klasma.github.io/Logging_1293/fåglar/A 4598-2025 prioriterade fågelarter.docx", "A 4598-2025")</f>
        <v/>
      </c>
    </row>
    <row r="64" ht="15" customHeight="1">
      <c r="A64" t="inlineStr">
        <is>
          <t>A 12799-2025</t>
        </is>
      </c>
      <c r="B64" s="1" t="n">
        <v>45733</v>
      </c>
      <c r="C64" s="1" t="n">
        <v>45744</v>
      </c>
      <c r="D64" t="inlineStr">
        <is>
          <t>SKÅNE LÄN</t>
        </is>
      </c>
      <c r="E64" t="inlineStr">
        <is>
          <t>KRISTIANSTAD</t>
        </is>
      </c>
      <c r="G64" t="n">
        <v>11.4</v>
      </c>
      <c r="H64" t="n">
        <v>2</v>
      </c>
      <c r="I64" t="n">
        <v>1</v>
      </c>
      <c r="J64" t="n">
        <v>0</v>
      </c>
      <c r="K64" t="n">
        <v>0</v>
      </c>
      <c r="L64" t="n">
        <v>1</v>
      </c>
      <c r="M64" t="n">
        <v>0</v>
      </c>
      <c r="N64" t="n">
        <v>0</v>
      </c>
      <c r="O64" t="n">
        <v>1</v>
      </c>
      <c r="P64" t="n">
        <v>1</v>
      </c>
      <c r="Q64" t="n">
        <v>4</v>
      </c>
      <c r="R64" s="2" t="inlineStr">
        <is>
          <t>Ryl
Grönpyrola
Mattlummer
Revlummer</t>
        </is>
      </c>
      <c r="S64">
        <f>HYPERLINK("https://klasma.github.io/Logging_1290/artfynd/A 12799-2025 artfynd.xlsx", "A 12799-2025")</f>
        <v/>
      </c>
      <c r="T64">
        <f>HYPERLINK("https://klasma.github.io/Logging_1290/kartor/A 12799-2025 karta.png", "A 12799-2025")</f>
        <v/>
      </c>
      <c r="V64">
        <f>HYPERLINK("https://klasma.github.io/Logging_1290/klagomål/A 12799-2025 FSC-klagomål.docx", "A 12799-2025")</f>
        <v/>
      </c>
      <c r="W64">
        <f>HYPERLINK("https://klasma.github.io/Logging_1290/klagomålsmail/A 12799-2025 FSC-klagomål mail.docx", "A 12799-2025")</f>
        <v/>
      </c>
      <c r="X64">
        <f>HYPERLINK("https://klasma.github.io/Logging_1290/tillsyn/A 12799-2025 tillsynsbegäran.docx", "A 12799-2025")</f>
        <v/>
      </c>
      <c r="Y64">
        <f>HYPERLINK("https://klasma.github.io/Logging_1290/tillsynsmail/A 12799-2025 tillsynsbegäran mail.docx", "A 12799-2025")</f>
        <v/>
      </c>
    </row>
    <row r="65" ht="15" customHeight="1">
      <c r="A65" t="inlineStr">
        <is>
          <t>A 18861-2019</t>
        </is>
      </c>
      <c r="B65" s="1" t="n">
        <v>43563</v>
      </c>
      <c r="C65" s="1" t="n">
        <v>45744</v>
      </c>
      <c r="D65" t="inlineStr">
        <is>
          <t>SKÅNE LÄN</t>
        </is>
      </c>
      <c r="E65" t="inlineStr">
        <is>
          <t>KLIPPAN</t>
        </is>
      </c>
      <c r="G65" t="n">
        <v>3</v>
      </c>
      <c r="H65" t="n">
        <v>3</v>
      </c>
      <c r="I65" t="n">
        <v>0</v>
      </c>
      <c r="J65" t="n">
        <v>1</v>
      </c>
      <c r="K65" t="n">
        <v>0</v>
      </c>
      <c r="L65" t="n">
        <v>0</v>
      </c>
      <c r="M65" t="n">
        <v>0</v>
      </c>
      <c r="N65" t="n">
        <v>0</v>
      </c>
      <c r="O65" t="n">
        <v>1</v>
      </c>
      <c r="P65" t="n">
        <v>0</v>
      </c>
      <c r="Q65" t="n">
        <v>3</v>
      </c>
      <c r="R65" s="2" t="inlineStr">
        <is>
          <t>Havsörn
Skogsduva
Trana</t>
        </is>
      </c>
      <c r="S65">
        <f>HYPERLINK("https://klasma.github.io/Logging_1276/artfynd/A 18861-2019 artfynd.xlsx", "A 18861-2019")</f>
        <v/>
      </c>
      <c r="T65">
        <f>HYPERLINK("https://klasma.github.io/Logging_1276/kartor/A 18861-2019 karta.png", "A 18861-2019")</f>
        <v/>
      </c>
      <c r="V65">
        <f>HYPERLINK("https://klasma.github.io/Logging_1276/klagomål/A 18861-2019 FSC-klagomål.docx", "A 18861-2019")</f>
        <v/>
      </c>
      <c r="W65">
        <f>HYPERLINK("https://klasma.github.io/Logging_1276/klagomålsmail/A 18861-2019 FSC-klagomål mail.docx", "A 18861-2019")</f>
        <v/>
      </c>
      <c r="X65">
        <f>HYPERLINK("https://klasma.github.io/Logging_1276/tillsyn/A 18861-2019 tillsynsbegäran.docx", "A 18861-2019")</f>
        <v/>
      </c>
      <c r="Y65">
        <f>HYPERLINK("https://klasma.github.io/Logging_1276/tillsynsmail/A 18861-2019 tillsynsbegäran mail.docx", "A 18861-2019")</f>
        <v/>
      </c>
      <c r="Z65">
        <f>HYPERLINK("https://klasma.github.io/Logging_1276/fåglar/A 18861-2019 prioriterade fågelarter.docx", "A 18861-2019")</f>
        <v/>
      </c>
    </row>
    <row r="66" ht="15" customHeight="1">
      <c r="A66" t="inlineStr">
        <is>
          <t>A 23366-2019</t>
        </is>
      </c>
      <c r="B66" s="1" t="n">
        <v>43593</v>
      </c>
      <c r="C66" s="1" t="n">
        <v>45744</v>
      </c>
      <c r="D66" t="inlineStr">
        <is>
          <t>SKÅNE LÄN</t>
        </is>
      </c>
      <c r="E66" t="inlineStr">
        <is>
          <t>KRISTIANSTAD</t>
        </is>
      </c>
      <c r="F66" t="inlineStr">
        <is>
          <t>Kommuner</t>
        </is>
      </c>
      <c r="G66" t="n">
        <v>2.1</v>
      </c>
      <c r="H66" t="n">
        <v>2</v>
      </c>
      <c r="I66" t="n">
        <v>0</v>
      </c>
      <c r="J66" t="n">
        <v>2</v>
      </c>
      <c r="K66" t="n">
        <v>1</v>
      </c>
      <c r="L66" t="n">
        <v>0</v>
      </c>
      <c r="M66" t="n">
        <v>0</v>
      </c>
      <c r="N66" t="n">
        <v>0</v>
      </c>
      <c r="O66" t="n">
        <v>3</v>
      </c>
      <c r="P66" t="n">
        <v>1</v>
      </c>
      <c r="Q66" t="n">
        <v>3</v>
      </c>
      <c r="R66" s="2" t="inlineStr">
        <is>
          <t>Hedblomster
Svartfläckig blåvinge
Ängsmetallvinge</t>
        </is>
      </c>
      <c r="S66">
        <f>HYPERLINK("https://klasma.github.io/Logging_1290/artfynd/A 23366-2019 artfynd.xlsx", "A 23366-2019")</f>
        <v/>
      </c>
      <c r="T66">
        <f>HYPERLINK("https://klasma.github.io/Logging_1290/kartor/A 23366-2019 karta.png", "A 23366-2019")</f>
        <v/>
      </c>
      <c r="V66">
        <f>HYPERLINK("https://klasma.github.io/Logging_1290/klagomål/A 23366-2019 FSC-klagomål.docx", "A 23366-2019")</f>
        <v/>
      </c>
      <c r="W66">
        <f>HYPERLINK("https://klasma.github.io/Logging_1290/klagomålsmail/A 23366-2019 FSC-klagomål mail.docx", "A 23366-2019")</f>
        <v/>
      </c>
      <c r="X66">
        <f>HYPERLINK("https://klasma.github.io/Logging_1290/tillsyn/A 23366-2019 tillsynsbegäran.docx", "A 23366-2019")</f>
        <v/>
      </c>
      <c r="Y66">
        <f>HYPERLINK("https://klasma.github.io/Logging_1290/tillsynsmail/A 23366-2019 tillsynsbegäran mail.docx", "A 23366-2019")</f>
        <v/>
      </c>
    </row>
    <row r="67" ht="15" customHeight="1">
      <c r="A67" t="inlineStr">
        <is>
          <t>A 30721-2019</t>
        </is>
      </c>
      <c r="B67" s="1" t="n">
        <v>43636</v>
      </c>
      <c r="C67" s="1" t="n">
        <v>45744</v>
      </c>
      <c r="D67" t="inlineStr">
        <is>
          <t>SKÅNE LÄN</t>
        </is>
      </c>
      <c r="E67" t="inlineStr">
        <is>
          <t>SVEDALA</t>
        </is>
      </c>
      <c r="G67" t="n">
        <v>2</v>
      </c>
      <c r="H67" t="n">
        <v>2</v>
      </c>
      <c r="I67" t="n">
        <v>1</v>
      </c>
      <c r="J67" t="n">
        <v>1</v>
      </c>
      <c r="K67" t="n">
        <v>1</v>
      </c>
      <c r="L67" t="n">
        <v>0</v>
      </c>
      <c r="M67" t="n">
        <v>0</v>
      </c>
      <c r="N67" t="n">
        <v>0</v>
      </c>
      <c r="O67" t="n">
        <v>2</v>
      </c>
      <c r="P67" t="n">
        <v>1</v>
      </c>
      <c r="Q67" t="n">
        <v>3</v>
      </c>
      <c r="R67" s="2" t="inlineStr">
        <is>
          <t>Stare
Entita
Vätteros</t>
        </is>
      </c>
      <c r="S67">
        <f>HYPERLINK("https://klasma.github.io/Logging_1263/artfynd/A 30721-2019 artfynd.xlsx", "A 30721-2019")</f>
        <v/>
      </c>
      <c r="T67">
        <f>HYPERLINK("https://klasma.github.io/Logging_1263/kartor/A 30721-2019 karta.png", "A 30721-2019")</f>
        <v/>
      </c>
      <c r="V67">
        <f>HYPERLINK("https://klasma.github.io/Logging_1263/klagomål/A 30721-2019 FSC-klagomål.docx", "A 30721-2019")</f>
        <v/>
      </c>
      <c r="W67">
        <f>HYPERLINK("https://klasma.github.io/Logging_1263/klagomålsmail/A 30721-2019 FSC-klagomål mail.docx", "A 30721-2019")</f>
        <v/>
      </c>
      <c r="X67">
        <f>HYPERLINK("https://klasma.github.io/Logging_1263/tillsyn/A 30721-2019 tillsynsbegäran.docx", "A 30721-2019")</f>
        <v/>
      </c>
      <c r="Y67">
        <f>HYPERLINK("https://klasma.github.io/Logging_1263/tillsynsmail/A 30721-2019 tillsynsbegäran mail.docx", "A 30721-2019")</f>
        <v/>
      </c>
      <c r="Z67">
        <f>HYPERLINK("https://klasma.github.io/Logging_1263/fåglar/A 30721-2019 prioriterade fågelarter.docx", "A 30721-2019")</f>
        <v/>
      </c>
    </row>
    <row r="68" ht="15" customHeight="1">
      <c r="A68" t="inlineStr">
        <is>
          <t>A 43229-2019</t>
        </is>
      </c>
      <c r="B68" s="1" t="n">
        <v>43700</v>
      </c>
      <c r="C68" s="1" t="n">
        <v>45744</v>
      </c>
      <c r="D68" t="inlineStr">
        <is>
          <t>SKÅNE LÄN</t>
        </is>
      </c>
      <c r="E68" t="inlineStr">
        <is>
          <t>LUND</t>
        </is>
      </c>
      <c r="G68" t="n">
        <v>12.3</v>
      </c>
      <c r="H68" t="n">
        <v>3</v>
      </c>
      <c r="I68" t="n">
        <v>0</v>
      </c>
      <c r="J68" t="n">
        <v>1</v>
      </c>
      <c r="K68" t="n">
        <v>0</v>
      </c>
      <c r="L68" t="n">
        <v>0</v>
      </c>
      <c r="M68" t="n">
        <v>0</v>
      </c>
      <c r="N68" t="n">
        <v>0</v>
      </c>
      <c r="O68" t="n">
        <v>1</v>
      </c>
      <c r="P68" t="n">
        <v>0</v>
      </c>
      <c r="Q68" t="n">
        <v>3</v>
      </c>
      <c r="R68" s="2" t="inlineStr">
        <is>
          <t>Spillkråka
Nötkråka
Ätlig groda</t>
        </is>
      </c>
      <c r="S68">
        <f>HYPERLINK("https://klasma.github.io/Logging_1281/artfynd/A 43229-2019 artfynd.xlsx", "A 43229-2019")</f>
        <v/>
      </c>
      <c r="T68">
        <f>HYPERLINK("https://klasma.github.io/Logging_1281/kartor/A 43229-2019 karta.png", "A 43229-2019")</f>
        <v/>
      </c>
      <c r="V68">
        <f>HYPERLINK("https://klasma.github.io/Logging_1281/klagomål/A 43229-2019 FSC-klagomål.docx", "A 43229-2019")</f>
        <v/>
      </c>
      <c r="W68">
        <f>HYPERLINK("https://klasma.github.io/Logging_1281/klagomålsmail/A 43229-2019 FSC-klagomål mail.docx", "A 43229-2019")</f>
        <v/>
      </c>
      <c r="X68">
        <f>HYPERLINK("https://klasma.github.io/Logging_1281/tillsyn/A 43229-2019 tillsynsbegäran.docx", "A 43229-2019")</f>
        <v/>
      </c>
      <c r="Y68">
        <f>HYPERLINK("https://klasma.github.io/Logging_1281/tillsynsmail/A 43229-2019 tillsynsbegäran mail.docx", "A 43229-2019")</f>
        <v/>
      </c>
      <c r="Z68">
        <f>HYPERLINK("https://klasma.github.io/Logging_1281/fåglar/A 43229-2019 prioriterade fågelarter.docx", "A 43229-2019")</f>
        <v/>
      </c>
    </row>
    <row r="69" ht="15" customHeight="1">
      <c r="A69" t="inlineStr">
        <is>
          <t>A 61588-2019</t>
        </is>
      </c>
      <c r="B69" s="1" t="n">
        <v>43777</v>
      </c>
      <c r="C69" s="1" t="n">
        <v>45744</v>
      </c>
      <c r="D69" t="inlineStr">
        <is>
          <t>SKÅNE LÄN</t>
        </is>
      </c>
      <c r="E69" t="inlineStr">
        <is>
          <t>SVALÖV</t>
        </is>
      </c>
      <c r="G69" t="n">
        <v>0.9</v>
      </c>
      <c r="H69" t="n">
        <v>0</v>
      </c>
      <c r="I69" t="n">
        <v>2</v>
      </c>
      <c r="J69" t="n">
        <v>0</v>
      </c>
      <c r="K69" t="n">
        <v>0</v>
      </c>
      <c r="L69" t="n">
        <v>1</v>
      </c>
      <c r="M69" t="n">
        <v>0</v>
      </c>
      <c r="N69" t="n">
        <v>0</v>
      </c>
      <c r="O69" t="n">
        <v>1</v>
      </c>
      <c r="P69" t="n">
        <v>1</v>
      </c>
      <c r="Q69" t="n">
        <v>3</v>
      </c>
      <c r="R69" s="2" t="inlineStr">
        <is>
          <t>Ask
Springkorn
Stor häxört</t>
        </is>
      </c>
      <c r="S69">
        <f>HYPERLINK("https://klasma.github.io/Logging_1214/artfynd/A 61588-2019 artfynd.xlsx", "A 61588-2019")</f>
        <v/>
      </c>
      <c r="T69">
        <f>HYPERLINK("https://klasma.github.io/Logging_1214/kartor/A 61588-2019 karta.png", "A 61588-2019")</f>
        <v/>
      </c>
      <c r="V69">
        <f>HYPERLINK("https://klasma.github.io/Logging_1214/klagomål/A 61588-2019 FSC-klagomål.docx", "A 61588-2019")</f>
        <v/>
      </c>
      <c r="W69">
        <f>HYPERLINK("https://klasma.github.io/Logging_1214/klagomålsmail/A 61588-2019 FSC-klagomål mail.docx", "A 61588-2019")</f>
        <v/>
      </c>
      <c r="X69">
        <f>HYPERLINK("https://klasma.github.io/Logging_1214/tillsyn/A 61588-2019 tillsynsbegäran.docx", "A 61588-2019")</f>
        <v/>
      </c>
      <c r="Y69">
        <f>HYPERLINK("https://klasma.github.io/Logging_1214/tillsynsmail/A 61588-2019 tillsynsbegäran mail.docx", "A 61588-2019")</f>
        <v/>
      </c>
    </row>
    <row r="70" ht="15" customHeight="1">
      <c r="A70" t="inlineStr">
        <is>
          <t>A 61593-2019</t>
        </is>
      </c>
      <c r="B70" s="1" t="n">
        <v>43777</v>
      </c>
      <c r="C70" s="1" t="n">
        <v>45744</v>
      </c>
      <c r="D70" t="inlineStr">
        <is>
          <t>SKÅNE LÄN</t>
        </is>
      </c>
      <c r="E70" t="inlineStr">
        <is>
          <t>SVALÖV</t>
        </is>
      </c>
      <c r="G70" t="n">
        <v>0.4</v>
      </c>
      <c r="H70" t="n">
        <v>0</v>
      </c>
      <c r="I70" t="n">
        <v>2</v>
      </c>
      <c r="J70" t="n">
        <v>0</v>
      </c>
      <c r="K70" t="n">
        <v>0</v>
      </c>
      <c r="L70" t="n">
        <v>1</v>
      </c>
      <c r="M70" t="n">
        <v>0</v>
      </c>
      <c r="N70" t="n">
        <v>0</v>
      </c>
      <c r="O70" t="n">
        <v>1</v>
      </c>
      <c r="P70" t="n">
        <v>1</v>
      </c>
      <c r="Q70" t="n">
        <v>3</v>
      </c>
      <c r="R70" s="2" t="inlineStr">
        <is>
          <t>Ask
Springkorn
Stor häxört</t>
        </is>
      </c>
      <c r="S70">
        <f>HYPERLINK("https://klasma.github.io/Logging_1214/artfynd/A 61593-2019 artfynd.xlsx", "A 61593-2019")</f>
        <v/>
      </c>
      <c r="T70">
        <f>HYPERLINK("https://klasma.github.io/Logging_1214/kartor/A 61593-2019 karta.png", "A 61593-2019")</f>
        <v/>
      </c>
      <c r="V70">
        <f>HYPERLINK("https://klasma.github.io/Logging_1214/klagomål/A 61593-2019 FSC-klagomål.docx", "A 61593-2019")</f>
        <v/>
      </c>
      <c r="W70">
        <f>HYPERLINK("https://klasma.github.io/Logging_1214/klagomålsmail/A 61593-2019 FSC-klagomål mail.docx", "A 61593-2019")</f>
        <v/>
      </c>
      <c r="X70">
        <f>HYPERLINK("https://klasma.github.io/Logging_1214/tillsyn/A 61593-2019 tillsynsbegäran.docx", "A 61593-2019")</f>
        <v/>
      </c>
      <c r="Y70">
        <f>HYPERLINK("https://klasma.github.io/Logging_1214/tillsynsmail/A 61593-2019 tillsynsbegäran mail.docx", "A 61593-2019")</f>
        <v/>
      </c>
    </row>
    <row r="71" ht="15" customHeight="1">
      <c r="A71" t="inlineStr">
        <is>
          <t>A 68737-2019</t>
        </is>
      </c>
      <c r="B71" s="1" t="n">
        <v>43819</v>
      </c>
      <c r="C71" s="1" t="n">
        <v>45744</v>
      </c>
      <c r="D71" t="inlineStr">
        <is>
          <t>SKÅNE LÄN</t>
        </is>
      </c>
      <c r="E71" t="inlineStr">
        <is>
          <t>KLIPPAN</t>
        </is>
      </c>
      <c r="F71" t="inlineStr">
        <is>
          <t>Sveaskog</t>
        </is>
      </c>
      <c r="G71" t="n">
        <v>3.1</v>
      </c>
      <c r="H71" t="n">
        <v>1</v>
      </c>
      <c r="I71" t="n">
        <v>2</v>
      </c>
      <c r="J71" t="n">
        <v>1</v>
      </c>
      <c r="K71" t="n">
        <v>0</v>
      </c>
      <c r="L71" t="n">
        <v>0</v>
      </c>
      <c r="M71" t="n">
        <v>0</v>
      </c>
      <c r="N71" t="n">
        <v>0</v>
      </c>
      <c r="O71" t="n">
        <v>1</v>
      </c>
      <c r="P71" t="n">
        <v>0</v>
      </c>
      <c r="Q71" t="n">
        <v>3</v>
      </c>
      <c r="R71" s="2" t="inlineStr">
        <is>
          <t>Spillkråka
Rostfläck
Västlig hakmossa</t>
        </is>
      </c>
      <c r="S71">
        <f>HYPERLINK("https://klasma.github.io/Logging_1276/artfynd/A 68737-2019 artfynd.xlsx", "A 68737-2019")</f>
        <v/>
      </c>
      <c r="T71">
        <f>HYPERLINK("https://klasma.github.io/Logging_1276/kartor/A 68737-2019 karta.png", "A 68737-2019")</f>
        <v/>
      </c>
      <c r="V71">
        <f>HYPERLINK("https://klasma.github.io/Logging_1276/klagomål/A 68737-2019 FSC-klagomål.docx", "A 68737-2019")</f>
        <v/>
      </c>
      <c r="W71">
        <f>HYPERLINK("https://klasma.github.io/Logging_1276/klagomålsmail/A 68737-2019 FSC-klagomål mail.docx", "A 68737-2019")</f>
        <v/>
      </c>
      <c r="X71">
        <f>HYPERLINK("https://klasma.github.io/Logging_1276/tillsyn/A 68737-2019 tillsynsbegäran.docx", "A 68737-2019")</f>
        <v/>
      </c>
      <c r="Y71">
        <f>HYPERLINK("https://klasma.github.io/Logging_1276/tillsynsmail/A 68737-2019 tillsynsbegäran mail.docx", "A 68737-2019")</f>
        <v/>
      </c>
      <c r="Z71">
        <f>HYPERLINK("https://klasma.github.io/Logging_1276/fåglar/A 68737-2019 prioriterade fågelarter.docx", "A 68737-2019")</f>
        <v/>
      </c>
    </row>
    <row r="72" ht="15" customHeight="1">
      <c r="A72" t="inlineStr">
        <is>
          <t>A 1233-2020</t>
        </is>
      </c>
      <c r="B72" s="1" t="n">
        <v>43828</v>
      </c>
      <c r="C72" s="1" t="n">
        <v>45744</v>
      </c>
      <c r="D72" t="inlineStr">
        <is>
          <t>SKÅNE LÄN</t>
        </is>
      </c>
      <c r="E72" t="inlineStr">
        <is>
          <t>SVALÖV</t>
        </is>
      </c>
      <c r="G72" t="n">
        <v>7.8</v>
      </c>
      <c r="H72" t="n">
        <v>0</v>
      </c>
      <c r="I72" t="n">
        <v>2</v>
      </c>
      <c r="J72" t="n">
        <v>0</v>
      </c>
      <c r="K72" t="n">
        <v>0</v>
      </c>
      <c r="L72" t="n">
        <v>1</v>
      </c>
      <c r="M72" t="n">
        <v>0</v>
      </c>
      <c r="N72" t="n">
        <v>0</v>
      </c>
      <c r="O72" t="n">
        <v>1</v>
      </c>
      <c r="P72" t="n">
        <v>1</v>
      </c>
      <c r="Q72" t="n">
        <v>3</v>
      </c>
      <c r="R72" s="2" t="inlineStr">
        <is>
          <t>Ask
Myskmadra
Stor häxört</t>
        </is>
      </c>
      <c r="S72">
        <f>HYPERLINK("https://klasma.github.io/Logging_1214/artfynd/A 1233-2020 artfynd.xlsx", "A 1233-2020")</f>
        <v/>
      </c>
      <c r="T72">
        <f>HYPERLINK("https://klasma.github.io/Logging_1214/kartor/A 1233-2020 karta.png", "A 1233-2020")</f>
        <v/>
      </c>
      <c r="V72">
        <f>HYPERLINK("https://klasma.github.io/Logging_1214/klagomål/A 1233-2020 FSC-klagomål.docx", "A 1233-2020")</f>
        <v/>
      </c>
      <c r="W72">
        <f>HYPERLINK("https://klasma.github.io/Logging_1214/klagomålsmail/A 1233-2020 FSC-klagomål mail.docx", "A 1233-2020")</f>
        <v/>
      </c>
      <c r="X72">
        <f>HYPERLINK("https://klasma.github.io/Logging_1214/tillsyn/A 1233-2020 tillsynsbegäran.docx", "A 1233-2020")</f>
        <v/>
      </c>
      <c r="Y72">
        <f>HYPERLINK("https://klasma.github.io/Logging_1214/tillsynsmail/A 1233-2020 tillsynsbegäran mail.docx", "A 1233-2020")</f>
        <v/>
      </c>
    </row>
    <row r="73" ht="15" customHeight="1">
      <c r="A73" t="inlineStr">
        <is>
          <t>A 13380-2020</t>
        </is>
      </c>
      <c r="B73" s="1" t="n">
        <v>43902</v>
      </c>
      <c r="C73" s="1" t="n">
        <v>45744</v>
      </c>
      <c r="D73" t="inlineStr">
        <is>
          <t>SKÅNE LÄN</t>
        </is>
      </c>
      <c r="E73" t="inlineStr">
        <is>
          <t>ÖSTRA GÖINGE</t>
        </is>
      </c>
      <c r="G73" t="n">
        <v>1.3</v>
      </c>
      <c r="H73" t="n">
        <v>0</v>
      </c>
      <c r="I73" t="n">
        <v>2</v>
      </c>
      <c r="J73" t="n">
        <v>0</v>
      </c>
      <c r="K73" t="n">
        <v>1</v>
      </c>
      <c r="L73" t="n">
        <v>0</v>
      </c>
      <c r="M73" t="n">
        <v>0</v>
      </c>
      <c r="N73" t="n">
        <v>0</v>
      </c>
      <c r="O73" t="n">
        <v>1</v>
      </c>
      <c r="P73" t="n">
        <v>1</v>
      </c>
      <c r="Q73" t="n">
        <v>3</v>
      </c>
      <c r="R73" s="2" t="inlineStr">
        <is>
          <t>Småvänderot
Rödgul trumpetsvamp
Stor revmossa</t>
        </is>
      </c>
      <c r="S73">
        <f>HYPERLINK("https://klasma.github.io/Logging_1256/artfynd/A 13380-2020 artfynd.xlsx", "A 13380-2020")</f>
        <v/>
      </c>
      <c r="T73">
        <f>HYPERLINK("https://klasma.github.io/Logging_1256/kartor/A 13380-2020 karta.png", "A 13380-2020")</f>
        <v/>
      </c>
      <c r="V73">
        <f>HYPERLINK("https://klasma.github.io/Logging_1256/klagomål/A 13380-2020 FSC-klagomål.docx", "A 13380-2020")</f>
        <v/>
      </c>
      <c r="W73">
        <f>HYPERLINK("https://klasma.github.io/Logging_1256/klagomålsmail/A 13380-2020 FSC-klagomål mail.docx", "A 13380-2020")</f>
        <v/>
      </c>
      <c r="X73">
        <f>HYPERLINK("https://klasma.github.io/Logging_1256/tillsyn/A 13380-2020 tillsynsbegäran.docx", "A 13380-2020")</f>
        <v/>
      </c>
      <c r="Y73">
        <f>HYPERLINK("https://klasma.github.io/Logging_1256/tillsynsmail/A 13380-2020 tillsynsbegäran mail.docx", "A 13380-2020")</f>
        <v/>
      </c>
    </row>
    <row r="74" ht="15" customHeight="1">
      <c r="A74" t="inlineStr">
        <is>
          <t>A 18197-2020</t>
        </is>
      </c>
      <c r="B74" s="1" t="n">
        <v>43927</v>
      </c>
      <c r="C74" s="1" t="n">
        <v>45744</v>
      </c>
      <c r="D74" t="inlineStr">
        <is>
          <t>SKÅNE LÄN</t>
        </is>
      </c>
      <c r="E74" t="inlineStr">
        <is>
          <t>BÅSTAD</t>
        </is>
      </c>
      <c r="G74" t="n">
        <v>3.2</v>
      </c>
      <c r="H74" t="n">
        <v>0</v>
      </c>
      <c r="I74" t="n">
        <v>3</v>
      </c>
      <c r="J74" t="n">
        <v>0</v>
      </c>
      <c r="K74" t="n">
        <v>0</v>
      </c>
      <c r="L74" t="n">
        <v>0</v>
      </c>
      <c r="M74" t="n">
        <v>0</v>
      </c>
      <c r="N74" t="n">
        <v>0</v>
      </c>
      <c r="O74" t="n">
        <v>0</v>
      </c>
      <c r="P74" t="n">
        <v>0</v>
      </c>
      <c r="Q74" t="n">
        <v>3</v>
      </c>
      <c r="R74" s="2" t="inlineStr">
        <is>
          <t>Guldlockmossa
Stubbspretmossa
Västlig hakmossa</t>
        </is>
      </c>
      <c r="S74">
        <f>HYPERLINK("https://klasma.github.io/Logging_1278/artfynd/A 18197-2020 artfynd.xlsx", "A 18197-2020")</f>
        <v/>
      </c>
      <c r="T74">
        <f>HYPERLINK("https://klasma.github.io/Logging_1278/kartor/A 18197-2020 karta.png", "A 18197-2020")</f>
        <v/>
      </c>
      <c r="V74">
        <f>HYPERLINK("https://klasma.github.io/Logging_1278/klagomål/A 18197-2020 FSC-klagomål.docx", "A 18197-2020")</f>
        <v/>
      </c>
      <c r="W74">
        <f>HYPERLINK("https://klasma.github.io/Logging_1278/klagomålsmail/A 18197-2020 FSC-klagomål mail.docx", "A 18197-2020")</f>
        <v/>
      </c>
      <c r="X74">
        <f>HYPERLINK("https://klasma.github.io/Logging_1278/tillsyn/A 18197-2020 tillsynsbegäran.docx", "A 18197-2020")</f>
        <v/>
      </c>
      <c r="Y74">
        <f>HYPERLINK("https://klasma.github.io/Logging_1278/tillsynsmail/A 18197-2020 tillsynsbegäran mail.docx", "A 18197-2020")</f>
        <v/>
      </c>
    </row>
    <row r="75" ht="15" customHeight="1">
      <c r="A75" t="inlineStr">
        <is>
          <t>A 25363-2020</t>
        </is>
      </c>
      <c r="B75" s="1" t="n">
        <v>43980</v>
      </c>
      <c r="C75" s="1" t="n">
        <v>45744</v>
      </c>
      <c r="D75" t="inlineStr">
        <is>
          <t>SKÅNE LÄN</t>
        </is>
      </c>
      <c r="E75" t="inlineStr">
        <is>
          <t>TRELLEBORG</t>
        </is>
      </c>
      <c r="G75" t="n">
        <v>1.5</v>
      </c>
      <c r="H75" t="n">
        <v>0</v>
      </c>
      <c r="I75" t="n">
        <v>2</v>
      </c>
      <c r="J75" t="n">
        <v>0</v>
      </c>
      <c r="K75" t="n">
        <v>0</v>
      </c>
      <c r="L75" t="n">
        <v>1</v>
      </c>
      <c r="M75" t="n">
        <v>0</v>
      </c>
      <c r="N75" t="n">
        <v>0</v>
      </c>
      <c r="O75" t="n">
        <v>1</v>
      </c>
      <c r="P75" t="n">
        <v>1</v>
      </c>
      <c r="Q75" t="n">
        <v>3</v>
      </c>
      <c r="R75" s="2" t="inlineStr">
        <is>
          <t>Lundäxing
Stor häxört
Svart trolldruva</t>
        </is>
      </c>
      <c r="S75">
        <f>HYPERLINK("https://klasma.github.io/Logging_1287/artfynd/A 25363-2020 artfynd.xlsx", "A 25363-2020")</f>
        <v/>
      </c>
      <c r="T75">
        <f>HYPERLINK("https://klasma.github.io/Logging_1287/kartor/A 25363-2020 karta.png", "A 25363-2020")</f>
        <v/>
      </c>
      <c r="V75">
        <f>HYPERLINK("https://klasma.github.io/Logging_1287/klagomål/A 25363-2020 FSC-klagomål.docx", "A 25363-2020")</f>
        <v/>
      </c>
      <c r="W75">
        <f>HYPERLINK("https://klasma.github.io/Logging_1287/klagomålsmail/A 25363-2020 FSC-klagomål mail.docx", "A 25363-2020")</f>
        <v/>
      </c>
      <c r="X75">
        <f>HYPERLINK("https://klasma.github.io/Logging_1287/tillsyn/A 25363-2020 tillsynsbegäran.docx", "A 25363-2020")</f>
        <v/>
      </c>
      <c r="Y75">
        <f>HYPERLINK("https://klasma.github.io/Logging_1287/tillsynsmail/A 25363-2020 tillsynsbegäran mail.docx", "A 25363-2020")</f>
        <v/>
      </c>
    </row>
    <row r="76" ht="15" customHeight="1">
      <c r="A76" t="inlineStr">
        <is>
          <t>A 30682-2020</t>
        </is>
      </c>
      <c r="B76" s="1" t="n">
        <v>44008</v>
      </c>
      <c r="C76" s="1" t="n">
        <v>45744</v>
      </c>
      <c r="D76" t="inlineStr">
        <is>
          <t>SKÅNE LÄN</t>
        </is>
      </c>
      <c r="E76" t="inlineStr">
        <is>
          <t>KRISTIANSTAD</t>
        </is>
      </c>
      <c r="F76" t="inlineStr">
        <is>
          <t>Kommuner</t>
        </is>
      </c>
      <c r="G76" t="n">
        <v>0.9</v>
      </c>
      <c r="H76" t="n">
        <v>1</v>
      </c>
      <c r="I76" t="n">
        <v>0</v>
      </c>
      <c r="J76" t="n">
        <v>2</v>
      </c>
      <c r="K76" t="n">
        <v>1</v>
      </c>
      <c r="L76" t="n">
        <v>0</v>
      </c>
      <c r="M76" t="n">
        <v>0</v>
      </c>
      <c r="N76" t="n">
        <v>0</v>
      </c>
      <c r="O76" t="n">
        <v>3</v>
      </c>
      <c r="P76" t="n">
        <v>1</v>
      </c>
      <c r="Q76" t="n">
        <v>3</v>
      </c>
      <c r="R76" s="2" t="inlineStr">
        <is>
          <t>Hedblomster
Stortapetserarbi
Ängsmetallvinge</t>
        </is>
      </c>
      <c r="S76">
        <f>HYPERLINK("https://klasma.github.io/Logging_1290/artfynd/A 30682-2020 artfynd.xlsx", "A 30682-2020")</f>
        <v/>
      </c>
      <c r="T76">
        <f>HYPERLINK("https://klasma.github.io/Logging_1290/kartor/A 30682-2020 karta.png", "A 30682-2020")</f>
        <v/>
      </c>
      <c r="V76">
        <f>HYPERLINK("https://klasma.github.io/Logging_1290/klagomål/A 30682-2020 FSC-klagomål.docx", "A 30682-2020")</f>
        <v/>
      </c>
      <c r="W76">
        <f>HYPERLINK("https://klasma.github.io/Logging_1290/klagomålsmail/A 30682-2020 FSC-klagomål mail.docx", "A 30682-2020")</f>
        <v/>
      </c>
      <c r="X76">
        <f>HYPERLINK("https://klasma.github.io/Logging_1290/tillsyn/A 30682-2020 tillsynsbegäran.docx", "A 30682-2020")</f>
        <v/>
      </c>
      <c r="Y76">
        <f>HYPERLINK("https://klasma.github.io/Logging_1290/tillsynsmail/A 30682-2020 tillsynsbegäran mail.docx", "A 30682-2020")</f>
        <v/>
      </c>
    </row>
    <row r="77" ht="15" customHeight="1">
      <c r="A77" t="inlineStr">
        <is>
          <t>A 59303-2020</t>
        </is>
      </c>
      <c r="B77" s="1" t="n">
        <v>44147</v>
      </c>
      <c r="C77" s="1" t="n">
        <v>45744</v>
      </c>
      <c r="D77" t="inlineStr">
        <is>
          <t>SKÅNE LÄN</t>
        </is>
      </c>
      <c r="E77" t="inlineStr">
        <is>
          <t>HÄSSLEHOLM</t>
        </is>
      </c>
      <c r="G77" t="n">
        <v>13</v>
      </c>
      <c r="H77" t="n">
        <v>1</v>
      </c>
      <c r="I77" t="n">
        <v>1</v>
      </c>
      <c r="J77" t="n">
        <v>1</v>
      </c>
      <c r="K77" t="n">
        <v>0</v>
      </c>
      <c r="L77" t="n">
        <v>1</v>
      </c>
      <c r="M77" t="n">
        <v>0</v>
      </c>
      <c r="N77" t="n">
        <v>0</v>
      </c>
      <c r="O77" t="n">
        <v>2</v>
      </c>
      <c r="P77" t="n">
        <v>1</v>
      </c>
      <c r="Q77" t="n">
        <v>3</v>
      </c>
      <c r="R77" s="2" t="inlineStr">
        <is>
          <t>Dvärgjohannesört
Borsttåg
Kambräken</t>
        </is>
      </c>
      <c r="S77">
        <f>HYPERLINK("https://klasma.github.io/Logging_1293/artfynd/A 59303-2020 artfynd.xlsx", "A 59303-2020")</f>
        <v/>
      </c>
      <c r="T77">
        <f>HYPERLINK("https://klasma.github.io/Logging_1293/kartor/A 59303-2020 karta.png", "A 59303-2020")</f>
        <v/>
      </c>
      <c r="V77">
        <f>HYPERLINK("https://klasma.github.io/Logging_1293/klagomål/A 59303-2020 FSC-klagomål.docx", "A 59303-2020")</f>
        <v/>
      </c>
      <c r="W77">
        <f>HYPERLINK("https://klasma.github.io/Logging_1293/klagomålsmail/A 59303-2020 FSC-klagomål mail.docx", "A 59303-2020")</f>
        <v/>
      </c>
      <c r="X77">
        <f>HYPERLINK("https://klasma.github.io/Logging_1293/tillsyn/A 59303-2020 tillsynsbegäran.docx", "A 59303-2020")</f>
        <v/>
      </c>
      <c r="Y77">
        <f>HYPERLINK("https://klasma.github.io/Logging_1293/tillsynsmail/A 59303-2020 tillsynsbegäran mail.docx", "A 59303-2020")</f>
        <v/>
      </c>
    </row>
    <row r="78" ht="15" customHeight="1">
      <c r="A78" t="inlineStr">
        <is>
          <t>A 1876-2021</t>
        </is>
      </c>
      <c r="B78" s="1" t="n">
        <v>44210</v>
      </c>
      <c r="C78" s="1" t="n">
        <v>45744</v>
      </c>
      <c r="D78" t="inlineStr">
        <is>
          <t>SKÅNE LÄN</t>
        </is>
      </c>
      <c r="E78" t="inlineStr">
        <is>
          <t>OSBY</t>
        </is>
      </c>
      <c r="G78" t="n">
        <v>4.3</v>
      </c>
      <c r="H78" t="n">
        <v>3</v>
      </c>
      <c r="I78" t="n">
        <v>0</v>
      </c>
      <c r="J78" t="n">
        <v>1</v>
      </c>
      <c r="K78" t="n">
        <v>0</v>
      </c>
      <c r="L78" t="n">
        <v>1</v>
      </c>
      <c r="M78" t="n">
        <v>0</v>
      </c>
      <c r="N78" t="n">
        <v>0</v>
      </c>
      <c r="O78" t="n">
        <v>2</v>
      </c>
      <c r="P78" t="n">
        <v>1</v>
      </c>
      <c r="Q78" t="n">
        <v>3</v>
      </c>
      <c r="R78" s="2" t="inlineStr">
        <is>
          <t>Tornseglare
Svartvit flugsnappare
Kungsfågel</t>
        </is>
      </c>
      <c r="S78">
        <f>HYPERLINK("https://klasma.github.io/Logging_1273/artfynd/A 1876-2021 artfynd.xlsx", "A 1876-2021")</f>
        <v/>
      </c>
      <c r="T78">
        <f>HYPERLINK("https://klasma.github.io/Logging_1273/kartor/A 1876-2021 karta.png", "A 1876-2021")</f>
        <v/>
      </c>
      <c r="V78">
        <f>HYPERLINK("https://klasma.github.io/Logging_1273/klagomål/A 1876-2021 FSC-klagomål.docx", "A 1876-2021")</f>
        <v/>
      </c>
      <c r="W78">
        <f>HYPERLINK("https://klasma.github.io/Logging_1273/klagomålsmail/A 1876-2021 FSC-klagomål mail.docx", "A 1876-2021")</f>
        <v/>
      </c>
      <c r="X78">
        <f>HYPERLINK("https://klasma.github.io/Logging_1273/tillsyn/A 1876-2021 tillsynsbegäran.docx", "A 1876-2021")</f>
        <v/>
      </c>
      <c r="Y78">
        <f>HYPERLINK("https://klasma.github.io/Logging_1273/tillsynsmail/A 1876-2021 tillsynsbegäran mail.docx", "A 1876-2021")</f>
        <v/>
      </c>
      <c r="Z78">
        <f>HYPERLINK("https://klasma.github.io/Logging_1273/fåglar/A 1876-2021 prioriterade fågelarter.docx", "A 1876-2021")</f>
        <v/>
      </c>
    </row>
    <row r="79" ht="15" customHeight="1">
      <c r="A79" t="inlineStr">
        <is>
          <t>A 22968-2021</t>
        </is>
      </c>
      <c r="B79" s="1" t="n">
        <v>44328</v>
      </c>
      <c r="C79" s="1" t="n">
        <v>45744</v>
      </c>
      <c r="D79" t="inlineStr">
        <is>
          <t>SKÅNE LÄN</t>
        </is>
      </c>
      <c r="E79" t="inlineStr">
        <is>
          <t>KRISTIANSTAD</t>
        </is>
      </c>
      <c r="G79" t="n">
        <v>1.1</v>
      </c>
      <c r="H79" t="n">
        <v>1</v>
      </c>
      <c r="I79" t="n">
        <v>0</v>
      </c>
      <c r="J79" t="n">
        <v>1</v>
      </c>
      <c r="K79" t="n">
        <v>0</v>
      </c>
      <c r="L79" t="n">
        <v>1</v>
      </c>
      <c r="M79" t="n">
        <v>0</v>
      </c>
      <c r="N79" t="n">
        <v>0</v>
      </c>
      <c r="O79" t="n">
        <v>2</v>
      </c>
      <c r="P79" t="n">
        <v>1</v>
      </c>
      <c r="Q79" t="n">
        <v>3</v>
      </c>
      <c r="R79" s="2" t="inlineStr">
        <is>
          <t>Prakttagging
Tallticka
Grönsiska</t>
        </is>
      </c>
      <c r="S79">
        <f>HYPERLINK("https://klasma.github.io/Logging_1290/artfynd/A 22968-2021 artfynd.xlsx", "A 22968-2021")</f>
        <v/>
      </c>
      <c r="T79">
        <f>HYPERLINK("https://klasma.github.io/Logging_1290/kartor/A 22968-2021 karta.png", "A 22968-2021")</f>
        <v/>
      </c>
      <c r="V79">
        <f>HYPERLINK("https://klasma.github.io/Logging_1290/klagomål/A 22968-2021 FSC-klagomål.docx", "A 22968-2021")</f>
        <v/>
      </c>
      <c r="W79">
        <f>HYPERLINK("https://klasma.github.io/Logging_1290/klagomålsmail/A 22968-2021 FSC-klagomål mail.docx", "A 22968-2021")</f>
        <v/>
      </c>
      <c r="X79">
        <f>HYPERLINK("https://klasma.github.io/Logging_1290/tillsyn/A 22968-2021 tillsynsbegäran.docx", "A 22968-2021")</f>
        <v/>
      </c>
      <c r="Y79">
        <f>HYPERLINK("https://klasma.github.io/Logging_1290/tillsynsmail/A 22968-2021 tillsynsbegäran mail.docx", "A 22968-2021")</f>
        <v/>
      </c>
      <c r="Z79">
        <f>HYPERLINK("https://klasma.github.io/Logging_1290/fåglar/A 22968-2021 prioriterade fågelarter.docx", "A 22968-2021")</f>
        <v/>
      </c>
    </row>
    <row r="80" ht="15" customHeight="1">
      <c r="A80" t="inlineStr">
        <is>
          <t>A 52020-2021</t>
        </is>
      </c>
      <c r="B80" s="1" t="n">
        <v>44463</v>
      </c>
      <c r="C80" s="1" t="n">
        <v>45744</v>
      </c>
      <c r="D80" t="inlineStr">
        <is>
          <t>SKÅNE LÄN</t>
        </is>
      </c>
      <c r="E80" t="inlineStr">
        <is>
          <t>KRISTIANSTAD</t>
        </is>
      </c>
      <c r="G80" t="n">
        <v>1</v>
      </c>
      <c r="H80" t="n">
        <v>3</v>
      </c>
      <c r="I80" t="n">
        <v>0</v>
      </c>
      <c r="J80" t="n">
        <v>0</v>
      </c>
      <c r="K80" t="n">
        <v>0</v>
      </c>
      <c r="L80" t="n">
        <v>1</v>
      </c>
      <c r="M80" t="n">
        <v>0</v>
      </c>
      <c r="N80" t="n">
        <v>0</v>
      </c>
      <c r="O80" t="n">
        <v>1</v>
      </c>
      <c r="P80" t="n">
        <v>1</v>
      </c>
      <c r="Q80" t="n">
        <v>3</v>
      </c>
      <c r="R80" s="2" t="inlineStr">
        <is>
          <t>Grönfink
Järnsparv
Kungsfågel</t>
        </is>
      </c>
      <c r="S80">
        <f>HYPERLINK("https://klasma.github.io/Logging_1290/artfynd/A 52020-2021 artfynd.xlsx", "A 52020-2021")</f>
        <v/>
      </c>
      <c r="T80">
        <f>HYPERLINK("https://klasma.github.io/Logging_1290/kartor/A 52020-2021 karta.png", "A 52020-2021")</f>
        <v/>
      </c>
      <c r="V80">
        <f>HYPERLINK("https://klasma.github.io/Logging_1290/klagomål/A 52020-2021 FSC-klagomål.docx", "A 52020-2021")</f>
        <v/>
      </c>
      <c r="W80">
        <f>HYPERLINK("https://klasma.github.io/Logging_1290/klagomålsmail/A 52020-2021 FSC-klagomål mail.docx", "A 52020-2021")</f>
        <v/>
      </c>
      <c r="X80">
        <f>HYPERLINK("https://klasma.github.io/Logging_1290/tillsyn/A 52020-2021 tillsynsbegäran.docx", "A 52020-2021")</f>
        <v/>
      </c>
      <c r="Y80">
        <f>HYPERLINK("https://klasma.github.io/Logging_1290/tillsynsmail/A 52020-2021 tillsynsbegäran mail.docx", "A 52020-2021")</f>
        <v/>
      </c>
      <c r="Z80">
        <f>HYPERLINK("https://klasma.github.io/Logging_1290/fåglar/A 52020-2021 prioriterade fågelarter.docx", "A 52020-2021")</f>
        <v/>
      </c>
    </row>
    <row r="81" ht="15" customHeight="1">
      <c r="A81" t="inlineStr">
        <is>
          <t>A 52039-2021</t>
        </is>
      </c>
      <c r="B81" s="1" t="n">
        <v>44463</v>
      </c>
      <c r="C81" s="1" t="n">
        <v>45744</v>
      </c>
      <c r="D81" t="inlineStr">
        <is>
          <t>SKÅNE LÄN</t>
        </is>
      </c>
      <c r="E81" t="inlineStr">
        <is>
          <t>KRISTIANSTAD</t>
        </is>
      </c>
      <c r="G81" t="n">
        <v>3.1</v>
      </c>
      <c r="H81" t="n">
        <v>3</v>
      </c>
      <c r="I81" t="n">
        <v>0</v>
      </c>
      <c r="J81" t="n">
        <v>1</v>
      </c>
      <c r="K81" t="n">
        <v>0</v>
      </c>
      <c r="L81" t="n">
        <v>0</v>
      </c>
      <c r="M81" t="n">
        <v>0</v>
      </c>
      <c r="N81" t="n">
        <v>0</v>
      </c>
      <c r="O81" t="n">
        <v>1</v>
      </c>
      <c r="P81" t="n">
        <v>0</v>
      </c>
      <c r="Q81" t="n">
        <v>3</v>
      </c>
      <c r="R81" s="2" t="inlineStr">
        <is>
          <t>Entita
Järnsparv
Gullviva</t>
        </is>
      </c>
      <c r="S81">
        <f>HYPERLINK("https://klasma.github.io/Logging_1290/artfynd/A 52039-2021 artfynd.xlsx", "A 52039-2021")</f>
        <v/>
      </c>
      <c r="T81">
        <f>HYPERLINK("https://klasma.github.io/Logging_1290/kartor/A 52039-2021 karta.png", "A 52039-2021")</f>
        <v/>
      </c>
      <c r="V81">
        <f>HYPERLINK("https://klasma.github.io/Logging_1290/klagomål/A 52039-2021 FSC-klagomål.docx", "A 52039-2021")</f>
        <v/>
      </c>
      <c r="W81">
        <f>HYPERLINK("https://klasma.github.io/Logging_1290/klagomålsmail/A 52039-2021 FSC-klagomål mail.docx", "A 52039-2021")</f>
        <v/>
      </c>
      <c r="X81">
        <f>HYPERLINK("https://klasma.github.io/Logging_1290/tillsyn/A 52039-2021 tillsynsbegäran.docx", "A 52039-2021")</f>
        <v/>
      </c>
      <c r="Y81">
        <f>HYPERLINK("https://klasma.github.io/Logging_1290/tillsynsmail/A 52039-2021 tillsynsbegäran mail.docx", "A 52039-2021")</f>
        <v/>
      </c>
      <c r="Z81">
        <f>HYPERLINK("https://klasma.github.io/Logging_1290/fåglar/A 52039-2021 prioriterade fågelarter.docx", "A 52039-2021")</f>
        <v/>
      </c>
    </row>
    <row r="82" ht="15" customHeight="1">
      <c r="A82" t="inlineStr">
        <is>
          <t>A 54542-2021</t>
        </is>
      </c>
      <c r="B82" s="1" t="n">
        <v>44473</v>
      </c>
      <c r="C82" s="1" t="n">
        <v>45744</v>
      </c>
      <c r="D82" t="inlineStr">
        <is>
          <t>SKÅNE LÄN</t>
        </is>
      </c>
      <c r="E82" t="inlineStr">
        <is>
          <t>KRISTIANSTAD</t>
        </is>
      </c>
      <c r="G82" t="n">
        <v>9.6</v>
      </c>
      <c r="H82" t="n">
        <v>1</v>
      </c>
      <c r="I82" t="n">
        <v>1</v>
      </c>
      <c r="J82" t="n">
        <v>2</v>
      </c>
      <c r="K82" t="n">
        <v>0</v>
      </c>
      <c r="L82" t="n">
        <v>0</v>
      </c>
      <c r="M82" t="n">
        <v>0</v>
      </c>
      <c r="N82" t="n">
        <v>0</v>
      </c>
      <c r="O82" t="n">
        <v>2</v>
      </c>
      <c r="P82" t="n">
        <v>0</v>
      </c>
      <c r="Q82" t="n">
        <v>3</v>
      </c>
      <c r="R82" s="2" t="inlineStr">
        <is>
          <t>Havsörn
Tallticka
Grovticka</t>
        </is>
      </c>
      <c r="S82">
        <f>HYPERLINK("https://klasma.github.io/Logging_1290/artfynd/A 54542-2021 artfynd.xlsx", "A 54542-2021")</f>
        <v/>
      </c>
      <c r="T82">
        <f>HYPERLINK("https://klasma.github.io/Logging_1290/kartor/A 54542-2021 karta.png", "A 54542-2021")</f>
        <v/>
      </c>
      <c r="V82">
        <f>HYPERLINK("https://klasma.github.io/Logging_1290/klagomål/A 54542-2021 FSC-klagomål.docx", "A 54542-2021")</f>
        <v/>
      </c>
      <c r="W82">
        <f>HYPERLINK("https://klasma.github.io/Logging_1290/klagomålsmail/A 54542-2021 FSC-klagomål mail.docx", "A 54542-2021")</f>
        <v/>
      </c>
      <c r="X82">
        <f>HYPERLINK("https://klasma.github.io/Logging_1290/tillsyn/A 54542-2021 tillsynsbegäran.docx", "A 54542-2021")</f>
        <v/>
      </c>
      <c r="Y82">
        <f>HYPERLINK("https://klasma.github.io/Logging_1290/tillsynsmail/A 54542-2021 tillsynsbegäran mail.docx", "A 54542-2021")</f>
        <v/>
      </c>
      <c r="Z82">
        <f>HYPERLINK("https://klasma.github.io/Logging_1290/fåglar/A 54542-2021 prioriterade fågelarter.docx", "A 54542-2021")</f>
        <v/>
      </c>
    </row>
    <row r="83" ht="15" customHeight="1">
      <c r="A83" t="inlineStr">
        <is>
          <t>A 1481-2022</t>
        </is>
      </c>
      <c r="B83" s="1" t="n">
        <v>44573</v>
      </c>
      <c r="C83" s="1" t="n">
        <v>45744</v>
      </c>
      <c r="D83" t="inlineStr">
        <is>
          <t>SKÅNE LÄN</t>
        </is>
      </c>
      <c r="E83" t="inlineStr">
        <is>
          <t>KÄVLINGE</t>
        </is>
      </c>
      <c r="G83" t="n">
        <v>7.8</v>
      </c>
      <c r="H83" t="n">
        <v>1</v>
      </c>
      <c r="I83" t="n">
        <v>1</v>
      </c>
      <c r="J83" t="n">
        <v>2</v>
      </c>
      <c r="K83" t="n">
        <v>0</v>
      </c>
      <c r="L83" t="n">
        <v>0</v>
      </c>
      <c r="M83" t="n">
        <v>0</v>
      </c>
      <c r="N83" t="n">
        <v>0</v>
      </c>
      <c r="O83" t="n">
        <v>2</v>
      </c>
      <c r="P83" t="n">
        <v>0</v>
      </c>
      <c r="Q83" t="n">
        <v>3</v>
      </c>
      <c r="R83" s="2" t="inlineStr">
        <is>
          <t>Grönsångare
Sadelmurkla
Kragjordstjärna</t>
        </is>
      </c>
      <c r="S83">
        <f>HYPERLINK("https://klasma.github.io/Logging_1261/artfynd/A 1481-2022 artfynd.xlsx", "A 1481-2022")</f>
        <v/>
      </c>
      <c r="T83">
        <f>HYPERLINK("https://klasma.github.io/Logging_1261/kartor/A 1481-2022 karta.png", "A 1481-2022")</f>
        <v/>
      </c>
      <c r="V83">
        <f>HYPERLINK("https://klasma.github.io/Logging_1261/klagomål/A 1481-2022 FSC-klagomål.docx", "A 1481-2022")</f>
        <v/>
      </c>
      <c r="W83">
        <f>HYPERLINK("https://klasma.github.io/Logging_1261/klagomålsmail/A 1481-2022 FSC-klagomål mail.docx", "A 1481-2022")</f>
        <v/>
      </c>
      <c r="X83">
        <f>HYPERLINK("https://klasma.github.io/Logging_1261/tillsyn/A 1481-2022 tillsynsbegäran.docx", "A 1481-2022")</f>
        <v/>
      </c>
      <c r="Y83">
        <f>HYPERLINK("https://klasma.github.io/Logging_1261/tillsynsmail/A 1481-2022 tillsynsbegäran mail.docx", "A 1481-2022")</f>
        <v/>
      </c>
      <c r="Z83">
        <f>HYPERLINK("https://klasma.github.io/Logging_1261/fåglar/A 1481-2022 prioriterade fågelarter.docx", "A 1481-2022")</f>
        <v/>
      </c>
    </row>
    <row r="84" ht="15" customHeight="1">
      <c r="A84" t="inlineStr">
        <is>
          <t>A 31351-2022</t>
        </is>
      </c>
      <c r="B84" s="1" t="n">
        <v>44774</v>
      </c>
      <c r="C84" s="1" t="n">
        <v>45744</v>
      </c>
      <c r="D84" t="inlineStr">
        <is>
          <t>SKÅNE LÄN</t>
        </is>
      </c>
      <c r="E84" t="inlineStr">
        <is>
          <t>HÖRBY</t>
        </is>
      </c>
      <c r="G84" t="n">
        <v>13.2</v>
      </c>
      <c r="H84" t="n">
        <v>3</v>
      </c>
      <c r="I84" t="n">
        <v>0</v>
      </c>
      <c r="J84" t="n">
        <v>3</v>
      </c>
      <c r="K84" t="n">
        <v>0</v>
      </c>
      <c r="L84" t="n">
        <v>0</v>
      </c>
      <c r="M84" t="n">
        <v>0</v>
      </c>
      <c r="N84" t="n">
        <v>0</v>
      </c>
      <c r="O84" t="n">
        <v>3</v>
      </c>
      <c r="P84" t="n">
        <v>0</v>
      </c>
      <c r="Q84" t="n">
        <v>3</v>
      </c>
      <c r="R84" s="2" t="inlineStr">
        <is>
          <t>Duvhök
Fjällvråk
Grönsångare</t>
        </is>
      </c>
      <c r="S84">
        <f>HYPERLINK("https://klasma.github.io/Logging_1266/artfynd/A 31351-2022 artfynd.xlsx", "A 31351-2022")</f>
        <v/>
      </c>
      <c r="T84">
        <f>HYPERLINK("https://klasma.github.io/Logging_1266/kartor/A 31351-2022 karta.png", "A 31351-2022")</f>
        <v/>
      </c>
      <c r="V84">
        <f>HYPERLINK("https://klasma.github.io/Logging_1266/klagomål/A 31351-2022 FSC-klagomål.docx", "A 31351-2022")</f>
        <v/>
      </c>
      <c r="W84">
        <f>HYPERLINK("https://klasma.github.io/Logging_1266/klagomålsmail/A 31351-2022 FSC-klagomål mail.docx", "A 31351-2022")</f>
        <v/>
      </c>
      <c r="X84">
        <f>HYPERLINK("https://klasma.github.io/Logging_1266/tillsyn/A 31351-2022 tillsynsbegäran.docx", "A 31351-2022")</f>
        <v/>
      </c>
      <c r="Y84">
        <f>HYPERLINK("https://klasma.github.io/Logging_1266/tillsynsmail/A 31351-2022 tillsynsbegäran mail.docx", "A 31351-2022")</f>
        <v/>
      </c>
      <c r="Z84">
        <f>HYPERLINK("https://klasma.github.io/Logging_1266/fåglar/A 31351-2022 prioriterade fågelarter.docx", "A 31351-2022")</f>
        <v/>
      </c>
    </row>
    <row r="85" ht="15" customHeight="1">
      <c r="A85" t="inlineStr">
        <is>
          <t>A 37031-2022</t>
        </is>
      </c>
      <c r="B85" s="1" t="n">
        <v>44806</v>
      </c>
      <c r="C85" s="1" t="n">
        <v>45744</v>
      </c>
      <c r="D85" t="inlineStr">
        <is>
          <t>SKÅNE LÄN</t>
        </is>
      </c>
      <c r="E85" t="inlineStr">
        <is>
          <t>KLIPPAN</t>
        </is>
      </c>
      <c r="G85" t="n">
        <v>2.8</v>
      </c>
      <c r="H85" t="n">
        <v>0</v>
      </c>
      <c r="I85" t="n">
        <v>3</v>
      </c>
      <c r="J85" t="n">
        <v>0</v>
      </c>
      <c r="K85" t="n">
        <v>0</v>
      </c>
      <c r="L85" t="n">
        <v>0</v>
      </c>
      <c r="M85" t="n">
        <v>0</v>
      </c>
      <c r="N85" t="n">
        <v>0</v>
      </c>
      <c r="O85" t="n">
        <v>0</v>
      </c>
      <c r="P85" t="n">
        <v>0</v>
      </c>
      <c r="Q85" t="n">
        <v>3</v>
      </c>
      <c r="R85" s="2" t="inlineStr">
        <is>
          <t>Blåmossa
Dvärgkällmossa
Västlig husmossa</t>
        </is>
      </c>
      <c r="S85">
        <f>HYPERLINK("https://klasma.github.io/Logging_1276/artfynd/A 37031-2022 artfynd.xlsx", "A 37031-2022")</f>
        <v/>
      </c>
      <c r="T85">
        <f>HYPERLINK("https://klasma.github.io/Logging_1276/kartor/A 37031-2022 karta.png", "A 37031-2022")</f>
        <v/>
      </c>
      <c r="V85">
        <f>HYPERLINK("https://klasma.github.io/Logging_1276/klagomål/A 37031-2022 FSC-klagomål.docx", "A 37031-2022")</f>
        <v/>
      </c>
      <c r="W85">
        <f>HYPERLINK("https://klasma.github.io/Logging_1276/klagomålsmail/A 37031-2022 FSC-klagomål mail.docx", "A 37031-2022")</f>
        <v/>
      </c>
      <c r="X85">
        <f>HYPERLINK("https://klasma.github.io/Logging_1276/tillsyn/A 37031-2022 tillsynsbegäran.docx", "A 37031-2022")</f>
        <v/>
      </c>
      <c r="Y85">
        <f>HYPERLINK("https://klasma.github.io/Logging_1276/tillsynsmail/A 37031-2022 tillsynsbegäran mail.docx", "A 37031-2022")</f>
        <v/>
      </c>
    </row>
    <row r="86" ht="15" customHeight="1">
      <c r="A86" t="inlineStr">
        <is>
          <t>A 40509-2022</t>
        </is>
      </c>
      <c r="B86" s="1" t="n">
        <v>44823</v>
      </c>
      <c r="C86" s="1" t="n">
        <v>45744</v>
      </c>
      <c r="D86" t="inlineStr">
        <is>
          <t>SKÅNE LÄN</t>
        </is>
      </c>
      <c r="E86" t="inlineStr">
        <is>
          <t>KRISTIANSTAD</t>
        </is>
      </c>
      <c r="F86" t="inlineStr">
        <is>
          <t>Sveaskog</t>
        </is>
      </c>
      <c r="G86" t="n">
        <v>1.8</v>
      </c>
      <c r="H86" t="n">
        <v>0</v>
      </c>
      <c r="I86" t="n">
        <v>1</v>
      </c>
      <c r="J86" t="n">
        <v>1</v>
      </c>
      <c r="K86" t="n">
        <v>1</v>
      </c>
      <c r="L86" t="n">
        <v>0</v>
      </c>
      <c r="M86" t="n">
        <v>0</v>
      </c>
      <c r="N86" t="n">
        <v>0</v>
      </c>
      <c r="O86" t="n">
        <v>2</v>
      </c>
      <c r="P86" t="n">
        <v>1</v>
      </c>
      <c r="Q86" t="n">
        <v>3</v>
      </c>
      <c r="R86" s="2" t="inlineStr">
        <is>
          <t>Småvänderot
Skogslysing
Svart trolldruva</t>
        </is>
      </c>
      <c r="S86">
        <f>HYPERLINK("https://klasma.github.io/Logging_1290/artfynd/A 40509-2022 artfynd.xlsx", "A 40509-2022")</f>
        <v/>
      </c>
      <c r="T86">
        <f>HYPERLINK("https://klasma.github.io/Logging_1290/kartor/A 40509-2022 karta.png", "A 40509-2022")</f>
        <v/>
      </c>
      <c r="V86">
        <f>HYPERLINK("https://klasma.github.io/Logging_1290/klagomål/A 40509-2022 FSC-klagomål.docx", "A 40509-2022")</f>
        <v/>
      </c>
      <c r="W86">
        <f>HYPERLINK("https://klasma.github.io/Logging_1290/klagomålsmail/A 40509-2022 FSC-klagomål mail.docx", "A 40509-2022")</f>
        <v/>
      </c>
      <c r="X86">
        <f>HYPERLINK("https://klasma.github.io/Logging_1290/tillsyn/A 40509-2022 tillsynsbegäran.docx", "A 40509-2022")</f>
        <v/>
      </c>
      <c r="Y86">
        <f>HYPERLINK("https://klasma.github.io/Logging_1290/tillsynsmail/A 40509-2022 tillsynsbegäran mail.docx", "A 40509-2022")</f>
        <v/>
      </c>
    </row>
    <row r="87" ht="15" customHeight="1">
      <c r="A87" t="inlineStr">
        <is>
          <t>A 62060-2022</t>
        </is>
      </c>
      <c r="B87" s="1" t="n">
        <v>44918</v>
      </c>
      <c r="C87" s="1" t="n">
        <v>45744</v>
      </c>
      <c r="D87" t="inlineStr">
        <is>
          <t>SKÅNE LÄN</t>
        </is>
      </c>
      <c r="E87" t="inlineStr">
        <is>
          <t>ÖSTRA GÖINGE</t>
        </is>
      </c>
      <c r="G87" t="n">
        <v>2.7</v>
      </c>
      <c r="H87" t="n">
        <v>0</v>
      </c>
      <c r="I87" t="n">
        <v>1</v>
      </c>
      <c r="J87" t="n">
        <v>2</v>
      </c>
      <c r="K87" t="n">
        <v>0</v>
      </c>
      <c r="L87" t="n">
        <v>0</v>
      </c>
      <c r="M87" t="n">
        <v>0</v>
      </c>
      <c r="N87" t="n">
        <v>0</v>
      </c>
      <c r="O87" t="n">
        <v>2</v>
      </c>
      <c r="P87" t="n">
        <v>0</v>
      </c>
      <c r="Q87" t="n">
        <v>3</v>
      </c>
      <c r="R87" s="2" t="inlineStr">
        <is>
          <t>Desmeknopp
Matt pricklav
Grå skärelav</t>
        </is>
      </c>
      <c r="S87">
        <f>HYPERLINK("https://klasma.github.io/Logging_1256/artfynd/A 62060-2022 artfynd.xlsx", "A 62060-2022")</f>
        <v/>
      </c>
      <c r="T87">
        <f>HYPERLINK("https://klasma.github.io/Logging_1256/kartor/A 62060-2022 karta.png", "A 62060-2022")</f>
        <v/>
      </c>
      <c r="V87">
        <f>HYPERLINK("https://klasma.github.io/Logging_1256/klagomål/A 62060-2022 FSC-klagomål.docx", "A 62060-2022")</f>
        <v/>
      </c>
      <c r="W87">
        <f>HYPERLINK("https://klasma.github.io/Logging_1256/klagomålsmail/A 62060-2022 FSC-klagomål mail.docx", "A 62060-2022")</f>
        <v/>
      </c>
      <c r="X87">
        <f>HYPERLINK("https://klasma.github.io/Logging_1256/tillsyn/A 62060-2022 tillsynsbegäran.docx", "A 62060-2022")</f>
        <v/>
      </c>
      <c r="Y87">
        <f>HYPERLINK("https://klasma.github.io/Logging_1256/tillsynsmail/A 62060-2022 tillsynsbegäran mail.docx", "A 62060-2022")</f>
        <v/>
      </c>
    </row>
    <row r="88" ht="15" customHeight="1">
      <c r="A88" t="inlineStr">
        <is>
          <t>A 2943-2023</t>
        </is>
      </c>
      <c r="B88" s="1" t="n">
        <v>44945</v>
      </c>
      <c r="C88" s="1" t="n">
        <v>45744</v>
      </c>
      <c r="D88" t="inlineStr">
        <is>
          <t>SKÅNE LÄN</t>
        </is>
      </c>
      <c r="E88" t="inlineStr">
        <is>
          <t>BÅSTAD</t>
        </is>
      </c>
      <c r="G88" t="n">
        <v>11.3</v>
      </c>
      <c r="H88" t="n">
        <v>1</v>
      </c>
      <c r="I88" t="n">
        <v>1</v>
      </c>
      <c r="J88" t="n">
        <v>0</v>
      </c>
      <c r="K88" t="n">
        <v>0</v>
      </c>
      <c r="L88" t="n">
        <v>0</v>
      </c>
      <c r="M88" t="n">
        <v>1</v>
      </c>
      <c r="N88" t="n">
        <v>0</v>
      </c>
      <c r="O88" t="n">
        <v>1</v>
      </c>
      <c r="P88" t="n">
        <v>1</v>
      </c>
      <c r="Q88" t="n">
        <v>3</v>
      </c>
      <c r="R88" s="2" t="inlineStr">
        <is>
          <t>Skogsalm
Sårläka
Grönvit nattviol</t>
        </is>
      </c>
      <c r="S88">
        <f>HYPERLINK("https://klasma.github.io/Logging_1278/artfynd/A 2943-2023 artfynd.xlsx", "A 2943-2023")</f>
        <v/>
      </c>
      <c r="T88">
        <f>HYPERLINK("https://klasma.github.io/Logging_1278/kartor/A 2943-2023 karta.png", "A 2943-2023")</f>
        <v/>
      </c>
      <c r="V88">
        <f>HYPERLINK("https://klasma.github.io/Logging_1278/klagomål/A 2943-2023 FSC-klagomål.docx", "A 2943-2023")</f>
        <v/>
      </c>
      <c r="W88">
        <f>HYPERLINK("https://klasma.github.io/Logging_1278/klagomålsmail/A 2943-2023 FSC-klagomål mail.docx", "A 2943-2023")</f>
        <v/>
      </c>
      <c r="X88">
        <f>HYPERLINK("https://klasma.github.io/Logging_1278/tillsyn/A 2943-2023 tillsynsbegäran.docx", "A 2943-2023")</f>
        <v/>
      </c>
      <c r="Y88">
        <f>HYPERLINK("https://klasma.github.io/Logging_1278/tillsynsmail/A 2943-2023 tillsynsbegäran mail.docx", "A 2943-2023")</f>
        <v/>
      </c>
    </row>
    <row r="89" ht="15" customHeight="1">
      <c r="A89" t="inlineStr">
        <is>
          <t>A 7554-2023</t>
        </is>
      </c>
      <c r="B89" s="1" t="n">
        <v>44967</v>
      </c>
      <c r="C89" s="1" t="n">
        <v>45744</v>
      </c>
      <c r="D89" t="inlineStr">
        <is>
          <t>SKÅNE LÄN</t>
        </is>
      </c>
      <c r="E89" t="inlineStr">
        <is>
          <t>BROMÖLLA</t>
        </is>
      </c>
      <c r="G89" t="n">
        <v>2.8</v>
      </c>
      <c r="H89" t="n">
        <v>0</v>
      </c>
      <c r="I89" t="n">
        <v>3</v>
      </c>
      <c r="J89" t="n">
        <v>0</v>
      </c>
      <c r="K89" t="n">
        <v>0</v>
      </c>
      <c r="L89" t="n">
        <v>0</v>
      </c>
      <c r="M89" t="n">
        <v>0</v>
      </c>
      <c r="N89" t="n">
        <v>0</v>
      </c>
      <c r="O89" t="n">
        <v>0</v>
      </c>
      <c r="P89" t="n">
        <v>0</v>
      </c>
      <c r="Q89" t="n">
        <v>3</v>
      </c>
      <c r="R89" s="2" t="inlineStr">
        <is>
          <t>Stor häxört
Svart trolldruva
Underviol</t>
        </is>
      </c>
      <c r="S89">
        <f>HYPERLINK("https://klasma.github.io/Logging_1272/artfynd/A 7554-2023 artfynd.xlsx", "A 7554-2023")</f>
        <v/>
      </c>
      <c r="T89">
        <f>HYPERLINK("https://klasma.github.io/Logging_1272/kartor/A 7554-2023 karta.png", "A 7554-2023")</f>
        <v/>
      </c>
      <c r="V89">
        <f>HYPERLINK("https://klasma.github.io/Logging_1272/klagomål/A 7554-2023 FSC-klagomål.docx", "A 7554-2023")</f>
        <v/>
      </c>
      <c r="W89">
        <f>HYPERLINK("https://klasma.github.io/Logging_1272/klagomålsmail/A 7554-2023 FSC-klagomål mail.docx", "A 7554-2023")</f>
        <v/>
      </c>
      <c r="X89">
        <f>HYPERLINK("https://klasma.github.io/Logging_1272/tillsyn/A 7554-2023 tillsynsbegäran.docx", "A 7554-2023")</f>
        <v/>
      </c>
      <c r="Y89">
        <f>HYPERLINK("https://klasma.github.io/Logging_1272/tillsynsmail/A 7554-2023 tillsynsbegäran mail.docx", "A 7554-2023")</f>
        <v/>
      </c>
    </row>
    <row r="90" ht="15" customHeight="1">
      <c r="A90" t="inlineStr">
        <is>
          <t>A 12576-2023</t>
        </is>
      </c>
      <c r="B90" s="1" t="n">
        <v>45000</v>
      </c>
      <c r="C90" s="1" t="n">
        <v>45744</v>
      </c>
      <c r="D90" t="inlineStr">
        <is>
          <t>SKÅNE LÄN</t>
        </is>
      </c>
      <c r="E90" t="inlineStr">
        <is>
          <t>KRISTIANSTAD</t>
        </is>
      </c>
      <c r="G90" t="n">
        <v>5.8</v>
      </c>
      <c r="H90" t="n">
        <v>0</v>
      </c>
      <c r="I90" t="n">
        <v>0</v>
      </c>
      <c r="J90" t="n">
        <v>2</v>
      </c>
      <c r="K90" t="n">
        <v>1</v>
      </c>
      <c r="L90" t="n">
        <v>0</v>
      </c>
      <c r="M90" t="n">
        <v>0</v>
      </c>
      <c r="N90" t="n">
        <v>0</v>
      </c>
      <c r="O90" t="n">
        <v>3</v>
      </c>
      <c r="P90" t="n">
        <v>1</v>
      </c>
      <c r="Q90" t="n">
        <v>3</v>
      </c>
      <c r="R90" s="2" t="inlineStr">
        <is>
          <t>Bukspolsnäcka
Lamellsnäcka
Tandsnäcka</t>
        </is>
      </c>
      <c r="S90">
        <f>HYPERLINK("https://klasma.github.io/Logging_1290/artfynd/A 12576-2023 artfynd.xlsx", "A 12576-2023")</f>
        <v/>
      </c>
      <c r="T90">
        <f>HYPERLINK("https://klasma.github.io/Logging_1290/kartor/A 12576-2023 karta.png", "A 12576-2023")</f>
        <v/>
      </c>
      <c r="V90">
        <f>HYPERLINK("https://klasma.github.io/Logging_1290/klagomål/A 12576-2023 FSC-klagomål.docx", "A 12576-2023")</f>
        <v/>
      </c>
      <c r="W90">
        <f>HYPERLINK("https://klasma.github.io/Logging_1290/klagomålsmail/A 12576-2023 FSC-klagomål mail.docx", "A 12576-2023")</f>
        <v/>
      </c>
      <c r="X90">
        <f>HYPERLINK("https://klasma.github.io/Logging_1290/tillsyn/A 12576-2023 tillsynsbegäran.docx", "A 12576-2023")</f>
        <v/>
      </c>
      <c r="Y90">
        <f>HYPERLINK("https://klasma.github.io/Logging_1290/tillsynsmail/A 12576-2023 tillsynsbegäran mail.docx", "A 12576-2023")</f>
        <v/>
      </c>
    </row>
    <row r="91" ht="15" customHeight="1">
      <c r="A91" t="inlineStr">
        <is>
          <t>A 18969-2023</t>
        </is>
      </c>
      <c r="B91" s="1" t="n">
        <v>45044</v>
      </c>
      <c r="C91" s="1" t="n">
        <v>45744</v>
      </c>
      <c r="D91" t="inlineStr">
        <is>
          <t>SKÅNE LÄN</t>
        </is>
      </c>
      <c r="E91" t="inlineStr">
        <is>
          <t>SJÖBO</t>
        </is>
      </c>
      <c r="G91" t="n">
        <v>5.7</v>
      </c>
      <c r="H91" t="n">
        <v>0</v>
      </c>
      <c r="I91" t="n">
        <v>3</v>
      </c>
      <c r="J91" t="n">
        <v>0</v>
      </c>
      <c r="K91" t="n">
        <v>0</v>
      </c>
      <c r="L91" t="n">
        <v>0</v>
      </c>
      <c r="M91" t="n">
        <v>0</v>
      </c>
      <c r="N91" t="n">
        <v>0</v>
      </c>
      <c r="O91" t="n">
        <v>0</v>
      </c>
      <c r="P91" t="n">
        <v>0</v>
      </c>
      <c r="Q91" t="n">
        <v>3</v>
      </c>
      <c r="R91" s="2" t="inlineStr">
        <is>
          <t>Kransrams
Lundbräsma
Platt fjädermossa</t>
        </is>
      </c>
      <c r="S91">
        <f>HYPERLINK("https://klasma.github.io/Logging_1265/artfynd/A 18969-2023 artfynd.xlsx", "A 18969-2023")</f>
        <v/>
      </c>
      <c r="T91">
        <f>HYPERLINK("https://klasma.github.io/Logging_1265/kartor/A 18969-2023 karta.png", "A 18969-2023")</f>
        <v/>
      </c>
      <c r="V91">
        <f>HYPERLINK("https://klasma.github.io/Logging_1265/klagomål/A 18969-2023 FSC-klagomål.docx", "A 18969-2023")</f>
        <v/>
      </c>
      <c r="W91">
        <f>HYPERLINK("https://klasma.github.io/Logging_1265/klagomålsmail/A 18969-2023 FSC-klagomål mail.docx", "A 18969-2023")</f>
        <v/>
      </c>
      <c r="X91">
        <f>HYPERLINK("https://klasma.github.io/Logging_1265/tillsyn/A 18969-2023 tillsynsbegäran.docx", "A 18969-2023")</f>
        <v/>
      </c>
      <c r="Y91">
        <f>HYPERLINK("https://klasma.github.io/Logging_1265/tillsynsmail/A 18969-2023 tillsynsbegäran mail.docx", "A 18969-2023")</f>
        <v/>
      </c>
    </row>
    <row r="92" ht="15" customHeight="1">
      <c r="A92" t="inlineStr">
        <is>
          <t>A 19517-2023</t>
        </is>
      </c>
      <c r="B92" s="1" t="n">
        <v>45050</v>
      </c>
      <c r="C92" s="1" t="n">
        <v>45744</v>
      </c>
      <c r="D92" t="inlineStr">
        <is>
          <t>SKÅNE LÄN</t>
        </is>
      </c>
      <c r="E92" t="inlineStr">
        <is>
          <t>HÖÖR</t>
        </is>
      </c>
      <c r="G92" t="n">
        <v>6.2</v>
      </c>
      <c r="H92" t="n">
        <v>1</v>
      </c>
      <c r="I92" t="n">
        <v>2</v>
      </c>
      <c r="J92" t="n">
        <v>0</v>
      </c>
      <c r="K92" t="n">
        <v>1</v>
      </c>
      <c r="L92" t="n">
        <v>0</v>
      </c>
      <c r="M92" t="n">
        <v>0</v>
      </c>
      <c r="N92" t="n">
        <v>0</v>
      </c>
      <c r="O92" t="n">
        <v>1</v>
      </c>
      <c r="P92" t="n">
        <v>1</v>
      </c>
      <c r="Q92" t="n">
        <v>3</v>
      </c>
      <c r="R92" s="2" t="inlineStr">
        <is>
          <t>Backsippa
Dvärghäxört
Liten stinksvamp</t>
        </is>
      </c>
      <c r="S92">
        <f>HYPERLINK("https://klasma.github.io/Logging_1267/artfynd/A 19517-2023 artfynd.xlsx", "A 19517-2023")</f>
        <v/>
      </c>
      <c r="T92">
        <f>HYPERLINK("https://klasma.github.io/Logging_1267/kartor/A 19517-2023 karta.png", "A 19517-2023")</f>
        <v/>
      </c>
      <c r="V92">
        <f>HYPERLINK("https://klasma.github.io/Logging_1267/klagomål/A 19517-2023 FSC-klagomål.docx", "A 19517-2023")</f>
        <v/>
      </c>
      <c r="W92">
        <f>HYPERLINK("https://klasma.github.io/Logging_1267/klagomålsmail/A 19517-2023 FSC-klagomål mail.docx", "A 19517-2023")</f>
        <v/>
      </c>
      <c r="X92">
        <f>HYPERLINK("https://klasma.github.io/Logging_1267/tillsyn/A 19517-2023 tillsynsbegäran.docx", "A 19517-2023")</f>
        <v/>
      </c>
      <c r="Y92">
        <f>HYPERLINK("https://klasma.github.io/Logging_1267/tillsynsmail/A 19517-2023 tillsynsbegäran mail.docx", "A 19517-2023")</f>
        <v/>
      </c>
    </row>
    <row r="93" ht="15" customHeight="1">
      <c r="A93" t="inlineStr">
        <is>
          <t>A 27902-2023</t>
        </is>
      </c>
      <c r="B93" s="1" t="n">
        <v>45098</v>
      </c>
      <c r="C93" s="1" t="n">
        <v>45744</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28874-2023</t>
        </is>
      </c>
      <c r="B94" s="1" t="n">
        <v>45104</v>
      </c>
      <c r="C94" s="1" t="n">
        <v>45744</v>
      </c>
      <c r="D94" t="inlineStr">
        <is>
          <t>SKÅNE LÄN</t>
        </is>
      </c>
      <c r="E94" t="inlineStr">
        <is>
          <t>ÄNGELHOLM</t>
        </is>
      </c>
      <c r="G94" t="n">
        <v>9</v>
      </c>
      <c r="H94" t="n">
        <v>1</v>
      </c>
      <c r="I94" t="n">
        <v>2</v>
      </c>
      <c r="J94" t="n">
        <v>0</v>
      </c>
      <c r="K94" t="n">
        <v>0</v>
      </c>
      <c r="L94" t="n">
        <v>0</v>
      </c>
      <c r="M94" t="n">
        <v>0</v>
      </c>
      <c r="N94" t="n">
        <v>0</v>
      </c>
      <c r="O94" t="n">
        <v>0</v>
      </c>
      <c r="P94" t="n">
        <v>0</v>
      </c>
      <c r="Q94" t="n">
        <v>3</v>
      </c>
      <c r="R94" s="2" t="inlineStr">
        <is>
          <t>Blåmossa
Stubbspretmossa
Revlummer</t>
        </is>
      </c>
      <c r="S94">
        <f>HYPERLINK("https://klasma.github.io/Logging_1292/artfynd/A 28874-2023 artfynd.xlsx", "A 28874-2023")</f>
        <v/>
      </c>
      <c r="T94">
        <f>HYPERLINK("https://klasma.github.io/Logging_1292/kartor/A 28874-2023 karta.png", "A 28874-2023")</f>
        <v/>
      </c>
      <c r="V94">
        <f>HYPERLINK("https://klasma.github.io/Logging_1292/klagomål/A 28874-2023 FSC-klagomål.docx", "A 28874-2023")</f>
        <v/>
      </c>
      <c r="W94">
        <f>HYPERLINK("https://klasma.github.io/Logging_1292/klagomålsmail/A 28874-2023 FSC-klagomål mail.docx", "A 28874-2023")</f>
        <v/>
      </c>
      <c r="X94">
        <f>HYPERLINK("https://klasma.github.io/Logging_1292/tillsyn/A 28874-2023 tillsynsbegäran.docx", "A 28874-2023")</f>
        <v/>
      </c>
      <c r="Y94">
        <f>HYPERLINK("https://klasma.github.io/Logging_1292/tillsynsmail/A 28874-2023 tillsynsbegäran mail.docx", "A 28874-2023")</f>
        <v/>
      </c>
    </row>
    <row r="95" ht="15" customHeight="1">
      <c r="A95" t="inlineStr">
        <is>
          <t>A 34816-2023</t>
        </is>
      </c>
      <c r="B95" s="1" t="n">
        <v>45141</v>
      </c>
      <c r="C95" s="1" t="n">
        <v>45744</v>
      </c>
      <c r="D95" t="inlineStr">
        <is>
          <t>SKÅNE LÄN</t>
        </is>
      </c>
      <c r="E95" t="inlineStr">
        <is>
          <t>SVALÖV</t>
        </is>
      </c>
      <c r="G95" t="n">
        <v>1.6</v>
      </c>
      <c r="H95" t="n">
        <v>0</v>
      </c>
      <c r="I95" t="n">
        <v>1</v>
      </c>
      <c r="J95" t="n">
        <v>1</v>
      </c>
      <c r="K95" t="n">
        <v>1</v>
      </c>
      <c r="L95" t="n">
        <v>0</v>
      </c>
      <c r="M95" t="n">
        <v>0</v>
      </c>
      <c r="N95" t="n">
        <v>0</v>
      </c>
      <c r="O95" t="n">
        <v>2</v>
      </c>
      <c r="P95" t="n">
        <v>1</v>
      </c>
      <c r="Q95" t="n">
        <v>3</v>
      </c>
      <c r="R95" s="2" t="inlineStr">
        <is>
          <t>Bokblombock
Koralltaggsvamp
Jättesvampmal</t>
        </is>
      </c>
      <c r="S95">
        <f>HYPERLINK("https://klasma.github.io/Logging_1214/artfynd/A 34816-2023 artfynd.xlsx", "A 34816-2023")</f>
        <v/>
      </c>
      <c r="T95">
        <f>HYPERLINK("https://klasma.github.io/Logging_1214/kartor/A 34816-2023 karta.png", "A 34816-2023")</f>
        <v/>
      </c>
      <c r="V95">
        <f>HYPERLINK("https://klasma.github.io/Logging_1214/klagomål/A 34816-2023 FSC-klagomål.docx", "A 34816-2023")</f>
        <v/>
      </c>
      <c r="W95">
        <f>HYPERLINK("https://klasma.github.io/Logging_1214/klagomålsmail/A 34816-2023 FSC-klagomål mail.docx", "A 34816-2023")</f>
        <v/>
      </c>
      <c r="X95">
        <f>HYPERLINK("https://klasma.github.io/Logging_1214/tillsyn/A 34816-2023 tillsynsbegäran.docx", "A 34816-2023")</f>
        <v/>
      </c>
      <c r="Y95">
        <f>HYPERLINK("https://klasma.github.io/Logging_1214/tillsynsmail/A 34816-2023 tillsynsbegäran mail.docx", "A 34816-2023")</f>
        <v/>
      </c>
    </row>
    <row r="96" ht="15" customHeight="1">
      <c r="A96" t="inlineStr">
        <is>
          <t>A 38703-2023</t>
        </is>
      </c>
      <c r="B96" s="1" t="n">
        <v>45163</v>
      </c>
      <c r="C96" s="1" t="n">
        <v>45744</v>
      </c>
      <c r="D96" t="inlineStr">
        <is>
          <t>SKÅNE LÄN</t>
        </is>
      </c>
      <c r="E96" t="inlineStr">
        <is>
          <t>KRISTIANSTAD</t>
        </is>
      </c>
      <c r="G96" t="n">
        <v>7.6</v>
      </c>
      <c r="H96" t="n">
        <v>2</v>
      </c>
      <c r="I96" t="n">
        <v>0</v>
      </c>
      <c r="J96" t="n">
        <v>2</v>
      </c>
      <c r="K96" t="n">
        <v>0</v>
      </c>
      <c r="L96" t="n">
        <v>0</v>
      </c>
      <c r="M96" t="n">
        <v>0</v>
      </c>
      <c r="N96" t="n">
        <v>0</v>
      </c>
      <c r="O96" t="n">
        <v>2</v>
      </c>
      <c r="P96" t="n">
        <v>0</v>
      </c>
      <c r="Q96" t="n">
        <v>3</v>
      </c>
      <c r="R96" s="2" t="inlineStr">
        <is>
          <t>Backtimjan
Spillkråka
Törnskata</t>
        </is>
      </c>
      <c r="S96">
        <f>HYPERLINK("https://klasma.github.io/Logging_1290/artfynd/A 38703-2023 artfynd.xlsx", "A 38703-2023")</f>
        <v/>
      </c>
      <c r="T96">
        <f>HYPERLINK("https://klasma.github.io/Logging_1290/kartor/A 38703-2023 karta.png", "A 38703-2023")</f>
        <v/>
      </c>
      <c r="V96">
        <f>HYPERLINK("https://klasma.github.io/Logging_1290/klagomål/A 38703-2023 FSC-klagomål.docx", "A 38703-2023")</f>
        <v/>
      </c>
      <c r="W96">
        <f>HYPERLINK("https://klasma.github.io/Logging_1290/klagomålsmail/A 38703-2023 FSC-klagomål mail.docx", "A 38703-2023")</f>
        <v/>
      </c>
      <c r="X96">
        <f>HYPERLINK("https://klasma.github.io/Logging_1290/tillsyn/A 38703-2023 tillsynsbegäran.docx", "A 38703-2023")</f>
        <v/>
      </c>
      <c r="Y96">
        <f>HYPERLINK("https://klasma.github.io/Logging_1290/tillsynsmail/A 38703-2023 tillsynsbegäran mail.docx", "A 38703-2023")</f>
        <v/>
      </c>
      <c r="Z96">
        <f>HYPERLINK("https://klasma.github.io/Logging_1290/fåglar/A 38703-2023 prioriterade fågelarter.docx", "A 38703-2023")</f>
        <v/>
      </c>
    </row>
    <row r="97" ht="15" customHeight="1">
      <c r="A97" t="inlineStr">
        <is>
          <t>A 54644-2023</t>
        </is>
      </c>
      <c r="B97" s="1" t="n">
        <v>45235</v>
      </c>
      <c r="C97" s="1" t="n">
        <v>45744</v>
      </c>
      <c r="D97" t="inlineStr">
        <is>
          <t>SKÅNE LÄN</t>
        </is>
      </c>
      <c r="E97" t="inlineStr">
        <is>
          <t>KLIPPAN</t>
        </is>
      </c>
      <c r="G97" t="n">
        <v>9.6</v>
      </c>
      <c r="H97" t="n">
        <v>2</v>
      </c>
      <c r="I97" t="n">
        <v>1</v>
      </c>
      <c r="J97" t="n">
        <v>1</v>
      </c>
      <c r="K97" t="n">
        <v>0</v>
      </c>
      <c r="L97" t="n">
        <v>0</v>
      </c>
      <c r="M97" t="n">
        <v>0</v>
      </c>
      <c r="N97" t="n">
        <v>0</v>
      </c>
      <c r="O97" t="n">
        <v>1</v>
      </c>
      <c r="P97" t="n">
        <v>0</v>
      </c>
      <c r="Q97" t="n">
        <v>3</v>
      </c>
      <c r="R97" s="2" t="inlineStr">
        <is>
          <t>Spillkråka
Havstulpanlav
Skogsduva</t>
        </is>
      </c>
      <c r="S97">
        <f>HYPERLINK("https://klasma.github.io/Logging_1276/artfynd/A 54644-2023 artfynd.xlsx", "A 54644-2023")</f>
        <v/>
      </c>
      <c r="T97">
        <f>HYPERLINK("https://klasma.github.io/Logging_1276/kartor/A 54644-2023 karta.png", "A 54644-2023")</f>
        <v/>
      </c>
      <c r="V97">
        <f>HYPERLINK("https://klasma.github.io/Logging_1276/klagomål/A 54644-2023 FSC-klagomål.docx", "A 54644-2023")</f>
        <v/>
      </c>
      <c r="W97">
        <f>HYPERLINK("https://klasma.github.io/Logging_1276/klagomålsmail/A 54644-2023 FSC-klagomål mail.docx", "A 54644-2023")</f>
        <v/>
      </c>
      <c r="X97">
        <f>HYPERLINK("https://klasma.github.io/Logging_1276/tillsyn/A 54644-2023 tillsynsbegäran.docx", "A 54644-2023")</f>
        <v/>
      </c>
      <c r="Y97">
        <f>HYPERLINK("https://klasma.github.io/Logging_1276/tillsynsmail/A 54644-2023 tillsynsbegäran mail.docx", "A 54644-2023")</f>
        <v/>
      </c>
      <c r="Z97">
        <f>HYPERLINK("https://klasma.github.io/Logging_1276/fåglar/A 54644-2023 prioriterade fågelarter.docx", "A 54644-2023")</f>
        <v/>
      </c>
    </row>
    <row r="98" ht="15" customHeight="1">
      <c r="A98" t="inlineStr">
        <is>
          <t>A 56742-2023</t>
        </is>
      </c>
      <c r="B98" s="1" t="n">
        <v>45238</v>
      </c>
      <c r="C98" s="1" t="n">
        <v>45744</v>
      </c>
      <c r="D98" t="inlineStr">
        <is>
          <t>SKÅNE LÄN</t>
        </is>
      </c>
      <c r="E98" t="inlineStr">
        <is>
          <t>HÖRBY</t>
        </is>
      </c>
      <c r="G98" t="n">
        <v>8.699999999999999</v>
      </c>
      <c r="H98" t="n">
        <v>2</v>
      </c>
      <c r="I98" t="n">
        <v>1</v>
      </c>
      <c r="J98" t="n">
        <v>1</v>
      </c>
      <c r="K98" t="n">
        <v>0</v>
      </c>
      <c r="L98" t="n">
        <v>0</v>
      </c>
      <c r="M98" t="n">
        <v>0</v>
      </c>
      <c r="N98" t="n">
        <v>0</v>
      </c>
      <c r="O98" t="n">
        <v>1</v>
      </c>
      <c r="P98" t="n">
        <v>0</v>
      </c>
      <c r="Q98" t="n">
        <v>3</v>
      </c>
      <c r="R98" s="2" t="inlineStr">
        <is>
          <t>Mindre hackspett
Scharlakansskål
Skogsödla</t>
        </is>
      </c>
      <c r="S98">
        <f>HYPERLINK("https://klasma.github.io/Logging_1266/artfynd/A 56742-2023 artfynd.xlsx", "A 56742-2023")</f>
        <v/>
      </c>
      <c r="T98">
        <f>HYPERLINK("https://klasma.github.io/Logging_1266/kartor/A 56742-2023 karta.png", "A 56742-2023")</f>
        <v/>
      </c>
      <c r="V98">
        <f>HYPERLINK("https://klasma.github.io/Logging_1266/klagomål/A 56742-2023 FSC-klagomål.docx", "A 56742-2023")</f>
        <v/>
      </c>
      <c r="W98">
        <f>HYPERLINK("https://klasma.github.io/Logging_1266/klagomålsmail/A 56742-2023 FSC-klagomål mail.docx", "A 56742-2023")</f>
        <v/>
      </c>
      <c r="X98">
        <f>HYPERLINK("https://klasma.github.io/Logging_1266/tillsyn/A 56742-2023 tillsynsbegäran.docx", "A 56742-2023")</f>
        <v/>
      </c>
      <c r="Y98">
        <f>HYPERLINK("https://klasma.github.io/Logging_1266/tillsynsmail/A 56742-2023 tillsynsbegäran mail.docx", "A 56742-2023")</f>
        <v/>
      </c>
      <c r="Z98">
        <f>HYPERLINK("https://klasma.github.io/Logging_1266/fåglar/A 56742-2023 prioriterade fågelarter.docx", "A 56742-2023")</f>
        <v/>
      </c>
    </row>
    <row r="99" ht="15" customHeight="1">
      <c r="A99" t="inlineStr">
        <is>
          <t>A 62654-2023</t>
        </is>
      </c>
      <c r="B99" s="1" t="n">
        <v>45271</v>
      </c>
      <c r="C99" s="1" t="n">
        <v>45744</v>
      </c>
      <c r="D99" t="inlineStr">
        <is>
          <t>SKÅNE LÄN</t>
        </is>
      </c>
      <c r="E99" t="inlineStr">
        <is>
          <t>OSBY</t>
        </is>
      </c>
      <c r="F99" t="inlineStr">
        <is>
          <t>Naturvårdsverket</t>
        </is>
      </c>
      <c r="G99" t="n">
        <v>8.699999999999999</v>
      </c>
      <c r="H99" t="n">
        <v>3</v>
      </c>
      <c r="I99" t="n">
        <v>0</v>
      </c>
      <c r="J99" t="n">
        <v>2</v>
      </c>
      <c r="K99" t="n">
        <v>0</v>
      </c>
      <c r="L99" t="n">
        <v>0</v>
      </c>
      <c r="M99" t="n">
        <v>0</v>
      </c>
      <c r="N99" t="n">
        <v>0</v>
      </c>
      <c r="O99" t="n">
        <v>2</v>
      </c>
      <c r="P99" t="n">
        <v>0</v>
      </c>
      <c r="Q99" t="n">
        <v>3</v>
      </c>
      <c r="R99" s="2" t="inlineStr">
        <is>
          <t>Entita
Mindre hackspett
Kungsfågel</t>
        </is>
      </c>
      <c r="S99">
        <f>HYPERLINK("https://klasma.github.io/Logging_1273/artfynd/A 62654-2023 artfynd.xlsx", "A 62654-2023")</f>
        <v/>
      </c>
      <c r="T99">
        <f>HYPERLINK("https://klasma.github.io/Logging_1273/kartor/A 62654-2023 karta.png", "A 62654-2023")</f>
        <v/>
      </c>
      <c r="V99">
        <f>HYPERLINK("https://klasma.github.io/Logging_1273/klagomål/A 62654-2023 FSC-klagomål.docx", "A 62654-2023")</f>
        <v/>
      </c>
      <c r="W99">
        <f>HYPERLINK("https://klasma.github.io/Logging_1273/klagomålsmail/A 62654-2023 FSC-klagomål mail.docx", "A 62654-2023")</f>
        <v/>
      </c>
      <c r="X99">
        <f>HYPERLINK("https://klasma.github.io/Logging_1273/tillsyn/A 62654-2023 tillsynsbegäran.docx", "A 62654-2023")</f>
        <v/>
      </c>
      <c r="Y99">
        <f>HYPERLINK("https://klasma.github.io/Logging_1273/tillsynsmail/A 62654-2023 tillsynsbegäran mail.docx", "A 62654-2023")</f>
        <v/>
      </c>
      <c r="Z99">
        <f>HYPERLINK("https://klasma.github.io/Logging_1273/fåglar/A 62654-2023 prioriterade fågelarter.docx", "A 62654-2023")</f>
        <v/>
      </c>
    </row>
    <row r="100" ht="15" customHeight="1">
      <c r="A100" t="inlineStr">
        <is>
          <t>A 64633-2023</t>
        </is>
      </c>
      <c r="B100" s="1" t="n">
        <v>45281</v>
      </c>
      <c r="C100" s="1" t="n">
        <v>45744</v>
      </c>
      <c r="D100" t="inlineStr">
        <is>
          <t>SKÅNE LÄN</t>
        </is>
      </c>
      <c r="E100" t="inlineStr">
        <is>
          <t>HÖRBY</t>
        </is>
      </c>
      <c r="G100" t="n">
        <v>1.4</v>
      </c>
      <c r="H100" t="n">
        <v>0</v>
      </c>
      <c r="I100" t="n">
        <v>1</v>
      </c>
      <c r="J100" t="n">
        <v>2</v>
      </c>
      <c r="K100" t="n">
        <v>0</v>
      </c>
      <c r="L100" t="n">
        <v>0</v>
      </c>
      <c r="M100" t="n">
        <v>0</v>
      </c>
      <c r="N100" t="n">
        <v>0</v>
      </c>
      <c r="O100" t="n">
        <v>2</v>
      </c>
      <c r="P100" t="n">
        <v>0</v>
      </c>
      <c r="Q100" t="n">
        <v>3</v>
      </c>
      <c r="R100" s="2" t="inlineStr">
        <is>
          <t>Fläckig glansspinnare
Skogslysing
Stor häxört</t>
        </is>
      </c>
      <c r="S100">
        <f>HYPERLINK("https://klasma.github.io/Logging_1266/artfynd/A 64633-2023 artfynd.xlsx", "A 64633-2023")</f>
        <v/>
      </c>
      <c r="T100">
        <f>HYPERLINK("https://klasma.github.io/Logging_1266/kartor/A 64633-2023 karta.png", "A 64633-2023")</f>
        <v/>
      </c>
      <c r="V100">
        <f>HYPERLINK("https://klasma.github.io/Logging_1266/klagomål/A 64633-2023 FSC-klagomål.docx", "A 64633-2023")</f>
        <v/>
      </c>
      <c r="W100">
        <f>HYPERLINK("https://klasma.github.io/Logging_1266/klagomålsmail/A 64633-2023 FSC-klagomål mail.docx", "A 64633-2023")</f>
        <v/>
      </c>
      <c r="X100">
        <f>HYPERLINK("https://klasma.github.io/Logging_1266/tillsyn/A 64633-2023 tillsynsbegäran.docx", "A 64633-2023")</f>
        <v/>
      </c>
      <c r="Y100">
        <f>HYPERLINK("https://klasma.github.io/Logging_1266/tillsynsmail/A 64633-2023 tillsynsbegäran mail.docx", "A 64633-2023")</f>
        <v/>
      </c>
    </row>
    <row r="101" ht="15" customHeight="1">
      <c r="A101" t="inlineStr">
        <is>
          <t>A 905-2024</t>
        </is>
      </c>
      <c r="B101" s="1" t="n">
        <v>45301</v>
      </c>
      <c r="C101" s="1" t="n">
        <v>45744</v>
      </c>
      <c r="D101" t="inlineStr">
        <is>
          <t>SKÅNE LÄN</t>
        </is>
      </c>
      <c r="E101" t="inlineStr">
        <is>
          <t>ÄNGELHOLM</t>
        </is>
      </c>
      <c r="G101" t="n">
        <v>4.9</v>
      </c>
      <c r="H101" t="n">
        <v>0</v>
      </c>
      <c r="I101" t="n">
        <v>1</v>
      </c>
      <c r="J101" t="n">
        <v>2</v>
      </c>
      <c r="K101" t="n">
        <v>0</v>
      </c>
      <c r="L101" t="n">
        <v>0</v>
      </c>
      <c r="M101" t="n">
        <v>0</v>
      </c>
      <c r="N101" t="n">
        <v>0</v>
      </c>
      <c r="O101" t="n">
        <v>2</v>
      </c>
      <c r="P101" t="n">
        <v>0</v>
      </c>
      <c r="Q101" t="n">
        <v>3</v>
      </c>
      <c r="R101" s="2" t="inlineStr">
        <is>
          <t>Boktigerfluga
Desmeknopp
Myskmadra</t>
        </is>
      </c>
      <c r="S101">
        <f>HYPERLINK("https://klasma.github.io/Logging_1292/artfynd/A 905-2024 artfynd.xlsx", "A 905-2024")</f>
        <v/>
      </c>
      <c r="T101">
        <f>HYPERLINK("https://klasma.github.io/Logging_1292/kartor/A 905-2024 karta.png", "A 905-2024")</f>
        <v/>
      </c>
      <c r="V101">
        <f>HYPERLINK("https://klasma.github.io/Logging_1292/klagomål/A 905-2024 FSC-klagomål.docx", "A 905-2024")</f>
        <v/>
      </c>
      <c r="W101">
        <f>HYPERLINK("https://klasma.github.io/Logging_1292/klagomålsmail/A 905-2024 FSC-klagomål mail.docx", "A 905-2024")</f>
        <v/>
      </c>
      <c r="X101">
        <f>HYPERLINK("https://klasma.github.io/Logging_1292/tillsyn/A 905-2024 tillsynsbegäran.docx", "A 905-2024")</f>
        <v/>
      </c>
      <c r="Y101">
        <f>HYPERLINK("https://klasma.github.io/Logging_1292/tillsynsmail/A 905-2024 tillsynsbegäran mail.docx", "A 905-2024")</f>
        <v/>
      </c>
    </row>
    <row r="102" ht="15" customHeight="1">
      <c r="A102" t="inlineStr">
        <is>
          <t>A 2888-2024</t>
        </is>
      </c>
      <c r="B102" s="1" t="n">
        <v>45315</v>
      </c>
      <c r="C102" s="1" t="n">
        <v>45744</v>
      </c>
      <c r="D102" t="inlineStr">
        <is>
          <t>SKÅNE LÄN</t>
        </is>
      </c>
      <c r="E102" t="inlineStr">
        <is>
          <t>KRISTIANSTAD</t>
        </is>
      </c>
      <c r="G102" t="n">
        <v>10</v>
      </c>
      <c r="H102" t="n">
        <v>0</v>
      </c>
      <c r="I102" t="n">
        <v>2</v>
      </c>
      <c r="J102" t="n">
        <v>0</v>
      </c>
      <c r="K102" t="n">
        <v>1</v>
      </c>
      <c r="L102" t="n">
        <v>0</v>
      </c>
      <c r="M102" t="n">
        <v>0</v>
      </c>
      <c r="N102" t="n">
        <v>0</v>
      </c>
      <c r="O102" t="n">
        <v>1</v>
      </c>
      <c r="P102" t="n">
        <v>1</v>
      </c>
      <c r="Q102" t="n">
        <v>3</v>
      </c>
      <c r="R102" s="2" t="inlineStr">
        <is>
          <t>Flenörtskapuschongfly
Kransrams
Stor häxört</t>
        </is>
      </c>
      <c r="S102">
        <f>HYPERLINK("https://klasma.github.io/Logging_1290/artfynd/A 2888-2024 artfynd.xlsx", "A 2888-2024")</f>
        <v/>
      </c>
      <c r="T102">
        <f>HYPERLINK("https://klasma.github.io/Logging_1290/kartor/A 2888-2024 karta.png", "A 2888-2024")</f>
        <v/>
      </c>
      <c r="V102">
        <f>HYPERLINK("https://klasma.github.io/Logging_1290/klagomål/A 2888-2024 FSC-klagomål.docx", "A 2888-2024")</f>
        <v/>
      </c>
      <c r="W102">
        <f>HYPERLINK("https://klasma.github.io/Logging_1290/klagomålsmail/A 2888-2024 FSC-klagomål mail.docx", "A 2888-2024")</f>
        <v/>
      </c>
      <c r="X102">
        <f>HYPERLINK("https://klasma.github.io/Logging_1290/tillsyn/A 2888-2024 tillsynsbegäran.docx", "A 2888-2024")</f>
        <v/>
      </c>
      <c r="Y102">
        <f>HYPERLINK("https://klasma.github.io/Logging_1290/tillsynsmail/A 2888-2024 tillsynsbegäran mail.docx", "A 2888-2024")</f>
        <v/>
      </c>
    </row>
    <row r="103" ht="15" customHeight="1">
      <c r="A103" t="inlineStr">
        <is>
          <t>A 5468-2024</t>
        </is>
      </c>
      <c r="B103" s="1" t="n">
        <v>45332</v>
      </c>
      <c r="C103" s="1" t="n">
        <v>45744</v>
      </c>
      <c r="D103" t="inlineStr">
        <is>
          <t>SKÅNE LÄN</t>
        </is>
      </c>
      <c r="E103" t="inlineStr">
        <is>
          <t>ÖSTRA GÖINGE</t>
        </is>
      </c>
      <c r="G103" t="n">
        <v>3.2</v>
      </c>
      <c r="H103" t="n">
        <v>0</v>
      </c>
      <c r="I103" t="n">
        <v>0</v>
      </c>
      <c r="J103" t="n">
        <v>2</v>
      </c>
      <c r="K103" t="n">
        <v>1</v>
      </c>
      <c r="L103" t="n">
        <v>0</v>
      </c>
      <c r="M103" t="n">
        <v>0</v>
      </c>
      <c r="N103" t="n">
        <v>0</v>
      </c>
      <c r="O103" t="n">
        <v>3</v>
      </c>
      <c r="P103" t="n">
        <v>1</v>
      </c>
      <c r="Q103" t="n">
        <v>3</v>
      </c>
      <c r="R103" s="2" t="inlineStr">
        <is>
          <t>Slåttergubbe
Månlåsbräken
Svinrot</t>
        </is>
      </c>
      <c r="S103">
        <f>HYPERLINK("https://klasma.github.io/Logging_1256/artfynd/A 5468-2024 artfynd.xlsx", "A 5468-2024")</f>
        <v/>
      </c>
      <c r="T103">
        <f>HYPERLINK("https://klasma.github.io/Logging_1256/kartor/A 5468-2024 karta.png", "A 5468-2024")</f>
        <v/>
      </c>
      <c r="V103">
        <f>HYPERLINK("https://klasma.github.io/Logging_1256/klagomål/A 5468-2024 FSC-klagomål.docx", "A 5468-2024")</f>
        <v/>
      </c>
      <c r="W103">
        <f>HYPERLINK("https://klasma.github.io/Logging_1256/klagomålsmail/A 5468-2024 FSC-klagomål mail.docx", "A 5468-2024")</f>
        <v/>
      </c>
      <c r="X103">
        <f>HYPERLINK("https://klasma.github.io/Logging_1256/tillsyn/A 5468-2024 tillsynsbegäran.docx", "A 5468-2024")</f>
        <v/>
      </c>
      <c r="Y103">
        <f>HYPERLINK("https://klasma.github.io/Logging_1256/tillsynsmail/A 5468-2024 tillsynsbegäran mail.docx", "A 5468-2024")</f>
        <v/>
      </c>
    </row>
    <row r="104" ht="15" customHeight="1">
      <c r="A104" t="inlineStr">
        <is>
          <t>A 7616-2024</t>
        </is>
      </c>
      <c r="B104" s="1" t="n">
        <v>45348</v>
      </c>
      <c r="C104" s="1" t="n">
        <v>45744</v>
      </c>
      <c r="D104" t="inlineStr">
        <is>
          <t>SKÅNE LÄN</t>
        </is>
      </c>
      <c r="E104" t="inlineStr">
        <is>
          <t>HÖÖR</t>
        </is>
      </c>
      <c r="G104" t="n">
        <v>4.2</v>
      </c>
      <c r="H104" t="n">
        <v>0</v>
      </c>
      <c r="I104" t="n">
        <v>0</v>
      </c>
      <c r="J104" t="n">
        <v>2</v>
      </c>
      <c r="K104" t="n">
        <v>1</v>
      </c>
      <c r="L104" t="n">
        <v>0</v>
      </c>
      <c r="M104" t="n">
        <v>0</v>
      </c>
      <c r="N104" t="n">
        <v>0</v>
      </c>
      <c r="O104" t="n">
        <v>3</v>
      </c>
      <c r="P104" t="n">
        <v>1</v>
      </c>
      <c r="Q104" t="n">
        <v>3</v>
      </c>
      <c r="R104" s="2" t="inlineStr">
        <is>
          <t>Flenörtskapuschongfly
Kösa
Åkerkulla</t>
        </is>
      </c>
      <c r="S104">
        <f>HYPERLINK("https://klasma.github.io/Logging_1267/artfynd/A 7616-2024 artfynd.xlsx", "A 7616-2024")</f>
        <v/>
      </c>
      <c r="T104">
        <f>HYPERLINK("https://klasma.github.io/Logging_1267/kartor/A 7616-2024 karta.png", "A 7616-2024")</f>
        <v/>
      </c>
      <c r="V104">
        <f>HYPERLINK("https://klasma.github.io/Logging_1267/klagomål/A 7616-2024 FSC-klagomål.docx", "A 7616-2024")</f>
        <v/>
      </c>
      <c r="W104">
        <f>HYPERLINK("https://klasma.github.io/Logging_1267/klagomålsmail/A 7616-2024 FSC-klagomål mail.docx", "A 7616-2024")</f>
        <v/>
      </c>
      <c r="X104">
        <f>HYPERLINK("https://klasma.github.io/Logging_1267/tillsyn/A 7616-2024 tillsynsbegäran.docx", "A 7616-2024")</f>
        <v/>
      </c>
      <c r="Y104">
        <f>HYPERLINK("https://klasma.github.io/Logging_1267/tillsynsmail/A 7616-2024 tillsynsbegäran mail.docx", "A 7616-2024")</f>
        <v/>
      </c>
    </row>
    <row r="105" ht="15" customHeight="1">
      <c r="A105" t="inlineStr">
        <is>
          <t>A 20193-2024</t>
        </is>
      </c>
      <c r="B105" s="1" t="n">
        <v>45434</v>
      </c>
      <c r="C105" s="1" t="n">
        <v>45744</v>
      </c>
      <c r="D105" t="inlineStr">
        <is>
          <t>SKÅNE LÄN</t>
        </is>
      </c>
      <c r="E105" t="inlineStr">
        <is>
          <t>HÖRBY</t>
        </is>
      </c>
      <c r="G105" t="n">
        <v>11.2</v>
      </c>
      <c r="H105" t="n">
        <v>0</v>
      </c>
      <c r="I105" t="n">
        <v>3</v>
      </c>
      <c r="J105" t="n">
        <v>0</v>
      </c>
      <c r="K105" t="n">
        <v>0</v>
      </c>
      <c r="L105" t="n">
        <v>0</v>
      </c>
      <c r="M105" t="n">
        <v>0</v>
      </c>
      <c r="N105" t="n">
        <v>0</v>
      </c>
      <c r="O105" t="n">
        <v>0</v>
      </c>
      <c r="P105" t="n">
        <v>0</v>
      </c>
      <c r="Q105" t="n">
        <v>3</v>
      </c>
      <c r="R105" s="2" t="inlineStr">
        <is>
          <t>Strutbräken
Vätteros
Vårärt</t>
        </is>
      </c>
      <c r="S105">
        <f>HYPERLINK("https://klasma.github.io/Logging_1266/artfynd/A 20193-2024 artfynd.xlsx", "A 20193-2024")</f>
        <v/>
      </c>
      <c r="T105">
        <f>HYPERLINK("https://klasma.github.io/Logging_1266/kartor/A 20193-2024 karta.png", "A 20193-2024")</f>
        <v/>
      </c>
      <c r="V105">
        <f>HYPERLINK("https://klasma.github.io/Logging_1266/klagomål/A 20193-2024 FSC-klagomål.docx", "A 20193-2024")</f>
        <v/>
      </c>
      <c r="W105">
        <f>HYPERLINK("https://klasma.github.io/Logging_1266/klagomålsmail/A 20193-2024 FSC-klagomål mail.docx", "A 20193-2024")</f>
        <v/>
      </c>
      <c r="X105">
        <f>HYPERLINK("https://klasma.github.io/Logging_1266/tillsyn/A 20193-2024 tillsynsbegäran.docx", "A 20193-2024")</f>
        <v/>
      </c>
      <c r="Y105">
        <f>HYPERLINK("https://klasma.github.io/Logging_1266/tillsynsmail/A 20193-2024 tillsynsbegäran mail.docx", "A 20193-2024")</f>
        <v/>
      </c>
    </row>
    <row r="106" ht="15" customHeight="1">
      <c r="A106" t="inlineStr">
        <is>
          <t>A 27244-2024</t>
        </is>
      </c>
      <c r="B106" s="1" t="n">
        <v>45471</v>
      </c>
      <c r="C106" s="1" t="n">
        <v>45744</v>
      </c>
      <c r="D106" t="inlineStr">
        <is>
          <t>SKÅNE LÄN</t>
        </is>
      </c>
      <c r="E106" t="inlineStr">
        <is>
          <t>SVEDALA</t>
        </is>
      </c>
      <c r="G106" t="n">
        <v>1.9</v>
      </c>
      <c r="H106" t="n">
        <v>1</v>
      </c>
      <c r="I106" t="n">
        <v>1</v>
      </c>
      <c r="J106" t="n">
        <v>2</v>
      </c>
      <c r="K106" t="n">
        <v>0</v>
      </c>
      <c r="L106" t="n">
        <v>0</v>
      </c>
      <c r="M106" t="n">
        <v>0</v>
      </c>
      <c r="N106" t="n">
        <v>0</v>
      </c>
      <c r="O106" t="n">
        <v>2</v>
      </c>
      <c r="P106" t="n">
        <v>0</v>
      </c>
      <c r="Q106" t="n">
        <v>3</v>
      </c>
      <c r="R106" s="2" t="inlineStr">
        <is>
          <t>Desmeknopp
Svartvit flugsnappare
Stor häxört</t>
        </is>
      </c>
      <c r="S106">
        <f>HYPERLINK("https://klasma.github.io/Logging_1263/artfynd/A 27244-2024 artfynd.xlsx", "A 27244-2024")</f>
        <v/>
      </c>
      <c r="T106">
        <f>HYPERLINK("https://klasma.github.io/Logging_1263/kartor/A 27244-2024 karta.png", "A 27244-2024")</f>
        <v/>
      </c>
      <c r="V106">
        <f>HYPERLINK("https://klasma.github.io/Logging_1263/klagomål/A 27244-2024 FSC-klagomål.docx", "A 27244-2024")</f>
        <v/>
      </c>
      <c r="W106">
        <f>HYPERLINK("https://klasma.github.io/Logging_1263/klagomålsmail/A 27244-2024 FSC-klagomål mail.docx", "A 27244-2024")</f>
        <v/>
      </c>
      <c r="X106">
        <f>HYPERLINK("https://klasma.github.io/Logging_1263/tillsyn/A 27244-2024 tillsynsbegäran.docx", "A 27244-2024")</f>
        <v/>
      </c>
      <c r="Y106">
        <f>HYPERLINK("https://klasma.github.io/Logging_1263/tillsynsmail/A 27244-2024 tillsynsbegäran mail.docx", "A 27244-2024")</f>
        <v/>
      </c>
      <c r="Z106">
        <f>HYPERLINK("https://klasma.github.io/Logging_1263/fåglar/A 27244-2024 prioriterade fågelarter.docx", "A 27244-2024")</f>
        <v/>
      </c>
    </row>
    <row r="107" ht="15" customHeight="1">
      <c r="A107" t="inlineStr">
        <is>
          <t>A 27430-2024</t>
        </is>
      </c>
      <c r="B107" s="1" t="n">
        <v>45474</v>
      </c>
      <c r="C107" s="1" t="n">
        <v>45744</v>
      </c>
      <c r="D107" t="inlineStr">
        <is>
          <t>SKÅNE LÄN</t>
        </is>
      </c>
      <c r="E107" t="inlineStr">
        <is>
          <t>SIMRISHAMN</t>
        </is>
      </c>
      <c r="G107" t="n">
        <v>3.9</v>
      </c>
      <c r="H107" t="n">
        <v>1</v>
      </c>
      <c r="I107" t="n">
        <v>2</v>
      </c>
      <c r="J107" t="n">
        <v>1</v>
      </c>
      <c r="K107" t="n">
        <v>0</v>
      </c>
      <c r="L107" t="n">
        <v>0</v>
      </c>
      <c r="M107" t="n">
        <v>0</v>
      </c>
      <c r="N107" t="n">
        <v>0</v>
      </c>
      <c r="O107" t="n">
        <v>1</v>
      </c>
      <c r="P107" t="n">
        <v>0</v>
      </c>
      <c r="Q107" t="n">
        <v>3</v>
      </c>
      <c r="R107" s="2" t="inlineStr">
        <is>
          <t>Spillkråka
Bokoxe
Rostfläck</t>
        </is>
      </c>
      <c r="S107">
        <f>HYPERLINK("https://klasma.github.io/Logging_1291/artfynd/A 27430-2024 artfynd.xlsx", "A 27430-2024")</f>
        <v/>
      </c>
      <c r="T107">
        <f>HYPERLINK("https://klasma.github.io/Logging_1291/kartor/A 27430-2024 karta.png", "A 27430-2024")</f>
        <v/>
      </c>
      <c r="V107">
        <f>HYPERLINK("https://klasma.github.io/Logging_1291/klagomål/A 27430-2024 FSC-klagomål.docx", "A 27430-2024")</f>
        <v/>
      </c>
      <c r="W107">
        <f>HYPERLINK("https://klasma.github.io/Logging_1291/klagomålsmail/A 27430-2024 FSC-klagomål mail.docx", "A 27430-2024")</f>
        <v/>
      </c>
      <c r="X107">
        <f>HYPERLINK("https://klasma.github.io/Logging_1291/tillsyn/A 27430-2024 tillsynsbegäran.docx", "A 27430-2024")</f>
        <v/>
      </c>
      <c r="Y107">
        <f>HYPERLINK("https://klasma.github.io/Logging_1291/tillsynsmail/A 27430-2024 tillsynsbegäran mail.docx", "A 27430-2024")</f>
        <v/>
      </c>
      <c r="Z107">
        <f>HYPERLINK("https://klasma.github.io/Logging_1291/fåglar/A 27430-2024 prioriterade fågelarter.docx", "A 27430-2024")</f>
        <v/>
      </c>
    </row>
    <row r="108" ht="15" customHeight="1">
      <c r="A108" t="inlineStr">
        <is>
          <t>A 31926-2024</t>
        </is>
      </c>
      <c r="B108" s="1" t="n">
        <v>45510</v>
      </c>
      <c r="C108" s="1" t="n">
        <v>45744</v>
      </c>
      <c r="D108" t="inlineStr">
        <is>
          <t>SKÅNE LÄN</t>
        </is>
      </c>
      <c r="E108" t="inlineStr">
        <is>
          <t>ÖRKELLJUNGA</t>
        </is>
      </c>
      <c r="G108" t="n">
        <v>1.9</v>
      </c>
      <c r="H108" t="n">
        <v>0</v>
      </c>
      <c r="I108" t="n">
        <v>3</v>
      </c>
      <c r="J108" t="n">
        <v>0</v>
      </c>
      <c r="K108" t="n">
        <v>0</v>
      </c>
      <c r="L108" t="n">
        <v>0</v>
      </c>
      <c r="M108" t="n">
        <v>0</v>
      </c>
      <c r="N108" t="n">
        <v>0</v>
      </c>
      <c r="O108" t="n">
        <v>0</v>
      </c>
      <c r="P108" t="n">
        <v>0</v>
      </c>
      <c r="Q108" t="n">
        <v>3</v>
      </c>
      <c r="R108" s="2" t="inlineStr">
        <is>
          <t>Havstulpanlav
Klippfrullania
Västlig hakmossa</t>
        </is>
      </c>
      <c r="S108">
        <f>HYPERLINK("https://klasma.github.io/Logging_1257/artfynd/A 31926-2024 artfynd.xlsx", "A 31926-2024")</f>
        <v/>
      </c>
      <c r="T108">
        <f>HYPERLINK("https://klasma.github.io/Logging_1257/kartor/A 31926-2024 karta.png", "A 31926-2024")</f>
        <v/>
      </c>
      <c r="V108">
        <f>HYPERLINK("https://klasma.github.io/Logging_1257/klagomål/A 31926-2024 FSC-klagomål.docx", "A 31926-2024")</f>
        <v/>
      </c>
      <c r="W108">
        <f>HYPERLINK("https://klasma.github.io/Logging_1257/klagomålsmail/A 31926-2024 FSC-klagomål mail.docx", "A 31926-2024")</f>
        <v/>
      </c>
      <c r="X108">
        <f>HYPERLINK("https://klasma.github.io/Logging_1257/tillsyn/A 31926-2024 tillsynsbegäran.docx", "A 31926-2024")</f>
        <v/>
      </c>
      <c r="Y108">
        <f>HYPERLINK("https://klasma.github.io/Logging_1257/tillsynsmail/A 31926-2024 tillsynsbegäran mail.docx", "A 31926-2024")</f>
        <v/>
      </c>
    </row>
    <row r="109" ht="15" customHeight="1">
      <c r="A109" t="inlineStr">
        <is>
          <t>A 44079-2024</t>
        </is>
      </c>
      <c r="B109" s="1" t="n">
        <v>45572</v>
      </c>
      <c r="C109" s="1" t="n">
        <v>45744</v>
      </c>
      <c r="D109" t="inlineStr">
        <is>
          <t>SKÅNE LÄN</t>
        </is>
      </c>
      <c r="E109" t="inlineStr">
        <is>
          <t>BROMÖLLA</t>
        </is>
      </c>
      <c r="G109" t="n">
        <v>3.1</v>
      </c>
      <c r="H109" t="n">
        <v>0</v>
      </c>
      <c r="I109" t="n">
        <v>3</v>
      </c>
      <c r="J109" t="n">
        <v>0</v>
      </c>
      <c r="K109" t="n">
        <v>0</v>
      </c>
      <c r="L109" t="n">
        <v>0</v>
      </c>
      <c r="M109" t="n">
        <v>0</v>
      </c>
      <c r="N109" t="n">
        <v>0</v>
      </c>
      <c r="O109" t="n">
        <v>0</v>
      </c>
      <c r="P109" t="n">
        <v>0</v>
      </c>
      <c r="Q109" t="n">
        <v>3</v>
      </c>
      <c r="R109" s="2" t="inlineStr">
        <is>
          <t>Stor häxört
Svart trolldruva
Underviol</t>
        </is>
      </c>
      <c r="S109">
        <f>HYPERLINK("https://klasma.github.io/Logging_1272/artfynd/A 44079-2024 artfynd.xlsx", "A 44079-2024")</f>
        <v/>
      </c>
      <c r="T109">
        <f>HYPERLINK("https://klasma.github.io/Logging_1272/kartor/A 44079-2024 karta.png", "A 44079-2024")</f>
        <v/>
      </c>
      <c r="V109">
        <f>HYPERLINK("https://klasma.github.io/Logging_1272/klagomål/A 44079-2024 FSC-klagomål.docx", "A 44079-2024")</f>
        <v/>
      </c>
      <c r="W109">
        <f>HYPERLINK("https://klasma.github.io/Logging_1272/klagomålsmail/A 44079-2024 FSC-klagomål mail.docx", "A 44079-2024")</f>
        <v/>
      </c>
      <c r="X109">
        <f>HYPERLINK("https://klasma.github.io/Logging_1272/tillsyn/A 44079-2024 tillsynsbegäran.docx", "A 44079-2024")</f>
        <v/>
      </c>
      <c r="Y109">
        <f>HYPERLINK("https://klasma.github.io/Logging_1272/tillsynsmail/A 44079-2024 tillsynsbegäran mail.docx", "A 44079-2024")</f>
        <v/>
      </c>
    </row>
    <row r="110" ht="15" customHeight="1">
      <c r="A110" t="inlineStr">
        <is>
          <t>A 46256-2024</t>
        </is>
      </c>
      <c r="B110" s="1" t="n">
        <v>45581</v>
      </c>
      <c r="C110" s="1" t="n">
        <v>45744</v>
      </c>
      <c r="D110" t="inlineStr">
        <is>
          <t>SKÅNE LÄN</t>
        </is>
      </c>
      <c r="E110" t="inlineStr">
        <is>
          <t>KLIPPAN</t>
        </is>
      </c>
      <c r="F110" t="inlineStr">
        <is>
          <t>Sveaskog</t>
        </is>
      </c>
      <c r="G110" t="n">
        <v>3.1</v>
      </c>
      <c r="H110" t="n">
        <v>1</v>
      </c>
      <c r="I110" t="n">
        <v>2</v>
      </c>
      <c r="J110" t="n">
        <v>1</v>
      </c>
      <c r="K110" t="n">
        <v>0</v>
      </c>
      <c r="L110" t="n">
        <v>0</v>
      </c>
      <c r="M110" t="n">
        <v>0</v>
      </c>
      <c r="N110" t="n">
        <v>0</v>
      </c>
      <c r="O110" t="n">
        <v>1</v>
      </c>
      <c r="P110" t="n">
        <v>0</v>
      </c>
      <c r="Q110" t="n">
        <v>3</v>
      </c>
      <c r="R110" s="2" t="inlineStr">
        <is>
          <t>Spillkråka
Rostfläck
Västlig hakmossa</t>
        </is>
      </c>
      <c r="S110">
        <f>HYPERLINK("https://klasma.github.io/Logging_1276/artfynd/A 46256-2024 artfynd.xlsx", "A 46256-2024")</f>
        <v/>
      </c>
      <c r="T110">
        <f>HYPERLINK("https://klasma.github.io/Logging_1276/kartor/A 46256-2024 karta.png", "A 46256-2024")</f>
        <v/>
      </c>
      <c r="V110">
        <f>HYPERLINK("https://klasma.github.io/Logging_1276/klagomål/A 46256-2024 FSC-klagomål.docx", "A 46256-2024")</f>
        <v/>
      </c>
      <c r="W110">
        <f>HYPERLINK("https://klasma.github.io/Logging_1276/klagomålsmail/A 46256-2024 FSC-klagomål mail.docx", "A 46256-2024")</f>
        <v/>
      </c>
      <c r="X110">
        <f>HYPERLINK("https://klasma.github.io/Logging_1276/tillsyn/A 46256-2024 tillsynsbegäran.docx", "A 46256-2024")</f>
        <v/>
      </c>
      <c r="Y110">
        <f>HYPERLINK("https://klasma.github.io/Logging_1276/tillsynsmail/A 46256-2024 tillsynsbegäran mail.docx", "A 46256-2024")</f>
        <v/>
      </c>
      <c r="Z110">
        <f>HYPERLINK("https://klasma.github.io/Logging_1276/fåglar/A 46256-2024 prioriterade fågelarter.docx", "A 46256-2024")</f>
        <v/>
      </c>
    </row>
    <row r="111" ht="15" customHeight="1">
      <c r="A111" t="inlineStr">
        <is>
          <t>A 46706-2024</t>
        </is>
      </c>
      <c r="B111" s="1" t="n">
        <v>45583</v>
      </c>
      <c r="C111" s="1" t="n">
        <v>45744</v>
      </c>
      <c r="D111" t="inlineStr">
        <is>
          <t>SKÅNE LÄN</t>
        </is>
      </c>
      <c r="E111" t="inlineStr">
        <is>
          <t>ÖSTRA GÖINGE</t>
        </is>
      </c>
      <c r="G111" t="n">
        <v>3.1</v>
      </c>
      <c r="H111" t="n">
        <v>3</v>
      </c>
      <c r="I111" t="n">
        <v>0</v>
      </c>
      <c r="J111" t="n">
        <v>2</v>
      </c>
      <c r="K111" t="n">
        <v>0</v>
      </c>
      <c r="L111" t="n">
        <v>0</v>
      </c>
      <c r="M111" t="n">
        <v>0</v>
      </c>
      <c r="N111" t="n">
        <v>0</v>
      </c>
      <c r="O111" t="n">
        <v>2</v>
      </c>
      <c r="P111" t="n">
        <v>0</v>
      </c>
      <c r="Q111" t="n">
        <v>3</v>
      </c>
      <c r="R111" s="2" t="inlineStr">
        <is>
          <t>Entita
Talltita
Kungsfågel</t>
        </is>
      </c>
      <c r="S111">
        <f>HYPERLINK("https://klasma.github.io/Logging_1256/artfynd/A 46706-2024 artfynd.xlsx", "A 46706-2024")</f>
        <v/>
      </c>
      <c r="T111">
        <f>HYPERLINK("https://klasma.github.io/Logging_1256/kartor/A 46706-2024 karta.png", "A 46706-2024")</f>
        <v/>
      </c>
      <c r="V111">
        <f>HYPERLINK("https://klasma.github.io/Logging_1256/klagomål/A 46706-2024 FSC-klagomål.docx", "A 46706-2024")</f>
        <v/>
      </c>
      <c r="W111">
        <f>HYPERLINK("https://klasma.github.io/Logging_1256/klagomålsmail/A 46706-2024 FSC-klagomål mail.docx", "A 46706-2024")</f>
        <v/>
      </c>
      <c r="X111">
        <f>HYPERLINK("https://klasma.github.io/Logging_1256/tillsyn/A 46706-2024 tillsynsbegäran.docx", "A 46706-2024")</f>
        <v/>
      </c>
      <c r="Y111">
        <f>HYPERLINK("https://klasma.github.io/Logging_1256/tillsynsmail/A 46706-2024 tillsynsbegäran mail.docx", "A 46706-2024")</f>
        <v/>
      </c>
      <c r="Z111">
        <f>HYPERLINK("https://klasma.github.io/Logging_1256/fåglar/A 46706-2024 prioriterade fågelarter.docx", "A 46706-2024")</f>
        <v/>
      </c>
    </row>
    <row r="112" ht="15" customHeight="1">
      <c r="A112" t="inlineStr">
        <is>
          <t>A 51680-2024</t>
        </is>
      </c>
      <c r="B112" s="1" t="n">
        <v>45607</v>
      </c>
      <c r="C112" s="1" t="n">
        <v>45744</v>
      </c>
      <c r="D112" t="inlineStr">
        <is>
          <t>SKÅNE LÄN</t>
        </is>
      </c>
      <c r="E112" t="inlineStr">
        <is>
          <t>SKURUP</t>
        </is>
      </c>
      <c r="G112" t="n">
        <v>1.1</v>
      </c>
      <c r="H112" t="n">
        <v>0</v>
      </c>
      <c r="I112" t="n">
        <v>1</v>
      </c>
      <c r="J112" t="n">
        <v>0</v>
      </c>
      <c r="K112" t="n">
        <v>1</v>
      </c>
      <c r="L112" t="n">
        <v>0</v>
      </c>
      <c r="M112" t="n">
        <v>1</v>
      </c>
      <c r="N112" t="n">
        <v>0</v>
      </c>
      <c r="O112" t="n">
        <v>2</v>
      </c>
      <c r="P112" t="n">
        <v>2</v>
      </c>
      <c r="Q112" t="n">
        <v>3</v>
      </c>
      <c r="R112" s="2" t="inlineStr">
        <is>
          <t>Skogsalm
Småvänderot
Stor häxört</t>
        </is>
      </c>
      <c r="S112">
        <f>HYPERLINK("https://klasma.github.io/Logging_1264/artfynd/A 51680-2024 artfynd.xlsx", "A 51680-2024")</f>
        <v/>
      </c>
      <c r="T112">
        <f>HYPERLINK("https://klasma.github.io/Logging_1264/kartor/A 51680-2024 karta.png", "A 51680-2024")</f>
        <v/>
      </c>
      <c r="V112">
        <f>HYPERLINK("https://klasma.github.io/Logging_1264/klagomål/A 51680-2024 FSC-klagomål.docx", "A 51680-2024")</f>
        <v/>
      </c>
      <c r="W112">
        <f>HYPERLINK("https://klasma.github.io/Logging_1264/klagomålsmail/A 51680-2024 FSC-klagomål mail.docx", "A 51680-2024")</f>
        <v/>
      </c>
      <c r="X112">
        <f>HYPERLINK("https://klasma.github.io/Logging_1264/tillsyn/A 51680-2024 tillsynsbegäran.docx", "A 51680-2024")</f>
        <v/>
      </c>
      <c r="Y112">
        <f>HYPERLINK("https://klasma.github.io/Logging_1264/tillsynsmail/A 51680-2024 tillsynsbegäran mail.docx", "A 51680-2024")</f>
        <v/>
      </c>
    </row>
    <row r="113" ht="15" customHeight="1">
      <c r="A113" t="inlineStr">
        <is>
          <t>A 53826-2024</t>
        </is>
      </c>
      <c r="B113" s="1" t="n">
        <v>45615</v>
      </c>
      <c r="C113" s="1" t="n">
        <v>45744</v>
      </c>
      <c r="D113" t="inlineStr">
        <is>
          <t>SKÅNE LÄN</t>
        </is>
      </c>
      <c r="E113" t="inlineStr">
        <is>
          <t>ESLÖV</t>
        </is>
      </c>
      <c r="G113" t="n">
        <v>1.2</v>
      </c>
      <c r="H113" t="n">
        <v>1</v>
      </c>
      <c r="I113" t="n">
        <v>1</v>
      </c>
      <c r="J113" t="n">
        <v>1</v>
      </c>
      <c r="K113" t="n">
        <v>0</v>
      </c>
      <c r="L113" t="n">
        <v>1</v>
      </c>
      <c r="M113" t="n">
        <v>0</v>
      </c>
      <c r="N113" t="n">
        <v>0</v>
      </c>
      <c r="O113" t="n">
        <v>2</v>
      </c>
      <c r="P113" t="n">
        <v>1</v>
      </c>
      <c r="Q113" t="n">
        <v>3</v>
      </c>
      <c r="R113" s="2" t="inlineStr">
        <is>
          <t>Ask
Desmeknopp
Skogsknipprot</t>
        </is>
      </c>
      <c r="S113">
        <f>HYPERLINK("https://klasma.github.io/Logging_1285/artfynd/A 53826-2024 artfynd.xlsx", "A 53826-2024")</f>
        <v/>
      </c>
      <c r="T113">
        <f>HYPERLINK("https://klasma.github.io/Logging_1285/kartor/A 53826-2024 karta.png", "A 53826-2024")</f>
        <v/>
      </c>
      <c r="V113">
        <f>HYPERLINK("https://klasma.github.io/Logging_1285/klagomål/A 53826-2024 FSC-klagomål.docx", "A 53826-2024")</f>
        <v/>
      </c>
      <c r="W113">
        <f>HYPERLINK("https://klasma.github.io/Logging_1285/klagomålsmail/A 53826-2024 FSC-klagomål mail.docx", "A 53826-2024")</f>
        <v/>
      </c>
      <c r="X113">
        <f>HYPERLINK("https://klasma.github.io/Logging_1285/tillsyn/A 53826-2024 tillsynsbegäran.docx", "A 53826-2024")</f>
        <v/>
      </c>
      <c r="Y113">
        <f>HYPERLINK("https://klasma.github.io/Logging_1285/tillsynsmail/A 53826-2024 tillsynsbegäran mail.docx", "A 53826-2024")</f>
        <v/>
      </c>
    </row>
    <row r="114" ht="15" customHeight="1">
      <c r="A114" t="inlineStr">
        <is>
          <t>A 57726-2024</t>
        </is>
      </c>
      <c r="B114" s="1" t="n">
        <v>45630</v>
      </c>
      <c r="C114" s="1" t="n">
        <v>45744</v>
      </c>
      <c r="D114" t="inlineStr">
        <is>
          <t>SKÅNE LÄN</t>
        </is>
      </c>
      <c r="E114" t="inlineStr">
        <is>
          <t>LUND</t>
        </is>
      </c>
      <c r="G114" t="n">
        <v>11.4</v>
      </c>
      <c r="H114" t="n">
        <v>2</v>
      </c>
      <c r="I114" t="n">
        <v>0</v>
      </c>
      <c r="J114" t="n">
        <v>2</v>
      </c>
      <c r="K114" t="n">
        <v>1</v>
      </c>
      <c r="L114" t="n">
        <v>0</v>
      </c>
      <c r="M114" t="n">
        <v>0</v>
      </c>
      <c r="N114" t="n">
        <v>0</v>
      </c>
      <c r="O114" t="n">
        <v>3</v>
      </c>
      <c r="P114" t="n">
        <v>1</v>
      </c>
      <c r="Q114" t="n">
        <v>3</v>
      </c>
      <c r="R114" s="2" t="inlineStr">
        <is>
          <t>Silkesslidskivling
Duvhök
Grönsångare</t>
        </is>
      </c>
      <c r="S114">
        <f>HYPERLINK("https://klasma.github.io/Logging_1281/artfynd/A 57726-2024 artfynd.xlsx", "A 57726-2024")</f>
        <v/>
      </c>
      <c r="T114">
        <f>HYPERLINK("https://klasma.github.io/Logging_1281/kartor/A 57726-2024 karta.png", "A 57726-2024")</f>
        <v/>
      </c>
      <c r="V114">
        <f>HYPERLINK("https://klasma.github.io/Logging_1281/klagomål/A 57726-2024 FSC-klagomål.docx", "A 57726-2024")</f>
        <v/>
      </c>
      <c r="W114">
        <f>HYPERLINK("https://klasma.github.io/Logging_1281/klagomålsmail/A 57726-2024 FSC-klagomål mail.docx", "A 57726-2024")</f>
        <v/>
      </c>
      <c r="X114">
        <f>HYPERLINK("https://klasma.github.io/Logging_1281/tillsyn/A 57726-2024 tillsynsbegäran.docx", "A 57726-2024")</f>
        <v/>
      </c>
      <c r="Y114">
        <f>HYPERLINK("https://klasma.github.io/Logging_1281/tillsynsmail/A 57726-2024 tillsynsbegäran mail.docx", "A 57726-2024")</f>
        <v/>
      </c>
      <c r="Z114">
        <f>HYPERLINK("https://klasma.github.io/Logging_1281/fåglar/A 57726-2024 prioriterade fågelarter.docx", "A 57726-2024")</f>
        <v/>
      </c>
    </row>
    <row r="115" ht="15" customHeight="1">
      <c r="A115" t="inlineStr">
        <is>
          <t>A 513-2025</t>
        </is>
      </c>
      <c r="B115" s="1" t="n">
        <v>45664</v>
      </c>
      <c r="C115" s="1" t="n">
        <v>45744</v>
      </c>
      <c r="D115" t="inlineStr">
        <is>
          <t>SKÅNE LÄN</t>
        </is>
      </c>
      <c r="E115" t="inlineStr">
        <is>
          <t>KLIPPAN</t>
        </is>
      </c>
      <c r="F115" t="inlineStr">
        <is>
          <t>Sveaskog</t>
        </is>
      </c>
      <c r="G115" t="n">
        <v>8.199999999999999</v>
      </c>
      <c r="H115" t="n">
        <v>3</v>
      </c>
      <c r="I115" t="n">
        <v>0</v>
      </c>
      <c r="J115" t="n">
        <v>2</v>
      </c>
      <c r="K115" t="n">
        <v>0</v>
      </c>
      <c r="L115" t="n">
        <v>0</v>
      </c>
      <c r="M115" t="n">
        <v>0</v>
      </c>
      <c r="N115" t="n">
        <v>0</v>
      </c>
      <c r="O115" t="n">
        <v>2</v>
      </c>
      <c r="P115" t="n">
        <v>0</v>
      </c>
      <c r="Q115" t="n">
        <v>3</v>
      </c>
      <c r="R115" s="2" t="inlineStr">
        <is>
          <t>Spillkråka
Talltita
Revlummer</t>
        </is>
      </c>
      <c r="S115">
        <f>HYPERLINK("https://klasma.github.io/Logging_1276/artfynd/A 513-2025 artfynd.xlsx", "A 513-2025")</f>
        <v/>
      </c>
      <c r="T115">
        <f>HYPERLINK("https://klasma.github.io/Logging_1276/kartor/A 513-2025 karta.png", "A 513-2025")</f>
        <v/>
      </c>
      <c r="V115">
        <f>HYPERLINK("https://klasma.github.io/Logging_1276/klagomål/A 513-2025 FSC-klagomål.docx", "A 513-2025")</f>
        <v/>
      </c>
      <c r="W115">
        <f>HYPERLINK("https://klasma.github.io/Logging_1276/klagomålsmail/A 513-2025 FSC-klagomål mail.docx", "A 513-2025")</f>
        <v/>
      </c>
      <c r="X115">
        <f>HYPERLINK("https://klasma.github.io/Logging_1276/tillsyn/A 513-2025 tillsynsbegäran.docx", "A 513-2025")</f>
        <v/>
      </c>
      <c r="Y115">
        <f>HYPERLINK("https://klasma.github.io/Logging_1276/tillsynsmail/A 513-2025 tillsynsbegäran mail.docx", "A 513-2025")</f>
        <v/>
      </c>
      <c r="Z115">
        <f>HYPERLINK("https://klasma.github.io/Logging_1276/fåglar/A 513-2025 prioriterade fågelarter.docx", "A 513-2025")</f>
        <v/>
      </c>
    </row>
    <row r="116" ht="15" customHeight="1">
      <c r="A116" t="inlineStr">
        <is>
          <t>A 584-2025</t>
        </is>
      </c>
      <c r="B116" s="1" t="n">
        <v>45664</v>
      </c>
      <c r="C116" s="1" t="n">
        <v>45744</v>
      </c>
      <c r="D116" t="inlineStr">
        <is>
          <t>SKÅNE LÄN</t>
        </is>
      </c>
      <c r="E116" t="inlineStr">
        <is>
          <t>ÄNGELHOLM</t>
        </is>
      </c>
      <c r="G116" t="n">
        <v>1.2</v>
      </c>
      <c r="H116" t="n">
        <v>3</v>
      </c>
      <c r="I116" t="n">
        <v>0</v>
      </c>
      <c r="J116" t="n">
        <v>2</v>
      </c>
      <c r="K116" t="n">
        <v>0</v>
      </c>
      <c r="L116" t="n">
        <v>0</v>
      </c>
      <c r="M116" t="n">
        <v>0</v>
      </c>
      <c r="N116" t="n">
        <v>0</v>
      </c>
      <c r="O116" t="n">
        <v>2</v>
      </c>
      <c r="P116" t="n">
        <v>0</v>
      </c>
      <c r="Q116" t="n">
        <v>3</v>
      </c>
      <c r="R116" s="2" t="inlineStr">
        <is>
          <t>Entita
Spillkråka
Kungsfågel</t>
        </is>
      </c>
      <c r="S116">
        <f>HYPERLINK("https://klasma.github.io/Logging_1292/artfynd/A 584-2025 artfynd.xlsx", "A 584-2025")</f>
        <v/>
      </c>
      <c r="T116">
        <f>HYPERLINK("https://klasma.github.io/Logging_1292/kartor/A 584-2025 karta.png", "A 584-2025")</f>
        <v/>
      </c>
      <c r="V116">
        <f>HYPERLINK("https://klasma.github.io/Logging_1292/klagomål/A 584-2025 FSC-klagomål.docx", "A 584-2025")</f>
        <v/>
      </c>
      <c r="W116">
        <f>HYPERLINK("https://klasma.github.io/Logging_1292/klagomålsmail/A 584-2025 FSC-klagomål mail.docx", "A 584-2025")</f>
        <v/>
      </c>
      <c r="X116">
        <f>HYPERLINK("https://klasma.github.io/Logging_1292/tillsyn/A 584-2025 tillsynsbegäran.docx", "A 584-2025")</f>
        <v/>
      </c>
      <c r="Y116">
        <f>HYPERLINK("https://klasma.github.io/Logging_1292/tillsynsmail/A 584-2025 tillsynsbegäran mail.docx", "A 584-2025")</f>
        <v/>
      </c>
      <c r="Z116">
        <f>HYPERLINK("https://klasma.github.io/Logging_1292/fåglar/A 584-2025 prioriterade fågelarter.docx", "A 584-2025")</f>
        <v/>
      </c>
    </row>
    <row r="117" ht="15" customHeight="1">
      <c r="A117" t="inlineStr">
        <is>
          <t>A 2823-2025</t>
        </is>
      </c>
      <c r="B117" s="1" t="n">
        <v>45677</v>
      </c>
      <c r="C117" s="1" t="n">
        <v>45744</v>
      </c>
      <c r="D117" t="inlineStr">
        <is>
          <t>SKÅNE LÄN</t>
        </is>
      </c>
      <c r="E117" t="inlineStr">
        <is>
          <t>HÖRBY</t>
        </is>
      </c>
      <c r="G117" t="n">
        <v>21.1</v>
      </c>
      <c r="H117" t="n">
        <v>2</v>
      </c>
      <c r="I117" t="n">
        <v>0</v>
      </c>
      <c r="J117" t="n">
        <v>1</v>
      </c>
      <c r="K117" t="n">
        <v>0</v>
      </c>
      <c r="L117" t="n">
        <v>0</v>
      </c>
      <c r="M117" t="n">
        <v>0</v>
      </c>
      <c r="N117" t="n">
        <v>0</v>
      </c>
      <c r="O117" t="n">
        <v>1</v>
      </c>
      <c r="P117" t="n">
        <v>0</v>
      </c>
      <c r="Q117" t="n">
        <v>3</v>
      </c>
      <c r="R117" s="2" t="inlineStr">
        <is>
          <t>Borsttåg
Grönvit nattviol
Revlummer</t>
        </is>
      </c>
      <c r="S117">
        <f>HYPERLINK("https://klasma.github.io/Logging_1266/artfynd/A 2823-2025 artfynd.xlsx", "A 2823-2025")</f>
        <v/>
      </c>
      <c r="T117">
        <f>HYPERLINK("https://klasma.github.io/Logging_1266/kartor/A 2823-2025 karta.png", "A 2823-2025")</f>
        <v/>
      </c>
      <c r="V117">
        <f>HYPERLINK("https://klasma.github.io/Logging_1266/klagomål/A 2823-2025 FSC-klagomål.docx", "A 2823-2025")</f>
        <v/>
      </c>
      <c r="W117">
        <f>HYPERLINK("https://klasma.github.io/Logging_1266/klagomålsmail/A 2823-2025 FSC-klagomål mail.docx", "A 2823-2025")</f>
        <v/>
      </c>
      <c r="X117">
        <f>HYPERLINK("https://klasma.github.io/Logging_1266/tillsyn/A 2823-2025 tillsynsbegäran.docx", "A 2823-2025")</f>
        <v/>
      </c>
      <c r="Y117">
        <f>HYPERLINK("https://klasma.github.io/Logging_1266/tillsynsmail/A 2823-2025 tillsynsbegäran mail.docx", "A 2823-2025")</f>
        <v/>
      </c>
    </row>
    <row r="118" ht="15" customHeight="1">
      <c r="A118" t="inlineStr">
        <is>
          <t>A 3253-2025</t>
        </is>
      </c>
      <c r="B118" s="1" t="n">
        <v>45679</v>
      </c>
      <c r="C118" s="1" t="n">
        <v>45744</v>
      </c>
      <c r="D118" t="inlineStr">
        <is>
          <t>SKÅNE LÄN</t>
        </is>
      </c>
      <c r="E118" t="inlineStr">
        <is>
          <t>YSTAD</t>
        </is>
      </c>
      <c r="F118" t="inlineStr">
        <is>
          <t>Övriga Aktiebolag</t>
        </is>
      </c>
      <c r="G118" t="n">
        <v>2.5</v>
      </c>
      <c r="H118" t="n">
        <v>1</v>
      </c>
      <c r="I118" t="n">
        <v>2</v>
      </c>
      <c r="J118" t="n">
        <v>0</v>
      </c>
      <c r="K118" t="n">
        <v>0</v>
      </c>
      <c r="L118" t="n">
        <v>0</v>
      </c>
      <c r="M118" t="n">
        <v>1</v>
      </c>
      <c r="N118" t="n">
        <v>0</v>
      </c>
      <c r="O118" t="n">
        <v>1</v>
      </c>
      <c r="P118" t="n">
        <v>1</v>
      </c>
      <c r="Q118" t="n">
        <v>3</v>
      </c>
      <c r="R118" s="2" t="inlineStr">
        <is>
          <t>Gotländsk hättemossa
Lönnlav
Strävlosta</t>
        </is>
      </c>
      <c r="S118">
        <f>HYPERLINK("https://klasma.github.io/Logging_1286/artfynd/A 3253-2025 artfynd.xlsx", "A 3253-2025")</f>
        <v/>
      </c>
      <c r="T118">
        <f>HYPERLINK("https://klasma.github.io/Logging_1286/kartor/A 3253-2025 karta.png", "A 3253-2025")</f>
        <v/>
      </c>
      <c r="V118">
        <f>HYPERLINK("https://klasma.github.io/Logging_1286/klagomål/A 3253-2025 FSC-klagomål.docx", "A 3253-2025")</f>
        <v/>
      </c>
      <c r="W118">
        <f>HYPERLINK("https://klasma.github.io/Logging_1286/klagomålsmail/A 3253-2025 FSC-klagomål mail.docx", "A 3253-2025")</f>
        <v/>
      </c>
      <c r="X118">
        <f>HYPERLINK("https://klasma.github.io/Logging_1286/tillsyn/A 3253-2025 tillsynsbegäran.docx", "A 3253-2025")</f>
        <v/>
      </c>
      <c r="Y118">
        <f>HYPERLINK("https://klasma.github.io/Logging_1286/tillsynsmail/A 3253-2025 tillsynsbegäran mail.docx", "A 3253-2025")</f>
        <v/>
      </c>
    </row>
    <row r="119" ht="15" customHeight="1">
      <c r="A119" t="inlineStr">
        <is>
          <t>A 7435-2025</t>
        </is>
      </c>
      <c r="B119" s="1" t="n">
        <v>45702</v>
      </c>
      <c r="C119" s="1" t="n">
        <v>45744</v>
      </c>
      <c r="D119" t="inlineStr">
        <is>
          <t>SKÅNE LÄN</t>
        </is>
      </c>
      <c r="E119" t="inlineStr">
        <is>
          <t>KRISTIANSTAD</t>
        </is>
      </c>
      <c r="F119" t="inlineStr">
        <is>
          <t>Kyrkan</t>
        </is>
      </c>
      <c r="G119" t="n">
        <v>9.300000000000001</v>
      </c>
      <c r="H119" t="n">
        <v>0</v>
      </c>
      <c r="I119" t="n">
        <v>0</v>
      </c>
      <c r="J119" t="n">
        <v>3</v>
      </c>
      <c r="K119" t="n">
        <v>0</v>
      </c>
      <c r="L119" t="n">
        <v>0</v>
      </c>
      <c r="M119" t="n">
        <v>0</v>
      </c>
      <c r="N119" t="n">
        <v>0</v>
      </c>
      <c r="O119" t="n">
        <v>3</v>
      </c>
      <c r="P119" t="n">
        <v>0</v>
      </c>
      <c r="Q119" t="n">
        <v>3</v>
      </c>
      <c r="R119" s="2" t="inlineStr">
        <is>
          <t>Backtimjan
Solvända
Sommarfibbla</t>
        </is>
      </c>
      <c r="S119">
        <f>HYPERLINK("https://klasma.github.io/Logging_1290/artfynd/A 7435-2025 artfynd.xlsx", "A 7435-2025")</f>
        <v/>
      </c>
      <c r="T119">
        <f>HYPERLINK("https://klasma.github.io/Logging_1290/kartor/A 7435-2025 karta.png", "A 7435-2025")</f>
        <v/>
      </c>
      <c r="V119">
        <f>HYPERLINK("https://klasma.github.io/Logging_1290/klagomål/A 7435-2025 FSC-klagomål.docx", "A 7435-2025")</f>
        <v/>
      </c>
      <c r="W119">
        <f>HYPERLINK("https://klasma.github.io/Logging_1290/klagomålsmail/A 7435-2025 FSC-klagomål mail.docx", "A 7435-2025")</f>
        <v/>
      </c>
      <c r="X119">
        <f>HYPERLINK("https://klasma.github.io/Logging_1290/tillsyn/A 7435-2025 tillsynsbegäran.docx", "A 7435-2025")</f>
        <v/>
      </c>
      <c r="Y119">
        <f>HYPERLINK("https://klasma.github.io/Logging_1290/tillsynsmail/A 7435-2025 tillsynsbegäran mail.docx", "A 7435-2025")</f>
        <v/>
      </c>
    </row>
    <row r="120" ht="15" customHeight="1">
      <c r="A120" t="inlineStr">
        <is>
          <t>A 30713-2019</t>
        </is>
      </c>
      <c r="B120" s="1" t="n">
        <v>43636</v>
      </c>
      <c r="C120" s="1" t="n">
        <v>45744</v>
      </c>
      <c r="D120" t="inlineStr">
        <is>
          <t>SKÅNE LÄN</t>
        </is>
      </c>
      <c r="E120" t="inlineStr">
        <is>
          <t>SVEDALA</t>
        </is>
      </c>
      <c r="G120" t="n">
        <v>2</v>
      </c>
      <c r="H120" t="n">
        <v>0</v>
      </c>
      <c r="I120" t="n">
        <v>2</v>
      </c>
      <c r="J120" t="n">
        <v>0</v>
      </c>
      <c r="K120" t="n">
        <v>0</v>
      </c>
      <c r="L120" t="n">
        <v>0</v>
      </c>
      <c r="M120" t="n">
        <v>0</v>
      </c>
      <c r="N120" t="n">
        <v>0</v>
      </c>
      <c r="O120" t="n">
        <v>0</v>
      </c>
      <c r="P120" t="n">
        <v>0</v>
      </c>
      <c r="Q120" t="n">
        <v>2</v>
      </c>
      <c r="R120" s="2" t="inlineStr">
        <is>
          <t>Kragjordstjärna
Stor häxört</t>
        </is>
      </c>
      <c r="S120">
        <f>HYPERLINK("https://klasma.github.io/Logging_1263/artfynd/A 30713-2019 artfynd.xlsx", "A 30713-2019")</f>
        <v/>
      </c>
      <c r="T120">
        <f>HYPERLINK("https://klasma.github.io/Logging_1263/kartor/A 30713-2019 karta.png", "A 30713-2019")</f>
        <v/>
      </c>
      <c r="V120">
        <f>HYPERLINK("https://klasma.github.io/Logging_1263/klagomål/A 30713-2019 FSC-klagomål.docx", "A 30713-2019")</f>
        <v/>
      </c>
      <c r="W120">
        <f>HYPERLINK("https://klasma.github.io/Logging_1263/klagomålsmail/A 30713-2019 FSC-klagomål mail.docx", "A 30713-2019")</f>
        <v/>
      </c>
      <c r="X120">
        <f>HYPERLINK("https://klasma.github.io/Logging_1263/tillsyn/A 30713-2019 tillsynsbegäran.docx", "A 30713-2019")</f>
        <v/>
      </c>
      <c r="Y120">
        <f>HYPERLINK("https://klasma.github.io/Logging_1263/tillsynsmail/A 30713-2019 tillsynsbegäran mail.docx", "A 30713-2019")</f>
        <v/>
      </c>
    </row>
    <row r="121" ht="15" customHeight="1">
      <c r="A121" t="inlineStr">
        <is>
          <t>A 38525-2019</t>
        </is>
      </c>
      <c r="B121" s="1" t="n">
        <v>43682</v>
      </c>
      <c r="C121" s="1" t="n">
        <v>45744</v>
      </c>
      <c r="D121" t="inlineStr">
        <is>
          <t>SKÅNE LÄN</t>
        </is>
      </c>
      <c r="E121" t="inlineStr">
        <is>
          <t>HÖRBY</t>
        </is>
      </c>
      <c r="G121" t="n">
        <v>0.3</v>
      </c>
      <c r="H121" t="n">
        <v>1</v>
      </c>
      <c r="I121" t="n">
        <v>0</v>
      </c>
      <c r="J121" t="n">
        <v>0</v>
      </c>
      <c r="K121" t="n">
        <v>0</v>
      </c>
      <c r="L121" t="n">
        <v>1</v>
      </c>
      <c r="M121" t="n">
        <v>0</v>
      </c>
      <c r="N121" t="n">
        <v>0</v>
      </c>
      <c r="O121" t="n">
        <v>1</v>
      </c>
      <c r="P121" t="n">
        <v>1</v>
      </c>
      <c r="Q121" t="n">
        <v>2</v>
      </c>
      <c r="R121" s="2" t="inlineStr">
        <is>
          <t>Ask
Blåsippa</t>
        </is>
      </c>
      <c r="S121">
        <f>HYPERLINK("https://klasma.github.io/Logging_1266/artfynd/A 38525-2019 artfynd.xlsx", "A 38525-2019")</f>
        <v/>
      </c>
      <c r="T121">
        <f>HYPERLINK("https://klasma.github.io/Logging_1266/kartor/A 38525-2019 karta.png", "A 38525-2019")</f>
        <v/>
      </c>
      <c r="V121">
        <f>HYPERLINK("https://klasma.github.io/Logging_1266/klagomål/A 38525-2019 FSC-klagomål.docx", "A 38525-2019")</f>
        <v/>
      </c>
      <c r="W121">
        <f>HYPERLINK("https://klasma.github.io/Logging_1266/klagomålsmail/A 38525-2019 FSC-klagomål mail.docx", "A 38525-2019")</f>
        <v/>
      </c>
      <c r="X121">
        <f>HYPERLINK("https://klasma.github.io/Logging_1266/tillsyn/A 38525-2019 tillsynsbegäran.docx", "A 38525-2019")</f>
        <v/>
      </c>
      <c r="Y121">
        <f>HYPERLINK("https://klasma.github.io/Logging_1266/tillsynsmail/A 38525-2019 tillsynsbegäran mail.docx", "A 38525-2019")</f>
        <v/>
      </c>
    </row>
    <row r="122" ht="15" customHeight="1">
      <c r="A122" t="inlineStr">
        <is>
          <t>A 48597-2019</t>
        </is>
      </c>
      <c r="B122" s="1" t="n">
        <v>43727</v>
      </c>
      <c r="C122" s="1" t="n">
        <v>45744</v>
      </c>
      <c r="D122" t="inlineStr">
        <is>
          <t>SKÅNE LÄN</t>
        </is>
      </c>
      <c r="E122" t="inlineStr">
        <is>
          <t>ÄNGELHOLM</t>
        </is>
      </c>
      <c r="G122" t="n">
        <v>3.8</v>
      </c>
      <c r="H122" t="n">
        <v>0</v>
      </c>
      <c r="I122" t="n">
        <v>0</v>
      </c>
      <c r="J122" t="n">
        <v>1</v>
      </c>
      <c r="K122" t="n">
        <v>1</v>
      </c>
      <c r="L122" t="n">
        <v>0</v>
      </c>
      <c r="M122" t="n">
        <v>0</v>
      </c>
      <c r="N122" t="n">
        <v>0</v>
      </c>
      <c r="O122" t="n">
        <v>2</v>
      </c>
      <c r="P122" t="n">
        <v>1</v>
      </c>
      <c r="Q122" t="n">
        <v>2</v>
      </c>
      <c r="R122" s="2" t="inlineStr">
        <is>
          <t>Bjärebjörnbär
Skånebjörnbär</t>
        </is>
      </c>
      <c r="S122">
        <f>HYPERLINK("https://klasma.github.io/Logging_1292/artfynd/A 48597-2019 artfynd.xlsx", "A 48597-2019")</f>
        <v/>
      </c>
      <c r="T122">
        <f>HYPERLINK("https://klasma.github.io/Logging_1292/kartor/A 48597-2019 karta.png", "A 48597-2019")</f>
        <v/>
      </c>
      <c r="V122">
        <f>HYPERLINK("https://klasma.github.io/Logging_1292/klagomål/A 48597-2019 FSC-klagomål.docx", "A 48597-2019")</f>
        <v/>
      </c>
      <c r="W122">
        <f>HYPERLINK("https://klasma.github.io/Logging_1292/klagomålsmail/A 48597-2019 FSC-klagomål mail.docx", "A 48597-2019")</f>
        <v/>
      </c>
      <c r="X122">
        <f>HYPERLINK("https://klasma.github.io/Logging_1292/tillsyn/A 48597-2019 tillsynsbegäran.docx", "A 48597-2019")</f>
        <v/>
      </c>
      <c r="Y122">
        <f>HYPERLINK("https://klasma.github.io/Logging_1292/tillsynsmail/A 48597-2019 tillsynsbegäran mail.docx", "A 48597-2019")</f>
        <v/>
      </c>
    </row>
    <row r="123" ht="15" customHeight="1">
      <c r="A123" t="inlineStr">
        <is>
          <t>A 48841-2019</t>
        </is>
      </c>
      <c r="B123" s="1" t="n">
        <v>43728</v>
      </c>
      <c r="C123" s="1" t="n">
        <v>45744</v>
      </c>
      <c r="D123" t="inlineStr">
        <is>
          <t>SKÅNE LÄN</t>
        </is>
      </c>
      <c r="E123" t="inlineStr">
        <is>
          <t>KLIPPAN</t>
        </is>
      </c>
      <c r="G123" t="n">
        <v>3.4</v>
      </c>
      <c r="H123" t="n">
        <v>2</v>
      </c>
      <c r="I123" t="n">
        <v>0</v>
      </c>
      <c r="J123" t="n">
        <v>0</v>
      </c>
      <c r="K123" t="n">
        <v>0</v>
      </c>
      <c r="L123" t="n">
        <v>0</v>
      </c>
      <c r="M123" t="n">
        <v>0</v>
      </c>
      <c r="N123" t="n">
        <v>0</v>
      </c>
      <c r="O123" t="n">
        <v>0</v>
      </c>
      <c r="P123" t="n">
        <v>0</v>
      </c>
      <c r="Q123" t="n">
        <v>2</v>
      </c>
      <c r="R123" s="2" t="inlineStr">
        <is>
          <t>Större vattensalamander
Huggorm</t>
        </is>
      </c>
      <c r="S123">
        <f>HYPERLINK("https://klasma.github.io/Logging_1276/artfynd/A 48841-2019 artfynd.xlsx", "A 48841-2019")</f>
        <v/>
      </c>
      <c r="T123">
        <f>HYPERLINK("https://klasma.github.io/Logging_1276/kartor/A 48841-2019 karta.png", "A 48841-2019")</f>
        <v/>
      </c>
      <c r="V123">
        <f>HYPERLINK("https://klasma.github.io/Logging_1276/klagomål/A 48841-2019 FSC-klagomål.docx", "A 48841-2019")</f>
        <v/>
      </c>
      <c r="W123">
        <f>HYPERLINK("https://klasma.github.io/Logging_1276/klagomålsmail/A 48841-2019 FSC-klagomål mail.docx", "A 48841-2019")</f>
        <v/>
      </c>
      <c r="X123">
        <f>HYPERLINK("https://klasma.github.io/Logging_1276/tillsyn/A 48841-2019 tillsynsbegäran.docx", "A 48841-2019")</f>
        <v/>
      </c>
      <c r="Y123">
        <f>HYPERLINK("https://klasma.github.io/Logging_1276/tillsynsmail/A 48841-2019 tillsynsbegäran mail.docx", "A 48841-2019")</f>
        <v/>
      </c>
    </row>
    <row r="124" ht="15" customHeight="1">
      <c r="A124" t="inlineStr">
        <is>
          <t>A 6547-2020</t>
        </is>
      </c>
      <c r="B124" s="1" t="n">
        <v>43866</v>
      </c>
      <c r="C124" s="1" t="n">
        <v>45744</v>
      </c>
      <c r="D124" t="inlineStr">
        <is>
          <t>SKÅNE LÄN</t>
        </is>
      </c>
      <c r="E124" t="inlineStr">
        <is>
          <t>HÖRBY</t>
        </is>
      </c>
      <c r="G124" t="n">
        <v>3.5</v>
      </c>
      <c r="H124" t="n">
        <v>0</v>
      </c>
      <c r="I124" t="n">
        <v>0</v>
      </c>
      <c r="J124" t="n">
        <v>1</v>
      </c>
      <c r="K124" t="n">
        <v>0</v>
      </c>
      <c r="L124" t="n">
        <v>1</v>
      </c>
      <c r="M124" t="n">
        <v>0</v>
      </c>
      <c r="N124" t="n">
        <v>0</v>
      </c>
      <c r="O124" t="n">
        <v>2</v>
      </c>
      <c r="P124" t="n">
        <v>1</v>
      </c>
      <c r="Q124" t="n">
        <v>2</v>
      </c>
      <c r="R124" s="2" t="inlineStr">
        <is>
          <t>Ask
Stor sotdyna</t>
        </is>
      </c>
      <c r="S124">
        <f>HYPERLINK("https://klasma.github.io/Logging_1266/artfynd/A 6547-2020 artfynd.xlsx", "A 6547-2020")</f>
        <v/>
      </c>
      <c r="T124">
        <f>HYPERLINK("https://klasma.github.io/Logging_1266/kartor/A 6547-2020 karta.png", "A 6547-2020")</f>
        <v/>
      </c>
      <c r="V124">
        <f>HYPERLINK("https://klasma.github.io/Logging_1266/klagomål/A 6547-2020 FSC-klagomål.docx", "A 6547-2020")</f>
        <v/>
      </c>
      <c r="W124">
        <f>HYPERLINK("https://klasma.github.io/Logging_1266/klagomålsmail/A 6547-2020 FSC-klagomål mail.docx", "A 6547-2020")</f>
        <v/>
      </c>
      <c r="X124">
        <f>HYPERLINK("https://klasma.github.io/Logging_1266/tillsyn/A 6547-2020 tillsynsbegäran.docx", "A 6547-2020")</f>
        <v/>
      </c>
      <c r="Y124">
        <f>HYPERLINK("https://klasma.github.io/Logging_1266/tillsynsmail/A 6547-2020 tillsynsbegäran mail.docx", "A 6547-2020")</f>
        <v/>
      </c>
    </row>
    <row r="125" ht="15" customHeight="1">
      <c r="A125" t="inlineStr">
        <is>
          <t>A 8861-2020</t>
        </is>
      </c>
      <c r="B125" s="1" t="n">
        <v>43878</v>
      </c>
      <c r="C125" s="1" t="n">
        <v>45744</v>
      </c>
      <c r="D125" t="inlineStr">
        <is>
          <t>SKÅNE LÄN</t>
        </is>
      </c>
      <c r="E125" t="inlineStr">
        <is>
          <t>HÄSSLEHOLM</t>
        </is>
      </c>
      <c r="G125" t="n">
        <v>10.5</v>
      </c>
      <c r="H125" t="n">
        <v>0</v>
      </c>
      <c r="I125" t="n">
        <v>2</v>
      </c>
      <c r="J125" t="n">
        <v>0</v>
      </c>
      <c r="K125" t="n">
        <v>0</v>
      </c>
      <c r="L125" t="n">
        <v>0</v>
      </c>
      <c r="M125" t="n">
        <v>0</v>
      </c>
      <c r="N125" t="n">
        <v>0</v>
      </c>
      <c r="O125" t="n">
        <v>0</v>
      </c>
      <c r="P125" t="n">
        <v>0</v>
      </c>
      <c r="Q125" t="n">
        <v>2</v>
      </c>
      <c r="R125" s="2" t="inlineStr">
        <is>
          <t>Bågpraktmossa
Västlig hakmossa</t>
        </is>
      </c>
      <c r="S125">
        <f>HYPERLINK("https://klasma.github.io/Logging_1293/artfynd/A 8861-2020 artfynd.xlsx", "A 8861-2020")</f>
        <v/>
      </c>
      <c r="T125">
        <f>HYPERLINK("https://klasma.github.io/Logging_1293/kartor/A 8861-2020 karta.png", "A 8861-2020")</f>
        <v/>
      </c>
      <c r="V125">
        <f>HYPERLINK("https://klasma.github.io/Logging_1293/klagomål/A 8861-2020 FSC-klagomål.docx", "A 8861-2020")</f>
        <v/>
      </c>
      <c r="W125">
        <f>HYPERLINK("https://klasma.github.io/Logging_1293/klagomålsmail/A 8861-2020 FSC-klagomål mail.docx", "A 8861-2020")</f>
        <v/>
      </c>
      <c r="X125">
        <f>HYPERLINK("https://klasma.github.io/Logging_1293/tillsyn/A 8861-2020 tillsynsbegäran.docx", "A 8861-2020")</f>
        <v/>
      </c>
      <c r="Y125">
        <f>HYPERLINK("https://klasma.github.io/Logging_1293/tillsynsmail/A 8861-2020 tillsynsbegäran mail.docx", "A 8861-2020")</f>
        <v/>
      </c>
    </row>
    <row r="126" ht="15" customHeight="1">
      <c r="A126" t="inlineStr">
        <is>
          <t>A 18228-2020</t>
        </is>
      </c>
      <c r="B126" s="1" t="n">
        <v>43928</v>
      </c>
      <c r="C126" s="1" t="n">
        <v>45744</v>
      </c>
      <c r="D126" t="inlineStr">
        <is>
          <t>SKÅNE LÄN</t>
        </is>
      </c>
      <c r="E126" t="inlineStr">
        <is>
          <t>SVEDALA</t>
        </is>
      </c>
      <c r="G126" t="n">
        <v>1.1</v>
      </c>
      <c r="H126" t="n">
        <v>0</v>
      </c>
      <c r="I126" t="n">
        <v>0</v>
      </c>
      <c r="J126" t="n">
        <v>1</v>
      </c>
      <c r="K126" t="n">
        <v>0</v>
      </c>
      <c r="L126" t="n">
        <v>1</v>
      </c>
      <c r="M126" t="n">
        <v>0</v>
      </c>
      <c r="N126" t="n">
        <v>0</v>
      </c>
      <c r="O126" t="n">
        <v>2</v>
      </c>
      <c r="P126" t="n">
        <v>1</v>
      </c>
      <c r="Q126" t="n">
        <v>2</v>
      </c>
      <c r="R126" s="2" t="inlineStr">
        <is>
          <t>Ädellav
Bokkantlav</t>
        </is>
      </c>
      <c r="S126">
        <f>HYPERLINK("https://klasma.github.io/Logging_1263/artfynd/A 18228-2020 artfynd.xlsx", "A 18228-2020")</f>
        <v/>
      </c>
      <c r="T126">
        <f>HYPERLINK("https://klasma.github.io/Logging_1263/kartor/A 18228-2020 karta.png", "A 18228-2020")</f>
        <v/>
      </c>
      <c r="V126">
        <f>HYPERLINK("https://klasma.github.io/Logging_1263/klagomål/A 18228-2020 FSC-klagomål.docx", "A 18228-2020")</f>
        <v/>
      </c>
      <c r="W126">
        <f>HYPERLINK("https://klasma.github.io/Logging_1263/klagomålsmail/A 18228-2020 FSC-klagomål mail.docx", "A 18228-2020")</f>
        <v/>
      </c>
      <c r="X126">
        <f>HYPERLINK("https://klasma.github.io/Logging_1263/tillsyn/A 18228-2020 tillsynsbegäran.docx", "A 18228-2020")</f>
        <v/>
      </c>
      <c r="Y126">
        <f>HYPERLINK("https://klasma.github.io/Logging_1263/tillsynsmail/A 18228-2020 tillsynsbegäran mail.docx", "A 18228-2020")</f>
        <v/>
      </c>
    </row>
    <row r="127" ht="15" customHeight="1">
      <c r="A127" t="inlineStr">
        <is>
          <t>A 58790-2020</t>
        </is>
      </c>
      <c r="B127" s="1" t="n">
        <v>44146</v>
      </c>
      <c r="C127" s="1" t="n">
        <v>45744</v>
      </c>
      <c r="D127" t="inlineStr">
        <is>
          <t>SKÅNE LÄN</t>
        </is>
      </c>
      <c r="E127" t="inlineStr">
        <is>
          <t>ÄNGELHOLM</t>
        </is>
      </c>
      <c r="G127" t="n">
        <v>2.9</v>
      </c>
      <c r="H127" t="n">
        <v>1</v>
      </c>
      <c r="I127" t="n">
        <v>1</v>
      </c>
      <c r="J127" t="n">
        <v>1</v>
      </c>
      <c r="K127" t="n">
        <v>0</v>
      </c>
      <c r="L127" t="n">
        <v>0</v>
      </c>
      <c r="M127" t="n">
        <v>0</v>
      </c>
      <c r="N127" t="n">
        <v>0</v>
      </c>
      <c r="O127" t="n">
        <v>1</v>
      </c>
      <c r="P127" t="n">
        <v>0</v>
      </c>
      <c r="Q127" t="n">
        <v>2</v>
      </c>
      <c r="R127" s="2" t="inlineStr">
        <is>
          <t>Entita
Skogsbräsma</t>
        </is>
      </c>
      <c r="S127">
        <f>HYPERLINK("https://klasma.github.io/Logging_1292/artfynd/A 58790-2020 artfynd.xlsx", "A 58790-2020")</f>
        <v/>
      </c>
      <c r="T127">
        <f>HYPERLINK("https://klasma.github.io/Logging_1292/kartor/A 58790-2020 karta.png", "A 58790-2020")</f>
        <v/>
      </c>
      <c r="V127">
        <f>HYPERLINK("https://klasma.github.io/Logging_1292/klagomål/A 58790-2020 FSC-klagomål.docx", "A 58790-2020")</f>
        <v/>
      </c>
      <c r="W127">
        <f>HYPERLINK("https://klasma.github.io/Logging_1292/klagomålsmail/A 58790-2020 FSC-klagomål mail.docx", "A 58790-2020")</f>
        <v/>
      </c>
      <c r="X127">
        <f>HYPERLINK("https://klasma.github.io/Logging_1292/tillsyn/A 58790-2020 tillsynsbegäran.docx", "A 58790-2020")</f>
        <v/>
      </c>
      <c r="Y127">
        <f>HYPERLINK("https://klasma.github.io/Logging_1292/tillsynsmail/A 58790-2020 tillsynsbegäran mail.docx", "A 58790-2020")</f>
        <v/>
      </c>
      <c r="Z127">
        <f>HYPERLINK("https://klasma.github.io/Logging_1292/fåglar/A 58790-2020 prioriterade fågelarter.docx", "A 58790-2020")</f>
        <v/>
      </c>
    </row>
    <row r="128" ht="15" customHeight="1">
      <c r="A128" t="inlineStr">
        <is>
          <t>A 60100-2020</t>
        </is>
      </c>
      <c r="B128" s="1" t="n">
        <v>44151</v>
      </c>
      <c r="C128" s="1" t="n">
        <v>45744</v>
      </c>
      <c r="D128" t="inlineStr">
        <is>
          <t>SKÅNE LÄN</t>
        </is>
      </c>
      <c r="E128" t="inlineStr">
        <is>
          <t>SJÖBO</t>
        </is>
      </c>
      <c r="G128" t="n">
        <v>5.7</v>
      </c>
      <c r="H128" t="n">
        <v>1</v>
      </c>
      <c r="I128" t="n">
        <v>2</v>
      </c>
      <c r="J128" t="n">
        <v>0</v>
      </c>
      <c r="K128" t="n">
        <v>0</v>
      </c>
      <c r="L128" t="n">
        <v>0</v>
      </c>
      <c r="M128" t="n">
        <v>0</v>
      </c>
      <c r="N128" t="n">
        <v>0</v>
      </c>
      <c r="O128" t="n">
        <v>0</v>
      </c>
      <c r="P128" t="n">
        <v>0</v>
      </c>
      <c r="Q128" t="n">
        <v>2</v>
      </c>
      <c r="R128" s="2" t="inlineStr">
        <is>
          <t>Skogsknipprot
Svart trolldruva</t>
        </is>
      </c>
      <c r="S128">
        <f>HYPERLINK("https://klasma.github.io/Logging_1265/artfynd/A 60100-2020 artfynd.xlsx", "A 60100-2020")</f>
        <v/>
      </c>
      <c r="T128">
        <f>HYPERLINK("https://klasma.github.io/Logging_1265/kartor/A 60100-2020 karta.png", "A 60100-2020")</f>
        <v/>
      </c>
      <c r="V128">
        <f>HYPERLINK("https://klasma.github.io/Logging_1265/klagomål/A 60100-2020 FSC-klagomål.docx", "A 60100-2020")</f>
        <v/>
      </c>
      <c r="W128">
        <f>HYPERLINK("https://klasma.github.io/Logging_1265/klagomålsmail/A 60100-2020 FSC-klagomål mail.docx", "A 60100-2020")</f>
        <v/>
      </c>
      <c r="X128">
        <f>HYPERLINK("https://klasma.github.io/Logging_1265/tillsyn/A 60100-2020 tillsynsbegäran.docx", "A 60100-2020")</f>
        <v/>
      </c>
      <c r="Y128">
        <f>HYPERLINK("https://klasma.github.io/Logging_1265/tillsynsmail/A 60100-2020 tillsynsbegäran mail.docx", "A 60100-2020")</f>
        <v/>
      </c>
    </row>
    <row r="129" ht="15" customHeight="1">
      <c r="A129" t="inlineStr">
        <is>
          <t>A 66175-2020</t>
        </is>
      </c>
      <c r="B129" s="1" t="n">
        <v>44174</v>
      </c>
      <c r="C129" s="1" t="n">
        <v>45744</v>
      </c>
      <c r="D129" t="inlineStr">
        <is>
          <t>SKÅNE LÄN</t>
        </is>
      </c>
      <c r="E129" t="inlineStr">
        <is>
          <t>SJÖBO</t>
        </is>
      </c>
      <c r="G129" t="n">
        <v>4.5</v>
      </c>
      <c r="H129" t="n">
        <v>0</v>
      </c>
      <c r="I129" t="n">
        <v>2</v>
      </c>
      <c r="J129" t="n">
        <v>0</v>
      </c>
      <c r="K129" t="n">
        <v>0</v>
      </c>
      <c r="L129" t="n">
        <v>0</v>
      </c>
      <c r="M129" t="n">
        <v>0</v>
      </c>
      <c r="N129" t="n">
        <v>0</v>
      </c>
      <c r="O129" t="n">
        <v>0</v>
      </c>
      <c r="P129" t="n">
        <v>0</v>
      </c>
      <c r="Q129" t="n">
        <v>2</v>
      </c>
      <c r="R129" s="2" t="inlineStr">
        <is>
          <t>Myskmadra
Strävlosta</t>
        </is>
      </c>
      <c r="S129">
        <f>HYPERLINK("https://klasma.github.io/Logging_1265/artfynd/A 66175-2020 artfynd.xlsx", "A 66175-2020")</f>
        <v/>
      </c>
      <c r="T129">
        <f>HYPERLINK("https://klasma.github.io/Logging_1265/kartor/A 66175-2020 karta.png", "A 66175-2020")</f>
        <v/>
      </c>
      <c r="V129">
        <f>HYPERLINK("https://klasma.github.io/Logging_1265/klagomål/A 66175-2020 FSC-klagomål.docx", "A 66175-2020")</f>
        <v/>
      </c>
      <c r="W129">
        <f>HYPERLINK("https://klasma.github.io/Logging_1265/klagomålsmail/A 66175-2020 FSC-klagomål mail.docx", "A 66175-2020")</f>
        <v/>
      </c>
      <c r="X129">
        <f>HYPERLINK("https://klasma.github.io/Logging_1265/tillsyn/A 66175-2020 tillsynsbegäran.docx", "A 66175-2020")</f>
        <v/>
      </c>
      <c r="Y129">
        <f>HYPERLINK("https://klasma.github.io/Logging_1265/tillsynsmail/A 66175-2020 tillsynsbegäran mail.docx", "A 66175-2020")</f>
        <v/>
      </c>
    </row>
    <row r="130" ht="15" customHeight="1">
      <c r="A130" t="inlineStr">
        <is>
          <t>A 3853-2021</t>
        </is>
      </c>
      <c r="B130" s="1" t="n">
        <v>44222</v>
      </c>
      <c r="C130" s="1" t="n">
        <v>45744</v>
      </c>
      <c r="D130" t="inlineStr">
        <is>
          <t>SKÅNE LÄN</t>
        </is>
      </c>
      <c r="E130" t="inlineStr">
        <is>
          <t>ÖSTRA GÖINGE</t>
        </is>
      </c>
      <c r="G130" t="n">
        <v>1.4</v>
      </c>
      <c r="H130" t="n">
        <v>0</v>
      </c>
      <c r="I130" t="n">
        <v>2</v>
      </c>
      <c r="J130" t="n">
        <v>0</v>
      </c>
      <c r="K130" t="n">
        <v>0</v>
      </c>
      <c r="L130" t="n">
        <v>0</v>
      </c>
      <c r="M130" t="n">
        <v>0</v>
      </c>
      <c r="N130" t="n">
        <v>0</v>
      </c>
      <c r="O130" t="n">
        <v>0</v>
      </c>
      <c r="P130" t="n">
        <v>0</v>
      </c>
      <c r="Q130" t="n">
        <v>2</v>
      </c>
      <c r="R130" s="2" t="inlineStr">
        <is>
          <t>Guldlockmossa
Platt fjädermossa</t>
        </is>
      </c>
      <c r="S130">
        <f>HYPERLINK("https://klasma.github.io/Logging_1256/artfynd/A 3853-2021 artfynd.xlsx", "A 3853-2021")</f>
        <v/>
      </c>
      <c r="T130">
        <f>HYPERLINK("https://klasma.github.io/Logging_1256/kartor/A 3853-2021 karta.png", "A 3853-2021")</f>
        <v/>
      </c>
      <c r="V130">
        <f>HYPERLINK("https://klasma.github.io/Logging_1256/klagomål/A 3853-2021 FSC-klagomål.docx", "A 3853-2021")</f>
        <v/>
      </c>
      <c r="W130">
        <f>HYPERLINK("https://klasma.github.io/Logging_1256/klagomålsmail/A 3853-2021 FSC-klagomål mail.docx", "A 3853-2021")</f>
        <v/>
      </c>
      <c r="X130">
        <f>HYPERLINK("https://klasma.github.io/Logging_1256/tillsyn/A 3853-2021 tillsynsbegäran.docx", "A 3853-2021")</f>
        <v/>
      </c>
      <c r="Y130">
        <f>HYPERLINK("https://klasma.github.io/Logging_1256/tillsynsmail/A 3853-2021 tillsynsbegäran mail.docx", "A 3853-2021")</f>
        <v/>
      </c>
    </row>
    <row r="131" ht="15" customHeight="1">
      <c r="A131" t="inlineStr">
        <is>
          <t>A 5244-2021</t>
        </is>
      </c>
      <c r="B131" s="1" t="n">
        <v>44229</v>
      </c>
      <c r="C131" s="1" t="n">
        <v>45744</v>
      </c>
      <c r="D131" t="inlineStr">
        <is>
          <t>SKÅNE LÄN</t>
        </is>
      </c>
      <c r="E131" t="inlineStr">
        <is>
          <t>SVEDALA</t>
        </is>
      </c>
      <c r="G131" t="n">
        <v>5.3</v>
      </c>
      <c r="H131" t="n">
        <v>0</v>
      </c>
      <c r="I131" t="n">
        <v>1</v>
      </c>
      <c r="J131" t="n">
        <v>1</v>
      </c>
      <c r="K131" t="n">
        <v>0</v>
      </c>
      <c r="L131" t="n">
        <v>0</v>
      </c>
      <c r="M131" t="n">
        <v>0</v>
      </c>
      <c r="N131" t="n">
        <v>0</v>
      </c>
      <c r="O131" t="n">
        <v>1</v>
      </c>
      <c r="P131" t="n">
        <v>0</v>
      </c>
      <c r="Q131" t="n">
        <v>2</v>
      </c>
      <c r="R131" s="2" t="inlineStr">
        <is>
          <t>Koralltaggsvamp
Safsa</t>
        </is>
      </c>
      <c r="S131">
        <f>HYPERLINK("https://klasma.github.io/Logging_1263/artfynd/A 5244-2021 artfynd.xlsx", "A 5244-2021")</f>
        <v/>
      </c>
      <c r="T131">
        <f>HYPERLINK("https://klasma.github.io/Logging_1263/kartor/A 5244-2021 karta.png", "A 5244-2021")</f>
        <v/>
      </c>
      <c r="V131">
        <f>HYPERLINK("https://klasma.github.io/Logging_1263/klagomål/A 5244-2021 FSC-klagomål.docx", "A 5244-2021")</f>
        <v/>
      </c>
      <c r="W131">
        <f>HYPERLINK("https://klasma.github.io/Logging_1263/klagomålsmail/A 5244-2021 FSC-klagomål mail.docx", "A 5244-2021")</f>
        <v/>
      </c>
      <c r="X131">
        <f>HYPERLINK("https://klasma.github.io/Logging_1263/tillsyn/A 5244-2021 tillsynsbegäran.docx", "A 5244-2021")</f>
        <v/>
      </c>
      <c r="Y131">
        <f>HYPERLINK("https://klasma.github.io/Logging_1263/tillsynsmail/A 5244-2021 tillsynsbegäran mail.docx", "A 5244-2021")</f>
        <v/>
      </c>
    </row>
    <row r="132" ht="15" customHeight="1">
      <c r="A132" t="inlineStr">
        <is>
          <t>A 21117-2021</t>
        </is>
      </c>
      <c r="B132" s="1" t="n">
        <v>44319</v>
      </c>
      <c r="C132" s="1" t="n">
        <v>45744</v>
      </c>
      <c r="D132" t="inlineStr">
        <is>
          <t>SKÅNE LÄN</t>
        </is>
      </c>
      <c r="E132" t="inlineStr">
        <is>
          <t>KRISTIANSTAD</t>
        </is>
      </c>
      <c r="G132" t="n">
        <v>22</v>
      </c>
      <c r="H132" t="n">
        <v>1</v>
      </c>
      <c r="I132" t="n">
        <v>0</v>
      </c>
      <c r="J132" t="n">
        <v>0</v>
      </c>
      <c r="K132" t="n">
        <v>0</v>
      </c>
      <c r="L132" t="n">
        <v>1</v>
      </c>
      <c r="M132" t="n">
        <v>0</v>
      </c>
      <c r="N132" t="n">
        <v>0</v>
      </c>
      <c r="O132" t="n">
        <v>1</v>
      </c>
      <c r="P132" t="n">
        <v>1</v>
      </c>
      <c r="Q132" t="n">
        <v>2</v>
      </c>
      <c r="R132" s="2" t="inlineStr">
        <is>
          <t>Ryl
Revlummer</t>
        </is>
      </c>
      <c r="S132">
        <f>HYPERLINK("https://klasma.github.io/Logging_1290/artfynd/A 21117-2021 artfynd.xlsx", "A 21117-2021")</f>
        <v/>
      </c>
      <c r="T132">
        <f>HYPERLINK("https://klasma.github.io/Logging_1290/kartor/A 21117-2021 karta.png", "A 21117-2021")</f>
        <v/>
      </c>
      <c r="V132">
        <f>HYPERLINK("https://klasma.github.io/Logging_1290/klagomål/A 21117-2021 FSC-klagomål.docx", "A 21117-2021")</f>
        <v/>
      </c>
      <c r="W132">
        <f>HYPERLINK("https://klasma.github.io/Logging_1290/klagomålsmail/A 21117-2021 FSC-klagomål mail.docx", "A 21117-2021")</f>
        <v/>
      </c>
      <c r="X132">
        <f>HYPERLINK("https://klasma.github.io/Logging_1290/tillsyn/A 21117-2021 tillsynsbegäran.docx", "A 21117-2021")</f>
        <v/>
      </c>
      <c r="Y132">
        <f>HYPERLINK("https://klasma.github.io/Logging_1290/tillsynsmail/A 21117-2021 tillsynsbegäran mail.docx", "A 21117-2021")</f>
        <v/>
      </c>
    </row>
    <row r="133" ht="15" customHeight="1">
      <c r="A133" t="inlineStr">
        <is>
          <t>A 28124-2021</t>
        </is>
      </c>
      <c r="B133" s="1" t="n">
        <v>44355</v>
      </c>
      <c r="C133" s="1" t="n">
        <v>45744</v>
      </c>
      <c r="D133" t="inlineStr">
        <is>
          <t>SKÅNE LÄN</t>
        </is>
      </c>
      <c r="E133" t="inlineStr">
        <is>
          <t>TOMELILLA</t>
        </is>
      </c>
      <c r="F133" t="inlineStr">
        <is>
          <t>Övriga Aktiebolag</t>
        </is>
      </c>
      <c r="G133" t="n">
        <v>7.4</v>
      </c>
      <c r="H133" t="n">
        <v>0</v>
      </c>
      <c r="I133" t="n">
        <v>1</v>
      </c>
      <c r="J133" t="n">
        <v>1</v>
      </c>
      <c r="K133" t="n">
        <v>0</v>
      </c>
      <c r="L133" t="n">
        <v>0</v>
      </c>
      <c r="M133" t="n">
        <v>0</v>
      </c>
      <c r="N133" t="n">
        <v>0</v>
      </c>
      <c r="O133" t="n">
        <v>1</v>
      </c>
      <c r="P133" t="n">
        <v>0</v>
      </c>
      <c r="Q133" t="n">
        <v>2</v>
      </c>
      <c r="R133" s="2" t="inlineStr">
        <is>
          <t>Bokvårtlav
Guldlockmossa</t>
        </is>
      </c>
      <c r="S133">
        <f>HYPERLINK("https://klasma.github.io/Logging_1270/artfynd/A 28124-2021 artfynd.xlsx", "A 28124-2021")</f>
        <v/>
      </c>
      <c r="T133">
        <f>HYPERLINK("https://klasma.github.io/Logging_1270/kartor/A 28124-2021 karta.png", "A 28124-2021")</f>
        <v/>
      </c>
      <c r="V133">
        <f>HYPERLINK("https://klasma.github.io/Logging_1270/klagomål/A 28124-2021 FSC-klagomål.docx", "A 28124-2021")</f>
        <v/>
      </c>
      <c r="W133">
        <f>HYPERLINK("https://klasma.github.io/Logging_1270/klagomålsmail/A 28124-2021 FSC-klagomål mail.docx", "A 28124-2021")</f>
        <v/>
      </c>
      <c r="X133">
        <f>HYPERLINK("https://klasma.github.io/Logging_1270/tillsyn/A 28124-2021 tillsynsbegäran.docx", "A 28124-2021")</f>
        <v/>
      </c>
      <c r="Y133">
        <f>HYPERLINK("https://klasma.github.io/Logging_1270/tillsynsmail/A 28124-2021 tillsynsbegäran mail.docx", "A 28124-2021")</f>
        <v/>
      </c>
    </row>
    <row r="134" ht="15" customHeight="1">
      <c r="A134" t="inlineStr">
        <is>
          <t>A 39121-2021</t>
        </is>
      </c>
      <c r="B134" s="1" t="n">
        <v>44412</v>
      </c>
      <c r="C134" s="1" t="n">
        <v>45744</v>
      </c>
      <c r="D134" t="inlineStr">
        <is>
          <t>SKÅNE LÄN</t>
        </is>
      </c>
      <c r="E134" t="inlineStr">
        <is>
          <t>SIMRISHAMN</t>
        </is>
      </c>
      <c r="G134" t="n">
        <v>1</v>
      </c>
      <c r="H134" t="n">
        <v>2</v>
      </c>
      <c r="I134" t="n">
        <v>0</v>
      </c>
      <c r="J134" t="n">
        <v>0</v>
      </c>
      <c r="K134" t="n">
        <v>0</v>
      </c>
      <c r="L134" t="n">
        <v>0</v>
      </c>
      <c r="M134" t="n">
        <v>0</v>
      </c>
      <c r="N134" t="n">
        <v>0</v>
      </c>
      <c r="O134" t="n">
        <v>0</v>
      </c>
      <c r="P134" t="n">
        <v>0</v>
      </c>
      <c r="Q134" t="n">
        <v>2</v>
      </c>
      <c r="R134" s="2" t="inlineStr">
        <is>
          <t>Lövgroda
Större vattensalamander</t>
        </is>
      </c>
      <c r="S134">
        <f>HYPERLINK("https://klasma.github.io/Logging_1291/artfynd/A 39121-2021 artfynd.xlsx", "A 39121-2021")</f>
        <v/>
      </c>
      <c r="T134">
        <f>HYPERLINK("https://klasma.github.io/Logging_1291/kartor/A 39121-2021 karta.png", "A 39121-2021")</f>
        <v/>
      </c>
      <c r="V134">
        <f>HYPERLINK("https://klasma.github.io/Logging_1291/klagomål/A 39121-2021 FSC-klagomål.docx", "A 39121-2021")</f>
        <v/>
      </c>
      <c r="W134">
        <f>HYPERLINK("https://klasma.github.io/Logging_1291/klagomålsmail/A 39121-2021 FSC-klagomål mail.docx", "A 39121-2021")</f>
        <v/>
      </c>
      <c r="X134">
        <f>HYPERLINK("https://klasma.github.io/Logging_1291/tillsyn/A 39121-2021 tillsynsbegäran.docx", "A 39121-2021")</f>
        <v/>
      </c>
      <c r="Y134">
        <f>HYPERLINK("https://klasma.github.io/Logging_1291/tillsynsmail/A 39121-2021 tillsynsbegäran mail.docx", "A 39121-2021")</f>
        <v/>
      </c>
    </row>
    <row r="135" ht="15" customHeight="1">
      <c r="A135" t="inlineStr">
        <is>
          <t>A 40999-2021</t>
        </is>
      </c>
      <c r="B135" s="1" t="n">
        <v>44421</v>
      </c>
      <c r="C135" s="1" t="n">
        <v>45744</v>
      </c>
      <c r="D135" t="inlineStr">
        <is>
          <t>SKÅNE LÄN</t>
        </is>
      </c>
      <c r="E135" t="inlineStr">
        <is>
          <t>LUND</t>
        </is>
      </c>
      <c r="G135" t="n">
        <v>4.4</v>
      </c>
      <c r="H135" t="n">
        <v>2</v>
      </c>
      <c r="I135" t="n">
        <v>0</v>
      </c>
      <c r="J135" t="n">
        <v>2</v>
      </c>
      <c r="K135" t="n">
        <v>0</v>
      </c>
      <c r="L135" t="n">
        <v>0</v>
      </c>
      <c r="M135" t="n">
        <v>0</v>
      </c>
      <c r="N135" t="n">
        <v>0</v>
      </c>
      <c r="O135" t="n">
        <v>2</v>
      </c>
      <c r="P135" t="n">
        <v>0</v>
      </c>
      <c r="Q135" t="n">
        <v>2</v>
      </c>
      <c r="R135" s="2" t="inlineStr">
        <is>
          <t>Spillkråka
Talltita</t>
        </is>
      </c>
      <c r="S135">
        <f>HYPERLINK("https://klasma.github.io/Logging_1281/artfynd/A 40999-2021 artfynd.xlsx", "A 40999-2021")</f>
        <v/>
      </c>
      <c r="T135">
        <f>HYPERLINK("https://klasma.github.io/Logging_1281/kartor/A 40999-2021 karta.png", "A 40999-2021")</f>
        <v/>
      </c>
      <c r="V135">
        <f>HYPERLINK("https://klasma.github.io/Logging_1281/klagomål/A 40999-2021 FSC-klagomål.docx", "A 40999-2021")</f>
        <v/>
      </c>
      <c r="W135">
        <f>HYPERLINK("https://klasma.github.io/Logging_1281/klagomålsmail/A 40999-2021 FSC-klagomål mail.docx", "A 40999-2021")</f>
        <v/>
      </c>
      <c r="X135">
        <f>HYPERLINK("https://klasma.github.io/Logging_1281/tillsyn/A 40999-2021 tillsynsbegäran.docx", "A 40999-2021")</f>
        <v/>
      </c>
      <c r="Y135">
        <f>HYPERLINK("https://klasma.github.io/Logging_1281/tillsynsmail/A 40999-2021 tillsynsbegäran mail.docx", "A 40999-2021")</f>
        <v/>
      </c>
      <c r="Z135">
        <f>HYPERLINK("https://klasma.github.io/Logging_1281/fåglar/A 40999-2021 prioriterade fågelarter.docx", "A 40999-2021")</f>
        <v/>
      </c>
    </row>
    <row r="136" ht="15" customHeight="1">
      <c r="A136" t="inlineStr">
        <is>
          <t>A 44167-2021</t>
        </is>
      </c>
      <c r="B136" s="1" t="n">
        <v>44434</v>
      </c>
      <c r="C136" s="1" t="n">
        <v>45744</v>
      </c>
      <c r="D136" t="inlineStr">
        <is>
          <t>SKÅNE LÄN</t>
        </is>
      </c>
      <c r="E136" t="inlineStr">
        <is>
          <t>HÄSSLEHOLM</t>
        </is>
      </c>
      <c r="G136" t="n">
        <v>0.7</v>
      </c>
      <c r="H136" t="n">
        <v>0</v>
      </c>
      <c r="I136" t="n">
        <v>1</v>
      </c>
      <c r="J136" t="n">
        <v>0</v>
      </c>
      <c r="K136" t="n">
        <v>0</v>
      </c>
      <c r="L136" t="n">
        <v>0</v>
      </c>
      <c r="M136" t="n">
        <v>1</v>
      </c>
      <c r="N136" t="n">
        <v>0</v>
      </c>
      <c r="O136" t="n">
        <v>1</v>
      </c>
      <c r="P136" t="n">
        <v>1</v>
      </c>
      <c r="Q136" t="n">
        <v>2</v>
      </c>
      <c r="R136" s="2" t="inlineStr">
        <is>
          <t>Naverlönn
Platt fjädermossa</t>
        </is>
      </c>
      <c r="S136">
        <f>HYPERLINK("https://klasma.github.io/Logging_1293/artfynd/A 44167-2021 artfynd.xlsx", "A 44167-2021")</f>
        <v/>
      </c>
      <c r="T136">
        <f>HYPERLINK("https://klasma.github.io/Logging_1293/kartor/A 44167-2021 karta.png", "A 44167-2021")</f>
        <v/>
      </c>
      <c r="V136">
        <f>HYPERLINK("https://klasma.github.io/Logging_1293/klagomål/A 44167-2021 FSC-klagomål.docx", "A 44167-2021")</f>
        <v/>
      </c>
      <c r="W136">
        <f>HYPERLINK("https://klasma.github.io/Logging_1293/klagomålsmail/A 44167-2021 FSC-klagomål mail.docx", "A 44167-2021")</f>
        <v/>
      </c>
      <c r="X136">
        <f>HYPERLINK("https://klasma.github.io/Logging_1293/tillsyn/A 44167-2021 tillsynsbegäran.docx", "A 44167-2021")</f>
        <v/>
      </c>
      <c r="Y136">
        <f>HYPERLINK("https://klasma.github.io/Logging_1293/tillsynsmail/A 44167-2021 tillsynsbegäran mail.docx", "A 44167-2021")</f>
        <v/>
      </c>
    </row>
    <row r="137" ht="15" customHeight="1">
      <c r="A137" t="inlineStr">
        <is>
          <t>A 52010-2021</t>
        </is>
      </c>
      <c r="B137" s="1" t="n">
        <v>44463</v>
      </c>
      <c r="C137" s="1" t="n">
        <v>45744</v>
      </c>
      <c r="D137" t="inlineStr">
        <is>
          <t>SKÅNE LÄN</t>
        </is>
      </c>
      <c r="E137" t="inlineStr">
        <is>
          <t>KRISTIANSTAD</t>
        </is>
      </c>
      <c r="G137" t="n">
        <v>2.9</v>
      </c>
      <c r="H137" t="n">
        <v>2</v>
      </c>
      <c r="I137" t="n">
        <v>0</v>
      </c>
      <c r="J137" t="n">
        <v>1</v>
      </c>
      <c r="K137" t="n">
        <v>0</v>
      </c>
      <c r="L137" t="n">
        <v>0</v>
      </c>
      <c r="M137" t="n">
        <v>0</v>
      </c>
      <c r="N137" t="n">
        <v>0</v>
      </c>
      <c r="O137" t="n">
        <v>1</v>
      </c>
      <c r="P137" t="n">
        <v>0</v>
      </c>
      <c r="Q137" t="n">
        <v>2</v>
      </c>
      <c r="R137" s="2" t="inlineStr">
        <is>
          <t>Grönsångare
Gullviva</t>
        </is>
      </c>
      <c r="S137">
        <f>HYPERLINK("https://klasma.github.io/Logging_1290/artfynd/A 52010-2021 artfynd.xlsx", "A 52010-2021")</f>
        <v/>
      </c>
      <c r="T137">
        <f>HYPERLINK("https://klasma.github.io/Logging_1290/kartor/A 52010-2021 karta.png", "A 52010-2021")</f>
        <v/>
      </c>
      <c r="V137">
        <f>HYPERLINK("https://klasma.github.io/Logging_1290/klagomål/A 52010-2021 FSC-klagomål.docx", "A 52010-2021")</f>
        <v/>
      </c>
      <c r="W137">
        <f>HYPERLINK("https://klasma.github.io/Logging_1290/klagomålsmail/A 52010-2021 FSC-klagomål mail.docx", "A 52010-2021")</f>
        <v/>
      </c>
      <c r="X137">
        <f>HYPERLINK("https://klasma.github.io/Logging_1290/tillsyn/A 52010-2021 tillsynsbegäran.docx", "A 52010-2021")</f>
        <v/>
      </c>
      <c r="Y137">
        <f>HYPERLINK("https://klasma.github.io/Logging_1290/tillsynsmail/A 52010-2021 tillsynsbegäran mail.docx", "A 52010-2021")</f>
        <v/>
      </c>
      <c r="Z137">
        <f>HYPERLINK("https://klasma.github.io/Logging_1290/fåglar/A 52010-2021 prioriterade fågelarter.docx", "A 52010-2021")</f>
        <v/>
      </c>
    </row>
    <row r="138" ht="15" customHeight="1">
      <c r="A138" t="inlineStr">
        <is>
          <t>A 54306-2021</t>
        </is>
      </c>
      <c r="B138" s="1" t="n">
        <v>44472</v>
      </c>
      <c r="C138" s="1" t="n">
        <v>45744</v>
      </c>
      <c r="D138" t="inlineStr">
        <is>
          <t>SKÅNE LÄN</t>
        </is>
      </c>
      <c r="E138" t="inlineStr">
        <is>
          <t>OSBY</t>
        </is>
      </c>
      <c r="G138" t="n">
        <v>2.3</v>
      </c>
      <c r="H138" t="n">
        <v>0</v>
      </c>
      <c r="I138" t="n">
        <v>2</v>
      </c>
      <c r="J138" t="n">
        <v>0</v>
      </c>
      <c r="K138" t="n">
        <v>0</v>
      </c>
      <c r="L138" t="n">
        <v>0</v>
      </c>
      <c r="M138" t="n">
        <v>0</v>
      </c>
      <c r="N138" t="n">
        <v>0</v>
      </c>
      <c r="O138" t="n">
        <v>0</v>
      </c>
      <c r="P138" t="n">
        <v>0</v>
      </c>
      <c r="Q138" t="n">
        <v>2</v>
      </c>
      <c r="R138" s="2" t="inlineStr">
        <is>
          <t>Bårdlav
Fällmossa</t>
        </is>
      </c>
      <c r="S138">
        <f>HYPERLINK("https://klasma.github.io/Logging_1273/artfynd/A 54306-2021 artfynd.xlsx", "A 54306-2021")</f>
        <v/>
      </c>
      <c r="T138">
        <f>HYPERLINK("https://klasma.github.io/Logging_1273/kartor/A 54306-2021 karta.png", "A 54306-2021")</f>
        <v/>
      </c>
      <c r="V138">
        <f>HYPERLINK("https://klasma.github.io/Logging_1273/klagomål/A 54306-2021 FSC-klagomål.docx", "A 54306-2021")</f>
        <v/>
      </c>
      <c r="W138">
        <f>HYPERLINK("https://klasma.github.io/Logging_1273/klagomålsmail/A 54306-2021 FSC-klagomål mail.docx", "A 54306-2021")</f>
        <v/>
      </c>
      <c r="X138">
        <f>HYPERLINK("https://klasma.github.io/Logging_1273/tillsyn/A 54306-2021 tillsynsbegäran.docx", "A 54306-2021")</f>
        <v/>
      </c>
      <c r="Y138">
        <f>HYPERLINK("https://klasma.github.io/Logging_1273/tillsynsmail/A 54306-2021 tillsynsbegäran mail.docx", "A 54306-2021")</f>
        <v/>
      </c>
    </row>
    <row r="139" ht="15" customHeight="1">
      <c r="A139" t="inlineStr">
        <is>
          <t>A 59690-2021</t>
        </is>
      </c>
      <c r="B139" s="1" t="n">
        <v>44494</v>
      </c>
      <c r="C139" s="1" t="n">
        <v>45744</v>
      </c>
      <c r="D139" t="inlineStr">
        <is>
          <t>SKÅNE LÄN</t>
        </is>
      </c>
      <c r="E139" t="inlineStr">
        <is>
          <t>KRISTIANSTAD</t>
        </is>
      </c>
      <c r="G139" t="n">
        <v>5.2</v>
      </c>
      <c r="H139" t="n">
        <v>1</v>
      </c>
      <c r="I139" t="n">
        <v>1</v>
      </c>
      <c r="J139" t="n">
        <v>0</v>
      </c>
      <c r="K139" t="n">
        <v>0</v>
      </c>
      <c r="L139" t="n">
        <v>0</v>
      </c>
      <c r="M139" t="n">
        <v>0</v>
      </c>
      <c r="N139" t="n">
        <v>0</v>
      </c>
      <c r="O139" t="n">
        <v>0</v>
      </c>
      <c r="P139" t="n">
        <v>0</v>
      </c>
      <c r="Q139" t="n">
        <v>2</v>
      </c>
      <c r="R139" s="2" t="inlineStr">
        <is>
          <t>Lundvårlök
Grönvit nattviol</t>
        </is>
      </c>
      <c r="S139">
        <f>HYPERLINK("https://klasma.github.io/Logging_1290/artfynd/A 59690-2021 artfynd.xlsx", "A 59690-2021")</f>
        <v/>
      </c>
      <c r="T139">
        <f>HYPERLINK("https://klasma.github.io/Logging_1290/kartor/A 59690-2021 karta.png", "A 59690-2021")</f>
        <v/>
      </c>
      <c r="V139">
        <f>HYPERLINK("https://klasma.github.io/Logging_1290/klagomål/A 59690-2021 FSC-klagomål.docx", "A 59690-2021")</f>
        <v/>
      </c>
      <c r="W139">
        <f>HYPERLINK("https://klasma.github.io/Logging_1290/klagomålsmail/A 59690-2021 FSC-klagomål mail.docx", "A 59690-2021")</f>
        <v/>
      </c>
      <c r="X139">
        <f>HYPERLINK("https://klasma.github.io/Logging_1290/tillsyn/A 59690-2021 tillsynsbegäran.docx", "A 59690-2021")</f>
        <v/>
      </c>
      <c r="Y139">
        <f>HYPERLINK("https://klasma.github.io/Logging_1290/tillsynsmail/A 59690-2021 tillsynsbegäran mail.docx", "A 59690-2021")</f>
        <v/>
      </c>
    </row>
    <row r="140" ht="15" customHeight="1">
      <c r="A140" t="inlineStr">
        <is>
          <t>A 4345-2022</t>
        </is>
      </c>
      <c r="B140" s="1" t="n">
        <v>44589</v>
      </c>
      <c r="C140" s="1" t="n">
        <v>45744</v>
      </c>
      <c r="D140" t="inlineStr">
        <is>
          <t>SKÅNE LÄN</t>
        </is>
      </c>
      <c r="E140" t="inlineStr">
        <is>
          <t>OSBY</t>
        </is>
      </c>
      <c r="G140" t="n">
        <v>2.1</v>
      </c>
      <c r="H140" t="n">
        <v>2</v>
      </c>
      <c r="I140" t="n">
        <v>0</v>
      </c>
      <c r="J140" t="n">
        <v>1</v>
      </c>
      <c r="K140" t="n">
        <v>0</v>
      </c>
      <c r="L140" t="n">
        <v>0</v>
      </c>
      <c r="M140" t="n">
        <v>0</v>
      </c>
      <c r="N140" t="n">
        <v>0</v>
      </c>
      <c r="O140" t="n">
        <v>1</v>
      </c>
      <c r="P140" t="n">
        <v>0</v>
      </c>
      <c r="Q140" t="n">
        <v>2</v>
      </c>
      <c r="R140" s="2" t="inlineStr">
        <is>
          <t>Mindre hackspett
Kungsfågel</t>
        </is>
      </c>
      <c r="S140">
        <f>HYPERLINK("https://klasma.github.io/Logging_1273/artfynd/A 4345-2022 artfynd.xlsx", "A 4345-2022")</f>
        <v/>
      </c>
      <c r="T140">
        <f>HYPERLINK("https://klasma.github.io/Logging_1273/kartor/A 4345-2022 karta.png", "A 4345-2022")</f>
        <v/>
      </c>
      <c r="V140">
        <f>HYPERLINK("https://klasma.github.io/Logging_1273/klagomål/A 4345-2022 FSC-klagomål.docx", "A 4345-2022")</f>
        <v/>
      </c>
      <c r="W140">
        <f>HYPERLINK("https://klasma.github.io/Logging_1273/klagomålsmail/A 4345-2022 FSC-klagomål mail.docx", "A 4345-2022")</f>
        <v/>
      </c>
      <c r="X140">
        <f>HYPERLINK("https://klasma.github.io/Logging_1273/tillsyn/A 4345-2022 tillsynsbegäran.docx", "A 4345-2022")</f>
        <v/>
      </c>
      <c r="Y140">
        <f>HYPERLINK("https://klasma.github.io/Logging_1273/tillsynsmail/A 4345-2022 tillsynsbegäran mail.docx", "A 4345-2022")</f>
        <v/>
      </c>
      <c r="Z140">
        <f>HYPERLINK("https://klasma.github.io/Logging_1273/fåglar/A 4345-2022 prioriterade fågelarter.docx", "A 4345-2022")</f>
        <v/>
      </c>
    </row>
    <row r="141" ht="15" customHeight="1">
      <c r="A141" t="inlineStr">
        <is>
          <t>A 11673-2022</t>
        </is>
      </c>
      <c r="B141" s="1" t="n">
        <v>44633</v>
      </c>
      <c r="C141" s="1" t="n">
        <v>45744</v>
      </c>
      <c r="D141" t="inlineStr">
        <is>
          <t>SKÅNE LÄN</t>
        </is>
      </c>
      <c r="E141" t="inlineStr">
        <is>
          <t>KLIPPAN</t>
        </is>
      </c>
      <c r="G141" t="n">
        <v>1.8</v>
      </c>
      <c r="H141" t="n">
        <v>2</v>
      </c>
      <c r="I141" t="n">
        <v>0</v>
      </c>
      <c r="J141" t="n">
        <v>1</v>
      </c>
      <c r="K141" t="n">
        <v>0</v>
      </c>
      <c r="L141" t="n">
        <v>0</v>
      </c>
      <c r="M141" t="n">
        <v>0</v>
      </c>
      <c r="N141" t="n">
        <v>0</v>
      </c>
      <c r="O141" t="n">
        <v>1</v>
      </c>
      <c r="P141" t="n">
        <v>0</v>
      </c>
      <c r="Q141" t="n">
        <v>2</v>
      </c>
      <c r="R141" s="2" t="inlineStr">
        <is>
          <t>Talltita
Vanlig groda</t>
        </is>
      </c>
      <c r="S141">
        <f>HYPERLINK("https://klasma.github.io/Logging_1276/artfynd/A 11673-2022 artfynd.xlsx", "A 11673-2022")</f>
        <v/>
      </c>
      <c r="T141">
        <f>HYPERLINK("https://klasma.github.io/Logging_1276/kartor/A 11673-2022 karta.png", "A 11673-2022")</f>
        <v/>
      </c>
      <c r="V141">
        <f>HYPERLINK("https://klasma.github.io/Logging_1276/klagomål/A 11673-2022 FSC-klagomål.docx", "A 11673-2022")</f>
        <v/>
      </c>
      <c r="W141">
        <f>HYPERLINK("https://klasma.github.io/Logging_1276/klagomålsmail/A 11673-2022 FSC-klagomål mail.docx", "A 11673-2022")</f>
        <v/>
      </c>
      <c r="X141">
        <f>HYPERLINK("https://klasma.github.io/Logging_1276/tillsyn/A 11673-2022 tillsynsbegäran.docx", "A 11673-2022")</f>
        <v/>
      </c>
      <c r="Y141">
        <f>HYPERLINK("https://klasma.github.io/Logging_1276/tillsynsmail/A 11673-2022 tillsynsbegäran mail.docx", "A 11673-2022")</f>
        <v/>
      </c>
      <c r="Z141">
        <f>HYPERLINK("https://klasma.github.io/Logging_1276/fåglar/A 11673-2022 prioriterade fågelarter.docx", "A 11673-2022")</f>
        <v/>
      </c>
    </row>
    <row r="142" ht="15" customHeight="1">
      <c r="A142" t="inlineStr">
        <is>
          <t>A 26855-2022</t>
        </is>
      </c>
      <c r="B142" s="1" t="n">
        <v>44740</v>
      </c>
      <c r="C142" s="1" t="n">
        <v>45744</v>
      </c>
      <c r="D142" t="inlineStr">
        <is>
          <t>SKÅNE LÄN</t>
        </is>
      </c>
      <c r="E142" t="inlineStr">
        <is>
          <t>SVALÖV</t>
        </is>
      </c>
      <c r="G142" t="n">
        <v>5.2</v>
      </c>
      <c r="H142" t="n">
        <v>1</v>
      </c>
      <c r="I142" t="n">
        <v>1</v>
      </c>
      <c r="J142" t="n">
        <v>0</v>
      </c>
      <c r="K142" t="n">
        <v>0</v>
      </c>
      <c r="L142" t="n">
        <v>0</v>
      </c>
      <c r="M142" t="n">
        <v>0</v>
      </c>
      <c r="N142" t="n">
        <v>0</v>
      </c>
      <c r="O142" t="n">
        <v>0</v>
      </c>
      <c r="P142" t="n">
        <v>0</v>
      </c>
      <c r="Q142" t="n">
        <v>2</v>
      </c>
      <c r="R142" s="2" t="inlineStr">
        <is>
          <t>Skogsbräsma
Mattlummer</t>
        </is>
      </c>
      <c r="S142">
        <f>HYPERLINK("https://klasma.github.io/Logging_1214/artfynd/A 26855-2022 artfynd.xlsx", "A 26855-2022")</f>
        <v/>
      </c>
      <c r="T142">
        <f>HYPERLINK("https://klasma.github.io/Logging_1214/kartor/A 26855-2022 karta.png", "A 26855-2022")</f>
        <v/>
      </c>
      <c r="V142">
        <f>HYPERLINK("https://klasma.github.io/Logging_1214/klagomål/A 26855-2022 FSC-klagomål.docx", "A 26855-2022")</f>
        <v/>
      </c>
      <c r="W142">
        <f>HYPERLINK("https://klasma.github.io/Logging_1214/klagomålsmail/A 26855-2022 FSC-klagomål mail.docx", "A 26855-2022")</f>
        <v/>
      </c>
      <c r="X142">
        <f>HYPERLINK("https://klasma.github.io/Logging_1214/tillsyn/A 26855-2022 tillsynsbegäran.docx", "A 26855-2022")</f>
        <v/>
      </c>
      <c r="Y142">
        <f>HYPERLINK("https://klasma.github.io/Logging_1214/tillsynsmail/A 26855-2022 tillsynsbegäran mail.docx", "A 26855-2022")</f>
        <v/>
      </c>
    </row>
    <row r="143" ht="15" customHeight="1">
      <c r="A143" t="inlineStr">
        <is>
          <t>A 26984-2022</t>
        </is>
      </c>
      <c r="B143" s="1" t="n">
        <v>44740</v>
      </c>
      <c r="C143" s="1" t="n">
        <v>45744</v>
      </c>
      <c r="D143" t="inlineStr">
        <is>
          <t>SKÅNE LÄN</t>
        </is>
      </c>
      <c r="E143" t="inlineStr">
        <is>
          <t>LUND</t>
        </is>
      </c>
      <c r="G143" t="n">
        <v>2.9</v>
      </c>
      <c r="H143" t="n">
        <v>2</v>
      </c>
      <c r="I143" t="n">
        <v>0</v>
      </c>
      <c r="J143" t="n">
        <v>1</v>
      </c>
      <c r="K143" t="n">
        <v>1</v>
      </c>
      <c r="L143" t="n">
        <v>0</v>
      </c>
      <c r="M143" t="n">
        <v>0</v>
      </c>
      <c r="N143" t="n">
        <v>0</v>
      </c>
      <c r="O143" t="n">
        <v>2</v>
      </c>
      <c r="P143" t="n">
        <v>1</v>
      </c>
      <c r="Q143" t="n">
        <v>2</v>
      </c>
      <c r="R143" s="2" t="inlineStr">
        <is>
          <t>Lökgroda
Strandpadda</t>
        </is>
      </c>
      <c r="S143">
        <f>HYPERLINK("https://klasma.github.io/Logging_1281/artfynd/A 26984-2022 artfynd.xlsx", "A 26984-2022")</f>
        <v/>
      </c>
      <c r="T143">
        <f>HYPERLINK("https://klasma.github.io/Logging_1281/kartor/A 26984-2022 karta.png", "A 26984-2022")</f>
        <v/>
      </c>
      <c r="V143">
        <f>HYPERLINK("https://klasma.github.io/Logging_1281/klagomål/A 26984-2022 FSC-klagomål.docx", "A 26984-2022")</f>
        <v/>
      </c>
      <c r="W143">
        <f>HYPERLINK("https://klasma.github.io/Logging_1281/klagomålsmail/A 26984-2022 FSC-klagomål mail.docx", "A 26984-2022")</f>
        <v/>
      </c>
      <c r="X143">
        <f>HYPERLINK("https://klasma.github.io/Logging_1281/tillsyn/A 26984-2022 tillsynsbegäran.docx", "A 26984-2022")</f>
        <v/>
      </c>
      <c r="Y143">
        <f>HYPERLINK("https://klasma.github.io/Logging_1281/tillsynsmail/A 26984-2022 tillsynsbegäran mail.docx", "A 26984-2022")</f>
        <v/>
      </c>
    </row>
    <row r="144" ht="15" customHeight="1">
      <c r="A144" t="inlineStr">
        <is>
          <t>A 28929-2022</t>
        </is>
      </c>
      <c r="B144" s="1" t="n">
        <v>44749</v>
      </c>
      <c r="C144" s="1" t="n">
        <v>45744</v>
      </c>
      <c r="D144" t="inlineStr">
        <is>
          <t>SKÅNE LÄN</t>
        </is>
      </c>
      <c r="E144" t="inlineStr">
        <is>
          <t>SJÖBO</t>
        </is>
      </c>
      <c r="G144" t="n">
        <v>1</v>
      </c>
      <c r="H144" t="n">
        <v>2</v>
      </c>
      <c r="I144" t="n">
        <v>0</v>
      </c>
      <c r="J144" t="n">
        <v>0</v>
      </c>
      <c r="K144" t="n">
        <v>0</v>
      </c>
      <c r="L144" t="n">
        <v>0</v>
      </c>
      <c r="M144" t="n">
        <v>0</v>
      </c>
      <c r="N144" t="n">
        <v>0</v>
      </c>
      <c r="O144" t="n">
        <v>0</v>
      </c>
      <c r="P144" t="n">
        <v>0</v>
      </c>
      <c r="Q144" t="n">
        <v>2</v>
      </c>
      <c r="R144" s="2" t="inlineStr">
        <is>
          <t>Lövgroda
Större vattensalamander</t>
        </is>
      </c>
      <c r="S144">
        <f>HYPERLINK("https://klasma.github.io/Logging_1265/artfynd/A 28929-2022 artfynd.xlsx", "A 28929-2022")</f>
        <v/>
      </c>
      <c r="T144">
        <f>HYPERLINK("https://klasma.github.io/Logging_1265/kartor/A 28929-2022 karta.png", "A 28929-2022")</f>
        <v/>
      </c>
      <c r="V144">
        <f>HYPERLINK("https://klasma.github.io/Logging_1265/klagomål/A 28929-2022 FSC-klagomål.docx", "A 28929-2022")</f>
        <v/>
      </c>
      <c r="W144">
        <f>HYPERLINK("https://klasma.github.io/Logging_1265/klagomålsmail/A 28929-2022 FSC-klagomål mail.docx", "A 28929-2022")</f>
        <v/>
      </c>
      <c r="X144">
        <f>HYPERLINK("https://klasma.github.io/Logging_1265/tillsyn/A 28929-2022 tillsynsbegäran.docx", "A 28929-2022")</f>
        <v/>
      </c>
      <c r="Y144">
        <f>HYPERLINK("https://klasma.github.io/Logging_1265/tillsynsmail/A 28929-2022 tillsynsbegäran mail.docx", "A 28929-2022")</f>
        <v/>
      </c>
    </row>
    <row r="145" ht="15" customHeight="1">
      <c r="A145" t="inlineStr">
        <is>
          <t>A 30842-2022</t>
        </is>
      </c>
      <c r="B145" s="1" t="n">
        <v>44767</v>
      </c>
      <c r="C145" s="1" t="n">
        <v>45744</v>
      </c>
      <c r="D145" t="inlineStr">
        <is>
          <t>SKÅNE LÄN</t>
        </is>
      </c>
      <c r="E145" t="inlineStr">
        <is>
          <t>KRISTIANSTAD</t>
        </is>
      </c>
      <c r="G145" t="n">
        <v>2.6</v>
      </c>
      <c r="H145" t="n">
        <v>1</v>
      </c>
      <c r="I145" t="n">
        <v>0</v>
      </c>
      <c r="J145" t="n">
        <v>0</v>
      </c>
      <c r="K145" t="n">
        <v>1</v>
      </c>
      <c r="L145" t="n">
        <v>0</v>
      </c>
      <c r="M145" t="n">
        <v>0</v>
      </c>
      <c r="N145" t="n">
        <v>0</v>
      </c>
      <c r="O145" t="n">
        <v>1</v>
      </c>
      <c r="P145" t="n">
        <v>1</v>
      </c>
      <c r="Q145" t="n">
        <v>2</v>
      </c>
      <c r="R145" s="2" t="inlineStr">
        <is>
          <t>Småvänderot
Större vattensalamander</t>
        </is>
      </c>
      <c r="S145">
        <f>HYPERLINK("https://klasma.github.io/Logging_1290/artfynd/A 30842-2022 artfynd.xlsx", "A 30842-2022")</f>
        <v/>
      </c>
      <c r="T145">
        <f>HYPERLINK("https://klasma.github.io/Logging_1290/kartor/A 30842-2022 karta.png", "A 30842-2022")</f>
        <v/>
      </c>
      <c r="V145">
        <f>HYPERLINK("https://klasma.github.io/Logging_1290/klagomål/A 30842-2022 FSC-klagomål.docx", "A 30842-2022")</f>
        <v/>
      </c>
      <c r="W145">
        <f>HYPERLINK("https://klasma.github.io/Logging_1290/klagomålsmail/A 30842-2022 FSC-klagomål mail.docx", "A 30842-2022")</f>
        <v/>
      </c>
      <c r="X145">
        <f>HYPERLINK("https://klasma.github.io/Logging_1290/tillsyn/A 30842-2022 tillsynsbegäran.docx", "A 30842-2022")</f>
        <v/>
      </c>
      <c r="Y145">
        <f>HYPERLINK("https://klasma.github.io/Logging_1290/tillsynsmail/A 30842-2022 tillsynsbegäran mail.docx", "A 30842-2022")</f>
        <v/>
      </c>
    </row>
    <row r="146" ht="15" customHeight="1">
      <c r="A146" t="inlineStr">
        <is>
          <t>A 44586-2022</t>
        </is>
      </c>
      <c r="B146" s="1" t="n">
        <v>44840</v>
      </c>
      <c r="C146" s="1" t="n">
        <v>45744</v>
      </c>
      <c r="D146" t="inlineStr">
        <is>
          <t>SKÅNE LÄN</t>
        </is>
      </c>
      <c r="E146" t="inlineStr">
        <is>
          <t>KRISTIANSTAD</t>
        </is>
      </c>
      <c r="G146" t="n">
        <v>8.199999999999999</v>
      </c>
      <c r="H146" t="n">
        <v>0</v>
      </c>
      <c r="I146" t="n">
        <v>2</v>
      </c>
      <c r="J146" t="n">
        <v>0</v>
      </c>
      <c r="K146" t="n">
        <v>0</v>
      </c>
      <c r="L146" t="n">
        <v>0</v>
      </c>
      <c r="M146" t="n">
        <v>0</v>
      </c>
      <c r="N146" t="n">
        <v>0</v>
      </c>
      <c r="O146" t="n">
        <v>0</v>
      </c>
      <c r="P146" t="n">
        <v>0</v>
      </c>
      <c r="Q146" t="n">
        <v>2</v>
      </c>
      <c r="R146" s="2" t="inlineStr">
        <is>
          <t>Blåmossa
Västlig hakmossa</t>
        </is>
      </c>
      <c r="S146">
        <f>HYPERLINK("https://klasma.github.io/Logging_1290/artfynd/A 44586-2022 artfynd.xlsx", "A 44586-2022")</f>
        <v/>
      </c>
      <c r="T146">
        <f>HYPERLINK("https://klasma.github.io/Logging_1290/kartor/A 44586-2022 karta.png", "A 44586-2022")</f>
        <v/>
      </c>
      <c r="V146">
        <f>HYPERLINK("https://klasma.github.io/Logging_1290/klagomål/A 44586-2022 FSC-klagomål.docx", "A 44586-2022")</f>
        <v/>
      </c>
      <c r="W146">
        <f>HYPERLINK("https://klasma.github.io/Logging_1290/klagomålsmail/A 44586-2022 FSC-klagomål mail.docx", "A 44586-2022")</f>
        <v/>
      </c>
      <c r="X146">
        <f>HYPERLINK("https://klasma.github.io/Logging_1290/tillsyn/A 44586-2022 tillsynsbegäran.docx", "A 44586-2022")</f>
        <v/>
      </c>
      <c r="Y146">
        <f>HYPERLINK("https://klasma.github.io/Logging_1290/tillsynsmail/A 44586-2022 tillsynsbegäran mail.docx", "A 44586-2022")</f>
        <v/>
      </c>
    </row>
    <row r="147" ht="15" customHeight="1">
      <c r="A147" t="inlineStr">
        <is>
          <t>A 53878-2022</t>
        </is>
      </c>
      <c r="B147" s="1" t="n">
        <v>44880</v>
      </c>
      <c r="C147" s="1" t="n">
        <v>45744</v>
      </c>
      <c r="D147" t="inlineStr">
        <is>
          <t>SKÅNE LÄN</t>
        </is>
      </c>
      <c r="E147" t="inlineStr">
        <is>
          <t>KLIPPAN</t>
        </is>
      </c>
      <c r="G147" t="n">
        <v>8.300000000000001</v>
      </c>
      <c r="H147" t="n">
        <v>2</v>
      </c>
      <c r="I147" t="n">
        <v>0</v>
      </c>
      <c r="J147" t="n">
        <v>2</v>
      </c>
      <c r="K147" t="n">
        <v>0</v>
      </c>
      <c r="L147" t="n">
        <v>0</v>
      </c>
      <c r="M147" t="n">
        <v>0</v>
      </c>
      <c r="N147" t="n">
        <v>0</v>
      </c>
      <c r="O147" t="n">
        <v>2</v>
      </c>
      <c r="P147" t="n">
        <v>0</v>
      </c>
      <c r="Q147" t="n">
        <v>2</v>
      </c>
      <c r="R147" s="2" t="inlineStr">
        <is>
          <t>Entita
Gulsparv</t>
        </is>
      </c>
      <c r="S147">
        <f>HYPERLINK("https://klasma.github.io/Logging_1276/artfynd/A 53878-2022 artfynd.xlsx", "A 53878-2022")</f>
        <v/>
      </c>
      <c r="T147">
        <f>HYPERLINK("https://klasma.github.io/Logging_1276/kartor/A 53878-2022 karta.png", "A 53878-2022")</f>
        <v/>
      </c>
      <c r="V147">
        <f>HYPERLINK("https://klasma.github.io/Logging_1276/klagomål/A 53878-2022 FSC-klagomål.docx", "A 53878-2022")</f>
        <v/>
      </c>
      <c r="W147">
        <f>HYPERLINK("https://klasma.github.io/Logging_1276/klagomålsmail/A 53878-2022 FSC-klagomål mail.docx", "A 53878-2022")</f>
        <v/>
      </c>
      <c r="X147">
        <f>HYPERLINK("https://klasma.github.io/Logging_1276/tillsyn/A 53878-2022 tillsynsbegäran.docx", "A 53878-2022")</f>
        <v/>
      </c>
      <c r="Y147">
        <f>HYPERLINK("https://klasma.github.io/Logging_1276/tillsynsmail/A 53878-2022 tillsynsbegäran mail.docx", "A 53878-2022")</f>
        <v/>
      </c>
      <c r="Z147">
        <f>HYPERLINK("https://klasma.github.io/Logging_1276/fåglar/A 53878-2022 prioriterade fågelarter.docx", "A 53878-2022")</f>
        <v/>
      </c>
    </row>
    <row r="148" ht="15" customHeight="1">
      <c r="A148" t="inlineStr">
        <is>
          <t>A 55072-2022</t>
        </is>
      </c>
      <c r="B148" s="1" t="n">
        <v>44886</v>
      </c>
      <c r="C148" s="1" t="n">
        <v>45744</v>
      </c>
      <c r="D148" t="inlineStr">
        <is>
          <t>SKÅNE LÄN</t>
        </is>
      </c>
      <c r="E148" t="inlineStr">
        <is>
          <t>SIMRISHAMN</t>
        </is>
      </c>
      <c r="F148" t="inlineStr">
        <is>
          <t>Sveaskog</t>
        </is>
      </c>
      <c r="G148" t="n">
        <v>7.3</v>
      </c>
      <c r="H148" t="n">
        <v>1</v>
      </c>
      <c r="I148" t="n">
        <v>1</v>
      </c>
      <c r="J148" t="n">
        <v>0</v>
      </c>
      <c r="K148" t="n">
        <v>0</v>
      </c>
      <c r="L148" t="n">
        <v>0</v>
      </c>
      <c r="M148" t="n">
        <v>0</v>
      </c>
      <c r="N148" t="n">
        <v>0</v>
      </c>
      <c r="O148" t="n">
        <v>0</v>
      </c>
      <c r="P148" t="n">
        <v>0</v>
      </c>
      <c r="Q148" t="n">
        <v>2</v>
      </c>
      <c r="R148" s="2" t="inlineStr">
        <is>
          <t>Murgröna
Gullviva</t>
        </is>
      </c>
      <c r="S148">
        <f>HYPERLINK("https://klasma.github.io/Logging_1291/artfynd/A 55072-2022 artfynd.xlsx", "A 55072-2022")</f>
        <v/>
      </c>
      <c r="T148">
        <f>HYPERLINK("https://klasma.github.io/Logging_1291/kartor/A 55072-2022 karta.png", "A 55072-2022")</f>
        <v/>
      </c>
      <c r="V148">
        <f>HYPERLINK("https://klasma.github.io/Logging_1291/klagomål/A 55072-2022 FSC-klagomål.docx", "A 55072-2022")</f>
        <v/>
      </c>
      <c r="W148">
        <f>HYPERLINK("https://klasma.github.io/Logging_1291/klagomålsmail/A 55072-2022 FSC-klagomål mail.docx", "A 55072-2022")</f>
        <v/>
      </c>
      <c r="X148">
        <f>HYPERLINK("https://klasma.github.io/Logging_1291/tillsyn/A 55072-2022 tillsynsbegäran.docx", "A 55072-2022")</f>
        <v/>
      </c>
      <c r="Y148">
        <f>HYPERLINK("https://klasma.github.io/Logging_1291/tillsynsmail/A 55072-2022 tillsynsbegäran mail.docx", "A 55072-2022")</f>
        <v/>
      </c>
    </row>
    <row r="149" ht="15" customHeight="1">
      <c r="A149" t="inlineStr">
        <is>
          <t>A 56294-2022</t>
        </is>
      </c>
      <c r="B149" s="1" t="n">
        <v>44887</v>
      </c>
      <c r="C149" s="1" t="n">
        <v>45744</v>
      </c>
      <c r="D149" t="inlineStr">
        <is>
          <t>SKÅNE LÄN</t>
        </is>
      </c>
      <c r="E149" t="inlineStr">
        <is>
          <t>SJÖBO</t>
        </is>
      </c>
      <c r="G149" t="n">
        <v>4.6</v>
      </c>
      <c r="H149" t="n">
        <v>0</v>
      </c>
      <c r="I149" t="n">
        <v>2</v>
      </c>
      <c r="J149" t="n">
        <v>0</v>
      </c>
      <c r="K149" t="n">
        <v>0</v>
      </c>
      <c r="L149" t="n">
        <v>0</v>
      </c>
      <c r="M149" t="n">
        <v>0</v>
      </c>
      <c r="N149" t="n">
        <v>0</v>
      </c>
      <c r="O149" t="n">
        <v>0</v>
      </c>
      <c r="P149" t="n">
        <v>0</v>
      </c>
      <c r="Q149" t="n">
        <v>2</v>
      </c>
      <c r="R149" s="2" t="inlineStr">
        <is>
          <t>Myskmadra
Strävlosta</t>
        </is>
      </c>
      <c r="S149">
        <f>HYPERLINK("https://klasma.github.io/Logging_1265/artfynd/A 56294-2022 artfynd.xlsx", "A 56294-2022")</f>
        <v/>
      </c>
      <c r="T149">
        <f>HYPERLINK("https://klasma.github.io/Logging_1265/kartor/A 56294-2022 karta.png", "A 56294-2022")</f>
        <v/>
      </c>
      <c r="V149">
        <f>HYPERLINK("https://klasma.github.io/Logging_1265/klagomål/A 56294-2022 FSC-klagomål.docx", "A 56294-2022")</f>
        <v/>
      </c>
      <c r="W149">
        <f>HYPERLINK("https://klasma.github.io/Logging_1265/klagomålsmail/A 56294-2022 FSC-klagomål mail.docx", "A 56294-2022")</f>
        <v/>
      </c>
      <c r="X149">
        <f>HYPERLINK("https://klasma.github.io/Logging_1265/tillsyn/A 56294-2022 tillsynsbegäran.docx", "A 56294-2022")</f>
        <v/>
      </c>
      <c r="Y149">
        <f>HYPERLINK("https://klasma.github.io/Logging_1265/tillsynsmail/A 56294-2022 tillsynsbegäran mail.docx", "A 56294-2022")</f>
        <v/>
      </c>
    </row>
    <row r="150" ht="15" customHeight="1">
      <c r="A150" t="inlineStr">
        <is>
          <t>A 60295-2022</t>
        </is>
      </c>
      <c r="B150" s="1" t="n">
        <v>44903</v>
      </c>
      <c r="C150" s="1" t="n">
        <v>45744</v>
      </c>
      <c r="D150" t="inlineStr">
        <is>
          <t>SKÅNE LÄN</t>
        </is>
      </c>
      <c r="E150" t="inlineStr">
        <is>
          <t>YSTAD</t>
        </is>
      </c>
      <c r="G150" t="n">
        <v>1.1</v>
      </c>
      <c r="H150" t="n">
        <v>2</v>
      </c>
      <c r="I150" t="n">
        <v>0</v>
      </c>
      <c r="J150" t="n">
        <v>0</v>
      </c>
      <c r="K150" t="n">
        <v>0</v>
      </c>
      <c r="L150" t="n">
        <v>0</v>
      </c>
      <c r="M150" t="n">
        <v>0</v>
      </c>
      <c r="N150" t="n">
        <v>0</v>
      </c>
      <c r="O150" t="n">
        <v>0</v>
      </c>
      <c r="P150" t="n">
        <v>0</v>
      </c>
      <c r="Q150" t="n">
        <v>2</v>
      </c>
      <c r="R150" s="2" t="inlineStr">
        <is>
          <t>Klockgroda
Ätlig groda</t>
        </is>
      </c>
      <c r="S150">
        <f>HYPERLINK("https://klasma.github.io/Logging_1286/artfynd/A 60295-2022 artfynd.xlsx", "A 60295-2022")</f>
        <v/>
      </c>
      <c r="T150">
        <f>HYPERLINK("https://klasma.github.io/Logging_1286/kartor/A 60295-2022 karta.png", "A 60295-2022")</f>
        <v/>
      </c>
      <c r="V150">
        <f>HYPERLINK("https://klasma.github.io/Logging_1286/klagomål/A 60295-2022 FSC-klagomål.docx", "A 60295-2022")</f>
        <v/>
      </c>
      <c r="W150">
        <f>HYPERLINK("https://klasma.github.io/Logging_1286/klagomålsmail/A 60295-2022 FSC-klagomål mail.docx", "A 60295-2022")</f>
        <v/>
      </c>
      <c r="X150">
        <f>HYPERLINK("https://klasma.github.io/Logging_1286/tillsyn/A 60295-2022 tillsynsbegäran.docx", "A 60295-2022")</f>
        <v/>
      </c>
      <c r="Y150">
        <f>HYPERLINK("https://klasma.github.io/Logging_1286/tillsynsmail/A 60295-2022 tillsynsbegäran mail.docx", "A 60295-2022")</f>
        <v/>
      </c>
    </row>
    <row r="151" ht="15" customHeight="1">
      <c r="A151" t="inlineStr">
        <is>
          <t>A 62065-2022</t>
        </is>
      </c>
      <c r="B151" s="1" t="n">
        <v>44918</v>
      </c>
      <c r="C151" s="1" t="n">
        <v>45744</v>
      </c>
      <c r="D151" t="inlineStr">
        <is>
          <t>SKÅNE LÄN</t>
        </is>
      </c>
      <c r="E151" t="inlineStr">
        <is>
          <t>KRISTIANSTAD</t>
        </is>
      </c>
      <c r="G151" t="n">
        <v>0.8</v>
      </c>
      <c r="H151" t="n">
        <v>1</v>
      </c>
      <c r="I151" t="n">
        <v>0</v>
      </c>
      <c r="J151" t="n">
        <v>1</v>
      </c>
      <c r="K151" t="n">
        <v>1</v>
      </c>
      <c r="L151" t="n">
        <v>0</v>
      </c>
      <c r="M151" t="n">
        <v>0</v>
      </c>
      <c r="N151" t="n">
        <v>0</v>
      </c>
      <c r="O151" t="n">
        <v>2</v>
      </c>
      <c r="P151" t="n">
        <v>1</v>
      </c>
      <c r="Q151" t="n">
        <v>2</v>
      </c>
      <c r="R151" s="2" t="inlineStr">
        <is>
          <t>Myrvapenfluga
Mindre hackspett</t>
        </is>
      </c>
      <c r="S151">
        <f>HYPERLINK("https://klasma.github.io/Logging_1290/artfynd/A 62065-2022 artfynd.xlsx", "A 62065-2022")</f>
        <v/>
      </c>
      <c r="T151">
        <f>HYPERLINK("https://klasma.github.io/Logging_1290/kartor/A 62065-2022 karta.png", "A 62065-2022")</f>
        <v/>
      </c>
      <c r="V151">
        <f>HYPERLINK("https://klasma.github.io/Logging_1290/klagomål/A 62065-2022 FSC-klagomål.docx", "A 62065-2022")</f>
        <v/>
      </c>
      <c r="W151">
        <f>HYPERLINK("https://klasma.github.io/Logging_1290/klagomålsmail/A 62065-2022 FSC-klagomål mail.docx", "A 62065-2022")</f>
        <v/>
      </c>
      <c r="X151">
        <f>HYPERLINK("https://klasma.github.io/Logging_1290/tillsyn/A 62065-2022 tillsynsbegäran.docx", "A 62065-2022")</f>
        <v/>
      </c>
      <c r="Y151">
        <f>HYPERLINK("https://klasma.github.io/Logging_1290/tillsynsmail/A 62065-2022 tillsynsbegäran mail.docx", "A 62065-2022")</f>
        <v/>
      </c>
      <c r="Z151">
        <f>HYPERLINK("https://klasma.github.io/Logging_1290/fåglar/A 62065-2022 prioriterade fågelarter.docx", "A 62065-2022")</f>
        <v/>
      </c>
    </row>
    <row r="152" ht="15" customHeight="1">
      <c r="A152" t="inlineStr">
        <is>
          <t>A 15229-2023</t>
        </is>
      </c>
      <c r="B152" s="1" t="n">
        <v>45016</v>
      </c>
      <c r="C152" s="1" t="n">
        <v>45744</v>
      </c>
      <c r="D152" t="inlineStr">
        <is>
          <t>SKÅNE LÄN</t>
        </is>
      </c>
      <c r="E152" t="inlineStr">
        <is>
          <t>KRISTIANSTAD</t>
        </is>
      </c>
      <c r="G152" t="n">
        <v>1.2</v>
      </c>
      <c r="H152" t="n">
        <v>2</v>
      </c>
      <c r="I152" t="n">
        <v>0</v>
      </c>
      <c r="J152" t="n">
        <v>2</v>
      </c>
      <c r="K152" t="n">
        <v>0</v>
      </c>
      <c r="L152" t="n">
        <v>0</v>
      </c>
      <c r="M152" t="n">
        <v>0</v>
      </c>
      <c r="N152" t="n">
        <v>0</v>
      </c>
      <c r="O152" t="n">
        <v>2</v>
      </c>
      <c r="P152" t="n">
        <v>0</v>
      </c>
      <c r="Q152" t="n">
        <v>2</v>
      </c>
      <c r="R152" s="2" t="inlineStr">
        <is>
          <t>Buskskvätta
Drillsnäppa</t>
        </is>
      </c>
      <c r="S152">
        <f>HYPERLINK("https://klasma.github.io/Logging_1290/artfynd/A 15229-2023 artfynd.xlsx", "A 15229-2023")</f>
        <v/>
      </c>
      <c r="T152">
        <f>HYPERLINK("https://klasma.github.io/Logging_1290/kartor/A 15229-2023 karta.png", "A 15229-2023")</f>
        <v/>
      </c>
      <c r="V152">
        <f>HYPERLINK("https://klasma.github.io/Logging_1290/klagomål/A 15229-2023 FSC-klagomål.docx", "A 15229-2023")</f>
        <v/>
      </c>
      <c r="W152">
        <f>HYPERLINK("https://klasma.github.io/Logging_1290/klagomålsmail/A 15229-2023 FSC-klagomål mail.docx", "A 15229-2023")</f>
        <v/>
      </c>
      <c r="X152">
        <f>HYPERLINK("https://klasma.github.io/Logging_1290/tillsyn/A 15229-2023 tillsynsbegäran.docx", "A 15229-2023")</f>
        <v/>
      </c>
      <c r="Y152">
        <f>HYPERLINK("https://klasma.github.io/Logging_1290/tillsynsmail/A 15229-2023 tillsynsbegäran mail.docx", "A 15229-2023")</f>
        <v/>
      </c>
      <c r="Z152">
        <f>HYPERLINK("https://klasma.github.io/Logging_1290/fåglar/A 15229-2023 prioriterade fågelarter.docx", "A 15229-2023")</f>
        <v/>
      </c>
    </row>
    <row r="153" ht="15" customHeight="1">
      <c r="A153" t="inlineStr">
        <is>
          <t>A 20702-2023</t>
        </is>
      </c>
      <c r="B153" s="1" t="n">
        <v>45058</v>
      </c>
      <c r="C153" s="1" t="n">
        <v>45744</v>
      </c>
      <c r="D153" t="inlineStr">
        <is>
          <t>SKÅNE LÄN</t>
        </is>
      </c>
      <c r="E153" t="inlineStr">
        <is>
          <t>KLIPPAN</t>
        </is>
      </c>
      <c r="G153" t="n">
        <v>5.9</v>
      </c>
      <c r="H153" t="n">
        <v>1</v>
      </c>
      <c r="I153" t="n">
        <v>0</v>
      </c>
      <c r="J153" t="n">
        <v>1</v>
      </c>
      <c r="K153" t="n">
        <v>0</v>
      </c>
      <c r="L153" t="n">
        <v>0</v>
      </c>
      <c r="M153" t="n">
        <v>0</v>
      </c>
      <c r="N153" t="n">
        <v>0</v>
      </c>
      <c r="O153" t="n">
        <v>1</v>
      </c>
      <c r="P153" t="n">
        <v>0</v>
      </c>
      <c r="Q153" t="n">
        <v>2</v>
      </c>
      <c r="R153" s="2" t="inlineStr">
        <is>
          <t>Svinrot
Grönvit nattviol</t>
        </is>
      </c>
      <c r="S153">
        <f>HYPERLINK("https://klasma.github.io/Logging_1276/artfynd/A 20702-2023 artfynd.xlsx", "A 20702-2023")</f>
        <v/>
      </c>
      <c r="T153">
        <f>HYPERLINK("https://klasma.github.io/Logging_1276/kartor/A 20702-2023 karta.png", "A 20702-2023")</f>
        <v/>
      </c>
      <c r="V153">
        <f>HYPERLINK("https://klasma.github.io/Logging_1276/klagomål/A 20702-2023 FSC-klagomål.docx", "A 20702-2023")</f>
        <v/>
      </c>
      <c r="W153">
        <f>HYPERLINK("https://klasma.github.io/Logging_1276/klagomålsmail/A 20702-2023 FSC-klagomål mail.docx", "A 20702-2023")</f>
        <v/>
      </c>
      <c r="X153">
        <f>HYPERLINK("https://klasma.github.io/Logging_1276/tillsyn/A 20702-2023 tillsynsbegäran.docx", "A 20702-2023")</f>
        <v/>
      </c>
      <c r="Y153">
        <f>HYPERLINK("https://klasma.github.io/Logging_1276/tillsynsmail/A 20702-2023 tillsynsbegäran mail.docx", "A 20702-2023")</f>
        <v/>
      </c>
    </row>
    <row r="154" ht="15" customHeight="1">
      <c r="A154" t="inlineStr">
        <is>
          <t>A 26736-2023</t>
        </is>
      </c>
      <c r="B154" s="1" t="n">
        <v>45090</v>
      </c>
      <c r="C154" s="1" t="n">
        <v>45744</v>
      </c>
      <c r="D154" t="inlineStr">
        <is>
          <t>SKÅNE LÄN</t>
        </is>
      </c>
      <c r="E154" t="inlineStr">
        <is>
          <t>SJÖBO</t>
        </is>
      </c>
      <c r="G154" t="n">
        <v>9.4</v>
      </c>
      <c r="H154" t="n">
        <v>0</v>
      </c>
      <c r="I154" t="n">
        <v>0</v>
      </c>
      <c r="J154" t="n">
        <v>1</v>
      </c>
      <c r="K154" t="n">
        <v>1</v>
      </c>
      <c r="L154" t="n">
        <v>0</v>
      </c>
      <c r="M154" t="n">
        <v>0</v>
      </c>
      <c r="N154" t="n">
        <v>0</v>
      </c>
      <c r="O154" t="n">
        <v>2</v>
      </c>
      <c r="P154" t="n">
        <v>1</v>
      </c>
      <c r="Q154" t="n">
        <v>2</v>
      </c>
      <c r="R154" s="2" t="inlineStr">
        <is>
          <t>Fläcklungört
Månviol</t>
        </is>
      </c>
      <c r="S154">
        <f>HYPERLINK("https://klasma.github.io/Logging_1265/artfynd/A 26736-2023 artfynd.xlsx", "A 26736-2023")</f>
        <v/>
      </c>
      <c r="T154">
        <f>HYPERLINK("https://klasma.github.io/Logging_1265/kartor/A 26736-2023 karta.png", "A 26736-2023")</f>
        <v/>
      </c>
      <c r="V154">
        <f>HYPERLINK("https://klasma.github.io/Logging_1265/klagomål/A 26736-2023 FSC-klagomål.docx", "A 26736-2023")</f>
        <v/>
      </c>
      <c r="W154">
        <f>HYPERLINK("https://klasma.github.io/Logging_1265/klagomålsmail/A 26736-2023 FSC-klagomål mail.docx", "A 26736-2023")</f>
        <v/>
      </c>
      <c r="X154">
        <f>HYPERLINK("https://klasma.github.io/Logging_1265/tillsyn/A 26736-2023 tillsynsbegäran.docx", "A 26736-2023")</f>
        <v/>
      </c>
      <c r="Y154">
        <f>HYPERLINK("https://klasma.github.io/Logging_1265/tillsynsmail/A 26736-2023 tillsynsbegäran mail.docx", "A 26736-2023")</f>
        <v/>
      </c>
    </row>
    <row r="155" ht="15" customHeight="1">
      <c r="A155" t="inlineStr">
        <is>
          <t>A 27284-2023</t>
        </is>
      </c>
      <c r="B155" s="1" t="n">
        <v>45096</v>
      </c>
      <c r="C155" s="1" t="n">
        <v>45744</v>
      </c>
      <c r="D155" t="inlineStr">
        <is>
          <t>SKÅNE LÄN</t>
        </is>
      </c>
      <c r="E155" t="inlineStr">
        <is>
          <t>ÖSTRA GÖINGE</t>
        </is>
      </c>
      <c r="F155" t="inlineStr">
        <is>
          <t>Sveaskog</t>
        </is>
      </c>
      <c r="G155" t="n">
        <v>6.6</v>
      </c>
      <c r="H155" t="n">
        <v>2</v>
      </c>
      <c r="I155" t="n">
        <v>0</v>
      </c>
      <c r="J155" t="n">
        <v>0</v>
      </c>
      <c r="K155" t="n">
        <v>0</v>
      </c>
      <c r="L155" t="n">
        <v>0</v>
      </c>
      <c r="M155" t="n">
        <v>0</v>
      </c>
      <c r="N155" t="n">
        <v>0</v>
      </c>
      <c r="O155" t="n">
        <v>0</v>
      </c>
      <c r="P155" t="n">
        <v>0</v>
      </c>
      <c r="Q155" t="n">
        <v>2</v>
      </c>
      <c r="R155" s="2" t="inlineStr">
        <is>
          <t>Bred paljettdykare
Bredkantad dykare</t>
        </is>
      </c>
      <c r="S155">
        <f>HYPERLINK("https://klasma.github.io/Logging_1256/artfynd/A 27284-2023 artfynd.xlsx", "A 27284-2023")</f>
        <v/>
      </c>
      <c r="T155">
        <f>HYPERLINK("https://klasma.github.io/Logging_1256/kartor/A 27284-2023 karta.png", "A 27284-2023")</f>
        <v/>
      </c>
      <c r="V155">
        <f>HYPERLINK("https://klasma.github.io/Logging_1256/klagomål/A 27284-2023 FSC-klagomål.docx", "A 27284-2023")</f>
        <v/>
      </c>
      <c r="W155">
        <f>HYPERLINK("https://klasma.github.io/Logging_1256/klagomålsmail/A 27284-2023 FSC-klagomål mail.docx", "A 27284-2023")</f>
        <v/>
      </c>
      <c r="X155">
        <f>HYPERLINK("https://klasma.github.io/Logging_1256/tillsyn/A 27284-2023 tillsynsbegäran.docx", "A 27284-2023")</f>
        <v/>
      </c>
      <c r="Y155">
        <f>HYPERLINK("https://klasma.github.io/Logging_1256/tillsynsmail/A 27284-2023 tillsynsbegäran mail.docx", "A 27284-2023")</f>
        <v/>
      </c>
    </row>
    <row r="156" ht="15" customHeight="1">
      <c r="A156" t="inlineStr">
        <is>
          <t>A 29029-2023</t>
        </is>
      </c>
      <c r="B156" s="1" t="n">
        <v>45104</v>
      </c>
      <c r="C156" s="1" t="n">
        <v>45744</v>
      </c>
      <c r="D156" t="inlineStr">
        <is>
          <t>SKÅNE LÄN</t>
        </is>
      </c>
      <c r="E156" t="inlineStr">
        <is>
          <t>SVEDALA</t>
        </is>
      </c>
      <c r="G156" t="n">
        <v>22.3</v>
      </c>
      <c r="H156" t="n">
        <v>2</v>
      </c>
      <c r="I156" t="n">
        <v>0</v>
      </c>
      <c r="J156" t="n">
        <v>0</v>
      </c>
      <c r="K156" t="n">
        <v>0</v>
      </c>
      <c r="L156" t="n">
        <v>0</v>
      </c>
      <c r="M156" t="n">
        <v>0</v>
      </c>
      <c r="N156" t="n">
        <v>0</v>
      </c>
      <c r="O156" t="n">
        <v>0</v>
      </c>
      <c r="P156" t="n">
        <v>0</v>
      </c>
      <c r="Q156" t="n">
        <v>2</v>
      </c>
      <c r="R156" s="2" t="inlineStr">
        <is>
          <t>Citronfläckad kärrtrollslända
Ätlig groda</t>
        </is>
      </c>
      <c r="S156">
        <f>HYPERLINK("https://klasma.github.io/Logging_1263/artfynd/A 29029-2023 artfynd.xlsx", "A 29029-2023")</f>
        <v/>
      </c>
      <c r="T156">
        <f>HYPERLINK("https://klasma.github.io/Logging_1263/kartor/A 29029-2023 karta.png", "A 29029-2023")</f>
        <v/>
      </c>
      <c r="V156">
        <f>HYPERLINK("https://klasma.github.io/Logging_1263/klagomål/A 29029-2023 FSC-klagomål.docx", "A 29029-2023")</f>
        <v/>
      </c>
      <c r="W156">
        <f>HYPERLINK("https://klasma.github.io/Logging_1263/klagomålsmail/A 29029-2023 FSC-klagomål mail.docx", "A 29029-2023")</f>
        <v/>
      </c>
      <c r="X156">
        <f>HYPERLINK("https://klasma.github.io/Logging_1263/tillsyn/A 29029-2023 tillsynsbegäran.docx", "A 29029-2023")</f>
        <v/>
      </c>
      <c r="Y156">
        <f>HYPERLINK("https://klasma.github.io/Logging_1263/tillsynsmail/A 29029-2023 tillsynsbegäran mail.docx", "A 29029-2023")</f>
        <v/>
      </c>
    </row>
    <row r="157" ht="15" customHeight="1">
      <c r="A157" t="inlineStr">
        <is>
          <t>A 29032-2023</t>
        </is>
      </c>
      <c r="B157" s="1" t="n">
        <v>45104</v>
      </c>
      <c r="C157" s="1" t="n">
        <v>45744</v>
      </c>
      <c r="D157" t="inlineStr">
        <is>
          <t>SKÅNE LÄN</t>
        </is>
      </c>
      <c r="E157" t="inlineStr">
        <is>
          <t>SVEDALA</t>
        </is>
      </c>
      <c r="G157" t="n">
        <v>2</v>
      </c>
      <c r="H157" t="n">
        <v>2</v>
      </c>
      <c r="I157" t="n">
        <v>0</v>
      </c>
      <c r="J157" t="n">
        <v>0</v>
      </c>
      <c r="K157" t="n">
        <v>0</v>
      </c>
      <c r="L157" t="n">
        <v>0</v>
      </c>
      <c r="M157" t="n">
        <v>0</v>
      </c>
      <c r="N157" t="n">
        <v>0</v>
      </c>
      <c r="O157" t="n">
        <v>0</v>
      </c>
      <c r="P157" t="n">
        <v>0</v>
      </c>
      <c r="Q157" t="n">
        <v>2</v>
      </c>
      <c r="R157" s="2" t="inlineStr">
        <is>
          <t>Åkergroda
Vanlig groda</t>
        </is>
      </c>
      <c r="S157">
        <f>HYPERLINK("https://klasma.github.io/Logging_1263/artfynd/A 29032-2023 artfynd.xlsx", "A 29032-2023")</f>
        <v/>
      </c>
      <c r="T157">
        <f>HYPERLINK("https://klasma.github.io/Logging_1263/kartor/A 29032-2023 karta.png", "A 29032-2023")</f>
        <v/>
      </c>
      <c r="V157">
        <f>HYPERLINK("https://klasma.github.io/Logging_1263/klagomål/A 29032-2023 FSC-klagomål.docx", "A 29032-2023")</f>
        <v/>
      </c>
      <c r="W157">
        <f>HYPERLINK("https://klasma.github.io/Logging_1263/klagomålsmail/A 29032-2023 FSC-klagomål mail.docx", "A 29032-2023")</f>
        <v/>
      </c>
      <c r="X157">
        <f>HYPERLINK("https://klasma.github.io/Logging_1263/tillsyn/A 29032-2023 tillsynsbegäran.docx", "A 29032-2023")</f>
        <v/>
      </c>
      <c r="Y157">
        <f>HYPERLINK("https://klasma.github.io/Logging_1263/tillsynsmail/A 29032-2023 tillsynsbegäran mail.docx", "A 29032-2023")</f>
        <v/>
      </c>
    </row>
    <row r="158" ht="15" customHeight="1">
      <c r="A158" t="inlineStr">
        <is>
          <t>A 29038-2023</t>
        </is>
      </c>
      <c r="B158" s="1" t="n">
        <v>45104</v>
      </c>
      <c r="C158" s="1" t="n">
        <v>45744</v>
      </c>
      <c r="D158" t="inlineStr">
        <is>
          <t>SKÅNE LÄN</t>
        </is>
      </c>
      <c r="E158" t="inlineStr">
        <is>
          <t>LUND</t>
        </is>
      </c>
      <c r="G158" t="n">
        <v>10.1</v>
      </c>
      <c r="H158" t="n">
        <v>0</v>
      </c>
      <c r="I158" t="n">
        <v>1</v>
      </c>
      <c r="J158" t="n">
        <v>0</v>
      </c>
      <c r="K158" t="n">
        <v>1</v>
      </c>
      <c r="L158" t="n">
        <v>0</v>
      </c>
      <c r="M158" t="n">
        <v>0</v>
      </c>
      <c r="N158" t="n">
        <v>0</v>
      </c>
      <c r="O158" t="n">
        <v>1</v>
      </c>
      <c r="P158" t="n">
        <v>1</v>
      </c>
      <c r="Q158" t="n">
        <v>2</v>
      </c>
      <c r="R158" s="2" t="inlineStr">
        <is>
          <t>Revig blodrot
Skogsbräsma</t>
        </is>
      </c>
      <c r="S158">
        <f>HYPERLINK("https://klasma.github.io/Logging_1281/artfynd/A 29038-2023 artfynd.xlsx", "A 29038-2023")</f>
        <v/>
      </c>
      <c r="T158">
        <f>HYPERLINK("https://klasma.github.io/Logging_1281/kartor/A 29038-2023 karta.png", "A 29038-2023")</f>
        <v/>
      </c>
      <c r="V158">
        <f>HYPERLINK("https://klasma.github.io/Logging_1281/klagomål/A 29038-2023 FSC-klagomål.docx", "A 29038-2023")</f>
        <v/>
      </c>
      <c r="W158">
        <f>HYPERLINK("https://klasma.github.io/Logging_1281/klagomålsmail/A 29038-2023 FSC-klagomål mail.docx", "A 29038-2023")</f>
        <v/>
      </c>
      <c r="X158">
        <f>HYPERLINK("https://klasma.github.io/Logging_1281/tillsyn/A 29038-2023 tillsynsbegäran.docx", "A 29038-2023")</f>
        <v/>
      </c>
      <c r="Y158">
        <f>HYPERLINK("https://klasma.github.io/Logging_1281/tillsynsmail/A 29038-2023 tillsynsbegäran mail.docx", "A 29038-2023")</f>
        <v/>
      </c>
    </row>
    <row r="159" ht="15" customHeight="1">
      <c r="A159" t="inlineStr">
        <is>
          <t>A 29157-2023</t>
        </is>
      </c>
      <c r="B159" s="1" t="n">
        <v>45105</v>
      </c>
      <c r="C159" s="1" t="n">
        <v>45744</v>
      </c>
      <c r="D159" t="inlineStr">
        <is>
          <t>SKÅNE LÄN</t>
        </is>
      </c>
      <c r="E159" t="inlineStr">
        <is>
          <t>ÄNGELHOLM</t>
        </is>
      </c>
      <c r="G159" t="n">
        <v>6.9</v>
      </c>
      <c r="H159" t="n">
        <v>2</v>
      </c>
      <c r="I159" t="n">
        <v>0</v>
      </c>
      <c r="J159" t="n">
        <v>2</v>
      </c>
      <c r="K159" t="n">
        <v>0</v>
      </c>
      <c r="L159" t="n">
        <v>0</v>
      </c>
      <c r="M159" t="n">
        <v>0</v>
      </c>
      <c r="N159" t="n">
        <v>0</v>
      </c>
      <c r="O159" t="n">
        <v>2</v>
      </c>
      <c r="P159" t="n">
        <v>0</v>
      </c>
      <c r="Q159" t="n">
        <v>2</v>
      </c>
      <c r="R159" s="2" t="inlineStr">
        <is>
          <t>Entita
Talltita</t>
        </is>
      </c>
      <c r="S159">
        <f>HYPERLINK("https://klasma.github.io/Logging_1292/artfynd/A 29157-2023 artfynd.xlsx", "A 29157-2023")</f>
        <v/>
      </c>
      <c r="T159">
        <f>HYPERLINK("https://klasma.github.io/Logging_1292/kartor/A 29157-2023 karta.png", "A 29157-2023")</f>
        <v/>
      </c>
      <c r="V159">
        <f>HYPERLINK("https://klasma.github.io/Logging_1292/klagomål/A 29157-2023 FSC-klagomål.docx", "A 29157-2023")</f>
        <v/>
      </c>
      <c r="W159">
        <f>HYPERLINK("https://klasma.github.io/Logging_1292/klagomålsmail/A 29157-2023 FSC-klagomål mail.docx", "A 29157-2023")</f>
        <v/>
      </c>
      <c r="X159">
        <f>HYPERLINK("https://klasma.github.io/Logging_1292/tillsyn/A 29157-2023 tillsynsbegäran.docx", "A 29157-2023")</f>
        <v/>
      </c>
      <c r="Y159">
        <f>HYPERLINK("https://klasma.github.io/Logging_1292/tillsynsmail/A 29157-2023 tillsynsbegäran mail.docx", "A 29157-2023")</f>
        <v/>
      </c>
      <c r="Z159">
        <f>HYPERLINK("https://klasma.github.io/Logging_1292/fåglar/A 29157-2023 prioriterade fågelarter.docx", "A 29157-2023")</f>
        <v/>
      </c>
    </row>
    <row r="160" ht="15" customHeight="1">
      <c r="A160" t="inlineStr">
        <is>
          <t>A 31697-2023</t>
        </is>
      </c>
      <c r="B160" s="1" t="n">
        <v>45117</v>
      </c>
      <c r="C160" s="1" t="n">
        <v>45744</v>
      </c>
      <c r="D160" t="inlineStr">
        <is>
          <t>SKÅNE LÄN</t>
        </is>
      </c>
      <c r="E160" t="inlineStr">
        <is>
          <t>SVEDALA</t>
        </is>
      </c>
      <c r="G160" t="n">
        <v>2.2</v>
      </c>
      <c r="H160" t="n">
        <v>2</v>
      </c>
      <c r="I160" t="n">
        <v>0</v>
      </c>
      <c r="J160" t="n">
        <v>0</v>
      </c>
      <c r="K160" t="n">
        <v>0</v>
      </c>
      <c r="L160" t="n">
        <v>0</v>
      </c>
      <c r="M160" t="n">
        <v>0</v>
      </c>
      <c r="N160" t="n">
        <v>0</v>
      </c>
      <c r="O160" t="n">
        <v>0</v>
      </c>
      <c r="P160" t="n">
        <v>0</v>
      </c>
      <c r="Q160" t="n">
        <v>2</v>
      </c>
      <c r="R160" s="2" t="inlineStr">
        <is>
          <t>Lövgroda
Större vattensalamander</t>
        </is>
      </c>
      <c r="S160">
        <f>HYPERLINK("https://klasma.github.io/Logging_1263/artfynd/A 31697-2023 artfynd.xlsx", "A 31697-2023")</f>
        <v/>
      </c>
      <c r="T160">
        <f>HYPERLINK("https://klasma.github.io/Logging_1263/kartor/A 31697-2023 karta.png", "A 31697-2023")</f>
        <v/>
      </c>
      <c r="V160">
        <f>HYPERLINK("https://klasma.github.io/Logging_1263/klagomål/A 31697-2023 FSC-klagomål.docx", "A 31697-2023")</f>
        <v/>
      </c>
      <c r="W160">
        <f>HYPERLINK("https://klasma.github.io/Logging_1263/klagomålsmail/A 31697-2023 FSC-klagomål mail.docx", "A 31697-2023")</f>
        <v/>
      </c>
      <c r="X160">
        <f>HYPERLINK("https://klasma.github.io/Logging_1263/tillsyn/A 31697-2023 tillsynsbegäran.docx", "A 31697-2023")</f>
        <v/>
      </c>
      <c r="Y160">
        <f>HYPERLINK("https://klasma.github.io/Logging_1263/tillsynsmail/A 31697-2023 tillsynsbegäran mail.docx", "A 31697-2023")</f>
        <v/>
      </c>
    </row>
    <row r="161" ht="15" customHeight="1">
      <c r="A161" t="inlineStr">
        <is>
          <t>A 33364-2023</t>
        </is>
      </c>
      <c r="B161" s="1" t="n">
        <v>45128</v>
      </c>
      <c r="C161" s="1" t="n">
        <v>45744</v>
      </c>
      <c r="D161" t="inlineStr">
        <is>
          <t>SKÅNE LÄN</t>
        </is>
      </c>
      <c r="E161" t="inlineStr">
        <is>
          <t>KRISTIANSTAD</t>
        </is>
      </c>
      <c r="G161" t="n">
        <v>4.9</v>
      </c>
      <c r="H161" t="n">
        <v>1</v>
      </c>
      <c r="I161" t="n">
        <v>1</v>
      </c>
      <c r="J161" t="n">
        <v>0</v>
      </c>
      <c r="K161" t="n">
        <v>0</v>
      </c>
      <c r="L161" t="n">
        <v>0</v>
      </c>
      <c r="M161" t="n">
        <v>0</v>
      </c>
      <c r="N161" t="n">
        <v>0</v>
      </c>
      <c r="O161" t="n">
        <v>0</v>
      </c>
      <c r="P161" t="n">
        <v>0</v>
      </c>
      <c r="Q161" t="n">
        <v>2</v>
      </c>
      <c r="R161" s="2" t="inlineStr">
        <is>
          <t>Västlig hakmossa
Större vattensalamander</t>
        </is>
      </c>
      <c r="S161">
        <f>HYPERLINK("https://klasma.github.io/Logging_1290/artfynd/A 33364-2023 artfynd.xlsx", "A 33364-2023")</f>
        <v/>
      </c>
      <c r="T161">
        <f>HYPERLINK("https://klasma.github.io/Logging_1290/kartor/A 33364-2023 karta.png", "A 33364-2023")</f>
        <v/>
      </c>
      <c r="V161">
        <f>HYPERLINK("https://klasma.github.io/Logging_1290/klagomål/A 33364-2023 FSC-klagomål.docx", "A 33364-2023")</f>
        <v/>
      </c>
      <c r="W161">
        <f>HYPERLINK("https://klasma.github.io/Logging_1290/klagomålsmail/A 33364-2023 FSC-klagomål mail.docx", "A 33364-2023")</f>
        <v/>
      </c>
      <c r="X161">
        <f>HYPERLINK("https://klasma.github.io/Logging_1290/tillsyn/A 33364-2023 tillsynsbegäran.docx", "A 33364-2023")</f>
        <v/>
      </c>
      <c r="Y161">
        <f>HYPERLINK("https://klasma.github.io/Logging_1290/tillsynsmail/A 33364-2023 tillsynsbegäran mail.docx", "A 33364-2023")</f>
        <v/>
      </c>
    </row>
    <row r="162" ht="15" customHeight="1">
      <c r="A162" t="inlineStr">
        <is>
          <t>A 44585-2023</t>
        </is>
      </c>
      <c r="B162" s="1" t="n">
        <v>45189</v>
      </c>
      <c r="C162" s="1" t="n">
        <v>45744</v>
      </c>
      <c r="D162" t="inlineStr">
        <is>
          <t>SKÅNE LÄN</t>
        </is>
      </c>
      <c r="E162" t="inlineStr">
        <is>
          <t>KRISTIANSTAD</t>
        </is>
      </c>
      <c r="G162" t="n">
        <v>1.4</v>
      </c>
      <c r="H162" t="n">
        <v>1</v>
      </c>
      <c r="I162" t="n">
        <v>1</v>
      </c>
      <c r="J162" t="n">
        <v>0</v>
      </c>
      <c r="K162" t="n">
        <v>0</v>
      </c>
      <c r="L162" t="n">
        <v>0</v>
      </c>
      <c r="M162" t="n">
        <v>0</v>
      </c>
      <c r="N162" t="n">
        <v>0</v>
      </c>
      <c r="O162" t="n">
        <v>0</v>
      </c>
      <c r="P162" t="n">
        <v>0</v>
      </c>
      <c r="Q162" t="n">
        <v>2</v>
      </c>
      <c r="R162" s="2" t="inlineStr">
        <is>
          <t>Piskbaronmossa
Kopparödla</t>
        </is>
      </c>
      <c r="S162">
        <f>HYPERLINK("https://klasma.github.io/Logging_1290/artfynd/A 44585-2023 artfynd.xlsx", "A 44585-2023")</f>
        <v/>
      </c>
      <c r="T162">
        <f>HYPERLINK("https://klasma.github.io/Logging_1290/kartor/A 44585-2023 karta.png", "A 44585-2023")</f>
        <v/>
      </c>
      <c r="V162">
        <f>HYPERLINK("https://klasma.github.io/Logging_1290/klagomål/A 44585-2023 FSC-klagomål.docx", "A 44585-2023")</f>
        <v/>
      </c>
      <c r="W162">
        <f>HYPERLINK("https://klasma.github.io/Logging_1290/klagomålsmail/A 44585-2023 FSC-klagomål mail.docx", "A 44585-2023")</f>
        <v/>
      </c>
      <c r="X162">
        <f>HYPERLINK("https://klasma.github.io/Logging_1290/tillsyn/A 44585-2023 tillsynsbegäran.docx", "A 44585-2023")</f>
        <v/>
      </c>
      <c r="Y162">
        <f>HYPERLINK("https://klasma.github.io/Logging_1290/tillsynsmail/A 44585-2023 tillsynsbegäran mail.docx", "A 44585-2023")</f>
        <v/>
      </c>
    </row>
    <row r="163" ht="15" customHeight="1">
      <c r="A163" t="inlineStr">
        <is>
          <t>A 53486-2023</t>
        </is>
      </c>
      <c r="B163" s="1" t="n">
        <v>45230</v>
      </c>
      <c r="C163" s="1" t="n">
        <v>45744</v>
      </c>
      <c r="D163" t="inlineStr">
        <is>
          <t>SKÅNE LÄN</t>
        </is>
      </c>
      <c r="E163" t="inlineStr">
        <is>
          <t>KÄVLINGE</t>
        </is>
      </c>
      <c r="G163" t="n">
        <v>1.2</v>
      </c>
      <c r="H163" t="n">
        <v>1</v>
      </c>
      <c r="I163" t="n">
        <v>0</v>
      </c>
      <c r="J163" t="n">
        <v>1</v>
      </c>
      <c r="K163" t="n">
        <v>1</v>
      </c>
      <c r="L163" t="n">
        <v>0</v>
      </c>
      <c r="M163" t="n">
        <v>0</v>
      </c>
      <c r="N163" t="n">
        <v>0</v>
      </c>
      <c r="O163" t="n">
        <v>2</v>
      </c>
      <c r="P163" t="n">
        <v>1</v>
      </c>
      <c r="Q163" t="n">
        <v>2</v>
      </c>
      <c r="R163" s="2" t="inlineStr">
        <is>
          <t>Hedblomster
Backtimjan</t>
        </is>
      </c>
      <c r="S163">
        <f>HYPERLINK("https://klasma.github.io/Logging_1261/artfynd/A 53486-2023 artfynd.xlsx", "A 53486-2023")</f>
        <v/>
      </c>
      <c r="T163">
        <f>HYPERLINK("https://klasma.github.io/Logging_1261/kartor/A 53486-2023 karta.png", "A 53486-2023")</f>
        <v/>
      </c>
      <c r="V163">
        <f>HYPERLINK("https://klasma.github.io/Logging_1261/klagomål/A 53486-2023 FSC-klagomål.docx", "A 53486-2023")</f>
        <v/>
      </c>
      <c r="W163">
        <f>HYPERLINK("https://klasma.github.io/Logging_1261/klagomålsmail/A 53486-2023 FSC-klagomål mail.docx", "A 53486-2023")</f>
        <v/>
      </c>
      <c r="X163">
        <f>HYPERLINK("https://klasma.github.io/Logging_1261/tillsyn/A 53486-2023 tillsynsbegäran.docx", "A 53486-2023")</f>
        <v/>
      </c>
      <c r="Y163">
        <f>HYPERLINK("https://klasma.github.io/Logging_1261/tillsynsmail/A 53486-2023 tillsynsbegäran mail.docx", "A 53486-2023")</f>
        <v/>
      </c>
    </row>
    <row r="164" ht="15" customHeight="1">
      <c r="A164" t="inlineStr">
        <is>
          <t>A 58481-2023</t>
        </is>
      </c>
      <c r="B164" s="1" t="n">
        <v>45251</v>
      </c>
      <c r="C164" s="1" t="n">
        <v>45744</v>
      </c>
      <c r="D164" t="inlineStr">
        <is>
          <t>SKÅNE LÄN</t>
        </is>
      </c>
      <c r="E164" t="inlineStr">
        <is>
          <t>SVALÖV</t>
        </is>
      </c>
      <c r="G164" t="n">
        <v>8.1</v>
      </c>
      <c r="H164" t="n">
        <v>0</v>
      </c>
      <c r="I164" t="n">
        <v>2</v>
      </c>
      <c r="J164" t="n">
        <v>0</v>
      </c>
      <c r="K164" t="n">
        <v>0</v>
      </c>
      <c r="L164" t="n">
        <v>0</v>
      </c>
      <c r="M164" t="n">
        <v>0</v>
      </c>
      <c r="N164" t="n">
        <v>0</v>
      </c>
      <c r="O164" t="n">
        <v>0</v>
      </c>
      <c r="P164" t="n">
        <v>0</v>
      </c>
      <c r="Q164" t="n">
        <v>2</v>
      </c>
      <c r="R164" s="2" t="inlineStr">
        <is>
          <t>Springkorn
Stor häxört</t>
        </is>
      </c>
      <c r="S164">
        <f>HYPERLINK("https://klasma.github.io/Logging_1214/artfynd/A 58481-2023 artfynd.xlsx", "A 58481-2023")</f>
        <v/>
      </c>
      <c r="T164">
        <f>HYPERLINK("https://klasma.github.io/Logging_1214/kartor/A 58481-2023 karta.png", "A 58481-2023")</f>
        <v/>
      </c>
      <c r="V164">
        <f>HYPERLINK("https://klasma.github.io/Logging_1214/klagomål/A 58481-2023 FSC-klagomål.docx", "A 58481-2023")</f>
        <v/>
      </c>
      <c r="W164">
        <f>HYPERLINK("https://klasma.github.io/Logging_1214/klagomålsmail/A 58481-2023 FSC-klagomål mail.docx", "A 58481-2023")</f>
        <v/>
      </c>
      <c r="X164">
        <f>HYPERLINK("https://klasma.github.io/Logging_1214/tillsyn/A 58481-2023 tillsynsbegäran.docx", "A 58481-2023")</f>
        <v/>
      </c>
      <c r="Y164">
        <f>HYPERLINK("https://klasma.github.io/Logging_1214/tillsynsmail/A 58481-2023 tillsynsbegäran mail.docx", "A 58481-2023")</f>
        <v/>
      </c>
    </row>
    <row r="165" ht="15" customHeight="1">
      <c r="A165" t="inlineStr">
        <is>
          <t>A 63560-2023</t>
        </is>
      </c>
      <c r="B165" s="1" t="n">
        <v>45274</v>
      </c>
      <c r="C165" s="1" t="n">
        <v>45744</v>
      </c>
      <c r="D165" t="inlineStr">
        <is>
          <t>SKÅNE LÄN</t>
        </is>
      </c>
      <c r="E165" t="inlineStr">
        <is>
          <t>ÖSTRA GÖINGE</t>
        </is>
      </c>
      <c r="G165" t="n">
        <v>2.9</v>
      </c>
      <c r="H165" t="n">
        <v>2</v>
      </c>
      <c r="I165" t="n">
        <v>0</v>
      </c>
      <c r="J165" t="n">
        <v>0</v>
      </c>
      <c r="K165" t="n">
        <v>0</v>
      </c>
      <c r="L165" t="n">
        <v>0</v>
      </c>
      <c r="M165" t="n">
        <v>0</v>
      </c>
      <c r="N165" t="n">
        <v>0</v>
      </c>
      <c r="O165" t="n">
        <v>0</v>
      </c>
      <c r="P165" t="n">
        <v>0</v>
      </c>
      <c r="Q165" t="n">
        <v>2</v>
      </c>
      <c r="R165" s="2" t="inlineStr">
        <is>
          <t>Större vattensalamander
Mindre vattensalamander</t>
        </is>
      </c>
      <c r="S165">
        <f>HYPERLINK("https://klasma.github.io/Logging_1256/artfynd/A 63560-2023 artfynd.xlsx", "A 63560-2023")</f>
        <v/>
      </c>
      <c r="T165">
        <f>HYPERLINK("https://klasma.github.io/Logging_1256/kartor/A 63560-2023 karta.png", "A 63560-2023")</f>
        <v/>
      </c>
      <c r="V165">
        <f>HYPERLINK("https://klasma.github.io/Logging_1256/klagomål/A 63560-2023 FSC-klagomål.docx", "A 63560-2023")</f>
        <v/>
      </c>
      <c r="W165">
        <f>HYPERLINK("https://klasma.github.io/Logging_1256/klagomålsmail/A 63560-2023 FSC-klagomål mail.docx", "A 63560-2023")</f>
        <v/>
      </c>
      <c r="X165">
        <f>HYPERLINK("https://klasma.github.io/Logging_1256/tillsyn/A 63560-2023 tillsynsbegäran.docx", "A 63560-2023")</f>
        <v/>
      </c>
      <c r="Y165">
        <f>HYPERLINK("https://klasma.github.io/Logging_1256/tillsynsmail/A 63560-2023 tillsynsbegäran mail.docx", "A 63560-2023")</f>
        <v/>
      </c>
    </row>
    <row r="166" ht="15" customHeight="1">
      <c r="A166" t="inlineStr">
        <is>
          <t>A 1415-2024</t>
        </is>
      </c>
      <c r="B166" s="1" t="n">
        <v>45303</v>
      </c>
      <c r="C166" s="1" t="n">
        <v>45744</v>
      </c>
      <c r="D166" t="inlineStr">
        <is>
          <t>SKÅNE LÄN</t>
        </is>
      </c>
      <c r="E166" t="inlineStr">
        <is>
          <t>KRISTIANSTAD</t>
        </is>
      </c>
      <c r="F166" t="inlineStr">
        <is>
          <t>Övriga Aktiebolag</t>
        </is>
      </c>
      <c r="G166" t="n">
        <v>3.1</v>
      </c>
      <c r="H166" t="n">
        <v>0</v>
      </c>
      <c r="I166" t="n">
        <v>2</v>
      </c>
      <c r="J166" t="n">
        <v>0</v>
      </c>
      <c r="K166" t="n">
        <v>0</v>
      </c>
      <c r="L166" t="n">
        <v>0</v>
      </c>
      <c r="M166" t="n">
        <v>0</v>
      </c>
      <c r="N166" t="n">
        <v>0</v>
      </c>
      <c r="O166" t="n">
        <v>0</v>
      </c>
      <c r="P166" t="n">
        <v>0</v>
      </c>
      <c r="Q166" t="n">
        <v>2</v>
      </c>
      <c r="R166" s="2" t="inlineStr">
        <is>
          <t>Liten stinksvamp
Rutbläcksvamp</t>
        </is>
      </c>
      <c r="S166">
        <f>HYPERLINK("https://klasma.github.io/Logging_1290/artfynd/A 1415-2024 artfynd.xlsx", "A 1415-2024")</f>
        <v/>
      </c>
      <c r="T166">
        <f>HYPERLINK("https://klasma.github.io/Logging_1290/kartor/A 1415-2024 karta.png", "A 1415-2024")</f>
        <v/>
      </c>
      <c r="V166">
        <f>HYPERLINK("https://klasma.github.io/Logging_1290/klagomål/A 1415-2024 FSC-klagomål.docx", "A 1415-2024")</f>
        <v/>
      </c>
      <c r="W166">
        <f>HYPERLINK("https://klasma.github.io/Logging_1290/klagomålsmail/A 1415-2024 FSC-klagomål mail.docx", "A 1415-2024")</f>
        <v/>
      </c>
      <c r="X166">
        <f>HYPERLINK("https://klasma.github.io/Logging_1290/tillsyn/A 1415-2024 tillsynsbegäran.docx", "A 1415-2024")</f>
        <v/>
      </c>
      <c r="Y166">
        <f>HYPERLINK("https://klasma.github.io/Logging_1290/tillsynsmail/A 1415-2024 tillsynsbegäran mail.docx", "A 1415-2024")</f>
        <v/>
      </c>
    </row>
    <row r="167" ht="15" customHeight="1">
      <c r="A167" t="inlineStr">
        <is>
          <t>A 5797-2024</t>
        </is>
      </c>
      <c r="B167" s="1" t="n">
        <v>45335</v>
      </c>
      <c r="C167" s="1" t="n">
        <v>45744</v>
      </c>
      <c r="D167" t="inlineStr">
        <is>
          <t>SKÅNE LÄN</t>
        </is>
      </c>
      <c r="E167" t="inlineStr">
        <is>
          <t>KLIPPAN</t>
        </is>
      </c>
      <c r="G167" t="n">
        <v>1.8</v>
      </c>
      <c r="H167" t="n">
        <v>2</v>
      </c>
      <c r="I167" t="n">
        <v>0</v>
      </c>
      <c r="J167" t="n">
        <v>1</v>
      </c>
      <c r="K167" t="n">
        <v>0</v>
      </c>
      <c r="L167" t="n">
        <v>0</v>
      </c>
      <c r="M167" t="n">
        <v>0</v>
      </c>
      <c r="N167" t="n">
        <v>0</v>
      </c>
      <c r="O167" t="n">
        <v>1</v>
      </c>
      <c r="P167" t="n">
        <v>0</v>
      </c>
      <c r="Q167" t="n">
        <v>2</v>
      </c>
      <c r="R167" s="2" t="inlineStr">
        <is>
          <t>Entita
Gröngöling</t>
        </is>
      </c>
      <c r="S167">
        <f>HYPERLINK("https://klasma.github.io/Logging_1276/artfynd/A 5797-2024 artfynd.xlsx", "A 5797-2024")</f>
        <v/>
      </c>
      <c r="T167">
        <f>HYPERLINK("https://klasma.github.io/Logging_1276/kartor/A 5797-2024 karta.png", "A 5797-2024")</f>
        <v/>
      </c>
      <c r="V167">
        <f>HYPERLINK("https://klasma.github.io/Logging_1276/klagomål/A 5797-2024 FSC-klagomål.docx", "A 5797-2024")</f>
        <v/>
      </c>
      <c r="W167">
        <f>HYPERLINK("https://klasma.github.io/Logging_1276/klagomålsmail/A 5797-2024 FSC-klagomål mail.docx", "A 5797-2024")</f>
        <v/>
      </c>
      <c r="X167">
        <f>HYPERLINK("https://klasma.github.io/Logging_1276/tillsyn/A 5797-2024 tillsynsbegäran.docx", "A 5797-2024")</f>
        <v/>
      </c>
      <c r="Y167">
        <f>HYPERLINK("https://klasma.github.io/Logging_1276/tillsynsmail/A 5797-2024 tillsynsbegäran mail.docx", "A 5797-2024")</f>
        <v/>
      </c>
      <c r="Z167">
        <f>HYPERLINK("https://klasma.github.io/Logging_1276/fåglar/A 5797-2024 prioriterade fågelarter.docx", "A 5797-2024")</f>
        <v/>
      </c>
    </row>
    <row r="168" ht="15" customHeight="1">
      <c r="A168" t="inlineStr">
        <is>
          <t>A 8188-2024</t>
        </is>
      </c>
      <c r="B168" s="1" t="n">
        <v>45338</v>
      </c>
      <c r="C168" s="1" t="n">
        <v>45744</v>
      </c>
      <c r="D168" t="inlineStr">
        <is>
          <t>SKÅNE LÄN</t>
        </is>
      </c>
      <c r="E168" t="inlineStr">
        <is>
          <t>TOMELILLA</t>
        </is>
      </c>
      <c r="F168" t="inlineStr">
        <is>
          <t>Kyrkan</t>
        </is>
      </c>
      <c r="G168" t="n">
        <v>4.7</v>
      </c>
      <c r="H168" t="n">
        <v>0</v>
      </c>
      <c r="I168" t="n">
        <v>1</v>
      </c>
      <c r="J168" t="n">
        <v>1</v>
      </c>
      <c r="K168" t="n">
        <v>0</v>
      </c>
      <c r="L168" t="n">
        <v>0</v>
      </c>
      <c r="M168" t="n">
        <v>0</v>
      </c>
      <c r="N168" t="n">
        <v>0</v>
      </c>
      <c r="O168" t="n">
        <v>1</v>
      </c>
      <c r="P168" t="n">
        <v>0</v>
      </c>
      <c r="Q168" t="n">
        <v>2</v>
      </c>
      <c r="R168" s="2" t="inlineStr">
        <is>
          <t>Krusfrö
Kransrams</t>
        </is>
      </c>
      <c r="S168">
        <f>HYPERLINK("https://klasma.github.io/Logging_1270/artfynd/A 8188-2024 artfynd.xlsx", "A 8188-2024")</f>
        <v/>
      </c>
      <c r="T168">
        <f>HYPERLINK("https://klasma.github.io/Logging_1270/kartor/A 8188-2024 karta.png", "A 8188-2024")</f>
        <v/>
      </c>
      <c r="V168">
        <f>HYPERLINK("https://klasma.github.io/Logging_1270/klagomål/A 8188-2024 FSC-klagomål.docx", "A 8188-2024")</f>
        <v/>
      </c>
      <c r="W168">
        <f>HYPERLINK("https://klasma.github.io/Logging_1270/klagomålsmail/A 8188-2024 FSC-klagomål mail.docx", "A 8188-2024")</f>
        <v/>
      </c>
      <c r="X168">
        <f>HYPERLINK("https://klasma.github.io/Logging_1270/tillsyn/A 8188-2024 tillsynsbegäran.docx", "A 8188-2024")</f>
        <v/>
      </c>
      <c r="Y168">
        <f>HYPERLINK("https://klasma.github.io/Logging_1270/tillsynsmail/A 8188-2024 tillsynsbegäran mail.docx", "A 8188-2024")</f>
        <v/>
      </c>
    </row>
    <row r="169" ht="15" customHeight="1">
      <c r="A169" t="inlineStr">
        <is>
          <t>A 10017-2024</t>
        </is>
      </c>
      <c r="B169" s="1" t="n">
        <v>45363</v>
      </c>
      <c r="C169" s="1" t="n">
        <v>45744</v>
      </c>
      <c r="D169" t="inlineStr">
        <is>
          <t>SKÅNE LÄN</t>
        </is>
      </c>
      <c r="E169" t="inlineStr">
        <is>
          <t>KRISTIANSTAD</t>
        </is>
      </c>
      <c r="G169" t="n">
        <v>4.5</v>
      </c>
      <c r="H169" t="n">
        <v>0</v>
      </c>
      <c r="I169" t="n">
        <v>1</v>
      </c>
      <c r="J169" t="n">
        <v>0</v>
      </c>
      <c r="K169" t="n">
        <v>0</v>
      </c>
      <c r="L169" t="n">
        <v>1</v>
      </c>
      <c r="M169" t="n">
        <v>0</v>
      </c>
      <c r="N169" t="n">
        <v>0</v>
      </c>
      <c r="O169" t="n">
        <v>1</v>
      </c>
      <c r="P169" t="n">
        <v>1</v>
      </c>
      <c r="Q169" t="n">
        <v>2</v>
      </c>
      <c r="R169" s="2" t="inlineStr">
        <is>
          <t>Ryl
Ögonpyrola</t>
        </is>
      </c>
      <c r="S169">
        <f>HYPERLINK("https://klasma.github.io/Logging_1290/artfynd/A 10017-2024 artfynd.xlsx", "A 10017-2024")</f>
        <v/>
      </c>
      <c r="T169">
        <f>HYPERLINK("https://klasma.github.io/Logging_1290/kartor/A 10017-2024 karta.png", "A 10017-2024")</f>
        <v/>
      </c>
      <c r="V169">
        <f>HYPERLINK("https://klasma.github.io/Logging_1290/klagomål/A 10017-2024 FSC-klagomål.docx", "A 10017-2024")</f>
        <v/>
      </c>
      <c r="W169">
        <f>HYPERLINK("https://klasma.github.io/Logging_1290/klagomålsmail/A 10017-2024 FSC-klagomål mail.docx", "A 10017-2024")</f>
        <v/>
      </c>
      <c r="X169">
        <f>HYPERLINK("https://klasma.github.io/Logging_1290/tillsyn/A 10017-2024 tillsynsbegäran.docx", "A 10017-2024")</f>
        <v/>
      </c>
      <c r="Y169">
        <f>HYPERLINK("https://klasma.github.io/Logging_1290/tillsynsmail/A 10017-2024 tillsynsbegäran mail.docx", "A 10017-2024")</f>
        <v/>
      </c>
    </row>
    <row r="170" ht="15" customHeight="1">
      <c r="A170" t="inlineStr">
        <is>
          <t>A 11648-2024</t>
        </is>
      </c>
      <c r="B170" s="1" t="n">
        <v>45373</v>
      </c>
      <c r="C170" s="1" t="n">
        <v>45744</v>
      </c>
      <c r="D170" t="inlineStr">
        <is>
          <t>SKÅNE LÄN</t>
        </is>
      </c>
      <c r="E170" t="inlineStr">
        <is>
          <t>KÄVLINGE</t>
        </is>
      </c>
      <c r="F170" t="inlineStr">
        <is>
          <t>Övriga Aktiebolag</t>
        </is>
      </c>
      <c r="G170" t="n">
        <v>10.5</v>
      </c>
      <c r="H170" t="n">
        <v>0</v>
      </c>
      <c r="I170" t="n">
        <v>1</v>
      </c>
      <c r="J170" t="n">
        <v>0</v>
      </c>
      <c r="K170" t="n">
        <v>0</v>
      </c>
      <c r="L170" t="n">
        <v>1</v>
      </c>
      <c r="M170" t="n">
        <v>0</v>
      </c>
      <c r="N170" t="n">
        <v>0</v>
      </c>
      <c r="O170" t="n">
        <v>1</v>
      </c>
      <c r="P170" t="n">
        <v>1</v>
      </c>
      <c r="Q170" t="n">
        <v>2</v>
      </c>
      <c r="R170" s="2" t="inlineStr">
        <is>
          <t>Ask
Bokoxe</t>
        </is>
      </c>
      <c r="S170">
        <f>HYPERLINK("https://klasma.github.io/Logging_1261/artfynd/A 11648-2024 artfynd.xlsx", "A 11648-2024")</f>
        <v/>
      </c>
      <c r="T170">
        <f>HYPERLINK("https://klasma.github.io/Logging_1261/kartor/A 11648-2024 karta.png", "A 11648-2024")</f>
        <v/>
      </c>
      <c r="V170">
        <f>HYPERLINK("https://klasma.github.io/Logging_1261/klagomål/A 11648-2024 FSC-klagomål.docx", "A 11648-2024")</f>
        <v/>
      </c>
      <c r="W170">
        <f>HYPERLINK("https://klasma.github.io/Logging_1261/klagomålsmail/A 11648-2024 FSC-klagomål mail.docx", "A 11648-2024")</f>
        <v/>
      </c>
      <c r="X170">
        <f>HYPERLINK("https://klasma.github.io/Logging_1261/tillsyn/A 11648-2024 tillsynsbegäran.docx", "A 11648-2024")</f>
        <v/>
      </c>
      <c r="Y170">
        <f>HYPERLINK("https://klasma.github.io/Logging_1261/tillsynsmail/A 11648-2024 tillsynsbegäran mail.docx", "A 11648-2024")</f>
        <v/>
      </c>
    </row>
    <row r="171" ht="15" customHeight="1">
      <c r="A171" t="inlineStr">
        <is>
          <t>A 15571-2024</t>
        </is>
      </c>
      <c r="B171" s="1" t="n">
        <v>45401</v>
      </c>
      <c r="C171" s="1" t="n">
        <v>45744</v>
      </c>
      <c r="D171" t="inlineStr">
        <is>
          <t>SKÅNE LÄN</t>
        </is>
      </c>
      <c r="E171" t="inlineStr">
        <is>
          <t>SVEDALA</t>
        </is>
      </c>
      <c r="G171" t="n">
        <v>11.1</v>
      </c>
      <c r="H171" t="n">
        <v>0</v>
      </c>
      <c r="I171" t="n">
        <v>1</v>
      </c>
      <c r="J171" t="n">
        <v>1</v>
      </c>
      <c r="K171" t="n">
        <v>0</v>
      </c>
      <c r="L171" t="n">
        <v>0</v>
      </c>
      <c r="M171" t="n">
        <v>0</v>
      </c>
      <c r="N171" t="n">
        <v>0</v>
      </c>
      <c r="O171" t="n">
        <v>1</v>
      </c>
      <c r="P171" t="n">
        <v>0</v>
      </c>
      <c r="Q171" t="n">
        <v>2</v>
      </c>
      <c r="R171" s="2" t="inlineStr">
        <is>
          <t>Oxtungssvamp
Guldlockmossa</t>
        </is>
      </c>
      <c r="S171">
        <f>HYPERLINK("https://klasma.github.io/Logging_1263/artfynd/A 15571-2024 artfynd.xlsx", "A 15571-2024")</f>
        <v/>
      </c>
      <c r="T171">
        <f>HYPERLINK("https://klasma.github.io/Logging_1263/kartor/A 15571-2024 karta.png", "A 15571-2024")</f>
        <v/>
      </c>
      <c r="V171">
        <f>HYPERLINK("https://klasma.github.io/Logging_1263/klagomål/A 15571-2024 FSC-klagomål.docx", "A 15571-2024")</f>
        <v/>
      </c>
      <c r="W171">
        <f>HYPERLINK("https://klasma.github.io/Logging_1263/klagomålsmail/A 15571-2024 FSC-klagomål mail.docx", "A 15571-2024")</f>
        <v/>
      </c>
      <c r="X171">
        <f>HYPERLINK("https://klasma.github.io/Logging_1263/tillsyn/A 15571-2024 tillsynsbegäran.docx", "A 15571-2024")</f>
        <v/>
      </c>
      <c r="Y171">
        <f>HYPERLINK("https://klasma.github.io/Logging_1263/tillsynsmail/A 15571-2024 tillsynsbegäran mail.docx", "A 15571-2024")</f>
        <v/>
      </c>
    </row>
    <row r="172" ht="15" customHeight="1">
      <c r="A172" t="inlineStr">
        <is>
          <t>A 16122-2024</t>
        </is>
      </c>
      <c r="B172" s="1" t="n">
        <v>45406</v>
      </c>
      <c r="C172" s="1" t="n">
        <v>45744</v>
      </c>
      <c r="D172" t="inlineStr">
        <is>
          <t>SKÅNE LÄN</t>
        </is>
      </c>
      <c r="E172" t="inlineStr">
        <is>
          <t>SVEDALA</t>
        </is>
      </c>
      <c r="G172" t="n">
        <v>15.2</v>
      </c>
      <c r="H172" t="n">
        <v>0</v>
      </c>
      <c r="I172" t="n">
        <v>1</v>
      </c>
      <c r="J172" t="n">
        <v>1</v>
      </c>
      <c r="K172" t="n">
        <v>0</v>
      </c>
      <c r="L172" t="n">
        <v>0</v>
      </c>
      <c r="M172" t="n">
        <v>0</v>
      </c>
      <c r="N172" t="n">
        <v>0</v>
      </c>
      <c r="O172" t="n">
        <v>1</v>
      </c>
      <c r="P172" t="n">
        <v>0</v>
      </c>
      <c r="Q172" t="n">
        <v>2</v>
      </c>
      <c r="R172" s="2" t="inlineStr">
        <is>
          <t>Oxtungssvamp
Myskmadra</t>
        </is>
      </c>
      <c r="S172">
        <f>HYPERLINK("https://klasma.github.io/Logging_1263/artfynd/A 16122-2024 artfynd.xlsx", "A 16122-2024")</f>
        <v/>
      </c>
      <c r="T172">
        <f>HYPERLINK("https://klasma.github.io/Logging_1263/kartor/A 16122-2024 karta.png", "A 16122-2024")</f>
        <v/>
      </c>
      <c r="V172">
        <f>HYPERLINK("https://klasma.github.io/Logging_1263/klagomål/A 16122-2024 FSC-klagomål.docx", "A 16122-2024")</f>
        <v/>
      </c>
      <c r="W172">
        <f>HYPERLINK("https://klasma.github.io/Logging_1263/klagomålsmail/A 16122-2024 FSC-klagomål mail.docx", "A 16122-2024")</f>
        <v/>
      </c>
      <c r="X172">
        <f>HYPERLINK("https://klasma.github.io/Logging_1263/tillsyn/A 16122-2024 tillsynsbegäran.docx", "A 16122-2024")</f>
        <v/>
      </c>
      <c r="Y172">
        <f>HYPERLINK("https://klasma.github.io/Logging_1263/tillsynsmail/A 16122-2024 tillsynsbegäran mail.docx", "A 16122-2024")</f>
        <v/>
      </c>
    </row>
    <row r="173" ht="15" customHeight="1">
      <c r="A173" t="inlineStr">
        <is>
          <t>A 20987-2024</t>
        </is>
      </c>
      <c r="B173" s="1" t="n">
        <v>45439</v>
      </c>
      <c r="C173" s="1" t="n">
        <v>45744</v>
      </c>
      <c r="D173" t="inlineStr">
        <is>
          <t>SKÅNE LÄN</t>
        </is>
      </c>
      <c r="E173" t="inlineStr">
        <is>
          <t>HÖÖR</t>
        </is>
      </c>
      <c r="G173" t="n">
        <v>5</v>
      </c>
      <c r="H173" t="n">
        <v>1</v>
      </c>
      <c r="I173" t="n">
        <v>1</v>
      </c>
      <c r="J173" t="n">
        <v>1</v>
      </c>
      <c r="K173" t="n">
        <v>0</v>
      </c>
      <c r="L173" t="n">
        <v>0</v>
      </c>
      <c r="M173" t="n">
        <v>0</v>
      </c>
      <c r="N173" t="n">
        <v>0</v>
      </c>
      <c r="O173" t="n">
        <v>1</v>
      </c>
      <c r="P173" t="n">
        <v>0</v>
      </c>
      <c r="Q173" t="n">
        <v>2</v>
      </c>
      <c r="R173" s="2" t="inlineStr">
        <is>
          <t>Spillkråka
Västlig hakmossa</t>
        </is>
      </c>
      <c r="S173">
        <f>HYPERLINK("https://klasma.github.io/Logging_1267/artfynd/A 20987-2024 artfynd.xlsx", "A 20987-2024")</f>
        <v/>
      </c>
      <c r="T173">
        <f>HYPERLINK("https://klasma.github.io/Logging_1267/kartor/A 20987-2024 karta.png", "A 20987-2024")</f>
        <v/>
      </c>
      <c r="V173">
        <f>HYPERLINK("https://klasma.github.io/Logging_1267/klagomål/A 20987-2024 FSC-klagomål.docx", "A 20987-2024")</f>
        <v/>
      </c>
      <c r="W173">
        <f>HYPERLINK("https://klasma.github.io/Logging_1267/klagomålsmail/A 20987-2024 FSC-klagomål mail.docx", "A 20987-2024")</f>
        <v/>
      </c>
      <c r="X173">
        <f>HYPERLINK("https://klasma.github.io/Logging_1267/tillsyn/A 20987-2024 tillsynsbegäran.docx", "A 20987-2024")</f>
        <v/>
      </c>
      <c r="Y173">
        <f>HYPERLINK("https://klasma.github.io/Logging_1267/tillsynsmail/A 20987-2024 tillsynsbegäran mail.docx", "A 20987-2024")</f>
        <v/>
      </c>
      <c r="Z173">
        <f>HYPERLINK("https://klasma.github.io/Logging_1267/fåglar/A 20987-2024 prioriterade fågelarter.docx", "A 20987-2024")</f>
        <v/>
      </c>
    </row>
    <row r="174" ht="15" customHeight="1">
      <c r="A174" t="inlineStr">
        <is>
          <t>A 20975-2024</t>
        </is>
      </c>
      <c r="B174" s="1" t="n">
        <v>45439</v>
      </c>
      <c r="C174" s="1" t="n">
        <v>45744</v>
      </c>
      <c r="D174" t="inlineStr">
        <is>
          <t>SKÅNE LÄN</t>
        </is>
      </c>
      <c r="E174" t="inlineStr">
        <is>
          <t>HÖÖR</t>
        </is>
      </c>
      <c r="G174" t="n">
        <v>2</v>
      </c>
      <c r="H174" t="n">
        <v>0</v>
      </c>
      <c r="I174" t="n">
        <v>2</v>
      </c>
      <c r="J174" t="n">
        <v>0</v>
      </c>
      <c r="K174" t="n">
        <v>0</v>
      </c>
      <c r="L174" t="n">
        <v>0</v>
      </c>
      <c r="M174" t="n">
        <v>0</v>
      </c>
      <c r="N174" t="n">
        <v>0</v>
      </c>
      <c r="O174" t="n">
        <v>0</v>
      </c>
      <c r="P174" t="n">
        <v>0</v>
      </c>
      <c r="Q174" t="n">
        <v>2</v>
      </c>
      <c r="R174" s="2" t="inlineStr">
        <is>
          <t>Dvärghäxört
Västlig hakmossa</t>
        </is>
      </c>
      <c r="S174">
        <f>HYPERLINK("https://klasma.github.io/Logging_1267/artfynd/A 20975-2024 artfynd.xlsx", "A 20975-2024")</f>
        <v/>
      </c>
      <c r="T174">
        <f>HYPERLINK("https://klasma.github.io/Logging_1267/kartor/A 20975-2024 karta.png", "A 20975-2024")</f>
        <v/>
      </c>
      <c r="V174">
        <f>HYPERLINK("https://klasma.github.io/Logging_1267/klagomål/A 20975-2024 FSC-klagomål.docx", "A 20975-2024")</f>
        <v/>
      </c>
      <c r="W174">
        <f>HYPERLINK("https://klasma.github.io/Logging_1267/klagomålsmail/A 20975-2024 FSC-klagomål mail.docx", "A 20975-2024")</f>
        <v/>
      </c>
      <c r="X174">
        <f>HYPERLINK("https://klasma.github.io/Logging_1267/tillsyn/A 20975-2024 tillsynsbegäran.docx", "A 20975-2024")</f>
        <v/>
      </c>
      <c r="Y174">
        <f>HYPERLINK("https://klasma.github.io/Logging_1267/tillsynsmail/A 20975-2024 tillsynsbegäran mail.docx", "A 20975-2024")</f>
        <v/>
      </c>
    </row>
    <row r="175" ht="15" customHeight="1">
      <c r="A175" t="inlineStr">
        <is>
          <t>A 22776-2024</t>
        </is>
      </c>
      <c r="B175" s="1" t="n">
        <v>45448</v>
      </c>
      <c r="C175" s="1" t="n">
        <v>45744</v>
      </c>
      <c r="D175" t="inlineStr">
        <is>
          <t>SKÅNE LÄN</t>
        </is>
      </c>
      <c r="E175" t="inlineStr">
        <is>
          <t>LUND</t>
        </is>
      </c>
      <c r="G175" t="n">
        <v>5.6</v>
      </c>
      <c r="H175" t="n">
        <v>1</v>
      </c>
      <c r="I175" t="n">
        <v>0</v>
      </c>
      <c r="J175" t="n">
        <v>0</v>
      </c>
      <c r="K175" t="n">
        <v>1</v>
      </c>
      <c r="L175" t="n">
        <v>0</v>
      </c>
      <c r="M175" t="n">
        <v>0</v>
      </c>
      <c r="N175" t="n">
        <v>0</v>
      </c>
      <c r="O175" t="n">
        <v>1</v>
      </c>
      <c r="P175" t="n">
        <v>1</v>
      </c>
      <c r="Q175" t="n">
        <v>2</v>
      </c>
      <c r="R175" s="2" t="inlineStr">
        <is>
          <t>Slåttergubbe
Grönvit nattviol</t>
        </is>
      </c>
      <c r="S175">
        <f>HYPERLINK("https://klasma.github.io/Logging_1281/artfynd/A 22776-2024 artfynd.xlsx", "A 22776-2024")</f>
        <v/>
      </c>
      <c r="T175">
        <f>HYPERLINK("https://klasma.github.io/Logging_1281/kartor/A 22776-2024 karta.png", "A 22776-2024")</f>
        <v/>
      </c>
      <c r="V175">
        <f>HYPERLINK("https://klasma.github.io/Logging_1281/klagomål/A 22776-2024 FSC-klagomål.docx", "A 22776-2024")</f>
        <v/>
      </c>
      <c r="W175">
        <f>HYPERLINK("https://klasma.github.io/Logging_1281/klagomålsmail/A 22776-2024 FSC-klagomål mail.docx", "A 22776-2024")</f>
        <v/>
      </c>
      <c r="X175">
        <f>HYPERLINK("https://klasma.github.io/Logging_1281/tillsyn/A 22776-2024 tillsynsbegäran.docx", "A 22776-2024")</f>
        <v/>
      </c>
      <c r="Y175">
        <f>HYPERLINK("https://klasma.github.io/Logging_1281/tillsynsmail/A 22776-2024 tillsynsbegäran mail.docx", "A 22776-2024")</f>
        <v/>
      </c>
    </row>
    <row r="176" ht="15" customHeight="1">
      <c r="A176" t="inlineStr">
        <is>
          <t>A 25058-2024</t>
        </is>
      </c>
      <c r="B176" s="1" t="n">
        <v>45462</v>
      </c>
      <c r="C176" s="1" t="n">
        <v>45744</v>
      </c>
      <c r="D176" t="inlineStr">
        <is>
          <t>SKÅNE LÄN</t>
        </is>
      </c>
      <c r="E176" t="inlineStr">
        <is>
          <t>KRISTIANSTAD</t>
        </is>
      </c>
      <c r="G176" t="n">
        <v>5.2</v>
      </c>
      <c r="H176" t="n">
        <v>1</v>
      </c>
      <c r="I176" t="n">
        <v>1</v>
      </c>
      <c r="J176" t="n">
        <v>0</v>
      </c>
      <c r="K176" t="n">
        <v>0</v>
      </c>
      <c r="L176" t="n">
        <v>0</v>
      </c>
      <c r="M176" t="n">
        <v>0</v>
      </c>
      <c r="N176" t="n">
        <v>0</v>
      </c>
      <c r="O176" t="n">
        <v>0</v>
      </c>
      <c r="P176" t="n">
        <v>0</v>
      </c>
      <c r="Q176" t="n">
        <v>2</v>
      </c>
      <c r="R176" s="2" t="inlineStr">
        <is>
          <t>Lundvårlök
Grönvit nattviol</t>
        </is>
      </c>
      <c r="S176">
        <f>HYPERLINK("https://klasma.github.io/Logging_1290/artfynd/A 25058-2024 artfynd.xlsx", "A 25058-2024")</f>
        <v/>
      </c>
      <c r="T176">
        <f>HYPERLINK("https://klasma.github.io/Logging_1290/kartor/A 25058-2024 karta.png", "A 25058-2024")</f>
        <v/>
      </c>
      <c r="V176">
        <f>HYPERLINK("https://klasma.github.io/Logging_1290/klagomål/A 25058-2024 FSC-klagomål.docx", "A 25058-2024")</f>
        <v/>
      </c>
      <c r="W176">
        <f>HYPERLINK("https://klasma.github.io/Logging_1290/klagomålsmail/A 25058-2024 FSC-klagomål mail.docx", "A 25058-2024")</f>
        <v/>
      </c>
      <c r="X176">
        <f>HYPERLINK("https://klasma.github.io/Logging_1290/tillsyn/A 25058-2024 tillsynsbegäran.docx", "A 25058-2024")</f>
        <v/>
      </c>
      <c r="Y176">
        <f>HYPERLINK("https://klasma.github.io/Logging_1290/tillsynsmail/A 25058-2024 tillsynsbegäran mail.docx", "A 25058-2024")</f>
        <v/>
      </c>
    </row>
    <row r="177" ht="15" customHeight="1">
      <c r="A177" t="inlineStr">
        <is>
          <t>A 26488-2024</t>
        </is>
      </c>
      <c r="B177" s="1" t="n">
        <v>45469</v>
      </c>
      <c r="C177" s="1" t="n">
        <v>45744</v>
      </c>
      <c r="D177" t="inlineStr">
        <is>
          <t>SKÅNE LÄN</t>
        </is>
      </c>
      <c r="E177" t="inlineStr">
        <is>
          <t>SJÖBO</t>
        </is>
      </c>
      <c r="G177" t="n">
        <v>8.1</v>
      </c>
      <c r="H177" t="n">
        <v>1</v>
      </c>
      <c r="I177" t="n">
        <v>0</v>
      </c>
      <c r="J177" t="n">
        <v>1</v>
      </c>
      <c r="K177" t="n">
        <v>0</v>
      </c>
      <c r="L177" t="n">
        <v>0</v>
      </c>
      <c r="M177" t="n">
        <v>0</v>
      </c>
      <c r="N177" t="n">
        <v>0</v>
      </c>
      <c r="O177" t="n">
        <v>1</v>
      </c>
      <c r="P177" t="n">
        <v>0</v>
      </c>
      <c r="Q177" t="n">
        <v>2</v>
      </c>
      <c r="R177" s="2" t="inlineStr">
        <is>
          <t>Triplax rufipes
Vanlig groda</t>
        </is>
      </c>
      <c r="S177">
        <f>HYPERLINK("https://klasma.github.io/Logging_1265/artfynd/A 26488-2024 artfynd.xlsx", "A 26488-2024")</f>
        <v/>
      </c>
      <c r="T177">
        <f>HYPERLINK("https://klasma.github.io/Logging_1265/kartor/A 26488-2024 karta.png", "A 26488-2024")</f>
        <v/>
      </c>
      <c r="V177">
        <f>HYPERLINK("https://klasma.github.io/Logging_1265/klagomål/A 26488-2024 FSC-klagomål.docx", "A 26488-2024")</f>
        <v/>
      </c>
      <c r="W177">
        <f>HYPERLINK("https://klasma.github.io/Logging_1265/klagomålsmail/A 26488-2024 FSC-klagomål mail.docx", "A 26488-2024")</f>
        <v/>
      </c>
      <c r="X177">
        <f>HYPERLINK("https://klasma.github.io/Logging_1265/tillsyn/A 26488-2024 tillsynsbegäran.docx", "A 26488-2024")</f>
        <v/>
      </c>
      <c r="Y177">
        <f>HYPERLINK("https://klasma.github.io/Logging_1265/tillsynsmail/A 26488-2024 tillsynsbegäran mail.docx", "A 26488-2024")</f>
        <v/>
      </c>
    </row>
    <row r="178" ht="15" customHeight="1">
      <c r="A178" t="inlineStr">
        <is>
          <t>A 30246-2024</t>
        </is>
      </c>
      <c r="B178" s="1" t="n">
        <v>45490</v>
      </c>
      <c r="C178" s="1" t="n">
        <v>45744</v>
      </c>
      <c r="D178" t="inlineStr">
        <is>
          <t>SKÅNE LÄN</t>
        </is>
      </c>
      <c r="E178" t="inlineStr">
        <is>
          <t>KRISTIANSTAD</t>
        </is>
      </c>
      <c r="G178" t="n">
        <v>8.699999999999999</v>
      </c>
      <c r="H178" t="n">
        <v>1</v>
      </c>
      <c r="I178" t="n">
        <v>0</v>
      </c>
      <c r="J178" t="n">
        <v>2</v>
      </c>
      <c r="K178" t="n">
        <v>0</v>
      </c>
      <c r="L178" t="n">
        <v>0</v>
      </c>
      <c r="M178" t="n">
        <v>0</v>
      </c>
      <c r="N178" t="n">
        <v>0</v>
      </c>
      <c r="O178" t="n">
        <v>2</v>
      </c>
      <c r="P178" t="n">
        <v>0</v>
      </c>
      <c r="Q178" t="n">
        <v>2</v>
      </c>
      <c r="R178" s="2" t="inlineStr">
        <is>
          <t>Desmeknopp
Spillkråka</t>
        </is>
      </c>
      <c r="S178">
        <f>HYPERLINK("https://klasma.github.io/Logging_1290/artfynd/A 30246-2024 artfynd.xlsx", "A 30246-2024")</f>
        <v/>
      </c>
      <c r="T178">
        <f>HYPERLINK("https://klasma.github.io/Logging_1290/kartor/A 30246-2024 karta.png", "A 30246-2024")</f>
        <v/>
      </c>
      <c r="V178">
        <f>HYPERLINK("https://klasma.github.io/Logging_1290/klagomål/A 30246-2024 FSC-klagomål.docx", "A 30246-2024")</f>
        <v/>
      </c>
      <c r="W178">
        <f>HYPERLINK("https://klasma.github.io/Logging_1290/klagomålsmail/A 30246-2024 FSC-klagomål mail.docx", "A 30246-2024")</f>
        <v/>
      </c>
      <c r="X178">
        <f>HYPERLINK("https://klasma.github.io/Logging_1290/tillsyn/A 30246-2024 tillsynsbegäran.docx", "A 30246-2024")</f>
        <v/>
      </c>
      <c r="Y178">
        <f>HYPERLINK("https://klasma.github.io/Logging_1290/tillsynsmail/A 30246-2024 tillsynsbegäran mail.docx", "A 30246-2024")</f>
        <v/>
      </c>
      <c r="Z178">
        <f>HYPERLINK("https://klasma.github.io/Logging_1290/fåglar/A 30246-2024 prioriterade fågelarter.docx", "A 30246-2024")</f>
        <v/>
      </c>
    </row>
    <row r="179" ht="15" customHeight="1">
      <c r="A179" t="inlineStr">
        <is>
          <t>A 31923-2024</t>
        </is>
      </c>
      <c r="B179" s="1" t="n">
        <v>45510</v>
      </c>
      <c r="C179" s="1" t="n">
        <v>45744</v>
      </c>
      <c r="D179" t="inlineStr">
        <is>
          <t>SKÅNE LÄN</t>
        </is>
      </c>
      <c r="E179" t="inlineStr">
        <is>
          <t>ÖRKELLJUNGA</t>
        </is>
      </c>
      <c r="G179" t="n">
        <v>3.3</v>
      </c>
      <c r="H179" t="n">
        <v>0</v>
      </c>
      <c r="I179" t="n">
        <v>2</v>
      </c>
      <c r="J179" t="n">
        <v>0</v>
      </c>
      <c r="K179" t="n">
        <v>0</v>
      </c>
      <c r="L179" t="n">
        <v>0</v>
      </c>
      <c r="M179" t="n">
        <v>0</v>
      </c>
      <c r="N179" t="n">
        <v>0</v>
      </c>
      <c r="O179" t="n">
        <v>0</v>
      </c>
      <c r="P179" t="n">
        <v>0</v>
      </c>
      <c r="Q179" t="n">
        <v>2</v>
      </c>
      <c r="R179" s="2" t="inlineStr">
        <is>
          <t>Havstulpanlav
Västlig hakmossa</t>
        </is>
      </c>
      <c r="S179">
        <f>HYPERLINK("https://klasma.github.io/Logging_1257/artfynd/A 31923-2024 artfynd.xlsx", "A 31923-2024")</f>
        <v/>
      </c>
      <c r="T179">
        <f>HYPERLINK("https://klasma.github.io/Logging_1257/kartor/A 31923-2024 karta.png", "A 31923-2024")</f>
        <v/>
      </c>
      <c r="V179">
        <f>HYPERLINK("https://klasma.github.io/Logging_1257/klagomål/A 31923-2024 FSC-klagomål.docx", "A 31923-2024")</f>
        <v/>
      </c>
      <c r="W179">
        <f>HYPERLINK("https://klasma.github.io/Logging_1257/klagomålsmail/A 31923-2024 FSC-klagomål mail.docx", "A 31923-2024")</f>
        <v/>
      </c>
      <c r="X179">
        <f>HYPERLINK("https://klasma.github.io/Logging_1257/tillsyn/A 31923-2024 tillsynsbegäran.docx", "A 31923-2024")</f>
        <v/>
      </c>
      <c r="Y179">
        <f>HYPERLINK("https://klasma.github.io/Logging_1257/tillsynsmail/A 31923-2024 tillsynsbegäran mail.docx", "A 31923-2024")</f>
        <v/>
      </c>
    </row>
    <row r="180" ht="15" customHeight="1">
      <c r="A180" t="inlineStr">
        <is>
          <t>A 37585-2024</t>
        </is>
      </c>
      <c r="B180" s="1" t="n">
        <v>45541</v>
      </c>
      <c r="C180" s="1" t="n">
        <v>45744</v>
      </c>
      <c r="D180" t="inlineStr">
        <is>
          <t>SKÅNE LÄN</t>
        </is>
      </c>
      <c r="E180" t="inlineStr">
        <is>
          <t>ÖSTRA GÖINGE</t>
        </is>
      </c>
      <c r="G180" t="n">
        <v>22.7</v>
      </c>
      <c r="H180" t="n">
        <v>1</v>
      </c>
      <c r="I180" t="n">
        <v>0</v>
      </c>
      <c r="J180" t="n">
        <v>1</v>
      </c>
      <c r="K180" t="n">
        <v>0</v>
      </c>
      <c r="L180" t="n">
        <v>0</v>
      </c>
      <c r="M180" t="n">
        <v>0</v>
      </c>
      <c r="N180" t="n">
        <v>0</v>
      </c>
      <c r="O180" t="n">
        <v>1</v>
      </c>
      <c r="P180" t="n">
        <v>0</v>
      </c>
      <c r="Q180" t="n">
        <v>2</v>
      </c>
      <c r="R180" s="2" t="inlineStr">
        <is>
          <t>Gullklöver
Fläcknycklar</t>
        </is>
      </c>
      <c r="S180">
        <f>HYPERLINK("https://klasma.github.io/Logging_1256/artfynd/A 37585-2024 artfynd.xlsx", "A 37585-2024")</f>
        <v/>
      </c>
      <c r="T180">
        <f>HYPERLINK("https://klasma.github.io/Logging_1256/kartor/A 37585-2024 karta.png", "A 37585-2024")</f>
        <v/>
      </c>
      <c r="V180">
        <f>HYPERLINK("https://klasma.github.io/Logging_1256/klagomål/A 37585-2024 FSC-klagomål.docx", "A 37585-2024")</f>
        <v/>
      </c>
      <c r="W180">
        <f>HYPERLINK("https://klasma.github.io/Logging_1256/klagomålsmail/A 37585-2024 FSC-klagomål mail.docx", "A 37585-2024")</f>
        <v/>
      </c>
      <c r="X180">
        <f>HYPERLINK("https://klasma.github.io/Logging_1256/tillsyn/A 37585-2024 tillsynsbegäran.docx", "A 37585-2024")</f>
        <v/>
      </c>
      <c r="Y180">
        <f>HYPERLINK("https://klasma.github.io/Logging_1256/tillsynsmail/A 37585-2024 tillsynsbegäran mail.docx", "A 37585-2024")</f>
        <v/>
      </c>
    </row>
    <row r="181" ht="15" customHeight="1">
      <c r="A181" t="inlineStr">
        <is>
          <t>A 37966-2024</t>
        </is>
      </c>
      <c r="B181" s="1" t="n">
        <v>45544</v>
      </c>
      <c r="C181" s="1" t="n">
        <v>45744</v>
      </c>
      <c r="D181" t="inlineStr">
        <is>
          <t>SKÅNE LÄN</t>
        </is>
      </c>
      <c r="E181" t="inlineStr">
        <is>
          <t>KLIPPAN</t>
        </is>
      </c>
      <c r="G181" t="n">
        <v>2.7</v>
      </c>
      <c r="H181" t="n">
        <v>2</v>
      </c>
      <c r="I181" t="n">
        <v>0</v>
      </c>
      <c r="J181" t="n">
        <v>0</v>
      </c>
      <c r="K181" t="n">
        <v>0</v>
      </c>
      <c r="L181" t="n">
        <v>0</v>
      </c>
      <c r="M181" t="n">
        <v>0</v>
      </c>
      <c r="N181" t="n">
        <v>0</v>
      </c>
      <c r="O181" t="n">
        <v>0</v>
      </c>
      <c r="P181" t="n">
        <v>0</v>
      </c>
      <c r="Q181" t="n">
        <v>2</v>
      </c>
      <c r="R181" s="2" t="inlineStr">
        <is>
          <t>Större vattensalamander
Vanlig padda</t>
        </is>
      </c>
      <c r="S181">
        <f>HYPERLINK("https://klasma.github.io/Logging_1276/artfynd/A 37966-2024 artfynd.xlsx", "A 37966-2024")</f>
        <v/>
      </c>
      <c r="T181">
        <f>HYPERLINK("https://klasma.github.io/Logging_1276/kartor/A 37966-2024 karta.png", "A 37966-2024")</f>
        <v/>
      </c>
      <c r="V181">
        <f>HYPERLINK("https://klasma.github.io/Logging_1276/klagomål/A 37966-2024 FSC-klagomål.docx", "A 37966-2024")</f>
        <v/>
      </c>
      <c r="W181">
        <f>HYPERLINK("https://klasma.github.io/Logging_1276/klagomålsmail/A 37966-2024 FSC-klagomål mail.docx", "A 37966-2024")</f>
        <v/>
      </c>
      <c r="X181">
        <f>HYPERLINK("https://klasma.github.io/Logging_1276/tillsyn/A 37966-2024 tillsynsbegäran.docx", "A 37966-2024")</f>
        <v/>
      </c>
      <c r="Y181">
        <f>HYPERLINK("https://klasma.github.io/Logging_1276/tillsynsmail/A 37966-2024 tillsynsbegäran mail.docx", "A 37966-2024")</f>
        <v/>
      </c>
    </row>
    <row r="182" ht="15" customHeight="1">
      <c r="A182" t="inlineStr">
        <is>
          <t>A 39165-2024</t>
        </is>
      </c>
      <c r="B182" s="1" t="n">
        <v>45548</v>
      </c>
      <c r="C182" s="1" t="n">
        <v>45744</v>
      </c>
      <c r="D182" t="inlineStr">
        <is>
          <t>SKÅNE LÄN</t>
        </is>
      </c>
      <c r="E182" t="inlineStr">
        <is>
          <t>SVALÖV</t>
        </is>
      </c>
      <c r="G182" t="n">
        <v>2.9</v>
      </c>
      <c r="H182" t="n">
        <v>0</v>
      </c>
      <c r="I182" t="n">
        <v>0</v>
      </c>
      <c r="J182" t="n">
        <v>0</v>
      </c>
      <c r="K182" t="n">
        <v>0</v>
      </c>
      <c r="L182" t="n">
        <v>1</v>
      </c>
      <c r="M182" t="n">
        <v>1</v>
      </c>
      <c r="N182" t="n">
        <v>0</v>
      </c>
      <c r="O182" t="n">
        <v>2</v>
      </c>
      <c r="P182" t="n">
        <v>2</v>
      </c>
      <c r="Q182" t="n">
        <v>2</v>
      </c>
      <c r="R182" s="2" t="inlineStr">
        <is>
          <t>Skogsalm
Ask</t>
        </is>
      </c>
      <c r="S182">
        <f>HYPERLINK("https://klasma.github.io/Logging_1214/artfynd/A 39165-2024 artfynd.xlsx", "A 39165-2024")</f>
        <v/>
      </c>
      <c r="T182">
        <f>HYPERLINK("https://klasma.github.io/Logging_1214/kartor/A 39165-2024 karta.png", "A 39165-2024")</f>
        <v/>
      </c>
      <c r="V182">
        <f>HYPERLINK("https://klasma.github.io/Logging_1214/klagomål/A 39165-2024 FSC-klagomål.docx", "A 39165-2024")</f>
        <v/>
      </c>
      <c r="W182">
        <f>HYPERLINK("https://klasma.github.io/Logging_1214/klagomålsmail/A 39165-2024 FSC-klagomål mail.docx", "A 39165-2024")</f>
        <v/>
      </c>
      <c r="X182">
        <f>HYPERLINK("https://klasma.github.io/Logging_1214/tillsyn/A 39165-2024 tillsynsbegäran.docx", "A 39165-2024")</f>
        <v/>
      </c>
      <c r="Y182">
        <f>HYPERLINK("https://klasma.github.io/Logging_1214/tillsynsmail/A 39165-2024 tillsynsbegäran mail.docx", "A 39165-2024")</f>
        <v/>
      </c>
    </row>
    <row r="183" ht="15" customHeight="1">
      <c r="A183" t="inlineStr">
        <is>
          <t>A 45911-2024</t>
        </is>
      </c>
      <c r="B183" s="1" t="n">
        <v>45580</v>
      </c>
      <c r="C183" s="1" t="n">
        <v>45744</v>
      </c>
      <c r="D183" t="inlineStr">
        <is>
          <t>SKÅNE LÄN</t>
        </is>
      </c>
      <c r="E183" t="inlineStr">
        <is>
          <t>KRISTIANSTAD</t>
        </is>
      </c>
      <c r="G183" t="n">
        <v>2.2</v>
      </c>
      <c r="H183" t="n">
        <v>0</v>
      </c>
      <c r="I183" t="n">
        <v>2</v>
      </c>
      <c r="J183" t="n">
        <v>0</v>
      </c>
      <c r="K183" t="n">
        <v>0</v>
      </c>
      <c r="L183" t="n">
        <v>0</v>
      </c>
      <c r="M183" t="n">
        <v>0</v>
      </c>
      <c r="N183" t="n">
        <v>0</v>
      </c>
      <c r="O183" t="n">
        <v>0</v>
      </c>
      <c r="P183" t="n">
        <v>0</v>
      </c>
      <c r="Q183" t="n">
        <v>2</v>
      </c>
      <c r="R183" s="2" t="inlineStr">
        <is>
          <t>Lömsk flugsvamp
Svavelriska</t>
        </is>
      </c>
      <c r="S183">
        <f>HYPERLINK("https://klasma.github.io/Logging_1290/artfynd/A 45911-2024 artfynd.xlsx", "A 45911-2024")</f>
        <v/>
      </c>
      <c r="T183">
        <f>HYPERLINK("https://klasma.github.io/Logging_1290/kartor/A 45911-2024 karta.png", "A 45911-2024")</f>
        <v/>
      </c>
      <c r="V183">
        <f>HYPERLINK("https://klasma.github.io/Logging_1290/klagomål/A 45911-2024 FSC-klagomål.docx", "A 45911-2024")</f>
        <v/>
      </c>
      <c r="W183">
        <f>HYPERLINK("https://klasma.github.io/Logging_1290/klagomålsmail/A 45911-2024 FSC-klagomål mail.docx", "A 45911-2024")</f>
        <v/>
      </c>
      <c r="X183">
        <f>HYPERLINK("https://klasma.github.io/Logging_1290/tillsyn/A 45911-2024 tillsynsbegäran.docx", "A 45911-2024")</f>
        <v/>
      </c>
      <c r="Y183">
        <f>HYPERLINK("https://klasma.github.io/Logging_1290/tillsynsmail/A 45911-2024 tillsynsbegäran mail.docx", "A 45911-2024")</f>
        <v/>
      </c>
    </row>
    <row r="184" ht="15" customHeight="1">
      <c r="A184" t="inlineStr">
        <is>
          <t>A 61064-2024</t>
        </is>
      </c>
      <c r="B184" s="1" t="n">
        <v>45645</v>
      </c>
      <c r="C184" s="1" t="n">
        <v>45744</v>
      </c>
      <c r="D184" t="inlineStr">
        <is>
          <t>SKÅNE LÄN</t>
        </is>
      </c>
      <c r="E184" t="inlineStr">
        <is>
          <t>SVALÖV</t>
        </is>
      </c>
      <c r="G184" t="n">
        <v>5.6</v>
      </c>
      <c r="H184" t="n">
        <v>1</v>
      </c>
      <c r="I184" t="n">
        <v>1</v>
      </c>
      <c r="J184" t="n">
        <v>0</v>
      </c>
      <c r="K184" t="n">
        <v>0</v>
      </c>
      <c r="L184" t="n">
        <v>1</v>
      </c>
      <c r="M184" t="n">
        <v>0</v>
      </c>
      <c r="N184" t="n">
        <v>0</v>
      </c>
      <c r="O184" t="n">
        <v>1</v>
      </c>
      <c r="P184" t="n">
        <v>1</v>
      </c>
      <c r="Q184" t="n">
        <v>2</v>
      </c>
      <c r="R184" s="2" t="inlineStr">
        <is>
          <t>Ask
Skogsknipprot</t>
        </is>
      </c>
      <c r="S184">
        <f>HYPERLINK("https://klasma.github.io/Logging_1214/artfynd/A 61064-2024 artfynd.xlsx", "A 61064-2024")</f>
        <v/>
      </c>
      <c r="T184">
        <f>HYPERLINK("https://klasma.github.io/Logging_1214/kartor/A 61064-2024 karta.png", "A 61064-2024")</f>
        <v/>
      </c>
      <c r="V184">
        <f>HYPERLINK("https://klasma.github.io/Logging_1214/klagomål/A 61064-2024 FSC-klagomål.docx", "A 61064-2024")</f>
        <v/>
      </c>
      <c r="W184">
        <f>HYPERLINK("https://klasma.github.io/Logging_1214/klagomålsmail/A 61064-2024 FSC-klagomål mail.docx", "A 61064-2024")</f>
        <v/>
      </c>
      <c r="X184">
        <f>HYPERLINK("https://klasma.github.io/Logging_1214/tillsyn/A 61064-2024 tillsynsbegäran.docx", "A 61064-2024")</f>
        <v/>
      </c>
      <c r="Y184">
        <f>HYPERLINK("https://klasma.github.io/Logging_1214/tillsynsmail/A 61064-2024 tillsynsbegäran mail.docx", "A 61064-2024")</f>
        <v/>
      </c>
    </row>
    <row r="185" ht="15" customHeight="1">
      <c r="A185" t="inlineStr">
        <is>
          <t>A 419-2025</t>
        </is>
      </c>
      <c r="B185" s="1" t="n">
        <v>45663</v>
      </c>
      <c r="C185" s="1" t="n">
        <v>45744</v>
      </c>
      <c r="D185" t="inlineStr">
        <is>
          <t>SKÅNE LÄN</t>
        </is>
      </c>
      <c r="E185" t="inlineStr">
        <is>
          <t>KRISTIANSTAD</t>
        </is>
      </c>
      <c r="G185" t="n">
        <v>14.5</v>
      </c>
      <c r="H185" t="n">
        <v>1</v>
      </c>
      <c r="I185" t="n">
        <v>1</v>
      </c>
      <c r="J185" t="n">
        <v>0</v>
      </c>
      <c r="K185" t="n">
        <v>0</v>
      </c>
      <c r="L185" t="n">
        <v>0</v>
      </c>
      <c r="M185" t="n">
        <v>0</v>
      </c>
      <c r="N185" t="n">
        <v>0</v>
      </c>
      <c r="O185" t="n">
        <v>0</v>
      </c>
      <c r="P185" t="n">
        <v>0</v>
      </c>
      <c r="Q185" t="n">
        <v>2</v>
      </c>
      <c r="R185" s="2" t="inlineStr">
        <is>
          <t>Murgröna
Vanlig groda</t>
        </is>
      </c>
      <c r="S185">
        <f>HYPERLINK("https://klasma.github.io/Logging_1290/artfynd/A 419-2025 artfynd.xlsx", "A 419-2025")</f>
        <v/>
      </c>
      <c r="T185">
        <f>HYPERLINK("https://klasma.github.io/Logging_1290/kartor/A 419-2025 karta.png", "A 419-2025")</f>
        <v/>
      </c>
      <c r="V185">
        <f>HYPERLINK("https://klasma.github.io/Logging_1290/klagomål/A 419-2025 FSC-klagomål.docx", "A 419-2025")</f>
        <v/>
      </c>
      <c r="W185">
        <f>HYPERLINK("https://klasma.github.io/Logging_1290/klagomålsmail/A 419-2025 FSC-klagomål mail.docx", "A 419-2025")</f>
        <v/>
      </c>
      <c r="X185">
        <f>HYPERLINK("https://klasma.github.io/Logging_1290/tillsyn/A 419-2025 tillsynsbegäran.docx", "A 419-2025")</f>
        <v/>
      </c>
      <c r="Y185">
        <f>HYPERLINK("https://klasma.github.io/Logging_1290/tillsynsmail/A 419-2025 tillsynsbegäran mail.docx", "A 419-2025")</f>
        <v/>
      </c>
    </row>
    <row r="186" ht="15" customHeight="1">
      <c r="A186" t="inlineStr">
        <is>
          <t>A 2194-2025</t>
        </is>
      </c>
      <c r="B186" s="1" t="n">
        <v>45673</v>
      </c>
      <c r="C186" s="1" t="n">
        <v>45744</v>
      </c>
      <c r="D186" t="inlineStr">
        <is>
          <t>SKÅNE LÄN</t>
        </is>
      </c>
      <c r="E186" t="inlineStr">
        <is>
          <t>HÄSSLEHOLM</t>
        </is>
      </c>
      <c r="G186" t="n">
        <v>3.4</v>
      </c>
      <c r="H186" t="n">
        <v>1</v>
      </c>
      <c r="I186" t="n">
        <v>0</v>
      </c>
      <c r="J186" t="n">
        <v>1</v>
      </c>
      <c r="K186" t="n">
        <v>0</v>
      </c>
      <c r="L186" t="n">
        <v>1</v>
      </c>
      <c r="M186" t="n">
        <v>0</v>
      </c>
      <c r="N186" t="n">
        <v>0</v>
      </c>
      <c r="O186" t="n">
        <v>2</v>
      </c>
      <c r="P186" t="n">
        <v>1</v>
      </c>
      <c r="Q186" t="n">
        <v>2</v>
      </c>
      <c r="R186" s="2" t="inlineStr">
        <is>
          <t>Flodpärlmussla
Utter</t>
        </is>
      </c>
      <c r="S186">
        <f>HYPERLINK("https://klasma.github.io/Logging_1293/artfynd/A 2194-2025 artfynd.xlsx", "A 2194-2025")</f>
        <v/>
      </c>
      <c r="T186">
        <f>HYPERLINK("https://klasma.github.io/Logging_1293/kartor/A 2194-2025 karta.png", "A 2194-2025")</f>
        <v/>
      </c>
      <c r="V186">
        <f>HYPERLINK("https://klasma.github.io/Logging_1293/klagomål/A 2194-2025 FSC-klagomål.docx", "A 2194-2025")</f>
        <v/>
      </c>
      <c r="W186">
        <f>HYPERLINK("https://klasma.github.io/Logging_1293/klagomålsmail/A 2194-2025 FSC-klagomål mail.docx", "A 2194-2025")</f>
        <v/>
      </c>
      <c r="X186">
        <f>HYPERLINK("https://klasma.github.io/Logging_1293/tillsyn/A 2194-2025 tillsynsbegäran.docx", "A 2194-2025")</f>
        <v/>
      </c>
      <c r="Y186">
        <f>HYPERLINK("https://klasma.github.io/Logging_1293/tillsynsmail/A 2194-2025 tillsynsbegäran mail.docx", "A 2194-2025")</f>
        <v/>
      </c>
    </row>
    <row r="187" ht="15" customHeight="1">
      <c r="A187" t="inlineStr">
        <is>
          <t>A 4112-2025</t>
        </is>
      </c>
      <c r="B187" s="1" t="n">
        <v>45684</v>
      </c>
      <c r="C187" s="1" t="n">
        <v>45744</v>
      </c>
      <c r="D187" t="inlineStr">
        <is>
          <t>SKÅNE LÄN</t>
        </is>
      </c>
      <c r="E187" t="inlineStr">
        <is>
          <t>ÖRKELLJUNGA</t>
        </is>
      </c>
      <c r="G187" t="n">
        <v>11.4</v>
      </c>
      <c r="H187" t="n">
        <v>2</v>
      </c>
      <c r="I187" t="n">
        <v>0</v>
      </c>
      <c r="J187" t="n">
        <v>1</v>
      </c>
      <c r="K187" t="n">
        <v>0</v>
      </c>
      <c r="L187" t="n">
        <v>0</v>
      </c>
      <c r="M187" t="n">
        <v>0</v>
      </c>
      <c r="N187" t="n">
        <v>0</v>
      </c>
      <c r="O187" t="n">
        <v>1</v>
      </c>
      <c r="P187" t="n">
        <v>0</v>
      </c>
      <c r="Q187" t="n">
        <v>2</v>
      </c>
      <c r="R187" s="2" t="inlineStr">
        <is>
          <t>Utter
Vanlig padda</t>
        </is>
      </c>
      <c r="S187">
        <f>HYPERLINK("https://klasma.github.io/Logging_1257/artfynd/A 4112-2025 artfynd.xlsx", "A 4112-2025")</f>
        <v/>
      </c>
      <c r="T187">
        <f>HYPERLINK("https://klasma.github.io/Logging_1257/kartor/A 4112-2025 karta.png", "A 4112-2025")</f>
        <v/>
      </c>
      <c r="V187">
        <f>HYPERLINK("https://klasma.github.io/Logging_1257/klagomål/A 4112-2025 FSC-klagomål.docx", "A 4112-2025")</f>
        <v/>
      </c>
      <c r="W187">
        <f>HYPERLINK("https://klasma.github.io/Logging_1257/klagomålsmail/A 4112-2025 FSC-klagomål mail.docx", "A 4112-2025")</f>
        <v/>
      </c>
      <c r="X187">
        <f>HYPERLINK("https://klasma.github.io/Logging_1257/tillsyn/A 4112-2025 tillsynsbegäran.docx", "A 4112-2025")</f>
        <v/>
      </c>
      <c r="Y187">
        <f>HYPERLINK("https://klasma.github.io/Logging_1257/tillsynsmail/A 4112-2025 tillsynsbegäran mail.docx", "A 4112-2025")</f>
        <v/>
      </c>
    </row>
    <row r="188" ht="15" customHeight="1">
      <c r="A188" t="inlineStr">
        <is>
          <t>A 4595-2025</t>
        </is>
      </c>
      <c r="B188" s="1" t="n">
        <v>45687</v>
      </c>
      <c r="C188" s="1" t="n">
        <v>45744</v>
      </c>
      <c r="D188" t="inlineStr">
        <is>
          <t>SKÅNE LÄN</t>
        </is>
      </c>
      <c r="E188" t="inlineStr">
        <is>
          <t>HÄSSLEHOLM</t>
        </is>
      </c>
      <c r="G188" t="n">
        <v>2.6</v>
      </c>
      <c r="H188" t="n">
        <v>1</v>
      </c>
      <c r="I188" t="n">
        <v>1</v>
      </c>
      <c r="J188" t="n">
        <v>0</v>
      </c>
      <c r="K188" t="n">
        <v>0</v>
      </c>
      <c r="L188" t="n">
        <v>0</v>
      </c>
      <c r="M188" t="n">
        <v>0</v>
      </c>
      <c r="N188" t="n">
        <v>0</v>
      </c>
      <c r="O188" t="n">
        <v>0</v>
      </c>
      <c r="P188" t="n">
        <v>0</v>
      </c>
      <c r="Q188" t="n">
        <v>2</v>
      </c>
      <c r="R188" s="2" t="inlineStr">
        <is>
          <t>Blåmossa
Tjäder</t>
        </is>
      </c>
      <c r="S188">
        <f>HYPERLINK("https://klasma.github.io/Logging_1293/artfynd/A 4595-2025 artfynd.xlsx", "A 4595-2025")</f>
        <v/>
      </c>
      <c r="T188">
        <f>HYPERLINK("https://klasma.github.io/Logging_1293/kartor/A 4595-2025 karta.png", "A 4595-2025")</f>
        <v/>
      </c>
      <c r="V188">
        <f>HYPERLINK("https://klasma.github.io/Logging_1293/klagomål/A 4595-2025 FSC-klagomål.docx", "A 4595-2025")</f>
        <v/>
      </c>
      <c r="W188">
        <f>HYPERLINK("https://klasma.github.io/Logging_1293/klagomålsmail/A 4595-2025 FSC-klagomål mail.docx", "A 4595-2025")</f>
        <v/>
      </c>
      <c r="X188">
        <f>HYPERLINK("https://klasma.github.io/Logging_1293/tillsyn/A 4595-2025 tillsynsbegäran.docx", "A 4595-2025")</f>
        <v/>
      </c>
      <c r="Y188">
        <f>HYPERLINK("https://klasma.github.io/Logging_1293/tillsynsmail/A 4595-2025 tillsynsbegäran mail.docx", "A 4595-2025")</f>
        <v/>
      </c>
      <c r="Z188">
        <f>HYPERLINK("https://klasma.github.io/Logging_1293/fåglar/A 4595-2025 prioriterade fågelarter.docx", "A 4595-2025")</f>
        <v/>
      </c>
    </row>
    <row r="189" ht="15" customHeight="1">
      <c r="A189" t="inlineStr">
        <is>
          <t>A 10617-2025</t>
        </is>
      </c>
      <c r="B189" s="1" t="n">
        <v>45721</v>
      </c>
      <c r="C189" s="1" t="n">
        <v>45744</v>
      </c>
      <c r="D189" t="inlineStr">
        <is>
          <t>SKÅNE LÄN</t>
        </is>
      </c>
      <c r="E189" t="inlineStr">
        <is>
          <t>LUND</t>
        </is>
      </c>
      <c r="G189" t="n">
        <v>1.9</v>
      </c>
      <c r="H189" t="n">
        <v>2</v>
      </c>
      <c r="I189" t="n">
        <v>0</v>
      </c>
      <c r="J189" t="n">
        <v>1</v>
      </c>
      <c r="K189" t="n">
        <v>1</v>
      </c>
      <c r="L189" t="n">
        <v>0</v>
      </c>
      <c r="M189" t="n">
        <v>0</v>
      </c>
      <c r="N189" t="n">
        <v>0</v>
      </c>
      <c r="O189" t="n">
        <v>2</v>
      </c>
      <c r="P189" t="n">
        <v>1</v>
      </c>
      <c r="Q189" t="n">
        <v>2</v>
      </c>
      <c r="R189" s="2" t="inlineStr">
        <is>
          <t>Lökgroda
Strandpadda</t>
        </is>
      </c>
      <c r="S189">
        <f>HYPERLINK("https://klasma.github.io/Logging_1281/artfynd/A 10617-2025 artfynd.xlsx", "A 10617-2025")</f>
        <v/>
      </c>
      <c r="T189">
        <f>HYPERLINK("https://klasma.github.io/Logging_1281/kartor/A 10617-2025 karta.png", "A 10617-2025")</f>
        <v/>
      </c>
      <c r="V189">
        <f>HYPERLINK("https://klasma.github.io/Logging_1281/klagomål/A 10617-2025 FSC-klagomål.docx", "A 10617-2025")</f>
        <v/>
      </c>
      <c r="W189">
        <f>HYPERLINK("https://klasma.github.io/Logging_1281/klagomålsmail/A 10617-2025 FSC-klagomål mail.docx", "A 10617-2025")</f>
        <v/>
      </c>
      <c r="X189">
        <f>HYPERLINK("https://klasma.github.io/Logging_1281/tillsyn/A 10617-2025 tillsynsbegäran.docx", "A 10617-2025")</f>
        <v/>
      </c>
      <c r="Y189">
        <f>HYPERLINK("https://klasma.github.io/Logging_1281/tillsynsmail/A 10617-2025 tillsynsbegäran mail.docx", "A 10617-2025")</f>
        <v/>
      </c>
    </row>
    <row r="190" ht="15" customHeight="1">
      <c r="A190" t="inlineStr">
        <is>
          <t>A 20427-2019</t>
        </is>
      </c>
      <c r="B190" s="1" t="n">
        <v>43571</v>
      </c>
      <c r="C190" s="1" t="n">
        <v>45744</v>
      </c>
      <c r="D190" t="inlineStr">
        <is>
          <t>SKÅNE LÄN</t>
        </is>
      </c>
      <c r="E190" t="inlineStr">
        <is>
          <t>SJÖBO</t>
        </is>
      </c>
      <c r="G190" t="n">
        <v>4.5</v>
      </c>
      <c r="H190" t="n">
        <v>0</v>
      </c>
      <c r="I190" t="n">
        <v>0</v>
      </c>
      <c r="J190" t="n">
        <v>0</v>
      </c>
      <c r="K190" t="n">
        <v>0</v>
      </c>
      <c r="L190" t="n">
        <v>1</v>
      </c>
      <c r="M190" t="n">
        <v>0</v>
      </c>
      <c r="N190" t="n">
        <v>0</v>
      </c>
      <c r="O190" t="n">
        <v>1</v>
      </c>
      <c r="P190" t="n">
        <v>1</v>
      </c>
      <c r="Q190" t="n">
        <v>1</v>
      </c>
      <c r="R190" s="2" t="inlineStr">
        <is>
          <t>Ask</t>
        </is>
      </c>
      <c r="S190">
        <f>HYPERLINK("https://klasma.github.io/Logging_1265/artfynd/A 20427-2019 artfynd.xlsx", "A 20427-2019")</f>
        <v/>
      </c>
      <c r="T190">
        <f>HYPERLINK("https://klasma.github.io/Logging_1265/kartor/A 20427-2019 karta.png", "A 20427-2019")</f>
        <v/>
      </c>
      <c r="V190">
        <f>HYPERLINK("https://klasma.github.io/Logging_1265/klagomål/A 20427-2019 FSC-klagomål.docx", "A 20427-2019")</f>
        <v/>
      </c>
      <c r="W190">
        <f>HYPERLINK("https://klasma.github.io/Logging_1265/klagomålsmail/A 20427-2019 FSC-klagomål mail.docx", "A 20427-2019")</f>
        <v/>
      </c>
      <c r="X190">
        <f>HYPERLINK("https://klasma.github.io/Logging_1265/tillsyn/A 20427-2019 tillsynsbegäran.docx", "A 20427-2019")</f>
        <v/>
      </c>
      <c r="Y190">
        <f>HYPERLINK("https://klasma.github.io/Logging_1265/tillsynsmail/A 20427-2019 tillsynsbegäran mail.docx", "A 20427-2019")</f>
        <v/>
      </c>
    </row>
    <row r="191" ht="15" customHeight="1">
      <c r="A191" t="inlineStr">
        <is>
          <t>A 24820-2019</t>
        </is>
      </c>
      <c r="B191" s="1" t="n">
        <v>43602</v>
      </c>
      <c r="C191" s="1" t="n">
        <v>45744</v>
      </c>
      <c r="D191" t="inlineStr">
        <is>
          <t>SKÅNE LÄN</t>
        </is>
      </c>
      <c r="E191" t="inlineStr">
        <is>
          <t>SJÖBO</t>
        </is>
      </c>
      <c r="G191" t="n">
        <v>5.7</v>
      </c>
      <c r="H191" t="n">
        <v>1</v>
      </c>
      <c r="I191" t="n">
        <v>0</v>
      </c>
      <c r="J191" t="n">
        <v>0</v>
      </c>
      <c r="K191" t="n">
        <v>0</v>
      </c>
      <c r="L191" t="n">
        <v>1</v>
      </c>
      <c r="M191" t="n">
        <v>0</v>
      </c>
      <c r="N191" t="n">
        <v>0</v>
      </c>
      <c r="O191" t="n">
        <v>1</v>
      </c>
      <c r="P191" t="n">
        <v>1</v>
      </c>
      <c r="Q191" t="n">
        <v>1</v>
      </c>
      <c r="R191" s="2" t="inlineStr">
        <is>
          <t>Dvärgjohannesört</t>
        </is>
      </c>
      <c r="S191">
        <f>HYPERLINK("https://klasma.github.io/Logging_1265/artfynd/A 24820-2019 artfynd.xlsx", "A 24820-2019")</f>
        <v/>
      </c>
      <c r="T191">
        <f>HYPERLINK("https://klasma.github.io/Logging_1265/kartor/A 24820-2019 karta.png", "A 24820-2019")</f>
        <v/>
      </c>
      <c r="V191">
        <f>HYPERLINK("https://klasma.github.io/Logging_1265/klagomål/A 24820-2019 FSC-klagomål.docx", "A 24820-2019")</f>
        <v/>
      </c>
      <c r="W191">
        <f>HYPERLINK("https://klasma.github.io/Logging_1265/klagomålsmail/A 24820-2019 FSC-klagomål mail.docx", "A 24820-2019")</f>
        <v/>
      </c>
      <c r="X191">
        <f>HYPERLINK("https://klasma.github.io/Logging_1265/tillsyn/A 24820-2019 tillsynsbegäran.docx", "A 24820-2019")</f>
        <v/>
      </c>
      <c r="Y191">
        <f>HYPERLINK("https://klasma.github.io/Logging_1265/tillsynsmail/A 24820-2019 tillsynsbegäran mail.docx", "A 24820-2019")</f>
        <v/>
      </c>
    </row>
    <row r="192" ht="15" customHeight="1">
      <c r="A192" t="inlineStr">
        <is>
          <t>A 28988-2019</t>
        </is>
      </c>
      <c r="B192" s="1" t="n">
        <v>43620</v>
      </c>
      <c r="C192" s="1" t="n">
        <v>45744</v>
      </c>
      <c r="D192" t="inlineStr">
        <is>
          <t>SKÅNE LÄN</t>
        </is>
      </c>
      <c r="E192" t="inlineStr">
        <is>
          <t>HÄSSLEHOLM</t>
        </is>
      </c>
      <c r="G192" t="n">
        <v>1</v>
      </c>
      <c r="H192" t="n">
        <v>0</v>
      </c>
      <c r="I192" t="n">
        <v>0</v>
      </c>
      <c r="J192" t="n">
        <v>0</v>
      </c>
      <c r="K192" t="n">
        <v>1</v>
      </c>
      <c r="L192" t="n">
        <v>0</v>
      </c>
      <c r="M192" t="n">
        <v>0</v>
      </c>
      <c r="N192" t="n">
        <v>0</v>
      </c>
      <c r="O192" t="n">
        <v>1</v>
      </c>
      <c r="P192" t="n">
        <v>1</v>
      </c>
      <c r="Q192" t="n">
        <v>1</v>
      </c>
      <c r="R192" s="2" t="inlineStr">
        <is>
          <t>Slåttergubbe</t>
        </is>
      </c>
      <c r="S192">
        <f>HYPERLINK("https://klasma.github.io/Logging_1293/artfynd/A 28988-2019 artfynd.xlsx", "A 28988-2019")</f>
        <v/>
      </c>
      <c r="T192">
        <f>HYPERLINK("https://klasma.github.io/Logging_1293/kartor/A 28988-2019 karta.png", "A 28988-2019")</f>
        <v/>
      </c>
      <c r="V192">
        <f>HYPERLINK("https://klasma.github.io/Logging_1293/klagomål/A 28988-2019 FSC-klagomål.docx", "A 28988-2019")</f>
        <v/>
      </c>
      <c r="W192">
        <f>HYPERLINK("https://klasma.github.io/Logging_1293/klagomålsmail/A 28988-2019 FSC-klagomål mail.docx", "A 28988-2019")</f>
        <v/>
      </c>
      <c r="X192">
        <f>HYPERLINK("https://klasma.github.io/Logging_1293/tillsyn/A 28988-2019 tillsynsbegäran.docx", "A 28988-2019")</f>
        <v/>
      </c>
      <c r="Y192">
        <f>HYPERLINK("https://klasma.github.io/Logging_1293/tillsynsmail/A 28988-2019 tillsynsbegäran mail.docx", "A 28988-2019")</f>
        <v/>
      </c>
    </row>
    <row r="193" ht="15" customHeight="1">
      <c r="A193" t="inlineStr">
        <is>
          <t>A 29223-2019</t>
        </is>
      </c>
      <c r="B193" s="1" t="n">
        <v>43629</v>
      </c>
      <c r="C193" s="1" t="n">
        <v>45744</v>
      </c>
      <c r="D193" t="inlineStr">
        <is>
          <t>SKÅNE LÄN</t>
        </is>
      </c>
      <c r="E193" t="inlineStr">
        <is>
          <t>HÄSSLEHOLM</t>
        </is>
      </c>
      <c r="G193" t="n">
        <v>1.6</v>
      </c>
      <c r="H193" t="n">
        <v>0</v>
      </c>
      <c r="I193" t="n">
        <v>0</v>
      </c>
      <c r="J193" t="n">
        <v>1</v>
      </c>
      <c r="K193" t="n">
        <v>0</v>
      </c>
      <c r="L193" t="n">
        <v>0</v>
      </c>
      <c r="M193" t="n">
        <v>0</v>
      </c>
      <c r="N193" t="n">
        <v>0</v>
      </c>
      <c r="O193" t="n">
        <v>1</v>
      </c>
      <c r="P193" t="n">
        <v>0</v>
      </c>
      <c r="Q193" t="n">
        <v>1</v>
      </c>
      <c r="R193" s="2" t="inlineStr">
        <is>
          <t>Brandbitterskivling</t>
        </is>
      </c>
      <c r="S193">
        <f>HYPERLINK("https://klasma.github.io/Logging_1293/artfynd/A 29223-2019 artfynd.xlsx", "A 29223-2019")</f>
        <v/>
      </c>
      <c r="T193">
        <f>HYPERLINK("https://klasma.github.io/Logging_1293/kartor/A 29223-2019 karta.png", "A 29223-2019")</f>
        <v/>
      </c>
      <c r="V193">
        <f>HYPERLINK("https://klasma.github.io/Logging_1293/klagomål/A 29223-2019 FSC-klagomål.docx", "A 29223-2019")</f>
        <v/>
      </c>
      <c r="W193">
        <f>HYPERLINK("https://klasma.github.io/Logging_1293/klagomålsmail/A 29223-2019 FSC-klagomål mail.docx", "A 29223-2019")</f>
        <v/>
      </c>
      <c r="X193">
        <f>HYPERLINK("https://klasma.github.io/Logging_1293/tillsyn/A 29223-2019 tillsynsbegäran.docx", "A 29223-2019")</f>
        <v/>
      </c>
      <c r="Y193">
        <f>HYPERLINK("https://klasma.github.io/Logging_1293/tillsynsmail/A 29223-2019 tillsynsbegäran mail.docx", "A 29223-2019")</f>
        <v/>
      </c>
    </row>
    <row r="194" ht="15" customHeight="1">
      <c r="A194" t="inlineStr">
        <is>
          <t>A 29765-2019</t>
        </is>
      </c>
      <c r="B194" s="1" t="n">
        <v>43632</v>
      </c>
      <c r="C194" s="1" t="n">
        <v>45744</v>
      </c>
      <c r="D194" t="inlineStr">
        <is>
          <t>SKÅNE LÄN</t>
        </is>
      </c>
      <c r="E194" t="inlineStr">
        <is>
          <t>HÄSSLEHOLM</t>
        </is>
      </c>
      <c r="G194" t="n">
        <v>13.9</v>
      </c>
      <c r="H194" t="n">
        <v>0</v>
      </c>
      <c r="I194" t="n">
        <v>0</v>
      </c>
      <c r="J194" t="n">
        <v>0</v>
      </c>
      <c r="K194" t="n">
        <v>0</v>
      </c>
      <c r="L194" t="n">
        <v>0</v>
      </c>
      <c r="M194" t="n">
        <v>1</v>
      </c>
      <c r="N194" t="n">
        <v>0</v>
      </c>
      <c r="O194" t="n">
        <v>1</v>
      </c>
      <c r="P194" t="n">
        <v>1</v>
      </c>
      <c r="Q194" t="n">
        <v>1</v>
      </c>
      <c r="R194" s="2" t="inlineStr">
        <is>
          <t>Flodkräfta</t>
        </is>
      </c>
      <c r="S194">
        <f>HYPERLINK("https://klasma.github.io/Logging_1293/artfynd/A 29765-2019 artfynd.xlsx", "A 29765-2019")</f>
        <v/>
      </c>
      <c r="T194">
        <f>HYPERLINK("https://klasma.github.io/Logging_1293/kartor/A 29765-2019 karta.png", "A 29765-2019")</f>
        <v/>
      </c>
      <c r="V194">
        <f>HYPERLINK("https://klasma.github.io/Logging_1293/klagomål/A 29765-2019 FSC-klagomål.docx", "A 29765-2019")</f>
        <v/>
      </c>
      <c r="W194">
        <f>HYPERLINK("https://klasma.github.io/Logging_1293/klagomålsmail/A 29765-2019 FSC-klagomål mail.docx", "A 29765-2019")</f>
        <v/>
      </c>
      <c r="X194">
        <f>HYPERLINK("https://klasma.github.io/Logging_1293/tillsyn/A 29765-2019 tillsynsbegäran.docx", "A 29765-2019")</f>
        <v/>
      </c>
      <c r="Y194">
        <f>HYPERLINK("https://klasma.github.io/Logging_1293/tillsynsmail/A 29765-2019 tillsynsbegäran mail.docx", "A 29765-2019")</f>
        <v/>
      </c>
    </row>
    <row r="195" ht="15" customHeight="1">
      <c r="A195" t="inlineStr">
        <is>
          <t>A 30710-2019</t>
        </is>
      </c>
      <c r="B195" s="1" t="n">
        <v>43636</v>
      </c>
      <c r="C195" s="1" t="n">
        <v>45744</v>
      </c>
      <c r="D195" t="inlineStr">
        <is>
          <t>SKÅNE LÄN</t>
        </is>
      </c>
      <c r="E195" t="inlineStr">
        <is>
          <t>SVEDALA</t>
        </is>
      </c>
      <c r="G195" t="n">
        <v>1.5</v>
      </c>
      <c r="H195" t="n">
        <v>0</v>
      </c>
      <c r="I195" t="n">
        <v>1</v>
      </c>
      <c r="J195" t="n">
        <v>0</v>
      </c>
      <c r="K195" t="n">
        <v>0</v>
      </c>
      <c r="L195" t="n">
        <v>0</v>
      </c>
      <c r="M195" t="n">
        <v>0</v>
      </c>
      <c r="N195" t="n">
        <v>0</v>
      </c>
      <c r="O195" t="n">
        <v>0</v>
      </c>
      <c r="P195" t="n">
        <v>0</v>
      </c>
      <c r="Q195" t="n">
        <v>1</v>
      </c>
      <c r="R195" s="2" t="inlineStr">
        <is>
          <t>Bokoxe</t>
        </is>
      </c>
      <c r="S195">
        <f>HYPERLINK("https://klasma.github.io/Logging_1263/artfynd/A 30710-2019 artfynd.xlsx", "A 30710-2019")</f>
        <v/>
      </c>
      <c r="T195">
        <f>HYPERLINK("https://klasma.github.io/Logging_1263/kartor/A 30710-2019 karta.png", "A 30710-2019")</f>
        <v/>
      </c>
      <c r="V195">
        <f>HYPERLINK("https://klasma.github.io/Logging_1263/klagomål/A 30710-2019 FSC-klagomål.docx", "A 30710-2019")</f>
        <v/>
      </c>
      <c r="W195">
        <f>HYPERLINK("https://klasma.github.io/Logging_1263/klagomålsmail/A 30710-2019 FSC-klagomål mail.docx", "A 30710-2019")</f>
        <v/>
      </c>
      <c r="X195">
        <f>HYPERLINK("https://klasma.github.io/Logging_1263/tillsyn/A 30710-2019 tillsynsbegäran.docx", "A 30710-2019")</f>
        <v/>
      </c>
      <c r="Y195">
        <f>HYPERLINK("https://klasma.github.io/Logging_1263/tillsynsmail/A 30710-2019 tillsynsbegäran mail.docx", "A 30710-2019")</f>
        <v/>
      </c>
    </row>
    <row r="196" ht="15" customHeight="1">
      <c r="A196" t="inlineStr">
        <is>
          <t>A 32997-2019</t>
        </is>
      </c>
      <c r="B196" s="1" t="n">
        <v>43649</v>
      </c>
      <c r="C196" s="1" t="n">
        <v>45744</v>
      </c>
      <c r="D196" t="inlineStr">
        <is>
          <t>SKÅNE LÄN</t>
        </is>
      </c>
      <c r="E196" t="inlineStr">
        <is>
          <t>HÄSSLEHOLM</t>
        </is>
      </c>
      <c r="G196" t="n">
        <v>3.9</v>
      </c>
      <c r="H196" t="n">
        <v>1</v>
      </c>
      <c r="I196" t="n">
        <v>0</v>
      </c>
      <c r="J196" t="n">
        <v>0</v>
      </c>
      <c r="K196" t="n">
        <v>1</v>
      </c>
      <c r="L196" t="n">
        <v>0</v>
      </c>
      <c r="M196" t="n">
        <v>0</v>
      </c>
      <c r="N196" t="n">
        <v>0</v>
      </c>
      <c r="O196" t="n">
        <v>1</v>
      </c>
      <c r="P196" t="n">
        <v>1</v>
      </c>
      <c r="Q196" t="n">
        <v>1</v>
      </c>
      <c r="R196" s="2" t="inlineStr">
        <is>
          <t>Knärot</t>
        </is>
      </c>
      <c r="S196">
        <f>HYPERLINK("https://klasma.github.io/Logging_1293/artfynd/A 32997-2019 artfynd.xlsx", "A 32997-2019")</f>
        <v/>
      </c>
      <c r="T196">
        <f>HYPERLINK("https://klasma.github.io/Logging_1293/kartor/A 32997-2019 karta.png", "A 32997-2019")</f>
        <v/>
      </c>
      <c r="U196">
        <f>HYPERLINK("https://klasma.github.io/Logging_1293/knärot/A 32997-2019 karta knärot.png", "A 32997-2019")</f>
        <v/>
      </c>
      <c r="V196">
        <f>HYPERLINK("https://klasma.github.io/Logging_1293/klagomål/A 32997-2019 FSC-klagomål.docx", "A 32997-2019")</f>
        <v/>
      </c>
      <c r="W196">
        <f>HYPERLINK("https://klasma.github.io/Logging_1293/klagomålsmail/A 32997-2019 FSC-klagomål mail.docx", "A 32997-2019")</f>
        <v/>
      </c>
      <c r="X196">
        <f>HYPERLINK("https://klasma.github.io/Logging_1293/tillsyn/A 32997-2019 tillsynsbegäran.docx", "A 32997-2019")</f>
        <v/>
      </c>
      <c r="Y196">
        <f>HYPERLINK("https://klasma.github.io/Logging_1293/tillsynsmail/A 32997-2019 tillsynsbegäran mail.docx", "A 32997-2019")</f>
        <v/>
      </c>
    </row>
    <row r="197" ht="15" customHeight="1">
      <c r="A197" t="inlineStr">
        <is>
          <t>A 33889-2019</t>
        </is>
      </c>
      <c r="B197" s="1" t="n">
        <v>43653</v>
      </c>
      <c r="C197" s="1" t="n">
        <v>45744</v>
      </c>
      <c r="D197" t="inlineStr">
        <is>
          <t>SKÅNE LÄN</t>
        </is>
      </c>
      <c r="E197" t="inlineStr">
        <is>
          <t>KLIPPAN</t>
        </is>
      </c>
      <c r="G197" t="n">
        <v>3.7</v>
      </c>
      <c r="H197" t="n">
        <v>1</v>
      </c>
      <c r="I197" t="n">
        <v>0</v>
      </c>
      <c r="J197" t="n">
        <v>0</v>
      </c>
      <c r="K197" t="n">
        <v>0</v>
      </c>
      <c r="L197" t="n">
        <v>0</v>
      </c>
      <c r="M197" t="n">
        <v>0</v>
      </c>
      <c r="N197" t="n">
        <v>0</v>
      </c>
      <c r="O197" t="n">
        <v>0</v>
      </c>
      <c r="P197" t="n">
        <v>0</v>
      </c>
      <c r="Q197" t="n">
        <v>1</v>
      </c>
      <c r="R197" s="2" t="inlineStr">
        <is>
          <t>Vanlig padda</t>
        </is>
      </c>
      <c r="S197">
        <f>HYPERLINK("https://klasma.github.io/Logging_1276/artfynd/A 33889-2019 artfynd.xlsx", "A 33889-2019")</f>
        <v/>
      </c>
      <c r="T197">
        <f>HYPERLINK("https://klasma.github.io/Logging_1276/kartor/A 33889-2019 karta.png", "A 33889-2019")</f>
        <v/>
      </c>
      <c r="V197">
        <f>HYPERLINK("https://klasma.github.io/Logging_1276/klagomål/A 33889-2019 FSC-klagomål.docx", "A 33889-2019")</f>
        <v/>
      </c>
      <c r="W197">
        <f>HYPERLINK("https://klasma.github.io/Logging_1276/klagomålsmail/A 33889-2019 FSC-klagomål mail.docx", "A 33889-2019")</f>
        <v/>
      </c>
      <c r="X197">
        <f>HYPERLINK("https://klasma.github.io/Logging_1276/tillsyn/A 33889-2019 tillsynsbegäran.docx", "A 33889-2019")</f>
        <v/>
      </c>
      <c r="Y197">
        <f>HYPERLINK("https://klasma.github.io/Logging_1276/tillsynsmail/A 33889-2019 tillsynsbegäran mail.docx", "A 33889-2019")</f>
        <v/>
      </c>
    </row>
    <row r="198" ht="15" customHeight="1">
      <c r="A198" t="inlineStr">
        <is>
          <t>A 38268-2019</t>
        </is>
      </c>
      <c r="B198" s="1" t="n">
        <v>43684</v>
      </c>
      <c r="C198" s="1" t="n">
        <v>45744</v>
      </c>
      <c r="D198" t="inlineStr">
        <is>
          <t>SKÅNE LÄN</t>
        </is>
      </c>
      <c r="E198" t="inlineStr">
        <is>
          <t>OSBY</t>
        </is>
      </c>
      <c r="G198" t="n">
        <v>0.4</v>
      </c>
      <c r="H198" t="n">
        <v>0</v>
      </c>
      <c r="I198" t="n">
        <v>0</v>
      </c>
      <c r="J198" t="n">
        <v>0</v>
      </c>
      <c r="K198" t="n">
        <v>0</v>
      </c>
      <c r="L198" t="n">
        <v>1</v>
      </c>
      <c r="M198" t="n">
        <v>0</v>
      </c>
      <c r="N198" t="n">
        <v>0</v>
      </c>
      <c r="O198" t="n">
        <v>1</v>
      </c>
      <c r="P198" t="n">
        <v>1</v>
      </c>
      <c r="Q198" t="n">
        <v>1</v>
      </c>
      <c r="R198" s="2" t="inlineStr">
        <is>
          <t>Ask</t>
        </is>
      </c>
      <c r="S198">
        <f>HYPERLINK("https://klasma.github.io/Logging_1273/artfynd/A 38268-2019 artfynd.xlsx", "A 38268-2019")</f>
        <v/>
      </c>
      <c r="T198">
        <f>HYPERLINK("https://klasma.github.io/Logging_1273/kartor/A 38268-2019 karta.png", "A 38268-2019")</f>
        <v/>
      </c>
      <c r="V198">
        <f>HYPERLINK("https://klasma.github.io/Logging_1273/klagomål/A 38268-2019 FSC-klagomål.docx", "A 38268-2019")</f>
        <v/>
      </c>
      <c r="W198">
        <f>HYPERLINK("https://klasma.github.io/Logging_1273/klagomålsmail/A 38268-2019 FSC-klagomål mail.docx", "A 38268-2019")</f>
        <v/>
      </c>
      <c r="X198">
        <f>HYPERLINK("https://klasma.github.io/Logging_1273/tillsyn/A 38268-2019 tillsynsbegäran.docx", "A 38268-2019")</f>
        <v/>
      </c>
      <c r="Y198">
        <f>HYPERLINK("https://klasma.github.io/Logging_1273/tillsynsmail/A 38268-2019 tillsynsbegäran mail.docx", "A 38268-2019")</f>
        <v/>
      </c>
    </row>
    <row r="199" ht="15" customHeight="1">
      <c r="A199" t="inlineStr">
        <is>
          <t>A 38678-2019</t>
        </is>
      </c>
      <c r="B199" s="1" t="n">
        <v>43684</v>
      </c>
      <c r="C199" s="1" t="n">
        <v>45744</v>
      </c>
      <c r="D199" t="inlineStr">
        <is>
          <t>SKÅNE LÄN</t>
        </is>
      </c>
      <c r="E199" t="inlineStr">
        <is>
          <t>KRISTIANSTAD</t>
        </is>
      </c>
      <c r="G199" t="n">
        <v>2.5</v>
      </c>
      <c r="H199" t="n">
        <v>1</v>
      </c>
      <c r="I199" t="n">
        <v>0</v>
      </c>
      <c r="J199" t="n">
        <v>0</v>
      </c>
      <c r="K199" t="n">
        <v>1</v>
      </c>
      <c r="L199" t="n">
        <v>0</v>
      </c>
      <c r="M199" t="n">
        <v>0</v>
      </c>
      <c r="N199" t="n">
        <v>0</v>
      </c>
      <c r="O199" t="n">
        <v>1</v>
      </c>
      <c r="P199" t="n">
        <v>1</v>
      </c>
      <c r="Q199" t="n">
        <v>1</v>
      </c>
      <c r="R199" s="2" t="inlineStr">
        <is>
          <t>Backsippa</t>
        </is>
      </c>
      <c r="S199">
        <f>HYPERLINK("https://klasma.github.io/Logging_1290/artfynd/A 38678-2019 artfynd.xlsx", "A 38678-2019")</f>
        <v/>
      </c>
      <c r="T199">
        <f>HYPERLINK("https://klasma.github.io/Logging_1290/kartor/A 38678-2019 karta.png", "A 38678-2019")</f>
        <v/>
      </c>
      <c r="V199">
        <f>HYPERLINK("https://klasma.github.io/Logging_1290/klagomål/A 38678-2019 FSC-klagomål.docx", "A 38678-2019")</f>
        <v/>
      </c>
      <c r="W199">
        <f>HYPERLINK("https://klasma.github.io/Logging_1290/klagomålsmail/A 38678-2019 FSC-klagomål mail.docx", "A 38678-2019")</f>
        <v/>
      </c>
      <c r="X199">
        <f>HYPERLINK("https://klasma.github.io/Logging_1290/tillsyn/A 38678-2019 tillsynsbegäran.docx", "A 38678-2019")</f>
        <v/>
      </c>
      <c r="Y199">
        <f>HYPERLINK("https://klasma.github.io/Logging_1290/tillsynsmail/A 38678-2019 tillsynsbegäran mail.docx", "A 38678-2019")</f>
        <v/>
      </c>
    </row>
    <row r="200" ht="15" customHeight="1">
      <c r="A200" t="inlineStr">
        <is>
          <t>A 39800-2019</t>
        </is>
      </c>
      <c r="B200" s="1" t="n">
        <v>43689</v>
      </c>
      <c r="C200" s="1" t="n">
        <v>45744</v>
      </c>
      <c r="D200" t="inlineStr">
        <is>
          <t>SKÅNE LÄN</t>
        </is>
      </c>
      <c r="E200" t="inlineStr">
        <is>
          <t>HÖÖR</t>
        </is>
      </c>
      <c r="G200" t="n">
        <v>4.4</v>
      </c>
      <c r="H200" t="n">
        <v>0</v>
      </c>
      <c r="I200" t="n">
        <v>0</v>
      </c>
      <c r="J200" t="n">
        <v>0</v>
      </c>
      <c r="K200" t="n">
        <v>1</v>
      </c>
      <c r="L200" t="n">
        <v>0</v>
      </c>
      <c r="M200" t="n">
        <v>0</v>
      </c>
      <c r="N200" t="n">
        <v>0</v>
      </c>
      <c r="O200" t="n">
        <v>1</v>
      </c>
      <c r="P200" t="n">
        <v>1</v>
      </c>
      <c r="Q200" t="n">
        <v>1</v>
      </c>
      <c r="R200" s="2" t="inlineStr">
        <is>
          <t>Småvänderot</t>
        </is>
      </c>
      <c r="S200">
        <f>HYPERLINK("https://klasma.github.io/Logging_1267/artfynd/A 39800-2019 artfynd.xlsx", "A 39800-2019")</f>
        <v/>
      </c>
      <c r="T200">
        <f>HYPERLINK("https://klasma.github.io/Logging_1267/kartor/A 39800-2019 karta.png", "A 39800-2019")</f>
        <v/>
      </c>
      <c r="V200">
        <f>HYPERLINK("https://klasma.github.io/Logging_1267/klagomål/A 39800-2019 FSC-klagomål.docx", "A 39800-2019")</f>
        <v/>
      </c>
      <c r="W200">
        <f>HYPERLINK("https://klasma.github.io/Logging_1267/klagomålsmail/A 39800-2019 FSC-klagomål mail.docx", "A 39800-2019")</f>
        <v/>
      </c>
      <c r="X200">
        <f>HYPERLINK("https://klasma.github.io/Logging_1267/tillsyn/A 39800-2019 tillsynsbegäran.docx", "A 39800-2019")</f>
        <v/>
      </c>
      <c r="Y200">
        <f>HYPERLINK("https://klasma.github.io/Logging_1267/tillsynsmail/A 39800-2019 tillsynsbegäran mail.docx", "A 39800-2019")</f>
        <v/>
      </c>
    </row>
    <row r="201" ht="15" customHeight="1">
      <c r="A201" t="inlineStr">
        <is>
          <t>A 41120-2019</t>
        </is>
      </c>
      <c r="B201" s="1" t="n">
        <v>43698</v>
      </c>
      <c r="C201" s="1" t="n">
        <v>45744</v>
      </c>
      <c r="D201" t="inlineStr">
        <is>
          <t>SKÅNE LÄN</t>
        </is>
      </c>
      <c r="E201" t="inlineStr">
        <is>
          <t>HÄSSLEHOLM</t>
        </is>
      </c>
      <c r="G201" t="n">
        <v>7.9</v>
      </c>
      <c r="H201" t="n">
        <v>0</v>
      </c>
      <c r="I201" t="n">
        <v>0</v>
      </c>
      <c r="J201" t="n">
        <v>0</v>
      </c>
      <c r="K201" t="n">
        <v>1</v>
      </c>
      <c r="L201" t="n">
        <v>0</v>
      </c>
      <c r="M201" t="n">
        <v>0</v>
      </c>
      <c r="N201" t="n">
        <v>0</v>
      </c>
      <c r="O201" t="n">
        <v>1</v>
      </c>
      <c r="P201" t="n">
        <v>1</v>
      </c>
      <c r="Q201" t="n">
        <v>1</v>
      </c>
      <c r="R201" s="2" t="inlineStr">
        <is>
          <t>Småvänderot</t>
        </is>
      </c>
      <c r="S201">
        <f>HYPERLINK("https://klasma.github.io/Logging_1293/artfynd/A 41120-2019 artfynd.xlsx", "A 41120-2019")</f>
        <v/>
      </c>
      <c r="T201">
        <f>HYPERLINK("https://klasma.github.io/Logging_1293/kartor/A 41120-2019 karta.png", "A 41120-2019")</f>
        <v/>
      </c>
      <c r="V201">
        <f>HYPERLINK("https://klasma.github.io/Logging_1293/klagomål/A 41120-2019 FSC-klagomål.docx", "A 41120-2019")</f>
        <v/>
      </c>
      <c r="W201">
        <f>HYPERLINK("https://klasma.github.io/Logging_1293/klagomålsmail/A 41120-2019 FSC-klagomål mail.docx", "A 41120-2019")</f>
        <v/>
      </c>
      <c r="X201">
        <f>HYPERLINK("https://klasma.github.io/Logging_1293/tillsyn/A 41120-2019 tillsynsbegäran.docx", "A 41120-2019")</f>
        <v/>
      </c>
      <c r="Y201">
        <f>HYPERLINK("https://klasma.github.io/Logging_1293/tillsynsmail/A 41120-2019 tillsynsbegäran mail.docx", "A 41120-2019")</f>
        <v/>
      </c>
    </row>
    <row r="202" ht="15" customHeight="1">
      <c r="A202" t="inlineStr">
        <is>
          <t>A 46202-2019</t>
        </is>
      </c>
      <c r="B202" s="1" t="n">
        <v>43713</v>
      </c>
      <c r="C202" s="1" t="n">
        <v>45744</v>
      </c>
      <c r="D202" t="inlineStr">
        <is>
          <t>SKÅNE LÄN</t>
        </is>
      </c>
      <c r="E202" t="inlineStr">
        <is>
          <t>SVEDALA</t>
        </is>
      </c>
      <c r="G202" t="n">
        <v>2.5</v>
      </c>
      <c r="H202" t="n">
        <v>0</v>
      </c>
      <c r="I202" t="n">
        <v>0</v>
      </c>
      <c r="J202" t="n">
        <v>0</v>
      </c>
      <c r="K202" t="n">
        <v>0</v>
      </c>
      <c r="L202" t="n">
        <v>1</v>
      </c>
      <c r="M202" t="n">
        <v>0</v>
      </c>
      <c r="N202" t="n">
        <v>0</v>
      </c>
      <c r="O202" t="n">
        <v>1</v>
      </c>
      <c r="P202" t="n">
        <v>1</v>
      </c>
      <c r="Q202" t="n">
        <v>1</v>
      </c>
      <c r="R202" s="2" t="inlineStr">
        <is>
          <t>Ask</t>
        </is>
      </c>
      <c r="S202">
        <f>HYPERLINK("https://klasma.github.io/Logging_1263/artfynd/A 46202-2019 artfynd.xlsx", "A 46202-2019")</f>
        <v/>
      </c>
      <c r="T202">
        <f>HYPERLINK("https://klasma.github.io/Logging_1263/kartor/A 46202-2019 karta.png", "A 46202-2019")</f>
        <v/>
      </c>
      <c r="V202">
        <f>HYPERLINK("https://klasma.github.io/Logging_1263/klagomål/A 46202-2019 FSC-klagomål.docx", "A 46202-2019")</f>
        <v/>
      </c>
      <c r="W202">
        <f>HYPERLINK("https://klasma.github.io/Logging_1263/klagomålsmail/A 46202-2019 FSC-klagomål mail.docx", "A 46202-2019")</f>
        <v/>
      </c>
      <c r="X202">
        <f>HYPERLINK("https://klasma.github.io/Logging_1263/tillsyn/A 46202-2019 tillsynsbegäran.docx", "A 46202-2019")</f>
        <v/>
      </c>
      <c r="Y202">
        <f>HYPERLINK("https://klasma.github.io/Logging_1263/tillsynsmail/A 46202-2019 tillsynsbegäran mail.docx", "A 46202-2019")</f>
        <v/>
      </c>
    </row>
    <row r="203" ht="15" customHeight="1">
      <c r="A203" t="inlineStr">
        <is>
          <t>A 46680-2019</t>
        </is>
      </c>
      <c r="B203" s="1" t="n">
        <v>43717</v>
      </c>
      <c r="C203" s="1" t="n">
        <v>45744</v>
      </c>
      <c r="D203" t="inlineStr">
        <is>
          <t>SKÅNE LÄN</t>
        </is>
      </c>
      <c r="E203" t="inlineStr">
        <is>
          <t>KRISTIANSTAD</t>
        </is>
      </c>
      <c r="G203" t="n">
        <v>2</v>
      </c>
      <c r="H203" t="n">
        <v>0</v>
      </c>
      <c r="I203" t="n">
        <v>1</v>
      </c>
      <c r="J203" t="n">
        <v>0</v>
      </c>
      <c r="K203" t="n">
        <v>0</v>
      </c>
      <c r="L203" t="n">
        <v>0</v>
      </c>
      <c r="M203" t="n">
        <v>0</v>
      </c>
      <c r="N203" t="n">
        <v>0</v>
      </c>
      <c r="O203" t="n">
        <v>0</v>
      </c>
      <c r="P203" t="n">
        <v>0</v>
      </c>
      <c r="Q203" t="n">
        <v>1</v>
      </c>
      <c r="R203" s="2" t="inlineStr">
        <is>
          <t>Kransrams</t>
        </is>
      </c>
      <c r="S203">
        <f>HYPERLINK("https://klasma.github.io/Logging_1290/artfynd/A 46680-2019 artfynd.xlsx", "A 46680-2019")</f>
        <v/>
      </c>
      <c r="T203">
        <f>HYPERLINK("https://klasma.github.io/Logging_1290/kartor/A 46680-2019 karta.png", "A 46680-2019")</f>
        <v/>
      </c>
      <c r="V203">
        <f>HYPERLINK("https://klasma.github.io/Logging_1290/klagomål/A 46680-2019 FSC-klagomål.docx", "A 46680-2019")</f>
        <v/>
      </c>
      <c r="W203">
        <f>HYPERLINK("https://klasma.github.io/Logging_1290/klagomålsmail/A 46680-2019 FSC-klagomål mail.docx", "A 46680-2019")</f>
        <v/>
      </c>
      <c r="X203">
        <f>HYPERLINK("https://klasma.github.io/Logging_1290/tillsyn/A 46680-2019 tillsynsbegäran.docx", "A 46680-2019")</f>
        <v/>
      </c>
      <c r="Y203">
        <f>HYPERLINK("https://klasma.github.io/Logging_1290/tillsynsmail/A 46680-2019 tillsynsbegäran mail.docx", "A 46680-2019")</f>
        <v/>
      </c>
    </row>
    <row r="204" ht="15" customHeight="1">
      <c r="A204" t="inlineStr">
        <is>
          <t>A 47468-2019</t>
        </is>
      </c>
      <c r="B204" s="1" t="n">
        <v>43724</v>
      </c>
      <c r="C204" s="1" t="n">
        <v>45744</v>
      </c>
      <c r="D204" t="inlineStr">
        <is>
          <t>SKÅNE LÄN</t>
        </is>
      </c>
      <c r="E204" t="inlineStr">
        <is>
          <t>HÄSSLEHOLM</t>
        </is>
      </c>
      <c r="G204" t="n">
        <v>3.3</v>
      </c>
      <c r="H204" t="n">
        <v>1</v>
      </c>
      <c r="I204" t="n">
        <v>0</v>
      </c>
      <c r="J204" t="n">
        <v>0</v>
      </c>
      <c r="K204" t="n">
        <v>0</v>
      </c>
      <c r="L204" t="n">
        <v>0</v>
      </c>
      <c r="M204" t="n">
        <v>0</v>
      </c>
      <c r="N204" t="n">
        <v>0</v>
      </c>
      <c r="O204" t="n">
        <v>0</v>
      </c>
      <c r="P204" t="n">
        <v>0</v>
      </c>
      <c r="Q204" t="n">
        <v>1</v>
      </c>
      <c r="R204" s="2" t="inlineStr">
        <is>
          <t>Gullviva</t>
        </is>
      </c>
      <c r="S204">
        <f>HYPERLINK("https://klasma.github.io/Logging_1293/artfynd/A 47468-2019 artfynd.xlsx", "A 47468-2019")</f>
        <v/>
      </c>
      <c r="T204">
        <f>HYPERLINK("https://klasma.github.io/Logging_1293/kartor/A 47468-2019 karta.png", "A 47468-2019")</f>
        <v/>
      </c>
      <c r="V204">
        <f>HYPERLINK("https://klasma.github.io/Logging_1293/klagomål/A 47468-2019 FSC-klagomål.docx", "A 47468-2019")</f>
        <v/>
      </c>
      <c r="W204">
        <f>HYPERLINK("https://klasma.github.io/Logging_1293/klagomålsmail/A 47468-2019 FSC-klagomål mail.docx", "A 47468-2019")</f>
        <v/>
      </c>
      <c r="X204">
        <f>HYPERLINK("https://klasma.github.io/Logging_1293/tillsyn/A 47468-2019 tillsynsbegäran.docx", "A 47468-2019")</f>
        <v/>
      </c>
      <c r="Y204">
        <f>HYPERLINK("https://klasma.github.io/Logging_1293/tillsynsmail/A 47468-2019 tillsynsbegäran mail.docx", "A 47468-2019")</f>
        <v/>
      </c>
    </row>
    <row r="205" ht="15" customHeight="1">
      <c r="A205" t="inlineStr">
        <is>
          <t>A 47678-2019</t>
        </is>
      </c>
      <c r="B205" s="1" t="n">
        <v>43724</v>
      </c>
      <c r="C205" s="1" t="n">
        <v>45744</v>
      </c>
      <c r="D205" t="inlineStr">
        <is>
          <t>SKÅNE LÄN</t>
        </is>
      </c>
      <c r="E205" t="inlineStr">
        <is>
          <t>HÄSSLEHOLM</t>
        </is>
      </c>
      <c r="G205" t="n">
        <v>3.7</v>
      </c>
      <c r="H205" t="n">
        <v>0</v>
      </c>
      <c r="I205" t="n">
        <v>0</v>
      </c>
      <c r="J205" t="n">
        <v>1</v>
      </c>
      <c r="K205" t="n">
        <v>0</v>
      </c>
      <c r="L205" t="n">
        <v>0</v>
      </c>
      <c r="M205" t="n">
        <v>0</v>
      </c>
      <c r="N205" t="n">
        <v>0</v>
      </c>
      <c r="O205" t="n">
        <v>1</v>
      </c>
      <c r="P205" t="n">
        <v>0</v>
      </c>
      <c r="Q205" t="n">
        <v>1</v>
      </c>
      <c r="R205" s="2" t="inlineStr">
        <is>
          <t>Nålbjörnbär</t>
        </is>
      </c>
      <c r="S205">
        <f>HYPERLINK("https://klasma.github.io/Logging_1293/artfynd/A 47678-2019 artfynd.xlsx", "A 47678-2019")</f>
        <v/>
      </c>
      <c r="T205">
        <f>HYPERLINK("https://klasma.github.io/Logging_1293/kartor/A 47678-2019 karta.png", "A 47678-2019")</f>
        <v/>
      </c>
      <c r="V205">
        <f>HYPERLINK("https://klasma.github.io/Logging_1293/klagomål/A 47678-2019 FSC-klagomål.docx", "A 47678-2019")</f>
        <v/>
      </c>
      <c r="W205">
        <f>HYPERLINK("https://klasma.github.io/Logging_1293/klagomålsmail/A 47678-2019 FSC-klagomål mail.docx", "A 47678-2019")</f>
        <v/>
      </c>
      <c r="X205">
        <f>HYPERLINK("https://klasma.github.io/Logging_1293/tillsyn/A 47678-2019 tillsynsbegäran.docx", "A 47678-2019")</f>
        <v/>
      </c>
      <c r="Y205">
        <f>HYPERLINK("https://klasma.github.io/Logging_1293/tillsynsmail/A 47678-2019 tillsynsbegäran mail.docx", "A 47678-2019")</f>
        <v/>
      </c>
    </row>
    <row r="206" ht="15" customHeight="1">
      <c r="A206" t="inlineStr">
        <is>
          <t>A 51114-2019</t>
        </is>
      </c>
      <c r="B206" s="1" t="n">
        <v>43732</v>
      </c>
      <c r="C206" s="1" t="n">
        <v>45744</v>
      </c>
      <c r="D206" t="inlineStr">
        <is>
          <t>SKÅNE LÄN</t>
        </is>
      </c>
      <c r="E206" t="inlineStr">
        <is>
          <t>ÄNGELHOLM</t>
        </is>
      </c>
      <c r="G206" t="n">
        <v>10</v>
      </c>
      <c r="H206" t="n">
        <v>0</v>
      </c>
      <c r="I206" t="n">
        <v>0</v>
      </c>
      <c r="J206" t="n">
        <v>1</v>
      </c>
      <c r="K206" t="n">
        <v>0</v>
      </c>
      <c r="L206" t="n">
        <v>0</v>
      </c>
      <c r="M206" t="n">
        <v>0</v>
      </c>
      <c r="N206" t="n">
        <v>0</v>
      </c>
      <c r="O206" t="n">
        <v>1</v>
      </c>
      <c r="P206" t="n">
        <v>0</v>
      </c>
      <c r="Q206" t="n">
        <v>1</v>
      </c>
      <c r="R206" s="2" t="inlineStr">
        <is>
          <t>Borsttåg</t>
        </is>
      </c>
      <c r="S206">
        <f>HYPERLINK("https://klasma.github.io/Logging_1292/artfynd/A 51114-2019 artfynd.xlsx", "A 51114-2019")</f>
        <v/>
      </c>
      <c r="T206">
        <f>HYPERLINK("https://klasma.github.io/Logging_1292/kartor/A 51114-2019 karta.png", "A 51114-2019")</f>
        <v/>
      </c>
      <c r="V206">
        <f>HYPERLINK("https://klasma.github.io/Logging_1292/klagomål/A 51114-2019 FSC-klagomål.docx", "A 51114-2019")</f>
        <v/>
      </c>
      <c r="W206">
        <f>HYPERLINK("https://klasma.github.io/Logging_1292/klagomålsmail/A 51114-2019 FSC-klagomål mail.docx", "A 51114-2019")</f>
        <v/>
      </c>
      <c r="X206">
        <f>HYPERLINK("https://klasma.github.io/Logging_1292/tillsyn/A 51114-2019 tillsynsbegäran.docx", "A 51114-2019")</f>
        <v/>
      </c>
      <c r="Y206">
        <f>HYPERLINK("https://klasma.github.io/Logging_1292/tillsynsmail/A 51114-2019 tillsynsbegäran mail.docx", "A 51114-2019")</f>
        <v/>
      </c>
    </row>
    <row r="207" ht="15" customHeight="1">
      <c r="A207" t="inlineStr">
        <is>
          <t>A 51102-2019</t>
        </is>
      </c>
      <c r="B207" s="1" t="n">
        <v>43732</v>
      </c>
      <c r="C207" s="1" t="n">
        <v>45744</v>
      </c>
      <c r="D207" t="inlineStr">
        <is>
          <t>SKÅNE LÄN</t>
        </is>
      </c>
      <c r="E207" t="inlineStr">
        <is>
          <t>ÖRKELLJUNGA</t>
        </is>
      </c>
      <c r="G207" t="n">
        <v>15</v>
      </c>
      <c r="H207" t="n">
        <v>0</v>
      </c>
      <c r="I207" t="n">
        <v>0</v>
      </c>
      <c r="J207" t="n">
        <v>1</v>
      </c>
      <c r="K207" t="n">
        <v>0</v>
      </c>
      <c r="L207" t="n">
        <v>0</v>
      </c>
      <c r="M207" t="n">
        <v>0</v>
      </c>
      <c r="N207" t="n">
        <v>0</v>
      </c>
      <c r="O207" t="n">
        <v>1</v>
      </c>
      <c r="P207" t="n">
        <v>0</v>
      </c>
      <c r="Q207" t="n">
        <v>1</v>
      </c>
      <c r="R207" s="2" t="inlineStr">
        <is>
          <t>Svinrot</t>
        </is>
      </c>
      <c r="S207">
        <f>HYPERLINK("https://klasma.github.io/Logging_1257/artfynd/A 51102-2019 artfynd.xlsx", "A 51102-2019")</f>
        <v/>
      </c>
      <c r="T207">
        <f>HYPERLINK("https://klasma.github.io/Logging_1257/kartor/A 51102-2019 karta.png", "A 51102-2019")</f>
        <v/>
      </c>
      <c r="V207">
        <f>HYPERLINK("https://klasma.github.io/Logging_1257/klagomål/A 51102-2019 FSC-klagomål.docx", "A 51102-2019")</f>
        <v/>
      </c>
      <c r="W207">
        <f>HYPERLINK("https://klasma.github.io/Logging_1257/klagomålsmail/A 51102-2019 FSC-klagomål mail.docx", "A 51102-2019")</f>
        <v/>
      </c>
      <c r="X207">
        <f>HYPERLINK("https://klasma.github.io/Logging_1257/tillsyn/A 51102-2019 tillsynsbegäran.docx", "A 51102-2019")</f>
        <v/>
      </c>
      <c r="Y207">
        <f>HYPERLINK("https://klasma.github.io/Logging_1257/tillsynsmail/A 51102-2019 tillsynsbegäran mail.docx", "A 51102-2019")</f>
        <v/>
      </c>
    </row>
    <row r="208" ht="15" customHeight="1">
      <c r="A208" t="inlineStr">
        <is>
          <t>A 51847-2019</t>
        </is>
      </c>
      <c r="B208" s="1" t="n">
        <v>43734</v>
      </c>
      <c r="C208" s="1" t="n">
        <v>45744</v>
      </c>
      <c r="D208" t="inlineStr">
        <is>
          <t>SKÅNE LÄN</t>
        </is>
      </c>
      <c r="E208" t="inlineStr">
        <is>
          <t>SJÖBO</t>
        </is>
      </c>
      <c r="G208" t="n">
        <v>1.6</v>
      </c>
      <c r="H208" t="n">
        <v>0</v>
      </c>
      <c r="I208" t="n">
        <v>1</v>
      </c>
      <c r="J208" t="n">
        <v>0</v>
      </c>
      <c r="K208" t="n">
        <v>0</v>
      </c>
      <c r="L208" t="n">
        <v>0</v>
      </c>
      <c r="M208" t="n">
        <v>0</v>
      </c>
      <c r="N208" t="n">
        <v>0</v>
      </c>
      <c r="O208" t="n">
        <v>0</v>
      </c>
      <c r="P208" t="n">
        <v>0</v>
      </c>
      <c r="Q208" t="n">
        <v>1</v>
      </c>
      <c r="R208" s="2" t="inlineStr">
        <is>
          <t>Kamtuffmossa</t>
        </is>
      </c>
      <c r="S208">
        <f>HYPERLINK("https://klasma.github.io/Logging_1265/artfynd/A 51847-2019 artfynd.xlsx", "A 51847-2019")</f>
        <v/>
      </c>
      <c r="T208">
        <f>HYPERLINK("https://klasma.github.io/Logging_1265/kartor/A 51847-2019 karta.png", "A 51847-2019")</f>
        <v/>
      </c>
      <c r="V208">
        <f>HYPERLINK("https://klasma.github.io/Logging_1265/klagomål/A 51847-2019 FSC-klagomål.docx", "A 51847-2019")</f>
        <v/>
      </c>
      <c r="W208">
        <f>HYPERLINK("https://klasma.github.io/Logging_1265/klagomålsmail/A 51847-2019 FSC-klagomål mail.docx", "A 51847-2019")</f>
        <v/>
      </c>
      <c r="X208">
        <f>HYPERLINK("https://klasma.github.io/Logging_1265/tillsyn/A 51847-2019 tillsynsbegäran.docx", "A 51847-2019")</f>
        <v/>
      </c>
      <c r="Y208">
        <f>HYPERLINK("https://klasma.github.io/Logging_1265/tillsynsmail/A 51847-2019 tillsynsbegäran mail.docx", "A 51847-2019")</f>
        <v/>
      </c>
    </row>
    <row r="209" ht="15" customHeight="1">
      <c r="A209" t="inlineStr">
        <is>
          <t>A 50573-2019</t>
        </is>
      </c>
      <c r="B209" s="1" t="n">
        <v>43735</v>
      </c>
      <c r="C209" s="1" t="n">
        <v>45744</v>
      </c>
      <c r="D209" t="inlineStr">
        <is>
          <t>SKÅNE LÄN</t>
        </is>
      </c>
      <c r="E209" t="inlineStr">
        <is>
          <t>OSBY</t>
        </is>
      </c>
      <c r="F209" t="inlineStr">
        <is>
          <t>Naturvårdsverket</t>
        </is>
      </c>
      <c r="G209" t="n">
        <v>5.1</v>
      </c>
      <c r="H209" t="n">
        <v>0</v>
      </c>
      <c r="I209" t="n">
        <v>0</v>
      </c>
      <c r="J209" t="n">
        <v>1</v>
      </c>
      <c r="K209" t="n">
        <v>0</v>
      </c>
      <c r="L209" t="n">
        <v>0</v>
      </c>
      <c r="M209" t="n">
        <v>0</v>
      </c>
      <c r="N209" t="n">
        <v>0</v>
      </c>
      <c r="O209" t="n">
        <v>1</v>
      </c>
      <c r="P209" t="n">
        <v>0</v>
      </c>
      <c r="Q209" t="n">
        <v>1</v>
      </c>
      <c r="R209" s="2" t="inlineStr">
        <is>
          <t>Backmåra</t>
        </is>
      </c>
      <c r="S209">
        <f>HYPERLINK("https://klasma.github.io/Logging_1273/artfynd/A 50573-2019 artfynd.xlsx", "A 50573-2019")</f>
        <v/>
      </c>
      <c r="T209">
        <f>HYPERLINK("https://klasma.github.io/Logging_1273/kartor/A 50573-2019 karta.png", "A 50573-2019")</f>
        <v/>
      </c>
      <c r="V209">
        <f>HYPERLINK("https://klasma.github.io/Logging_1273/klagomål/A 50573-2019 FSC-klagomål.docx", "A 50573-2019")</f>
        <v/>
      </c>
      <c r="W209">
        <f>HYPERLINK("https://klasma.github.io/Logging_1273/klagomålsmail/A 50573-2019 FSC-klagomål mail.docx", "A 50573-2019")</f>
        <v/>
      </c>
      <c r="X209">
        <f>HYPERLINK("https://klasma.github.io/Logging_1273/tillsyn/A 50573-2019 tillsynsbegäran.docx", "A 50573-2019")</f>
        <v/>
      </c>
      <c r="Y209">
        <f>HYPERLINK("https://klasma.github.io/Logging_1273/tillsynsmail/A 50573-2019 tillsynsbegäran mail.docx", "A 50573-2019")</f>
        <v/>
      </c>
    </row>
    <row r="210" ht="15" customHeight="1">
      <c r="A210" t="inlineStr">
        <is>
          <t>A 53436-2019</t>
        </is>
      </c>
      <c r="B210" s="1" t="n">
        <v>43748</v>
      </c>
      <c r="C210" s="1" t="n">
        <v>45744</v>
      </c>
      <c r="D210" t="inlineStr">
        <is>
          <t>SKÅNE LÄN</t>
        </is>
      </c>
      <c r="E210" t="inlineStr">
        <is>
          <t>OSBY</t>
        </is>
      </c>
      <c r="G210" t="n">
        <v>2.8</v>
      </c>
      <c r="H210" t="n">
        <v>1</v>
      </c>
      <c r="I210" t="n">
        <v>0</v>
      </c>
      <c r="J210" t="n">
        <v>0</v>
      </c>
      <c r="K210" t="n">
        <v>0</v>
      </c>
      <c r="L210" t="n">
        <v>0</v>
      </c>
      <c r="M210" t="n">
        <v>0</v>
      </c>
      <c r="N210" t="n">
        <v>0</v>
      </c>
      <c r="O210" t="n">
        <v>0</v>
      </c>
      <c r="P210" t="n">
        <v>0</v>
      </c>
      <c r="Q210" t="n">
        <v>1</v>
      </c>
      <c r="R210" s="2" t="inlineStr">
        <is>
          <t>Revlummer</t>
        </is>
      </c>
      <c r="S210">
        <f>HYPERLINK("https://klasma.github.io/Logging_1273/artfynd/A 53436-2019 artfynd.xlsx", "A 53436-2019")</f>
        <v/>
      </c>
      <c r="T210">
        <f>HYPERLINK("https://klasma.github.io/Logging_1273/kartor/A 53436-2019 karta.png", "A 53436-2019")</f>
        <v/>
      </c>
      <c r="V210">
        <f>HYPERLINK("https://klasma.github.io/Logging_1273/klagomål/A 53436-2019 FSC-klagomål.docx", "A 53436-2019")</f>
        <v/>
      </c>
      <c r="W210">
        <f>HYPERLINK("https://klasma.github.io/Logging_1273/klagomålsmail/A 53436-2019 FSC-klagomål mail.docx", "A 53436-2019")</f>
        <v/>
      </c>
      <c r="X210">
        <f>HYPERLINK("https://klasma.github.io/Logging_1273/tillsyn/A 53436-2019 tillsynsbegäran.docx", "A 53436-2019")</f>
        <v/>
      </c>
      <c r="Y210">
        <f>HYPERLINK("https://klasma.github.io/Logging_1273/tillsynsmail/A 53436-2019 tillsynsbegäran mail.docx", "A 53436-2019")</f>
        <v/>
      </c>
    </row>
    <row r="211" ht="15" customHeight="1">
      <c r="A211" t="inlineStr">
        <is>
          <t>A 55656-2019</t>
        </is>
      </c>
      <c r="B211" s="1" t="n">
        <v>43760</v>
      </c>
      <c r="C211" s="1" t="n">
        <v>45744</v>
      </c>
      <c r="D211" t="inlineStr">
        <is>
          <t>SKÅNE LÄN</t>
        </is>
      </c>
      <c r="E211" t="inlineStr">
        <is>
          <t>HÄSSLEHOLM</t>
        </is>
      </c>
      <c r="G211" t="n">
        <v>1.8</v>
      </c>
      <c r="H211" t="n">
        <v>1</v>
      </c>
      <c r="I211" t="n">
        <v>0</v>
      </c>
      <c r="J211" t="n">
        <v>0</v>
      </c>
      <c r="K211" t="n">
        <v>1</v>
      </c>
      <c r="L211" t="n">
        <v>0</v>
      </c>
      <c r="M211" t="n">
        <v>0</v>
      </c>
      <c r="N211" t="n">
        <v>0</v>
      </c>
      <c r="O211" t="n">
        <v>1</v>
      </c>
      <c r="P211" t="n">
        <v>1</v>
      </c>
      <c r="Q211" t="n">
        <v>1</v>
      </c>
      <c r="R211" s="2" t="inlineStr">
        <is>
          <t>Hedblomster</t>
        </is>
      </c>
      <c r="S211">
        <f>HYPERLINK("https://klasma.github.io/Logging_1293/artfynd/A 55656-2019 artfynd.xlsx", "A 55656-2019")</f>
        <v/>
      </c>
      <c r="T211">
        <f>HYPERLINK("https://klasma.github.io/Logging_1293/kartor/A 55656-2019 karta.png", "A 55656-2019")</f>
        <v/>
      </c>
      <c r="V211">
        <f>HYPERLINK("https://klasma.github.io/Logging_1293/klagomål/A 55656-2019 FSC-klagomål.docx", "A 55656-2019")</f>
        <v/>
      </c>
      <c r="W211">
        <f>HYPERLINK("https://klasma.github.io/Logging_1293/klagomålsmail/A 55656-2019 FSC-klagomål mail.docx", "A 55656-2019")</f>
        <v/>
      </c>
      <c r="X211">
        <f>HYPERLINK("https://klasma.github.io/Logging_1293/tillsyn/A 55656-2019 tillsynsbegäran.docx", "A 55656-2019")</f>
        <v/>
      </c>
      <c r="Y211">
        <f>HYPERLINK("https://klasma.github.io/Logging_1293/tillsynsmail/A 55656-2019 tillsynsbegäran mail.docx", "A 55656-2019")</f>
        <v/>
      </c>
    </row>
    <row r="212" ht="15" customHeight="1">
      <c r="A212" t="inlineStr">
        <is>
          <t>A 57275-2019</t>
        </is>
      </c>
      <c r="B212" s="1" t="n">
        <v>43760</v>
      </c>
      <c r="C212" s="1" t="n">
        <v>45744</v>
      </c>
      <c r="D212" t="inlineStr">
        <is>
          <t>SKÅNE LÄN</t>
        </is>
      </c>
      <c r="E212" t="inlineStr">
        <is>
          <t>HÄSSLEHOLM</t>
        </is>
      </c>
      <c r="G212" t="n">
        <v>0.6</v>
      </c>
      <c r="H212" t="n">
        <v>0</v>
      </c>
      <c r="I212" t="n">
        <v>0</v>
      </c>
      <c r="J212" t="n">
        <v>0</v>
      </c>
      <c r="K212" t="n">
        <v>1</v>
      </c>
      <c r="L212" t="n">
        <v>0</v>
      </c>
      <c r="M212" t="n">
        <v>0</v>
      </c>
      <c r="N212" t="n">
        <v>0</v>
      </c>
      <c r="O212" t="n">
        <v>1</v>
      </c>
      <c r="P212" t="n">
        <v>1</v>
      </c>
      <c r="Q212" t="n">
        <v>1</v>
      </c>
      <c r="R212" s="2" t="inlineStr">
        <is>
          <t>Småvänderot</t>
        </is>
      </c>
      <c r="S212">
        <f>HYPERLINK("https://klasma.github.io/Logging_1293/artfynd/A 57275-2019 artfynd.xlsx", "A 57275-2019")</f>
        <v/>
      </c>
      <c r="T212">
        <f>HYPERLINK("https://klasma.github.io/Logging_1293/kartor/A 57275-2019 karta.png", "A 57275-2019")</f>
        <v/>
      </c>
      <c r="V212">
        <f>HYPERLINK("https://klasma.github.io/Logging_1293/klagomål/A 57275-2019 FSC-klagomål.docx", "A 57275-2019")</f>
        <v/>
      </c>
      <c r="W212">
        <f>HYPERLINK("https://klasma.github.io/Logging_1293/klagomålsmail/A 57275-2019 FSC-klagomål mail.docx", "A 57275-2019")</f>
        <v/>
      </c>
      <c r="X212">
        <f>HYPERLINK("https://klasma.github.io/Logging_1293/tillsyn/A 57275-2019 tillsynsbegäran.docx", "A 57275-2019")</f>
        <v/>
      </c>
      <c r="Y212">
        <f>HYPERLINK("https://klasma.github.io/Logging_1293/tillsynsmail/A 57275-2019 tillsynsbegäran mail.docx", "A 57275-2019")</f>
        <v/>
      </c>
    </row>
    <row r="213" ht="15" customHeight="1">
      <c r="A213" t="inlineStr">
        <is>
          <t>A 56351-2019</t>
        </is>
      </c>
      <c r="B213" s="1" t="n">
        <v>43761</v>
      </c>
      <c r="C213" s="1" t="n">
        <v>45744</v>
      </c>
      <c r="D213" t="inlineStr">
        <is>
          <t>SKÅNE LÄN</t>
        </is>
      </c>
      <c r="E213" t="inlineStr">
        <is>
          <t>ÖSTRA GÖINGE</t>
        </is>
      </c>
      <c r="G213" t="n">
        <v>14.2</v>
      </c>
      <c r="H213" t="n">
        <v>1</v>
      </c>
      <c r="I213" t="n">
        <v>0</v>
      </c>
      <c r="J213" t="n">
        <v>1</v>
      </c>
      <c r="K213" t="n">
        <v>0</v>
      </c>
      <c r="L213" t="n">
        <v>0</v>
      </c>
      <c r="M213" t="n">
        <v>0</v>
      </c>
      <c r="N213" t="n">
        <v>0</v>
      </c>
      <c r="O213" t="n">
        <v>1</v>
      </c>
      <c r="P213" t="n">
        <v>0</v>
      </c>
      <c r="Q213" t="n">
        <v>1</v>
      </c>
      <c r="R213" s="2" t="inlineStr">
        <is>
          <t>Svartvit flugsnappare</t>
        </is>
      </c>
      <c r="S213">
        <f>HYPERLINK("https://klasma.github.io/Logging_1256/artfynd/A 56351-2019 artfynd.xlsx", "A 56351-2019")</f>
        <v/>
      </c>
      <c r="T213">
        <f>HYPERLINK("https://klasma.github.io/Logging_1256/kartor/A 56351-2019 karta.png", "A 56351-2019")</f>
        <v/>
      </c>
      <c r="V213">
        <f>HYPERLINK("https://klasma.github.io/Logging_1256/klagomål/A 56351-2019 FSC-klagomål.docx", "A 56351-2019")</f>
        <v/>
      </c>
      <c r="W213">
        <f>HYPERLINK("https://klasma.github.io/Logging_1256/klagomålsmail/A 56351-2019 FSC-klagomål mail.docx", "A 56351-2019")</f>
        <v/>
      </c>
      <c r="X213">
        <f>HYPERLINK("https://klasma.github.io/Logging_1256/tillsyn/A 56351-2019 tillsynsbegäran.docx", "A 56351-2019")</f>
        <v/>
      </c>
      <c r="Y213">
        <f>HYPERLINK("https://klasma.github.io/Logging_1256/tillsynsmail/A 56351-2019 tillsynsbegäran mail.docx", "A 56351-2019")</f>
        <v/>
      </c>
      <c r="Z213">
        <f>HYPERLINK("https://klasma.github.io/Logging_1256/fåglar/A 56351-2019 prioriterade fågelarter.docx", "A 56351-2019")</f>
        <v/>
      </c>
    </row>
    <row r="214" ht="15" customHeight="1">
      <c r="A214" t="inlineStr">
        <is>
          <t>A 59414-2019</t>
        </is>
      </c>
      <c r="B214" s="1" t="n">
        <v>43775</v>
      </c>
      <c r="C214" s="1" t="n">
        <v>45744</v>
      </c>
      <c r="D214" t="inlineStr">
        <is>
          <t>SKÅNE LÄN</t>
        </is>
      </c>
      <c r="E214" t="inlineStr">
        <is>
          <t>SJÖBO</t>
        </is>
      </c>
      <c r="G214" t="n">
        <v>5.3</v>
      </c>
      <c r="H214" t="n">
        <v>0</v>
      </c>
      <c r="I214" t="n">
        <v>0</v>
      </c>
      <c r="J214" t="n">
        <v>0</v>
      </c>
      <c r="K214" t="n">
        <v>1</v>
      </c>
      <c r="L214" t="n">
        <v>0</v>
      </c>
      <c r="M214" t="n">
        <v>0</v>
      </c>
      <c r="N214" t="n">
        <v>0</v>
      </c>
      <c r="O214" t="n">
        <v>1</v>
      </c>
      <c r="P214" t="n">
        <v>1</v>
      </c>
      <c r="Q214" t="n">
        <v>1</v>
      </c>
      <c r="R214" s="2" t="inlineStr">
        <is>
          <t>Fläcklungört</t>
        </is>
      </c>
      <c r="S214">
        <f>HYPERLINK("https://klasma.github.io/Logging_1265/artfynd/A 59414-2019 artfynd.xlsx", "A 59414-2019")</f>
        <v/>
      </c>
      <c r="T214">
        <f>HYPERLINK("https://klasma.github.io/Logging_1265/kartor/A 59414-2019 karta.png", "A 59414-2019")</f>
        <v/>
      </c>
      <c r="V214">
        <f>HYPERLINK("https://klasma.github.io/Logging_1265/klagomål/A 59414-2019 FSC-klagomål.docx", "A 59414-2019")</f>
        <v/>
      </c>
      <c r="W214">
        <f>HYPERLINK("https://klasma.github.io/Logging_1265/klagomålsmail/A 59414-2019 FSC-klagomål mail.docx", "A 59414-2019")</f>
        <v/>
      </c>
      <c r="X214">
        <f>HYPERLINK("https://klasma.github.io/Logging_1265/tillsyn/A 59414-2019 tillsynsbegäran.docx", "A 59414-2019")</f>
        <v/>
      </c>
      <c r="Y214">
        <f>HYPERLINK("https://klasma.github.io/Logging_1265/tillsynsmail/A 59414-2019 tillsynsbegäran mail.docx", "A 59414-2019")</f>
        <v/>
      </c>
    </row>
    <row r="215" ht="15" customHeight="1">
      <c r="A215" t="inlineStr">
        <is>
          <t>A 2738-2020</t>
        </is>
      </c>
      <c r="B215" s="1" t="n">
        <v>43843</v>
      </c>
      <c r="C215" s="1" t="n">
        <v>45744</v>
      </c>
      <c r="D215" t="inlineStr">
        <is>
          <t>SKÅNE LÄN</t>
        </is>
      </c>
      <c r="E215" t="inlineStr">
        <is>
          <t>HÄSSLEHOLM</t>
        </is>
      </c>
      <c r="G215" t="n">
        <v>1.2</v>
      </c>
      <c r="H215" t="n">
        <v>0</v>
      </c>
      <c r="I215" t="n">
        <v>0</v>
      </c>
      <c r="J215" t="n">
        <v>0</v>
      </c>
      <c r="K215" t="n">
        <v>1</v>
      </c>
      <c r="L215" t="n">
        <v>0</v>
      </c>
      <c r="M215" t="n">
        <v>0</v>
      </c>
      <c r="N215" t="n">
        <v>0</v>
      </c>
      <c r="O215" t="n">
        <v>1</v>
      </c>
      <c r="P215" t="n">
        <v>1</v>
      </c>
      <c r="Q215" t="n">
        <v>1</v>
      </c>
      <c r="R215" s="2" t="inlineStr">
        <is>
          <t>Småvänderot</t>
        </is>
      </c>
      <c r="S215">
        <f>HYPERLINK("https://klasma.github.io/Logging_1293/artfynd/A 2738-2020 artfynd.xlsx", "A 2738-2020")</f>
        <v/>
      </c>
      <c r="T215">
        <f>HYPERLINK("https://klasma.github.io/Logging_1293/kartor/A 2738-2020 karta.png", "A 2738-2020")</f>
        <v/>
      </c>
      <c r="V215">
        <f>HYPERLINK("https://klasma.github.io/Logging_1293/klagomål/A 2738-2020 FSC-klagomål.docx", "A 2738-2020")</f>
        <v/>
      </c>
      <c r="W215">
        <f>HYPERLINK("https://klasma.github.io/Logging_1293/klagomålsmail/A 2738-2020 FSC-klagomål mail.docx", "A 2738-2020")</f>
        <v/>
      </c>
      <c r="X215">
        <f>HYPERLINK("https://klasma.github.io/Logging_1293/tillsyn/A 2738-2020 tillsynsbegäran.docx", "A 2738-2020")</f>
        <v/>
      </c>
      <c r="Y215">
        <f>HYPERLINK("https://klasma.github.io/Logging_1293/tillsynsmail/A 2738-2020 tillsynsbegäran mail.docx", "A 2738-2020")</f>
        <v/>
      </c>
    </row>
    <row r="216" ht="15" customHeight="1">
      <c r="A216" t="inlineStr">
        <is>
          <t>A 7635-2020</t>
        </is>
      </c>
      <c r="B216" s="1" t="n">
        <v>43872</v>
      </c>
      <c r="C216" s="1" t="n">
        <v>45744</v>
      </c>
      <c r="D216" t="inlineStr">
        <is>
          <t>SKÅNE LÄN</t>
        </is>
      </c>
      <c r="E216" t="inlineStr">
        <is>
          <t>ÄNGELHOLM</t>
        </is>
      </c>
      <c r="G216" t="n">
        <v>2.2</v>
      </c>
      <c r="H216" t="n">
        <v>0</v>
      </c>
      <c r="I216" t="n">
        <v>1</v>
      </c>
      <c r="J216" t="n">
        <v>0</v>
      </c>
      <c r="K216" t="n">
        <v>0</v>
      </c>
      <c r="L216" t="n">
        <v>0</v>
      </c>
      <c r="M216" t="n">
        <v>0</v>
      </c>
      <c r="N216" t="n">
        <v>0</v>
      </c>
      <c r="O216" t="n">
        <v>0</v>
      </c>
      <c r="P216" t="n">
        <v>0</v>
      </c>
      <c r="Q216" t="n">
        <v>1</v>
      </c>
      <c r="R216" s="2" t="inlineStr">
        <is>
          <t>Blåmossa</t>
        </is>
      </c>
      <c r="S216">
        <f>HYPERLINK("https://klasma.github.io/Logging_1292/artfynd/A 7635-2020 artfynd.xlsx", "A 7635-2020")</f>
        <v/>
      </c>
      <c r="T216">
        <f>HYPERLINK("https://klasma.github.io/Logging_1292/kartor/A 7635-2020 karta.png", "A 7635-2020")</f>
        <v/>
      </c>
      <c r="V216">
        <f>HYPERLINK("https://klasma.github.io/Logging_1292/klagomål/A 7635-2020 FSC-klagomål.docx", "A 7635-2020")</f>
        <v/>
      </c>
      <c r="W216">
        <f>HYPERLINK("https://klasma.github.io/Logging_1292/klagomålsmail/A 7635-2020 FSC-klagomål mail.docx", "A 7635-2020")</f>
        <v/>
      </c>
      <c r="X216">
        <f>HYPERLINK("https://klasma.github.io/Logging_1292/tillsyn/A 7635-2020 tillsynsbegäran.docx", "A 7635-2020")</f>
        <v/>
      </c>
      <c r="Y216">
        <f>HYPERLINK("https://klasma.github.io/Logging_1292/tillsynsmail/A 7635-2020 tillsynsbegäran mail.docx", "A 7635-2020")</f>
        <v/>
      </c>
    </row>
    <row r="217" ht="15" customHeight="1">
      <c r="A217" t="inlineStr">
        <is>
          <t>A 8665-2020</t>
        </is>
      </c>
      <c r="B217" s="1" t="n">
        <v>43878</v>
      </c>
      <c r="C217" s="1" t="n">
        <v>45744</v>
      </c>
      <c r="D217" t="inlineStr">
        <is>
          <t>SKÅNE LÄN</t>
        </is>
      </c>
      <c r="E217" t="inlineStr">
        <is>
          <t>ÄNGELHOLM</t>
        </is>
      </c>
      <c r="G217" t="n">
        <v>4.7</v>
      </c>
      <c r="H217" t="n">
        <v>0</v>
      </c>
      <c r="I217" t="n">
        <v>0</v>
      </c>
      <c r="J217" t="n">
        <v>0</v>
      </c>
      <c r="K217" t="n">
        <v>1</v>
      </c>
      <c r="L217" t="n">
        <v>0</v>
      </c>
      <c r="M217" t="n">
        <v>0</v>
      </c>
      <c r="N217" t="n">
        <v>0</v>
      </c>
      <c r="O217" t="n">
        <v>1</v>
      </c>
      <c r="P217" t="n">
        <v>1</v>
      </c>
      <c r="Q217" t="n">
        <v>1</v>
      </c>
      <c r="R217" s="2" t="inlineStr">
        <is>
          <t>Glansbjörnbär</t>
        </is>
      </c>
      <c r="S217">
        <f>HYPERLINK("https://klasma.github.io/Logging_1292/artfynd/A 8665-2020 artfynd.xlsx", "A 8665-2020")</f>
        <v/>
      </c>
      <c r="T217">
        <f>HYPERLINK("https://klasma.github.io/Logging_1292/kartor/A 8665-2020 karta.png", "A 8665-2020")</f>
        <v/>
      </c>
      <c r="V217">
        <f>HYPERLINK("https://klasma.github.io/Logging_1292/klagomål/A 8665-2020 FSC-klagomål.docx", "A 8665-2020")</f>
        <v/>
      </c>
      <c r="W217">
        <f>HYPERLINK("https://klasma.github.io/Logging_1292/klagomålsmail/A 8665-2020 FSC-klagomål mail.docx", "A 8665-2020")</f>
        <v/>
      </c>
      <c r="X217">
        <f>HYPERLINK("https://klasma.github.io/Logging_1292/tillsyn/A 8665-2020 tillsynsbegäran.docx", "A 8665-2020")</f>
        <v/>
      </c>
      <c r="Y217">
        <f>HYPERLINK("https://klasma.github.io/Logging_1292/tillsynsmail/A 8665-2020 tillsynsbegäran mail.docx", "A 8665-2020")</f>
        <v/>
      </c>
    </row>
    <row r="218" ht="15" customHeight="1">
      <c r="A218" t="inlineStr">
        <is>
          <t>A 11722-2020</t>
        </is>
      </c>
      <c r="B218" s="1" t="n">
        <v>43892</v>
      </c>
      <c r="C218" s="1" t="n">
        <v>45744</v>
      </c>
      <c r="D218" t="inlineStr">
        <is>
          <t>SKÅNE LÄN</t>
        </is>
      </c>
      <c r="E218" t="inlineStr">
        <is>
          <t>TOMELILLA</t>
        </is>
      </c>
      <c r="G218" t="n">
        <v>2.6</v>
      </c>
      <c r="H218" t="n">
        <v>0</v>
      </c>
      <c r="I218" t="n">
        <v>0</v>
      </c>
      <c r="J218" t="n">
        <v>1</v>
      </c>
      <c r="K218" t="n">
        <v>0</v>
      </c>
      <c r="L218" t="n">
        <v>0</v>
      </c>
      <c r="M218" t="n">
        <v>0</v>
      </c>
      <c r="N218" t="n">
        <v>0</v>
      </c>
      <c r="O218" t="n">
        <v>1</v>
      </c>
      <c r="P218" t="n">
        <v>0</v>
      </c>
      <c r="Q218" t="n">
        <v>1</v>
      </c>
      <c r="R218" s="2" t="inlineStr">
        <is>
          <t>Sprengelsbjörnbär</t>
        </is>
      </c>
      <c r="S218">
        <f>HYPERLINK("https://klasma.github.io/Logging_1270/artfynd/A 11722-2020 artfynd.xlsx", "A 11722-2020")</f>
        <v/>
      </c>
      <c r="T218">
        <f>HYPERLINK("https://klasma.github.io/Logging_1270/kartor/A 11722-2020 karta.png", "A 11722-2020")</f>
        <v/>
      </c>
      <c r="V218">
        <f>HYPERLINK("https://klasma.github.io/Logging_1270/klagomål/A 11722-2020 FSC-klagomål.docx", "A 11722-2020")</f>
        <v/>
      </c>
      <c r="W218">
        <f>HYPERLINK("https://klasma.github.io/Logging_1270/klagomålsmail/A 11722-2020 FSC-klagomål mail.docx", "A 11722-2020")</f>
        <v/>
      </c>
      <c r="X218">
        <f>HYPERLINK("https://klasma.github.io/Logging_1270/tillsyn/A 11722-2020 tillsynsbegäran.docx", "A 11722-2020")</f>
        <v/>
      </c>
      <c r="Y218">
        <f>HYPERLINK("https://klasma.github.io/Logging_1270/tillsynsmail/A 11722-2020 tillsynsbegäran mail.docx", "A 11722-2020")</f>
        <v/>
      </c>
    </row>
    <row r="219" ht="15" customHeight="1">
      <c r="A219" t="inlineStr">
        <is>
          <t>A 15862-2020</t>
        </is>
      </c>
      <c r="B219" s="1" t="n">
        <v>43910</v>
      </c>
      <c r="C219" s="1" t="n">
        <v>45744</v>
      </c>
      <c r="D219" t="inlineStr">
        <is>
          <t>SKÅNE LÄN</t>
        </is>
      </c>
      <c r="E219" t="inlineStr">
        <is>
          <t>HÄSSLEHOLM</t>
        </is>
      </c>
      <c r="G219" t="n">
        <v>10.3</v>
      </c>
      <c r="H219" t="n">
        <v>0</v>
      </c>
      <c r="I219" t="n">
        <v>0</v>
      </c>
      <c r="J219" t="n">
        <v>1</v>
      </c>
      <c r="K219" t="n">
        <v>0</v>
      </c>
      <c r="L219" t="n">
        <v>0</v>
      </c>
      <c r="M219" t="n">
        <v>0</v>
      </c>
      <c r="N219" t="n">
        <v>0</v>
      </c>
      <c r="O219" t="n">
        <v>1</v>
      </c>
      <c r="P219" t="n">
        <v>0</v>
      </c>
      <c r="Q219" t="n">
        <v>1</v>
      </c>
      <c r="R219" s="2" t="inlineStr">
        <is>
          <t>Sydlig sotticka</t>
        </is>
      </c>
      <c r="S219">
        <f>HYPERLINK("https://klasma.github.io/Logging_1293/artfynd/A 15862-2020 artfynd.xlsx", "A 15862-2020")</f>
        <v/>
      </c>
      <c r="T219">
        <f>HYPERLINK("https://klasma.github.io/Logging_1293/kartor/A 15862-2020 karta.png", "A 15862-2020")</f>
        <v/>
      </c>
      <c r="V219">
        <f>HYPERLINK("https://klasma.github.io/Logging_1293/klagomål/A 15862-2020 FSC-klagomål.docx", "A 15862-2020")</f>
        <v/>
      </c>
      <c r="W219">
        <f>HYPERLINK("https://klasma.github.io/Logging_1293/klagomålsmail/A 15862-2020 FSC-klagomål mail.docx", "A 15862-2020")</f>
        <v/>
      </c>
      <c r="X219">
        <f>HYPERLINK("https://klasma.github.io/Logging_1293/tillsyn/A 15862-2020 tillsynsbegäran.docx", "A 15862-2020")</f>
        <v/>
      </c>
      <c r="Y219">
        <f>HYPERLINK("https://klasma.github.io/Logging_1293/tillsynsmail/A 15862-2020 tillsynsbegäran mail.docx", "A 15862-2020")</f>
        <v/>
      </c>
    </row>
    <row r="220" ht="15" customHeight="1">
      <c r="A220" t="inlineStr">
        <is>
          <t>A 15777-2020</t>
        </is>
      </c>
      <c r="B220" s="1" t="n">
        <v>43915</v>
      </c>
      <c r="C220" s="1" t="n">
        <v>45744</v>
      </c>
      <c r="D220" t="inlineStr">
        <is>
          <t>SKÅNE LÄN</t>
        </is>
      </c>
      <c r="E220" t="inlineStr">
        <is>
          <t>OSBY</t>
        </is>
      </c>
      <c r="G220" t="n">
        <v>4</v>
      </c>
      <c r="H220" t="n">
        <v>0</v>
      </c>
      <c r="I220" t="n">
        <v>0</v>
      </c>
      <c r="J220" t="n">
        <v>1</v>
      </c>
      <c r="K220" t="n">
        <v>0</v>
      </c>
      <c r="L220" t="n">
        <v>0</v>
      </c>
      <c r="M220" t="n">
        <v>0</v>
      </c>
      <c r="N220" t="n">
        <v>0</v>
      </c>
      <c r="O220" t="n">
        <v>1</v>
      </c>
      <c r="P220" t="n">
        <v>0</v>
      </c>
      <c r="Q220" t="n">
        <v>1</v>
      </c>
      <c r="R220" s="2" t="inlineStr">
        <is>
          <t>Borsttåg</t>
        </is>
      </c>
      <c r="S220">
        <f>HYPERLINK("https://klasma.github.io/Logging_1273/artfynd/A 15777-2020 artfynd.xlsx", "A 15777-2020")</f>
        <v/>
      </c>
      <c r="T220">
        <f>HYPERLINK("https://klasma.github.io/Logging_1273/kartor/A 15777-2020 karta.png", "A 15777-2020")</f>
        <v/>
      </c>
      <c r="V220">
        <f>HYPERLINK("https://klasma.github.io/Logging_1273/klagomål/A 15777-2020 FSC-klagomål.docx", "A 15777-2020")</f>
        <v/>
      </c>
      <c r="W220">
        <f>HYPERLINK("https://klasma.github.io/Logging_1273/klagomålsmail/A 15777-2020 FSC-klagomål mail.docx", "A 15777-2020")</f>
        <v/>
      </c>
      <c r="X220">
        <f>HYPERLINK("https://klasma.github.io/Logging_1273/tillsyn/A 15777-2020 tillsynsbegäran.docx", "A 15777-2020")</f>
        <v/>
      </c>
      <c r="Y220">
        <f>HYPERLINK("https://klasma.github.io/Logging_1273/tillsynsmail/A 15777-2020 tillsynsbegäran mail.docx", "A 15777-2020")</f>
        <v/>
      </c>
    </row>
    <row r="221" ht="15" customHeight="1">
      <c r="A221" t="inlineStr">
        <is>
          <t>A 17496-2020</t>
        </is>
      </c>
      <c r="B221" s="1" t="n">
        <v>43923</v>
      </c>
      <c r="C221" s="1" t="n">
        <v>45744</v>
      </c>
      <c r="D221" t="inlineStr">
        <is>
          <t>SKÅNE LÄN</t>
        </is>
      </c>
      <c r="E221" t="inlineStr">
        <is>
          <t>TOMELILLA</t>
        </is>
      </c>
      <c r="F221" t="inlineStr">
        <is>
          <t>Övriga Aktiebolag</t>
        </is>
      </c>
      <c r="G221" t="n">
        <v>1.9</v>
      </c>
      <c r="H221" t="n">
        <v>1</v>
      </c>
      <c r="I221" t="n">
        <v>0</v>
      </c>
      <c r="J221" t="n">
        <v>0</v>
      </c>
      <c r="K221" t="n">
        <v>0</v>
      </c>
      <c r="L221" t="n">
        <v>0</v>
      </c>
      <c r="M221" t="n">
        <v>0</v>
      </c>
      <c r="N221" t="n">
        <v>0</v>
      </c>
      <c r="O221" t="n">
        <v>0</v>
      </c>
      <c r="P221" t="n">
        <v>0</v>
      </c>
      <c r="Q221" t="n">
        <v>1</v>
      </c>
      <c r="R221" s="2" t="inlineStr">
        <is>
          <t>Hasselmus</t>
        </is>
      </c>
      <c r="S221">
        <f>HYPERLINK("https://klasma.github.io/Logging_1270/artfynd/A 17496-2020 artfynd.xlsx", "A 17496-2020")</f>
        <v/>
      </c>
      <c r="T221">
        <f>HYPERLINK("https://klasma.github.io/Logging_1270/kartor/A 17496-2020 karta.png", "A 17496-2020")</f>
        <v/>
      </c>
      <c r="V221">
        <f>HYPERLINK("https://klasma.github.io/Logging_1270/klagomål/A 17496-2020 FSC-klagomål.docx", "A 17496-2020")</f>
        <v/>
      </c>
      <c r="W221">
        <f>HYPERLINK("https://klasma.github.io/Logging_1270/klagomålsmail/A 17496-2020 FSC-klagomål mail.docx", "A 17496-2020")</f>
        <v/>
      </c>
      <c r="X221">
        <f>HYPERLINK("https://klasma.github.io/Logging_1270/tillsyn/A 17496-2020 tillsynsbegäran.docx", "A 17496-2020")</f>
        <v/>
      </c>
      <c r="Y221">
        <f>HYPERLINK("https://klasma.github.io/Logging_1270/tillsynsmail/A 17496-2020 tillsynsbegäran mail.docx", "A 17496-2020")</f>
        <v/>
      </c>
    </row>
    <row r="222" ht="15" customHeight="1">
      <c r="A222" t="inlineStr">
        <is>
          <t>A 20474-2020</t>
        </is>
      </c>
      <c r="B222" s="1" t="n">
        <v>43948</v>
      </c>
      <c r="C222" s="1" t="n">
        <v>45744</v>
      </c>
      <c r="D222" t="inlineStr">
        <is>
          <t>SKÅNE LÄN</t>
        </is>
      </c>
      <c r="E222" t="inlineStr">
        <is>
          <t>OSBY</t>
        </is>
      </c>
      <c r="G222" t="n">
        <v>0.8</v>
      </c>
      <c r="H222" t="n">
        <v>0</v>
      </c>
      <c r="I222" t="n">
        <v>0</v>
      </c>
      <c r="J222" t="n">
        <v>0</v>
      </c>
      <c r="K222" t="n">
        <v>0</v>
      </c>
      <c r="L222" t="n">
        <v>1</v>
      </c>
      <c r="M222" t="n">
        <v>0</v>
      </c>
      <c r="N222" t="n">
        <v>0</v>
      </c>
      <c r="O222" t="n">
        <v>1</v>
      </c>
      <c r="P222" t="n">
        <v>1</v>
      </c>
      <c r="Q222" t="n">
        <v>1</v>
      </c>
      <c r="R222" s="2" t="inlineStr">
        <is>
          <t>Bårdfibbla</t>
        </is>
      </c>
      <c r="S222">
        <f>HYPERLINK("https://klasma.github.io/Logging_1273/artfynd/A 20474-2020 artfynd.xlsx", "A 20474-2020")</f>
        <v/>
      </c>
      <c r="T222">
        <f>HYPERLINK("https://klasma.github.io/Logging_1273/kartor/A 20474-2020 karta.png", "A 20474-2020")</f>
        <v/>
      </c>
      <c r="V222">
        <f>HYPERLINK("https://klasma.github.io/Logging_1273/klagomål/A 20474-2020 FSC-klagomål.docx", "A 20474-2020")</f>
        <v/>
      </c>
      <c r="W222">
        <f>HYPERLINK("https://klasma.github.io/Logging_1273/klagomålsmail/A 20474-2020 FSC-klagomål mail.docx", "A 20474-2020")</f>
        <v/>
      </c>
      <c r="X222">
        <f>HYPERLINK("https://klasma.github.io/Logging_1273/tillsyn/A 20474-2020 tillsynsbegäran.docx", "A 20474-2020")</f>
        <v/>
      </c>
      <c r="Y222">
        <f>HYPERLINK("https://klasma.github.io/Logging_1273/tillsynsmail/A 20474-2020 tillsynsbegäran mail.docx", "A 20474-2020")</f>
        <v/>
      </c>
    </row>
    <row r="223" ht="15" customHeight="1">
      <c r="A223" t="inlineStr">
        <is>
          <t>A 23029-2020</t>
        </is>
      </c>
      <c r="B223" s="1" t="n">
        <v>43965</v>
      </c>
      <c r="C223" s="1" t="n">
        <v>45744</v>
      </c>
      <c r="D223" t="inlineStr">
        <is>
          <t>SKÅNE LÄN</t>
        </is>
      </c>
      <c r="E223" t="inlineStr">
        <is>
          <t>SJÖBO</t>
        </is>
      </c>
      <c r="G223" t="n">
        <v>9.300000000000001</v>
      </c>
      <c r="H223" t="n">
        <v>1</v>
      </c>
      <c r="I223" t="n">
        <v>0</v>
      </c>
      <c r="J223" t="n">
        <v>0</v>
      </c>
      <c r="K223" t="n">
        <v>0</v>
      </c>
      <c r="L223" t="n">
        <v>1</v>
      </c>
      <c r="M223" t="n">
        <v>0</v>
      </c>
      <c r="N223" t="n">
        <v>0</v>
      </c>
      <c r="O223" t="n">
        <v>1</v>
      </c>
      <c r="P223" t="n">
        <v>1</v>
      </c>
      <c r="Q223" t="n">
        <v>1</v>
      </c>
      <c r="R223" s="2" t="inlineStr">
        <is>
          <t>Dvärgjohannesört</t>
        </is>
      </c>
      <c r="S223">
        <f>HYPERLINK("https://klasma.github.io/Logging_1265/artfynd/A 23029-2020 artfynd.xlsx", "A 23029-2020")</f>
        <v/>
      </c>
      <c r="T223">
        <f>HYPERLINK("https://klasma.github.io/Logging_1265/kartor/A 23029-2020 karta.png", "A 23029-2020")</f>
        <v/>
      </c>
      <c r="V223">
        <f>HYPERLINK("https://klasma.github.io/Logging_1265/klagomål/A 23029-2020 FSC-klagomål.docx", "A 23029-2020")</f>
        <v/>
      </c>
      <c r="W223">
        <f>HYPERLINK("https://klasma.github.io/Logging_1265/klagomålsmail/A 23029-2020 FSC-klagomål mail.docx", "A 23029-2020")</f>
        <v/>
      </c>
      <c r="X223">
        <f>HYPERLINK("https://klasma.github.io/Logging_1265/tillsyn/A 23029-2020 tillsynsbegäran.docx", "A 23029-2020")</f>
        <v/>
      </c>
      <c r="Y223">
        <f>HYPERLINK("https://klasma.github.io/Logging_1265/tillsynsmail/A 23029-2020 tillsynsbegäran mail.docx", "A 23029-2020")</f>
        <v/>
      </c>
    </row>
    <row r="224" ht="15" customHeight="1">
      <c r="A224" t="inlineStr">
        <is>
          <t>A 29376-2020</t>
        </is>
      </c>
      <c r="B224" s="1" t="n">
        <v>44000</v>
      </c>
      <c r="C224" s="1" t="n">
        <v>45744</v>
      </c>
      <c r="D224" t="inlineStr">
        <is>
          <t>SKÅNE LÄN</t>
        </is>
      </c>
      <c r="E224" t="inlineStr">
        <is>
          <t>YSTAD</t>
        </is>
      </c>
      <c r="G224" t="n">
        <v>1.5</v>
      </c>
      <c r="H224" t="n">
        <v>0</v>
      </c>
      <c r="I224" t="n">
        <v>0</v>
      </c>
      <c r="J224" t="n">
        <v>1</v>
      </c>
      <c r="K224" t="n">
        <v>0</v>
      </c>
      <c r="L224" t="n">
        <v>0</v>
      </c>
      <c r="M224" t="n">
        <v>0</v>
      </c>
      <c r="N224" t="n">
        <v>0</v>
      </c>
      <c r="O224" t="n">
        <v>1</v>
      </c>
      <c r="P224" t="n">
        <v>0</v>
      </c>
      <c r="Q224" t="n">
        <v>1</v>
      </c>
      <c r="R224" s="2" t="inlineStr">
        <is>
          <t>Igelkott</t>
        </is>
      </c>
      <c r="S224">
        <f>HYPERLINK("https://klasma.github.io/Logging_1286/artfynd/A 29376-2020 artfynd.xlsx", "A 29376-2020")</f>
        <v/>
      </c>
      <c r="T224">
        <f>HYPERLINK("https://klasma.github.io/Logging_1286/kartor/A 29376-2020 karta.png", "A 29376-2020")</f>
        <v/>
      </c>
      <c r="V224">
        <f>HYPERLINK("https://klasma.github.io/Logging_1286/klagomål/A 29376-2020 FSC-klagomål.docx", "A 29376-2020")</f>
        <v/>
      </c>
      <c r="W224">
        <f>HYPERLINK("https://klasma.github.io/Logging_1286/klagomålsmail/A 29376-2020 FSC-klagomål mail.docx", "A 29376-2020")</f>
        <v/>
      </c>
      <c r="X224">
        <f>HYPERLINK("https://klasma.github.io/Logging_1286/tillsyn/A 29376-2020 tillsynsbegäran.docx", "A 29376-2020")</f>
        <v/>
      </c>
      <c r="Y224">
        <f>HYPERLINK("https://klasma.github.io/Logging_1286/tillsynsmail/A 29376-2020 tillsynsbegäran mail.docx", "A 29376-2020")</f>
        <v/>
      </c>
    </row>
    <row r="225" ht="15" customHeight="1">
      <c r="A225" t="inlineStr">
        <is>
          <t>A 30687-2020</t>
        </is>
      </c>
      <c r="B225" s="1" t="n">
        <v>44008</v>
      </c>
      <c r="C225" s="1" t="n">
        <v>45744</v>
      </c>
      <c r="D225" t="inlineStr">
        <is>
          <t>SKÅNE LÄN</t>
        </is>
      </c>
      <c r="E225" t="inlineStr">
        <is>
          <t>KRISTIANSTAD</t>
        </is>
      </c>
      <c r="F225" t="inlineStr">
        <is>
          <t>Kommuner</t>
        </is>
      </c>
      <c r="G225" t="n">
        <v>0.8</v>
      </c>
      <c r="H225" t="n">
        <v>0</v>
      </c>
      <c r="I225" t="n">
        <v>0</v>
      </c>
      <c r="J225" t="n">
        <v>1</v>
      </c>
      <c r="K225" t="n">
        <v>0</v>
      </c>
      <c r="L225" t="n">
        <v>0</v>
      </c>
      <c r="M225" t="n">
        <v>0</v>
      </c>
      <c r="N225" t="n">
        <v>0</v>
      </c>
      <c r="O225" t="n">
        <v>1</v>
      </c>
      <c r="P225" t="n">
        <v>0</v>
      </c>
      <c r="Q225" t="n">
        <v>1</v>
      </c>
      <c r="R225" s="2" t="inlineStr">
        <is>
          <t>Stortapetserarbi</t>
        </is>
      </c>
      <c r="S225">
        <f>HYPERLINK("https://klasma.github.io/Logging_1290/artfynd/A 30687-2020 artfynd.xlsx", "A 30687-2020")</f>
        <v/>
      </c>
      <c r="T225">
        <f>HYPERLINK("https://klasma.github.io/Logging_1290/kartor/A 30687-2020 karta.png", "A 30687-2020")</f>
        <v/>
      </c>
      <c r="V225">
        <f>HYPERLINK("https://klasma.github.io/Logging_1290/klagomål/A 30687-2020 FSC-klagomål.docx", "A 30687-2020")</f>
        <v/>
      </c>
      <c r="W225">
        <f>HYPERLINK("https://klasma.github.io/Logging_1290/klagomålsmail/A 30687-2020 FSC-klagomål mail.docx", "A 30687-2020")</f>
        <v/>
      </c>
      <c r="X225">
        <f>HYPERLINK("https://klasma.github.io/Logging_1290/tillsyn/A 30687-2020 tillsynsbegäran.docx", "A 30687-2020")</f>
        <v/>
      </c>
      <c r="Y225">
        <f>HYPERLINK("https://klasma.github.io/Logging_1290/tillsynsmail/A 30687-2020 tillsynsbegäran mail.docx", "A 30687-2020")</f>
        <v/>
      </c>
    </row>
    <row r="226" ht="15" customHeight="1">
      <c r="A226" t="inlineStr">
        <is>
          <t>A 30733-2020</t>
        </is>
      </c>
      <c r="B226" s="1" t="n">
        <v>44008</v>
      </c>
      <c r="C226" s="1" t="n">
        <v>45744</v>
      </c>
      <c r="D226" t="inlineStr">
        <is>
          <t>SKÅNE LÄN</t>
        </is>
      </c>
      <c r="E226" t="inlineStr">
        <is>
          <t>SVEDALA</t>
        </is>
      </c>
      <c r="G226" t="n">
        <v>1.4</v>
      </c>
      <c r="H226" t="n">
        <v>0</v>
      </c>
      <c r="I226" t="n">
        <v>0</v>
      </c>
      <c r="J226" t="n">
        <v>0</v>
      </c>
      <c r="K226" t="n">
        <v>1</v>
      </c>
      <c r="L226" t="n">
        <v>0</v>
      </c>
      <c r="M226" t="n">
        <v>0</v>
      </c>
      <c r="N226" t="n">
        <v>0</v>
      </c>
      <c r="O226" t="n">
        <v>1</v>
      </c>
      <c r="P226" t="n">
        <v>1</v>
      </c>
      <c r="Q226" t="n">
        <v>1</v>
      </c>
      <c r="R226" s="2" t="inlineStr">
        <is>
          <t>Större grynsnäcka</t>
        </is>
      </c>
      <c r="S226">
        <f>HYPERLINK("https://klasma.github.io/Logging_1263/artfynd/A 30733-2020 artfynd.xlsx", "A 30733-2020")</f>
        <v/>
      </c>
      <c r="T226">
        <f>HYPERLINK("https://klasma.github.io/Logging_1263/kartor/A 30733-2020 karta.png", "A 30733-2020")</f>
        <v/>
      </c>
      <c r="V226">
        <f>HYPERLINK("https://klasma.github.io/Logging_1263/klagomål/A 30733-2020 FSC-klagomål.docx", "A 30733-2020")</f>
        <v/>
      </c>
      <c r="W226">
        <f>HYPERLINK("https://klasma.github.io/Logging_1263/klagomålsmail/A 30733-2020 FSC-klagomål mail.docx", "A 30733-2020")</f>
        <v/>
      </c>
      <c r="X226">
        <f>HYPERLINK("https://klasma.github.io/Logging_1263/tillsyn/A 30733-2020 tillsynsbegäran.docx", "A 30733-2020")</f>
        <v/>
      </c>
      <c r="Y226">
        <f>HYPERLINK("https://klasma.github.io/Logging_1263/tillsynsmail/A 30733-2020 tillsynsbegäran mail.docx", "A 30733-2020")</f>
        <v/>
      </c>
    </row>
    <row r="227" ht="15" customHeight="1">
      <c r="A227" t="inlineStr">
        <is>
          <t>A 33733-2020</t>
        </is>
      </c>
      <c r="B227" s="1" t="n">
        <v>44022</v>
      </c>
      <c r="C227" s="1" t="n">
        <v>45744</v>
      </c>
      <c r="D227" t="inlineStr">
        <is>
          <t>SKÅNE LÄN</t>
        </is>
      </c>
      <c r="E227" t="inlineStr">
        <is>
          <t>KRISTIANSTAD</t>
        </is>
      </c>
      <c r="F227" t="inlineStr">
        <is>
          <t>Övriga Aktiebolag</t>
        </is>
      </c>
      <c r="G227" t="n">
        <v>3.4</v>
      </c>
      <c r="H227" t="n">
        <v>0</v>
      </c>
      <c r="I227" t="n">
        <v>0</v>
      </c>
      <c r="J227" t="n">
        <v>0</v>
      </c>
      <c r="K227" t="n">
        <v>1</v>
      </c>
      <c r="L227" t="n">
        <v>0</v>
      </c>
      <c r="M227" t="n">
        <v>0</v>
      </c>
      <c r="N227" t="n">
        <v>0</v>
      </c>
      <c r="O227" t="n">
        <v>1</v>
      </c>
      <c r="P227" t="n">
        <v>1</v>
      </c>
      <c r="Q227" t="n">
        <v>1</v>
      </c>
      <c r="R227" s="2" t="inlineStr">
        <is>
          <t>Småvänderot</t>
        </is>
      </c>
      <c r="S227">
        <f>HYPERLINK("https://klasma.github.io/Logging_1290/artfynd/A 33733-2020 artfynd.xlsx", "A 33733-2020")</f>
        <v/>
      </c>
      <c r="T227">
        <f>HYPERLINK("https://klasma.github.io/Logging_1290/kartor/A 33733-2020 karta.png", "A 33733-2020")</f>
        <v/>
      </c>
      <c r="V227">
        <f>HYPERLINK("https://klasma.github.io/Logging_1290/klagomål/A 33733-2020 FSC-klagomål.docx", "A 33733-2020")</f>
        <v/>
      </c>
      <c r="W227">
        <f>HYPERLINK("https://klasma.github.io/Logging_1290/klagomålsmail/A 33733-2020 FSC-klagomål mail.docx", "A 33733-2020")</f>
        <v/>
      </c>
      <c r="X227">
        <f>HYPERLINK("https://klasma.github.io/Logging_1290/tillsyn/A 33733-2020 tillsynsbegäran.docx", "A 33733-2020")</f>
        <v/>
      </c>
      <c r="Y227">
        <f>HYPERLINK("https://klasma.github.io/Logging_1290/tillsynsmail/A 33733-2020 tillsynsbegäran mail.docx", "A 33733-2020")</f>
        <v/>
      </c>
    </row>
    <row r="228" ht="15" customHeight="1">
      <c r="A228" t="inlineStr">
        <is>
          <t>A 34756-2020</t>
        </is>
      </c>
      <c r="B228" s="1" t="n">
        <v>44035</v>
      </c>
      <c r="C228" s="1" t="n">
        <v>45744</v>
      </c>
      <c r="D228" t="inlineStr">
        <is>
          <t>SKÅNE LÄN</t>
        </is>
      </c>
      <c r="E228" t="inlineStr">
        <is>
          <t>SIMRISHAMN</t>
        </is>
      </c>
      <c r="G228" t="n">
        <v>4.3</v>
      </c>
      <c r="H228" t="n">
        <v>0</v>
      </c>
      <c r="I228" t="n">
        <v>0</v>
      </c>
      <c r="J228" t="n">
        <v>0</v>
      </c>
      <c r="K228" t="n">
        <v>0</v>
      </c>
      <c r="L228" t="n">
        <v>1</v>
      </c>
      <c r="M228" t="n">
        <v>0</v>
      </c>
      <c r="N228" t="n">
        <v>0</v>
      </c>
      <c r="O228" t="n">
        <v>1</v>
      </c>
      <c r="P228" t="n">
        <v>1</v>
      </c>
      <c r="Q228" t="n">
        <v>1</v>
      </c>
      <c r="R228" s="2" t="inlineStr">
        <is>
          <t>Ask</t>
        </is>
      </c>
      <c r="S228">
        <f>HYPERLINK("https://klasma.github.io/Logging_1291/artfynd/A 34756-2020 artfynd.xlsx", "A 34756-2020")</f>
        <v/>
      </c>
      <c r="T228">
        <f>HYPERLINK("https://klasma.github.io/Logging_1291/kartor/A 34756-2020 karta.png", "A 34756-2020")</f>
        <v/>
      </c>
      <c r="V228">
        <f>HYPERLINK("https://klasma.github.io/Logging_1291/klagomål/A 34756-2020 FSC-klagomål.docx", "A 34756-2020")</f>
        <v/>
      </c>
      <c r="W228">
        <f>HYPERLINK("https://klasma.github.io/Logging_1291/klagomålsmail/A 34756-2020 FSC-klagomål mail.docx", "A 34756-2020")</f>
        <v/>
      </c>
      <c r="X228">
        <f>HYPERLINK("https://klasma.github.io/Logging_1291/tillsyn/A 34756-2020 tillsynsbegäran.docx", "A 34756-2020")</f>
        <v/>
      </c>
      <c r="Y228">
        <f>HYPERLINK("https://klasma.github.io/Logging_1291/tillsynsmail/A 34756-2020 tillsynsbegäran mail.docx", "A 34756-2020")</f>
        <v/>
      </c>
    </row>
    <row r="229" ht="15" customHeight="1">
      <c r="A229" t="inlineStr">
        <is>
          <t>A 42615-2020</t>
        </is>
      </c>
      <c r="B229" s="1" t="n">
        <v>44076</v>
      </c>
      <c r="C229" s="1" t="n">
        <v>45744</v>
      </c>
      <c r="D229" t="inlineStr">
        <is>
          <t>SKÅNE LÄN</t>
        </is>
      </c>
      <c r="E229" t="inlineStr">
        <is>
          <t>KRISTIANSTAD</t>
        </is>
      </c>
      <c r="G229" t="n">
        <v>7.5</v>
      </c>
      <c r="H229" t="n">
        <v>0</v>
      </c>
      <c r="I229" t="n">
        <v>0</v>
      </c>
      <c r="J229" t="n">
        <v>1</v>
      </c>
      <c r="K229" t="n">
        <v>0</v>
      </c>
      <c r="L229" t="n">
        <v>0</v>
      </c>
      <c r="M229" t="n">
        <v>0</v>
      </c>
      <c r="N229" t="n">
        <v>0</v>
      </c>
      <c r="O229" t="n">
        <v>1</v>
      </c>
      <c r="P229" t="n">
        <v>0</v>
      </c>
      <c r="Q229" t="n">
        <v>1</v>
      </c>
      <c r="R229" s="2" t="inlineStr">
        <is>
          <t>Lamellsnäcka</t>
        </is>
      </c>
      <c r="S229">
        <f>HYPERLINK("https://klasma.github.io/Logging_1290/artfynd/A 42615-2020 artfynd.xlsx", "A 42615-2020")</f>
        <v/>
      </c>
      <c r="T229">
        <f>HYPERLINK("https://klasma.github.io/Logging_1290/kartor/A 42615-2020 karta.png", "A 42615-2020")</f>
        <v/>
      </c>
      <c r="V229">
        <f>HYPERLINK("https://klasma.github.io/Logging_1290/klagomål/A 42615-2020 FSC-klagomål.docx", "A 42615-2020")</f>
        <v/>
      </c>
      <c r="W229">
        <f>HYPERLINK("https://klasma.github.io/Logging_1290/klagomålsmail/A 42615-2020 FSC-klagomål mail.docx", "A 42615-2020")</f>
        <v/>
      </c>
      <c r="X229">
        <f>HYPERLINK("https://klasma.github.io/Logging_1290/tillsyn/A 42615-2020 tillsynsbegäran.docx", "A 42615-2020")</f>
        <v/>
      </c>
      <c r="Y229">
        <f>HYPERLINK("https://klasma.github.io/Logging_1290/tillsynsmail/A 42615-2020 tillsynsbegäran mail.docx", "A 42615-2020")</f>
        <v/>
      </c>
    </row>
    <row r="230" ht="15" customHeight="1">
      <c r="A230" t="inlineStr">
        <is>
          <t>A 44112-2020</t>
        </is>
      </c>
      <c r="B230" s="1" t="n">
        <v>44082</v>
      </c>
      <c r="C230" s="1" t="n">
        <v>45744</v>
      </c>
      <c r="D230" t="inlineStr">
        <is>
          <t>SKÅNE LÄN</t>
        </is>
      </c>
      <c r="E230" t="inlineStr">
        <is>
          <t>OSBY</t>
        </is>
      </c>
      <c r="G230" t="n">
        <v>1.1</v>
      </c>
      <c r="H230" t="n">
        <v>1</v>
      </c>
      <c r="I230" t="n">
        <v>0</v>
      </c>
      <c r="J230" t="n">
        <v>1</v>
      </c>
      <c r="K230" t="n">
        <v>0</v>
      </c>
      <c r="L230" t="n">
        <v>0</v>
      </c>
      <c r="M230" t="n">
        <v>0</v>
      </c>
      <c r="N230" t="n">
        <v>0</v>
      </c>
      <c r="O230" t="n">
        <v>1</v>
      </c>
      <c r="P230" t="n">
        <v>0</v>
      </c>
      <c r="Q230" t="n">
        <v>1</v>
      </c>
      <c r="R230" s="2" t="inlineStr">
        <is>
          <t>Gulsparv</t>
        </is>
      </c>
      <c r="S230">
        <f>HYPERLINK("https://klasma.github.io/Logging_1273/artfynd/A 44112-2020 artfynd.xlsx", "A 44112-2020")</f>
        <v/>
      </c>
      <c r="T230">
        <f>HYPERLINK("https://klasma.github.io/Logging_1273/kartor/A 44112-2020 karta.png", "A 44112-2020")</f>
        <v/>
      </c>
      <c r="V230">
        <f>HYPERLINK("https://klasma.github.io/Logging_1273/klagomål/A 44112-2020 FSC-klagomål.docx", "A 44112-2020")</f>
        <v/>
      </c>
      <c r="W230">
        <f>HYPERLINK("https://klasma.github.io/Logging_1273/klagomålsmail/A 44112-2020 FSC-klagomål mail.docx", "A 44112-2020")</f>
        <v/>
      </c>
      <c r="X230">
        <f>HYPERLINK("https://klasma.github.io/Logging_1273/tillsyn/A 44112-2020 tillsynsbegäran.docx", "A 44112-2020")</f>
        <v/>
      </c>
      <c r="Y230">
        <f>HYPERLINK("https://klasma.github.io/Logging_1273/tillsynsmail/A 44112-2020 tillsynsbegäran mail.docx", "A 44112-2020")</f>
        <v/>
      </c>
      <c r="Z230">
        <f>HYPERLINK("https://klasma.github.io/Logging_1273/fåglar/A 44112-2020 prioriterade fågelarter.docx", "A 44112-2020")</f>
        <v/>
      </c>
    </row>
    <row r="231" ht="15" customHeight="1">
      <c r="A231" t="inlineStr">
        <is>
          <t>A 62434-2020</t>
        </is>
      </c>
      <c r="B231" s="1" t="n">
        <v>44159</v>
      </c>
      <c r="C231" s="1" t="n">
        <v>45744</v>
      </c>
      <c r="D231" t="inlineStr">
        <is>
          <t>SKÅNE LÄN</t>
        </is>
      </c>
      <c r="E231" t="inlineStr">
        <is>
          <t>HÄSSLEHOLM</t>
        </is>
      </c>
      <c r="G231" t="n">
        <v>2</v>
      </c>
      <c r="H231" t="n">
        <v>0</v>
      </c>
      <c r="I231" t="n">
        <v>0</v>
      </c>
      <c r="J231" t="n">
        <v>1</v>
      </c>
      <c r="K231" t="n">
        <v>0</v>
      </c>
      <c r="L231" t="n">
        <v>0</v>
      </c>
      <c r="M231" t="n">
        <v>0</v>
      </c>
      <c r="N231" t="n">
        <v>0</v>
      </c>
      <c r="O231" t="n">
        <v>1</v>
      </c>
      <c r="P231" t="n">
        <v>0</v>
      </c>
      <c r="Q231" t="n">
        <v>1</v>
      </c>
      <c r="R231" s="2" t="inlineStr">
        <is>
          <t>Borsttåg</t>
        </is>
      </c>
      <c r="S231">
        <f>HYPERLINK("https://klasma.github.io/Logging_1293/artfynd/A 62434-2020 artfynd.xlsx", "A 62434-2020")</f>
        <v/>
      </c>
      <c r="T231">
        <f>HYPERLINK("https://klasma.github.io/Logging_1293/kartor/A 62434-2020 karta.png", "A 62434-2020")</f>
        <v/>
      </c>
      <c r="V231">
        <f>HYPERLINK("https://klasma.github.io/Logging_1293/klagomål/A 62434-2020 FSC-klagomål.docx", "A 62434-2020")</f>
        <v/>
      </c>
      <c r="W231">
        <f>HYPERLINK("https://klasma.github.io/Logging_1293/klagomålsmail/A 62434-2020 FSC-klagomål mail.docx", "A 62434-2020")</f>
        <v/>
      </c>
      <c r="X231">
        <f>HYPERLINK("https://klasma.github.io/Logging_1293/tillsyn/A 62434-2020 tillsynsbegäran.docx", "A 62434-2020")</f>
        <v/>
      </c>
      <c r="Y231">
        <f>HYPERLINK("https://klasma.github.io/Logging_1293/tillsynsmail/A 62434-2020 tillsynsbegäran mail.docx", "A 62434-2020")</f>
        <v/>
      </c>
    </row>
    <row r="232" ht="15" customHeight="1">
      <c r="A232" t="inlineStr">
        <is>
          <t>A 63915-2020</t>
        </is>
      </c>
      <c r="B232" s="1" t="n">
        <v>44166</v>
      </c>
      <c r="C232" s="1" t="n">
        <v>45744</v>
      </c>
      <c r="D232" t="inlineStr">
        <is>
          <t>SKÅNE LÄN</t>
        </is>
      </c>
      <c r="E232" t="inlineStr">
        <is>
          <t>OSBY</t>
        </is>
      </c>
      <c r="G232" t="n">
        <v>4.7</v>
      </c>
      <c r="H232" t="n">
        <v>0</v>
      </c>
      <c r="I232" t="n">
        <v>0</v>
      </c>
      <c r="J232" t="n">
        <v>1</v>
      </c>
      <c r="K232" t="n">
        <v>0</v>
      </c>
      <c r="L232" t="n">
        <v>0</v>
      </c>
      <c r="M232" t="n">
        <v>0</v>
      </c>
      <c r="N232" t="n">
        <v>0</v>
      </c>
      <c r="O232" t="n">
        <v>1</v>
      </c>
      <c r="P232" t="n">
        <v>0</v>
      </c>
      <c r="Q232" t="n">
        <v>1</v>
      </c>
      <c r="R232" s="2" t="inlineStr">
        <is>
          <t>Mörk dunört</t>
        </is>
      </c>
      <c r="S232">
        <f>HYPERLINK("https://klasma.github.io/Logging_1273/artfynd/A 63915-2020 artfynd.xlsx", "A 63915-2020")</f>
        <v/>
      </c>
      <c r="T232">
        <f>HYPERLINK("https://klasma.github.io/Logging_1273/kartor/A 63915-2020 karta.png", "A 63915-2020")</f>
        <v/>
      </c>
      <c r="V232">
        <f>HYPERLINK("https://klasma.github.io/Logging_1273/klagomål/A 63915-2020 FSC-klagomål.docx", "A 63915-2020")</f>
        <v/>
      </c>
      <c r="W232">
        <f>HYPERLINK("https://klasma.github.io/Logging_1273/klagomålsmail/A 63915-2020 FSC-klagomål mail.docx", "A 63915-2020")</f>
        <v/>
      </c>
      <c r="X232">
        <f>HYPERLINK("https://klasma.github.io/Logging_1273/tillsyn/A 63915-2020 tillsynsbegäran.docx", "A 63915-2020")</f>
        <v/>
      </c>
      <c r="Y232">
        <f>HYPERLINK("https://klasma.github.io/Logging_1273/tillsynsmail/A 63915-2020 tillsynsbegäran mail.docx", "A 63915-2020")</f>
        <v/>
      </c>
    </row>
    <row r="233" ht="15" customHeight="1">
      <c r="A233" t="inlineStr">
        <is>
          <t>A 63914-2020</t>
        </is>
      </c>
      <c r="B233" s="1" t="n">
        <v>44166</v>
      </c>
      <c r="C233" s="1" t="n">
        <v>45744</v>
      </c>
      <c r="D233" t="inlineStr">
        <is>
          <t>SKÅNE LÄN</t>
        </is>
      </c>
      <c r="E233" t="inlineStr">
        <is>
          <t>OSBY</t>
        </is>
      </c>
      <c r="G233" t="n">
        <v>4.7</v>
      </c>
      <c r="H233" t="n">
        <v>0</v>
      </c>
      <c r="I233" t="n">
        <v>0</v>
      </c>
      <c r="J233" t="n">
        <v>1</v>
      </c>
      <c r="K233" t="n">
        <v>0</v>
      </c>
      <c r="L233" t="n">
        <v>0</v>
      </c>
      <c r="M233" t="n">
        <v>0</v>
      </c>
      <c r="N233" t="n">
        <v>0</v>
      </c>
      <c r="O233" t="n">
        <v>1</v>
      </c>
      <c r="P233" t="n">
        <v>0</v>
      </c>
      <c r="Q233" t="n">
        <v>1</v>
      </c>
      <c r="R233" s="2" t="inlineStr">
        <is>
          <t>Mörk dunört</t>
        </is>
      </c>
      <c r="S233">
        <f>HYPERLINK("https://klasma.github.io/Logging_1273/artfynd/A 63914-2020 artfynd.xlsx", "A 63914-2020")</f>
        <v/>
      </c>
      <c r="T233">
        <f>HYPERLINK("https://klasma.github.io/Logging_1273/kartor/A 63914-2020 karta.png", "A 63914-2020")</f>
        <v/>
      </c>
      <c r="V233">
        <f>HYPERLINK("https://klasma.github.io/Logging_1273/klagomål/A 63914-2020 FSC-klagomål.docx", "A 63914-2020")</f>
        <v/>
      </c>
      <c r="W233">
        <f>HYPERLINK("https://klasma.github.io/Logging_1273/klagomålsmail/A 63914-2020 FSC-klagomål mail.docx", "A 63914-2020")</f>
        <v/>
      </c>
      <c r="X233">
        <f>HYPERLINK("https://klasma.github.io/Logging_1273/tillsyn/A 63914-2020 tillsynsbegäran.docx", "A 63914-2020")</f>
        <v/>
      </c>
      <c r="Y233">
        <f>HYPERLINK("https://klasma.github.io/Logging_1273/tillsynsmail/A 63914-2020 tillsynsbegäran mail.docx", "A 63914-2020")</f>
        <v/>
      </c>
    </row>
    <row r="234" ht="15" customHeight="1">
      <c r="A234" t="inlineStr">
        <is>
          <t>A 64373-2020</t>
        </is>
      </c>
      <c r="B234" s="1" t="n">
        <v>44168</v>
      </c>
      <c r="C234" s="1" t="n">
        <v>45744</v>
      </c>
      <c r="D234" t="inlineStr">
        <is>
          <t>SKÅNE LÄN</t>
        </is>
      </c>
      <c r="E234" t="inlineStr">
        <is>
          <t>SVALÖV</t>
        </is>
      </c>
      <c r="F234" t="inlineStr">
        <is>
          <t>Kyrkan</t>
        </is>
      </c>
      <c r="G234" t="n">
        <v>5.3</v>
      </c>
      <c r="H234" t="n">
        <v>1</v>
      </c>
      <c r="I234" t="n">
        <v>0</v>
      </c>
      <c r="J234" t="n">
        <v>1</v>
      </c>
      <c r="K234" t="n">
        <v>0</v>
      </c>
      <c r="L234" t="n">
        <v>0</v>
      </c>
      <c r="M234" t="n">
        <v>0</v>
      </c>
      <c r="N234" t="n">
        <v>0</v>
      </c>
      <c r="O234" t="n">
        <v>1</v>
      </c>
      <c r="P234" t="n">
        <v>0</v>
      </c>
      <c r="Q234" t="n">
        <v>1</v>
      </c>
      <c r="R234" s="2" t="inlineStr">
        <is>
          <t>Mindre hackspett</t>
        </is>
      </c>
      <c r="S234">
        <f>HYPERLINK("https://klasma.github.io/Logging_1214/artfynd/A 64373-2020 artfynd.xlsx", "A 64373-2020")</f>
        <v/>
      </c>
      <c r="T234">
        <f>HYPERLINK("https://klasma.github.io/Logging_1214/kartor/A 64373-2020 karta.png", "A 64373-2020")</f>
        <v/>
      </c>
      <c r="V234">
        <f>HYPERLINK("https://klasma.github.io/Logging_1214/klagomål/A 64373-2020 FSC-klagomål.docx", "A 64373-2020")</f>
        <v/>
      </c>
      <c r="W234">
        <f>HYPERLINK("https://klasma.github.io/Logging_1214/klagomålsmail/A 64373-2020 FSC-klagomål mail.docx", "A 64373-2020")</f>
        <v/>
      </c>
      <c r="X234">
        <f>HYPERLINK("https://klasma.github.io/Logging_1214/tillsyn/A 64373-2020 tillsynsbegäran.docx", "A 64373-2020")</f>
        <v/>
      </c>
      <c r="Y234">
        <f>HYPERLINK("https://klasma.github.io/Logging_1214/tillsynsmail/A 64373-2020 tillsynsbegäran mail.docx", "A 64373-2020")</f>
        <v/>
      </c>
      <c r="Z234">
        <f>HYPERLINK("https://klasma.github.io/Logging_1214/fåglar/A 64373-2020 prioriterade fågelarter.docx", "A 64373-2020")</f>
        <v/>
      </c>
    </row>
    <row r="235" ht="15" customHeight="1">
      <c r="A235" t="inlineStr">
        <is>
          <t>A 65104-2020</t>
        </is>
      </c>
      <c r="B235" s="1" t="n">
        <v>44172</v>
      </c>
      <c r="C235" s="1" t="n">
        <v>45744</v>
      </c>
      <c r="D235" t="inlineStr">
        <is>
          <t>SKÅNE LÄN</t>
        </is>
      </c>
      <c r="E235" t="inlineStr">
        <is>
          <t>ÄNGELHOLM</t>
        </is>
      </c>
      <c r="G235" t="n">
        <v>0.7</v>
      </c>
      <c r="H235" t="n">
        <v>1</v>
      </c>
      <c r="I235" t="n">
        <v>0</v>
      </c>
      <c r="J235" t="n">
        <v>0</v>
      </c>
      <c r="K235" t="n">
        <v>1</v>
      </c>
      <c r="L235" t="n">
        <v>0</v>
      </c>
      <c r="M235" t="n">
        <v>0</v>
      </c>
      <c r="N235" t="n">
        <v>0</v>
      </c>
      <c r="O235" t="n">
        <v>1</v>
      </c>
      <c r="P235" t="n">
        <v>1</v>
      </c>
      <c r="Q235" t="n">
        <v>1</v>
      </c>
      <c r="R235" s="2" t="inlineStr">
        <is>
          <t>Backsippa</t>
        </is>
      </c>
      <c r="S235">
        <f>HYPERLINK("https://klasma.github.io/Logging_1292/artfynd/A 65104-2020 artfynd.xlsx", "A 65104-2020")</f>
        <v/>
      </c>
      <c r="T235">
        <f>HYPERLINK("https://klasma.github.io/Logging_1292/kartor/A 65104-2020 karta.png", "A 65104-2020")</f>
        <v/>
      </c>
      <c r="V235">
        <f>HYPERLINK("https://klasma.github.io/Logging_1292/klagomål/A 65104-2020 FSC-klagomål.docx", "A 65104-2020")</f>
        <v/>
      </c>
      <c r="W235">
        <f>HYPERLINK("https://klasma.github.io/Logging_1292/klagomålsmail/A 65104-2020 FSC-klagomål mail.docx", "A 65104-2020")</f>
        <v/>
      </c>
      <c r="X235">
        <f>HYPERLINK("https://klasma.github.io/Logging_1292/tillsyn/A 65104-2020 tillsynsbegäran.docx", "A 65104-2020")</f>
        <v/>
      </c>
      <c r="Y235">
        <f>HYPERLINK("https://klasma.github.io/Logging_1292/tillsynsmail/A 65104-2020 tillsynsbegäran mail.docx", "A 65104-2020")</f>
        <v/>
      </c>
    </row>
    <row r="236" ht="15" customHeight="1">
      <c r="A236" t="inlineStr">
        <is>
          <t>A 8833-2021</t>
        </is>
      </c>
      <c r="B236" s="1" t="n">
        <v>44245</v>
      </c>
      <c r="C236" s="1" t="n">
        <v>45744</v>
      </c>
      <c r="D236" t="inlineStr">
        <is>
          <t>SKÅNE LÄN</t>
        </is>
      </c>
      <c r="E236" t="inlineStr">
        <is>
          <t>HÖÖR</t>
        </is>
      </c>
      <c r="G236" t="n">
        <v>2</v>
      </c>
      <c r="H236" t="n">
        <v>1</v>
      </c>
      <c r="I236" t="n">
        <v>0</v>
      </c>
      <c r="J236" t="n">
        <v>0</v>
      </c>
      <c r="K236" t="n">
        <v>0</v>
      </c>
      <c r="L236" t="n">
        <v>0</v>
      </c>
      <c r="M236" t="n">
        <v>0</v>
      </c>
      <c r="N236" t="n">
        <v>0</v>
      </c>
      <c r="O236" t="n">
        <v>0</v>
      </c>
      <c r="P236" t="n">
        <v>0</v>
      </c>
      <c r="Q236" t="n">
        <v>1</v>
      </c>
      <c r="R236" s="2" t="inlineStr">
        <is>
          <t>Mattlummer</t>
        </is>
      </c>
      <c r="S236">
        <f>HYPERLINK("https://klasma.github.io/Logging_1267/artfynd/A 8833-2021 artfynd.xlsx", "A 8833-2021")</f>
        <v/>
      </c>
      <c r="T236">
        <f>HYPERLINK("https://klasma.github.io/Logging_1267/kartor/A 8833-2021 karta.png", "A 8833-2021")</f>
        <v/>
      </c>
      <c r="V236">
        <f>HYPERLINK("https://klasma.github.io/Logging_1267/klagomål/A 8833-2021 FSC-klagomål.docx", "A 8833-2021")</f>
        <v/>
      </c>
      <c r="W236">
        <f>HYPERLINK("https://klasma.github.io/Logging_1267/klagomålsmail/A 8833-2021 FSC-klagomål mail.docx", "A 8833-2021")</f>
        <v/>
      </c>
      <c r="X236">
        <f>HYPERLINK("https://klasma.github.io/Logging_1267/tillsyn/A 8833-2021 tillsynsbegäran.docx", "A 8833-2021")</f>
        <v/>
      </c>
      <c r="Y236">
        <f>HYPERLINK("https://klasma.github.io/Logging_1267/tillsynsmail/A 8833-2021 tillsynsbegäran mail.docx", "A 8833-2021")</f>
        <v/>
      </c>
    </row>
    <row r="237" ht="15" customHeight="1">
      <c r="A237" t="inlineStr">
        <is>
          <t>A 15070-2021</t>
        </is>
      </c>
      <c r="B237" s="1" t="n">
        <v>44281</v>
      </c>
      <c r="C237" s="1" t="n">
        <v>45744</v>
      </c>
      <c r="D237" t="inlineStr">
        <is>
          <t>SKÅNE LÄN</t>
        </is>
      </c>
      <c r="E237" t="inlineStr">
        <is>
          <t>HÖÖR</t>
        </is>
      </c>
      <c r="G237" t="n">
        <v>1.5</v>
      </c>
      <c r="H237" t="n">
        <v>0</v>
      </c>
      <c r="I237" t="n">
        <v>0</v>
      </c>
      <c r="J237" t="n">
        <v>1</v>
      </c>
      <c r="K237" t="n">
        <v>0</v>
      </c>
      <c r="L237" t="n">
        <v>0</v>
      </c>
      <c r="M237" t="n">
        <v>0</v>
      </c>
      <c r="N237" t="n">
        <v>0</v>
      </c>
      <c r="O237" t="n">
        <v>1</v>
      </c>
      <c r="P237" t="n">
        <v>0</v>
      </c>
      <c r="Q237" t="n">
        <v>1</v>
      </c>
      <c r="R237" s="2" t="inlineStr">
        <is>
          <t>Korallticka</t>
        </is>
      </c>
      <c r="S237">
        <f>HYPERLINK("https://klasma.github.io/Logging_1267/artfynd/A 15070-2021 artfynd.xlsx", "A 15070-2021")</f>
        <v/>
      </c>
      <c r="T237">
        <f>HYPERLINK("https://klasma.github.io/Logging_1267/kartor/A 15070-2021 karta.png", "A 15070-2021")</f>
        <v/>
      </c>
      <c r="V237">
        <f>HYPERLINK("https://klasma.github.io/Logging_1267/klagomål/A 15070-2021 FSC-klagomål.docx", "A 15070-2021")</f>
        <v/>
      </c>
      <c r="W237">
        <f>HYPERLINK("https://klasma.github.io/Logging_1267/klagomålsmail/A 15070-2021 FSC-klagomål mail.docx", "A 15070-2021")</f>
        <v/>
      </c>
      <c r="X237">
        <f>HYPERLINK("https://klasma.github.io/Logging_1267/tillsyn/A 15070-2021 tillsynsbegäran.docx", "A 15070-2021")</f>
        <v/>
      </c>
      <c r="Y237">
        <f>HYPERLINK("https://klasma.github.io/Logging_1267/tillsynsmail/A 15070-2021 tillsynsbegäran mail.docx", "A 15070-2021")</f>
        <v/>
      </c>
    </row>
    <row r="238" ht="15" customHeight="1">
      <c r="A238" t="inlineStr">
        <is>
          <t>A 15511-2021</t>
        </is>
      </c>
      <c r="B238" s="1" t="n">
        <v>44285</v>
      </c>
      <c r="C238" s="1" t="n">
        <v>45744</v>
      </c>
      <c r="D238" t="inlineStr">
        <is>
          <t>SKÅNE LÄN</t>
        </is>
      </c>
      <c r="E238" t="inlineStr">
        <is>
          <t>OSBY</t>
        </is>
      </c>
      <c r="G238" t="n">
        <v>1.1</v>
      </c>
      <c r="H238" t="n">
        <v>1</v>
      </c>
      <c r="I238" t="n">
        <v>0</v>
      </c>
      <c r="J238" t="n">
        <v>0</v>
      </c>
      <c r="K238" t="n">
        <v>0</v>
      </c>
      <c r="L238" t="n">
        <v>0</v>
      </c>
      <c r="M238" t="n">
        <v>0</v>
      </c>
      <c r="N238" t="n">
        <v>0</v>
      </c>
      <c r="O238" t="n">
        <v>0</v>
      </c>
      <c r="P238" t="n">
        <v>0</v>
      </c>
      <c r="Q238" t="n">
        <v>1</v>
      </c>
      <c r="R238" s="2" t="inlineStr">
        <is>
          <t>Kungsfågel</t>
        </is>
      </c>
      <c r="S238">
        <f>HYPERLINK("https://klasma.github.io/Logging_1273/artfynd/A 15511-2021 artfynd.xlsx", "A 15511-2021")</f>
        <v/>
      </c>
      <c r="T238">
        <f>HYPERLINK("https://klasma.github.io/Logging_1273/kartor/A 15511-2021 karta.png", "A 15511-2021")</f>
        <v/>
      </c>
      <c r="V238">
        <f>HYPERLINK("https://klasma.github.io/Logging_1273/klagomål/A 15511-2021 FSC-klagomål.docx", "A 15511-2021")</f>
        <v/>
      </c>
      <c r="W238">
        <f>HYPERLINK("https://klasma.github.io/Logging_1273/klagomålsmail/A 15511-2021 FSC-klagomål mail.docx", "A 15511-2021")</f>
        <v/>
      </c>
      <c r="X238">
        <f>HYPERLINK("https://klasma.github.io/Logging_1273/tillsyn/A 15511-2021 tillsynsbegäran.docx", "A 15511-2021")</f>
        <v/>
      </c>
      <c r="Y238">
        <f>HYPERLINK("https://klasma.github.io/Logging_1273/tillsynsmail/A 15511-2021 tillsynsbegäran mail.docx", "A 15511-2021")</f>
        <v/>
      </c>
      <c r="Z238">
        <f>HYPERLINK("https://klasma.github.io/Logging_1273/fåglar/A 15511-2021 prioriterade fågelarter.docx", "A 15511-2021")</f>
        <v/>
      </c>
    </row>
    <row r="239" ht="15" customHeight="1">
      <c r="A239" t="inlineStr">
        <is>
          <t>A 21568-2021</t>
        </is>
      </c>
      <c r="B239" s="1" t="n">
        <v>44314</v>
      </c>
      <c r="C239" s="1" t="n">
        <v>45744</v>
      </c>
      <c r="D239" t="inlineStr">
        <is>
          <t>SKÅNE LÄN</t>
        </is>
      </c>
      <c r="E239" t="inlineStr">
        <is>
          <t>KRISTIANSTAD</t>
        </is>
      </c>
      <c r="G239" t="n">
        <v>18.4</v>
      </c>
      <c r="H239" t="n">
        <v>0</v>
      </c>
      <c r="I239" t="n">
        <v>1</v>
      </c>
      <c r="J239" t="n">
        <v>0</v>
      </c>
      <c r="K239" t="n">
        <v>0</v>
      </c>
      <c r="L239" t="n">
        <v>0</v>
      </c>
      <c r="M239" t="n">
        <v>0</v>
      </c>
      <c r="N239" t="n">
        <v>0</v>
      </c>
      <c r="O239" t="n">
        <v>0</v>
      </c>
      <c r="P239" t="n">
        <v>0</v>
      </c>
      <c r="Q239" t="n">
        <v>1</v>
      </c>
      <c r="R239" s="2" t="inlineStr">
        <is>
          <t>Kransrams</t>
        </is>
      </c>
      <c r="S239">
        <f>HYPERLINK("https://klasma.github.io/Logging_1290/artfynd/A 21568-2021 artfynd.xlsx", "A 21568-2021")</f>
        <v/>
      </c>
      <c r="T239">
        <f>HYPERLINK("https://klasma.github.io/Logging_1290/kartor/A 21568-2021 karta.png", "A 21568-2021")</f>
        <v/>
      </c>
      <c r="V239">
        <f>HYPERLINK("https://klasma.github.io/Logging_1290/klagomål/A 21568-2021 FSC-klagomål.docx", "A 21568-2021")</f>
        <v/>
      </c>
      <c r="W239">
        <f>HYPERLINK("https://klasma.github.io/Logging_1290/klagomålsmail/A 21568-2021 FSC-klagomål mail.docx", "A 21568-2021")</f>
        <v/>
      </c>
      <c r="X239">
        <f>HYPERLINK("https://klasma.github.io/Logging_1290/tillsyn/A 21568-2021 tillsynsbegäran.docx", "A 21568-2021")</f>
        <v/>
      </c>
      <c r="Y239">
        <f>HYPERLINK("https://klasma.github.io/Logging_1290/tillsynsmail/A 21568-2021 tillsynsbegäran mail.docx", "A 21568-2021")</f>
        <v/>
      </c>
    </row>
    <row r="240" ht="15" customHeight="1">
      <c r="A240" t="inlineStr">
        <is>
          <t>A 22549-2021</t>
        </is>
      </c>
      <c r="B240" s="1" t="n">
        <v>44327</v>
      </c>
      <c r="C240" s="1" t="n">
        <v>45744</v>
      </c>
      <c r="D240" t="inlineStr">
        <is>
          <t>SKÅNE LÄN</t>
        </is>
      </c>
      <c r="E240" t="inlineStr">
        <is>
          <t>KRISTIANSTAD</t>
        </is>
      </c>
      <c r="G240" t="n">
        <v>2.5</v>
      </c>
      <c r="H240" t="n">
        <v>1</v>
      </c>
      <c r="I240" t="n">
        <v>0</v>
      </c>
      <c r="J240" t="n">
        <v>0</v>
      </c>
      <c r="K240" t="n">
        <v>0</v>
      </c>
      <c r="L240" t="n">
        <v>0</v>
      </c>
      <c r="M240" t="n">
        <v>0</v>
      </c>
      <c r="N240" t="n">
        <v>0</v>
      </c>
      <c r="O240" t="n">
        <v>0</v>
      </c>
      <c r="P240" t="n">
        <v>0</v>
      </c>
      <c r="Q240" t="n">
        <v>1</v>
      </c>
      <c r="R240" s="2" t="inlineStr">
        <is>
          <t>Lövgroda</t>
        </is>
      </c>
      <c r="S240">
        <f>HYPERLINK("https://klasma.github.io/Logging_1290/artfynd/A 22549-2021 artfynd.xlsx", "A 22549-2021")</f>
        <v/>
      </c>
      <c r="T240">
        <f>HYPERLINK("https://klasma.github.io/Logging_1290/kartor/A 22549-2021 karta.png", "A 22549-2021")</f>
        <v/>
      </c>
      <c r="V240">
        <f>HYPERLINK("https://klasma.github.io/Logging_1290/klagomål/A 22549-2021 FSC-klagomål.docx", "A 22549-2021")</f>
        <v/>
      </c>
      <c r="W240">
        <f>HYPERLINK("https://klasma.github.io/Logging_1290/klagomålsmail/A 22549-2021 FSC-klagomål mail.docx", "A 22549-2021")</f>
        <v/>
      </c>
      <c r="X240">
        <f>HYPERLINK("https://klasma.github.io/Logging_1290/tillsyn/A 22549-2021 tillsynsbegäran.docx", "A 22549-2021")</f>
        <v/>
      </c>
      <c r="Y240">
        <f>HYPERLINK("https://klasma.github.io/Logging_1290/tillsynsmail/A 22549-2021 tillsynsbegäran mail.docx", "A 22549-2021")</f>
        <v/>
      </c>
    </row>
    <row r="241" ht="15" customHeight="1">
      <c r="A241" t="inlineStr">
        <is>
          <t>A 22965-2021</t>
        </is>
      </c>
      <c r="B241" s="1" t="n">
        <v>44328</v>
      </c>
      <c r="C241" s="1" t="n">
        <v>45744</v>
      </c>
      <c r="D241" t="inlineStr">
        <is>
          <t>SKÅNE LÄN</t>
        </is>
      </c>
      <c r="E241" t="inlineStr">
        <is>
          <t>KRISTIANSTAD</t>
        </is>
      </c>
      <c r="G241" t="n">
        <v>1</v>
      </c>
      <c r="H241" t="n">
        <v>1</v>
      </c>
      <c r="I241" t="n">
        <v>0</v>
      </c>
      <c r="J241" t="n">
        <v>0</v>
      </c>
      <c r="K241" t="n">
        <v>0</v>
      </c>
      <c r="L241" t="n">
        <v>0</v>
      </c>
      <c r="M241" t="n">
        <v>0</v>
      </c>
      <c r="N241" t="n">
        <v>0</v>
      </c>
      <c r="O241" t="n">
        <v>0</v>
      </c>
      <c r="P241" t="n">
        <v>0</v>
      </c>
      <c r="Q241" t="n">
        <v>1</v>
      </c>
      <c r="R241" s="2" t="inlineStr">
        <is>
          <t>Kungsfågel</t>
        </is>
      </c>
      <c r="S241">
        <f>HYPERLINK("https://klasma.github.io/Logging_1290/artfynd/A 22965-2021 artfynd.xlsx", "A 22965-2021")</f>
        <v/>
      </c>
      <c r="T241">
        <f>HYPERLINK("https://klasma.github.io/Logging_1290/kartor/A 22965-2021 karta.png", "A 22965-2021")</f>
        <v/>
      </c>
      <c r="V241">
        <f>HYPERLINK("https://klasma.github.io/Logging_1290/klagomål/A 22965-2021 FSC-klagomål.docx", "A 22965-2021")</f>
        <v/>
      </c>
      <c r="W241">
        <f>HYPERLINK("https://klasma.github.io/Logging_1290/klagomålsmail/A 22965-2021 FSC-klagomål mail.docx", "A 22965-2021")</f>
        <v/>
      </c>
      <c r="X241">
        <f>HYPERLINK("https://klasma.github.io/Logging_1290/tillsyn/A 22965-2021 tillsynsbegäran.docx", "A 22965-2021")</f>
        <v/>
      </c>
      <c r="Y241">
        <f>HYPERLINK("https://klasma.github.io/Logging_1290/tillsynsmail/A 22965-2021 tillsynsbegäran mail.docx", "A 22965-2021")</f>
        <v/>
      </c>
      <c r="Z241">
        <f>HYPERLINK("https://klasma.github.io/Logging_1290/fåglar/A 22965-2021 prioriterade fågelarter.docx", "A 22965-2021")</f>
        <v/>
      </c>
    </row>
    <row r="242" ht="15" customHeight="1">
      <c r="A242" t="inlineStr">
        <is>
          <t>A 30708-2021</t>
        </is>
      </c>
      <c r="B242" s="1" t="n">
        <v>44365</v>
      </c>
      <c r="C242" s="1" t="n">
        <v>45744</v>
      </c>
      <c r="D242" t="inlineStr">
        <is>
          <t>SKÅNE LÄN</t>
        </is>
      </c>
      <c r="E242" t="inlineStr">
        <is>
          <t>KLIPPAN</t>
        </is>
      </c>
      <c r="G242" t="n">
        <v>0.5</v>
      </c>
      <c r="H242" t="n">
        <v>0</v>
      </c>
      <c r="I242" t="n">
        <v>0</v>
      </c>
      <c r="J242" t="n">
        <v>1</v>
      </c>
      <c r="K242" t="n">
        <v>0</v>
      </c>
      <c r="L242" t="n">
        <v>0</v>
      </c>
      <c r="M242" t="n">
        <v>0</v>
      </c>
      <c r="N242" t="n">
        <v>0</v>
      </c>
      <c r="O242" t="n">
        <v>1</v>
      </c>
      <c r="P242" t="n">
        <v>0</v>
      </c>
      <c r="Q242" t="n">
        <v>1</v>
      </c>
      <c r="R242" s="2" t="inlineStr">
        <is>
          <t>Koralltaggsvamp</t>
        </is>
      </c>
      <c r="S242">
        <f>HYPERLINK("https://klasma.github.io/Logging_1276/artfynd/A 30708-2021 artfynd.xlsx", "A 30708-2021")</f>
        <v/>
      </c>
      <c r="T242">
        <f>HYPERLINK("https://klasma.github.io/Logging_1276/kartor/A 30708-2021 karta.png", "A 30708-2021")</f>
        <v/>
      </c>
      <c r="V242">
        <f>HYPERLINK("https://klasma.github.io/Logging_1276/klagomål/A 30708-2021 FSC-klagomål.docx", "A 30708-2021")</f>
        <v/>
      </c>
      <c r="W242">
        <f>HYPERLINK("https://klasma.github.io/Logging_1276/klagomålsmail/A 30708-2021 FSC-klagomål mail.docx", "A 30708-2021")</f>
        <v/>
      </c>
      <c r="X242">
        <f>HYPERLINK("https://klasma.github.io/Logging_1276/tillsyn/A 30708-2021 tillsynsbegäran.docx", "A 30708-2021")</f>
        <v/>
      </c>
      <c r="Y242">
        <f>HYPERLINK("https://klasma.github.io/Logging_1276/tillsynsmail/A 30708-2021 tillsynsbegäran mail.docx", "A 30708-2021")</f>
        <v/>
      </c>
    </row>
    <row r="243" ht="15" customHeight="1">
      <c r="A243" t="inlineStr">
        <is>
          <t>A 30721-2021</t>
        </is>
      </c>
      <c r="B243" s="1" t="n">
        <v>44365</v>
      </c>
      <c r="C243" s="1" t="n">
        <v>45744</v>
      </c>
      <c r="D243" t="inlineStr">
        <is>
          <t>SKÅNE LÄN</t>
        </is>
      </c>
      <c r="E243" t="inlineStr">
        <is>
          <t>KLIPPAN</t>
        </is>
      </c>
      <c r="G243" t="n">
        <v>0.4</v>
      </c>
      <c r="H243" t="n">
        <v>0</v>
      </c>
      <c r="I243" t="n">
        <v>1</v>
      </c>
      <c r="J243" t="n">
        <v>0</v>
      </c>
      <c r="K243" t="n">
        <v>0</v>
      </c>
      <c r="L243" t="n">
        <v>0</v>
      </c>
      <c r="M243" t="n">
        <v>0</v>
      </c>
      <c r="N243" t="n">
        <v>0</v>
      </c>
      <c r="O243" t="n">
        <v>0</v>
      </c>
      <c r="P243" t="n">
        <v>0</v>
      </c>
      <c r="Q243" t="n">
        <v>1</v>
      </c>
      <c r="R243" s="2" t="inlineStr">
        <is>
          <t>Brandticka</t>
        </is>
      </c>
      <c r="S243">
        <f>HYPERLINK("https://klasma.github.io/Logging_1276/artfynd/A 30721-2021 artfynd.xlsx", "A 30721-2021")</f>
        <v/>
      </c>
      <c r="T243">
        <f>HYPERLINK("https://klasma.github.io/Logging_1276/kartor/A 30721-2021 karta.png", "A 30721-2021")</f>
        <v/>
      </c>
      <c r="V243">
        <f>HYPERLINK("https://klasma.github.io/Logging_1276/klagomål/A 30721-2021 FSC-klagomål.docx", "A 30721-2021")</f>
        <v/>
      </c>
      <c r="W243">
        <f>HYPERLINK("https://klasma.github.io/Logging_1276/klagomålsmail/A 30721-2021 FSC-klagomål mail.docx", "A 30721-2021")</f>
        <v/>
      </c>
      <c r="X243">
        <f>HYPERLINK("https://klasma.github.io/Logging_1276/tillsyn/A 30721-2021 tillsynsbegäran.docx", "A 30721-2021")</f>
        <v/>
      </c>
      <c r="Y243">
        <f>HYPERLINK("https://klasma.github.io/Logging_1276/tillsynsmail/A 30721-2021 tillsynsbegäran mail.docx", "A 30721-2021")</f>
        <v/>
      </c>
    </row>
    <row r="244" ht="15" customHeight="1">
      <c r="A244" t="inlineStr">
        <is>
          <t>A 32766-2021</t>
        </is>
      </c>
      <c r="B244" s="1" t="n">
        <v>44375</v>
      </c>
      <c r="C244" s="1" t="n">
        <v>45744</v>
      </c>
      <c r="D244" t="inlineStr">
        <is>
          <t>SKÅNE LÄN</t>
        </is>
      </c>
      <c r="E244" t="inlineStr">
        <is>
          <t>OSBY</t>
        </is>
      </c>
      <c r="G244" t="n">
        <v>1.9</v>
      </c>
      <c r="H244" t="n">
        <v>0</v>
      </c>
      <c r="I244" t="n">
        <v>1</v>
      </c>
      <c r="J244" t="n">
        <v>0</v>
      </c>
      <c r="K244" t="n">
        <v>0</v>
      </c>
      <c r="L244" t="n">
        <v>0</v>
      </c>
      <c r="M244" t="n">
        <v>0</v>
      </c>
      <c r="N244" t="n">
        <v>0</v>
      </c>
      <c r="O244" t="n">
        <v>0</v>
      </c>
      <c r="P244" t="n">
        <v>0</v>
      </c>
      <c r="Q244" t="n">
        <v>1</v>
      </c>
      <c r="R244" s="2" t="inlineStr">
        <is>
          <t>Smal svampklubba</t>
        </is>
      </c>
      <c r="S244">
        <f>HYPERLINK("https://klasma.github.io/Logging_1273/artfynd/A 32766-2021 artfynd.xlsx", "A 32766-2021")</f>
        <v/>
      </c>
      <c r="T244">
        <f>HYPERLINK("https://klasma.github.io/Logging_1273/kartor/A 32766-2021 karta.png", "A 32766-2021")</f>
        <v/>
      </c>
      <c r="V244">
        <f>HYPERLINK("https://klasma.github.io/Logging_1273/klagomål/A 32766-2021 FSC-klagomål.docx", "A 32766-2021")</f>
        <v/>
      </c>
      <c r="W244">
        <f>HYPERLINK("https://klasma.github.io/Logging_1273/klagomålsmail/A 32766-2021 FSC-klagomål mail.docx", "A 32766-2021")</f>
        <v/>
      </c>
      <c r="X244">
        <f>HYPERLINK("https://klasma.github.io/Logging_1273/tillsyn/A 32766-2021 tillsynsbegäran.docx", "A 32766-2021")</f>
        <v/>
      </c>
      <c r="Y244">
        <f>HYPERLINK("https://klasma.github.io/Logging_1273/tillsynsmail/A 32766-2021 tillsynsbegäran mail.docx", "A 32766-2021")</f>
        <v/>
      </c>
    </row>
    <row r="245" ht="15" customHeight="1">
      <c r="A245" t="inlineStr">
        <is>
          <t>A 35443-2021</t>
        </is>
      </c>
      <c r="B245" s="1" t="n">
        <v>44385</v>
      </c>
      <c r="C245" s="1" t="n">
        <v>45744</v>
      </c>
      <c r="D245" t="inlineStr">
        <is>
          <t>SKÅNE LÄN</t>
        </is>
      </c>
      <c r="E245" t="inlineStr">
        <is>
          <t>LUND</t>
        </is>
      </c>
      <c r="G245" t="n">
        <v>4.2</v>
      </c>
      <c r="H245" t="n">
        <v>0</v>
      </c>
      <c r="I245" t="n">
        <v>0</v>
      </c>
      <c r="J245" t="n">
        <v>0</v>
      </c>
      <c r="K245" t="n">
        <v>0</v>
      </c>
      <c r="L245" t="n">
        <v>1</v>
      </c>
      <c r="M245" t="n">
        <v>0</v>
      </c>
      <c r="N245" t="n">
        <v>0</v>
      </c>
      <c r="O245" t="n">
        <v>1</v>
      </c>
      <c r="P245" t="n">
        <v>1</v>
      </c>
      <c r="Q245" t="n">
        <v>1</v>
      </c>
      <c r="R245" s="2" t="inlineStr">
        <is>
          <t>Klubbfibbla</t>
        </is>
      </c>
      <c r="S245">
        <f>HYPERLINK("https://klasma.github.io/Logging_1281/artfynd/A 35443-2021 artfynd.xlsx", "A 35443-2021")</f>
        <v/>
      </c>
      <c r="T245">
        <f>HYPERLINK("https://klasma.github.io/Logging_1281/kartor/A 35443-2021 karta.png", "A 35443-2021")</f>
        <v/>
      </c>
      <c r="V245">
        <f>HYPERLINK("https://klasma.github.io/Logging_1281/klagomål/A 35443-2021 FSC-klagomål.docx", "A 35443-2021")</f>
        <v/>
      </c>
      <c r="W245">
        <f>HYPERLINK("https://klasma.github.io/Logging_1281/klagomålsmail/A 35443-2021 FSC-klagomål mail.docx", "A 35443-2021")</f>
        <v/>
      </c>
      <c r="X245">
        <f>HYPERLINK("https://klasma.github.io/Logging_1281/tillsyn/A 35443-2021 tillsynsbegäran.docx", "A 35443-2021")</f>
        <v/>
      </c>
      <c r="Y245">
        <f>HYPERLINK("https://klasma.github.io/Logging_1281/tillsynsmail/A 35443-2021 tillsynsbegäran mail.docx", "A 35443-2021")</f>
        <v/>
      </c>
    </row>
    <row r="246" ht="15" customHeight="1">
      <c r="A246" t="inlineStr">
        <is>
          <t>A 37286-2021</t>
        </is>
      </c>
      <c r="B246" s="1" t="n">
        <v>44390</v>
      </c>
      <c r="C246" s="1" t="n">
        <v>45744</v>
      </c>
      <c r="D246" t="inlineStr">
        <is>
          <t>SKÅNE LÄN</t>
        </is>
      </c>
      <c r="E246" t="inlineStr">
        <is>
          <t>HÖÖR</t>
        </is>
      </c>
      <c r="G246" t="n">
        <v>2.2</v>
      </c>
      <c r="H246" t="n">
        <v>0</v>
      </c>
      <c r="I246" t="n">
        <v>0</v>
      </c>
      <c r="J246" t="n">
        <v>0</v>
      </c>
      <c r="K246" t="n">
        <v>1</v>
      </c>
      <c r="L246" t="n">
        <v>0</v>
      </c>
      <c r="M246" t="n">
        <v>0</v>
      </c>
      <c r="N246" t="n">
        <v>0</v>
      </c>
      <c r="O246" t="n">
        <v>1</v>
      </c>
      <c r="P246" t="n">
        <v>1</v>
      </c>
      <c r="Q246" t="n">
        <v>1</v>
      </c>
      <c r="R246" s="2" t="inlineStr">
        <is>
          <t>Småvänderot</t>
        </is>
      </c>
      <c r="S246">
        <f>HYPERLINK("https://klasma.github.io/Logging_1267/artfynd/A 37286-2021 artfynd.xlsx", "A 37286-2021")</f>
        <v/>
      </c>
      <c r="T246">
        <f>HYPERLINK("https://klasma.github.io/Logging_1267/kartor/A 37286-2021 karta.png", "A 37286-2021")</f>
        <v/>
      </c>
      <c r="V246">
        <f>HYPERLINK("https://klasma.github.io/Logging_1267/klagomål/A 37286-2021 FSC-klagomål.docx", "A 37286-2021")</f>
        <v/>
      </c>
      <c r="W246">
        <f>HYPERLINK("https://klasma.github.io/Logging_1267/klagomålsmail/A 37286-2021 FSC-klagomål mail.docx", "A 37286-2021")</f>
        <v/>
      </c>
      <c r="X246">
        <f>HYPERLINK("https://klasma.github.io/Logging_1267/tillsyn/A 37286-2021 tillsynsbegäran.docx", "A 37286-2021")</f>
        <v/>
      </c>
      <c r="Y246">
        <f>HYPERLINK("https://klasma.github.io/Logging_1267/tillsynsmail/A 37286-2021 tillsynsbegäran mail.docx", "A 37286-2021")</f>
        <v/>
      </c>
    </row>
    <row r="247" ht="15" customHeight="1">
      <c r="A247" t="inlineStr">
        <is>
          <t>A 44327-2021</t>
        </is>
      </c>
      <c r="B247" s="1" t="n">
        <v>44434</v>
      </c>
      <c r="C247" s="1" t="n">
        <v>45744</v>
      </c>
      <c r="D247" t="inlineStr">
        <is>
          <t>SKÅNE LÄN</t>
        </is>
      </c>
      <c r="E247" t="inlineStr">
        <is>
          <t>HÖÖR</t>
        </is>
      </c>
      <c r="G247" t="n">
        <v>12.1</v>
      </c>
      <c r="H247" t="n">
        <v>1</v>
      </c>
      <c r="I247" t="n">
        <v>0</v>
      </c>
      <c r="J247" t="n">
        <v>0</v>
      </c>
      <c r="K247" t="n">
        <v>0</v>
      </c>
      <c r="L247" t="n">
        <v>1</v>
      </c>
      <c r="M247" t="n">
        <v>0</v>
      </c>
      <c r="N247" t="n">
        <v>0</v>
      </c>
      <c r="O247" t="n">
        <v>1</v>
      </c>
      <c r="P247" t="n">
        <v>1</v>
      </c>
      <c r="Q247" t="n">
        <v>1</v>
      </c>
      <c r="R247" s="2" t="inlineStr">
        <is>
          <t>Årta</t>
        </is>
      </c>
      <c r="S247">
        <f>HYPERLINK("https://klasma.github.io/Logging_1267/artfynd/A 44327-2021 artfynd.xlsx", "A 44327-2021")</f>
        <v/>
      </c>
      <c r="T247">
        <f>HYPERLINK("https://klasma.github.io/Logging_1267/kartor/A 44327-2021 karta.png", "A 44327-2021")</f>
        <v/>
      </c>
      <c r="V247">
        <f>HYPERLINK("https://klasma.github.io/Logging_1267/klagomål/A 44327-2021 FSC-klagomål.docx", "A 44327-2021")</f>
        <v/>
      </c>
      <c r="W247">
        <f>HYPERLINK("https://klasma.github.io/Logging_1267/klagomålsmail/A 44327-2021 FSC-klagomål mail.docx", "A 44327-2021")</f>
        <v/>
      </c>
      <c r="X247">
        <f>HYPERLINK("https://klasma.github.io/Logging_1267/tillsyn/A 44327-2021 tillsynsbegäran.docx", "A 44327-2021")</f>
        <v/>
      </c>
      <c r="Y247">
        <f>HYPERLINK("https://klasma.github.io/Logging_1267/tillsynsmail/A 44327-2021 tillsynsbegäran mail.docx", "A 44327-2021")</f>
        <v/>
      </c>
    </row>
    <row r="248" ht="15" customHeight="1">
      <c r="A248" t="inlineStr">
        <is>
          <t>A 44705-2021</t>
        </is>
      </c>
      <c r="B248" s="1" t="n">
        <v>44438</v>
      </c>
      <c r="C248" s="1" t="n">
        <v>45744</v>
      </c>
      <c r="D248" t="inlineStr">
        <is>
          <t>SKÅNE LÄN</t>
        </is>
      </c>
      <c r="E248" t="inlineStr">
        <is>
          <t>HÄSSLEHOLM</t>
        </is>
      </c>
      <c r="G248" t="n">
        <v>1.7</v>
      </c>
      <c r="H248" t="n">
        <v>0</v>
      </c>
      <c r="I248" t="n">
        <v>1</v>
      </c>
      <c r="J248" t="n">
        <v>0</v>
      </c>
      <c r="K248" t="n">
        <v>0</v>
      </c>
      <c r="L248" t="n">
        <v>0</v>
      </c>
      <c r="M248" t="n">
        <v>0</v>
      </c>
      <c r="N248" t="n">
        <v>0</v>
      </c>
      <c r="O248" t="n">
        <v>0</v>
      </c>
      <c r="P248" t="n">
        <v>0</v>
      </c>
      <c r="Q248" t="n">
        <v>1</v>
      </c>
      <c r="R248" s="2" t="inlineStr">
        <is>
          <t>Blåmossa</t>
        </is>
      </c>
      <c r="S248">
        <f>HYPERLINK("https://klasma.github.io/Logging_1293/artfynd/A 44705-2021 artfynd.xlsx", "A 44705-2021")</f>
        <v/>
      </c>
      <c r="T248">
        <f>HYPERLINK("https://klasma.github.io/Logging_1293/kartor/A 44705-2021 karta.png", "A 44705-2021")</f>
        <v/>
      </c>
      <c r="V248">
        <f>HYPERLINK("https://klasma.github.io/Logging_1293/klagomål/A 44705-2021 FSC-klagomål.docx", "A 44705-2021")</f>
        <v/>
      </c>
      <c r="W248">
        <f>HYPERLINK("https://klasma.github.io/Logging_1293/klagomålsmail/A 44705-2021 FSC-klagomål mail.docx", "A 44705-2021")</f>
        <v/>
      </c>
      <c r="X248">
        <f>HYPERLINK("https://klasma.github.io/Logging_1293/tillsyn/A 44705-2021 tillsynsbegäran.docx", "A 44705-2021")</f>
        <v/>
      </c>
      <c r="Y248">
        <f>HYPERLINK("https://klasma.github.io/Logging_1293/tillsynsmail/A 44705-2021 tillsynsbegäran mail.docx", "A 44705-2021")</f>
        <v/>
      </c>
    </row>
    <row r="249" ht="15" customHeight="1">
      <c r="A249" t="inlineStr">
        <is>
          <t>A 46919-2021</t>
        </is>
      </c>
      <c r="B249" s="1" t="n">
        <v>44446</v>
      </c>
      <c r="C249" s="1" t="n">
        <v>45744</v>
      </c>
      <c r="D249" t="inlineStr">
        <is>
          <t>SKÅNE LÄN</t>
        </is>
      </c>
      <c r="E249" t="inlineStr">
        <is>
          <t>HÖÖR</t>
        </is>
      </c>
      <c r="G249" t="n">
        <v>2.8</v>
      </c>
      <c r="H249" t="n">
        <v>0</v>
      </c>
      <c r="I249" t="n">
        <v>1</v>
      </c>
      <c r="J249" t="n">
        <v>0</v>
      </c>
      <c r="K249" t="n">
        <v>0</v>
      </c>
      <c r="L249" t="n">
        <v>0</v>
      </c>
      <c r="M249" t="n">
        <v>0</v>
      </c>
      <c r="N249" t="n">
        <v>0</v>
      </c>
      <c r="O249" t="n">
        <v>0</v>
      </c>
      <c r="P249" t="n">
        <v>0</v>
      </c>
      <c r="Q249" t="n">
        <v>1</v>
      </c>
      <c r="R249" s="2" t="inlineStr">
        <is>
          <t>Strutbräken</t>
        </is>
      </c>
      <c r="S249">
        <f>HYPERLINK("https://klasma.github.io/Logging_1267/artfynd/A 46919-2021 artfynd.xlsx", "A 46919-2021")</f>
        <v/>
      </c>
      <c r="T249">
        <f>HYPERLINK("https://klasma.github.io/Logging_1267/kartor/A 46919-2021 karta.png", "A 46919-2021")</f>
        <v/>
      </c>
      <c r="V249">
        <f>HYPERLINK("https://klasma.github.io/Logging_1267/klagomål/A 46919-2021 FSC-klagomål.docx", "A 46919-2021")</f>
        <v/>
      </c>
      <c r="W249">
        <f>HYPERLINK("https://klasma.github.io/Logging_1267/klagomålsmail/A 46919-2021 FSC-klagomål mail.docx", "A 46919-2021")</f>
        <v/>
      </c>
      <c r="X249">
        <f>HYPERLINK("https://klasma.github.io/Logging_1267/tillsyn/A 46919-2021 tillsynsbegäran.docx", "A 46919-2021")</f>
        <v/>
      </c>
      <c r="Y249">
        <f>HYPERLINK("https://klasma.github.io/Logging_1267/tillsynsmail/A 46919-2021 tillsynsbegäran mail.docx", "A 46919-2021")</f>
        <v/>
      </c>
    </row>
    <row r="250" ht="15" customHeight="1">
      <c r="A250" t="inlineStr">
        <is>
          <t>A 52355-2021</t>
        </is>
      </c>
      <c r="B250" s="1" t="n">
        <v>44464</v>
      </c>
      <c r="C250" s="1" t="n">
        <v>45744</v>
      </c>
      <c r="D250" t="inlineStr">
        <is>
          <t>SKÅNE LÄN</t>
        </is>
      </c>
      <c r="E250" t="inlineStr">
        <is>
          <t>LUND</t>
        </is>
      </c>
      <c r="G250" t="n">
        <v>2.5</v>
      </c>
      <c r="H250" t="n">
        <v>0</v>
      </c>
      <c r="I250" t="n">
        <v>0</v>
      </c>
      <c r="J250" t="n">
        <v>0</v>
      </c>
      <c r="K250" t="n">
        <v>0</v>
      </c>
      <c r="L250" t="n">
        <v>0</v>
      </c>
      <c r="M250" t="n">
        <v>1</v>
      </c>
      <c r="N250" t="n">
        <v>0</v>
      </c>
      <c r="O250" t="n">
        <v>1</v>
      </c>
      <c r="P250" t="n">
        <v>1</v>
      </c>
      <c r="Q250" t="n">
        <v>1</v>
      </c>
      <c r="R250" s="2" t="inlineStr">
        <is>
          <t>Skogsalm</t>
        </is>
      </c>
      <c r="S250">
        <f>HYPERLINK("https://klasma.github.io/Logging_1281/artfynd/A 52355-2021 artfynd.xlsx", "A 52355-2021")</f>
        <v/>
      </c>
      <c r="T250">
        <f>HYPERLINK("https://klasma.github.io/Logging_1281/kartor/A 52355-2021 karta.png", "A 52355-2021")</f>
        <v/>
      </c>
      <c r="V250">
        <f>HYPERLINK("https://klasma.github.io/Logging_1281/klagomål/A 52355-2021 FSC-klagomål.docx", "A 52355-2021")</f>
        <v/>
      </c>
      <c r="W250">
        <f>HYPERLINK("https://klasma.github.io/Logging_1281/klagomålsmail/A 52355-2021 FSC-klagomål mail.docx", "A 52355-2021")</f>
        <v/>
      </c>
      <c r="X250">
        <f>HYPERLINK("https://klasma.github.io/Logging_1281/tillsyn/A 52355-2021 tillsynsbegäran.docx", "A 52355-2021")</f>
        <v/>
      </c>
      <c r="Y250">
        <f>HYPERLINK("https://klasma.github.io/Logging_1281/tillsynsmail/A 52355-2021 tillsynsbegäran mail.docx", "A 52355-2021")</f>
        <v/>
      </c>
    </row>
    <row r="251" ht="15" customHeight="1">
      <c r="A251" t="inlineStr">
        <is>
          <t>A 57968-2021</t>
        </is>
      </c>
      <c r="B251" s="1" t="n">
        <v>44487</v>
      </c>
      <c r="C251" s="1" t="n">
        <v>45744</v>
      </c>
      <c r="D251" t="inlineStr">
        <is>
          <t>SKÅNE LÄN</t>
        </is>
      </c>
      <c r="E251" t="inlineStr">
        <is>
          <t>KLIPPAN</t>
        </is>
      </c>
      <c r="G251" t="n">
        <v>5.2</v>
      </c>
      <c r="H251" t="n">
        <v>0</v>
      </c>
      <c r="I251" t="n">
        <v>0</v>
      </c>
      <c r="J251" t="n">
        <v>1</v>
      </c>
      <c r="K251" t="n">
        <v>0</v>
      </c>
      <c r="L251" t="n">
        <v>0</v>
      </c>
      <c r="M251" t="n">
        <v>0</v>
      </c>
      <c r="N251" t="n">
        <v>0</v>
      </c>
      <c r="O251" t="n">
        <v>1</v>
      </c>
      <c r="P251" t="n">
        <v>0</v>
      </c>
      <c r="Q251" t="n">
        <v>1</v>
      </c>
      <c r="R251" s="2" t="inlineStr">
        <is>
          <t>Kösa</t>
        </is>
      </c>
      <c r="S251">
        <f>HYPERLINK("https://klasma.github.io/Logging_1276/artfynd/A 57968-2021 artfynd.xlsx", "A 57968-2021")</f>
        <v/>
      </c>
      <c r="T251">
        <f>HYPERLINK("https://klasma.github.io/Logging_1276/kartor/A 57968-2021 karta.png", "A 57968-2021")</f>
        <v/>
      </c>
      <c r="V251">
        <f>HYPERLINK("https://klasma.github.io/Logging_1276/klagomål/A 57968-2021 FSC-klagomål.docx", "A 57968-2021")</f>
        <v/>
      </c>
      <c r="W251">
        <f>HYPERLINK("https://klasma.github.io/Logging_1276/klagomålsmail/A 57968-2021 FSC-klagomål mail.docx", "A 57968-2021")</f>
        <v/>
      </c>
      <c r="X251">
        <f>HYPERLINK("https://klasma.github.io/Logging_1276/tillsyn/A 57968-2021 tillsynsbegäran.docx", "A 57968-2021")</f>
        <v/>
      </c>
      <c r="Y251">
        <f>HYPERLINK("https://klasma.github.io/Logging_1276/tillsynsmail/A 57968-2021 tillsynsbegäran mail.docx", "A 57968-2021")</f>
        <v/>
      </c>
    </row>
    <row r="252" ht="15" customHeight="1">
      <c r="A252" t="inlineStr">
        <is>
          <t>A 65473-2021</t>
        </is>
      </c>
      <c r="B252" s="1" t="n">
        <v>44516</v>
      </c>
      <c r="C252" s="1" t="n">
        <v>45744</v>
      </c>
      <c r="D252" t="inlineStr">
        <is>
          <t>SKÅNE LÄN</t>
        </is>
      </c>
      <c r="E252" t="inlineStr">
        <is>
          <t>ÖRKELLJUNGA</t>
        </is>
      </c>
      <c r="G252" t="n">
        <v>0.5</v>
      </c>
      <c r="H252" t="n">
        <v>0</v>
      </c>
      <c r="I252" t="n">
        <v>1</v>
      </c>
      <c r="J252" t="n">
        <v>0</v>
      </c>
      <c r="K252" t="n">
        <v>0</v>
      </c>
      <c r="L252" t="n">
        <v>0</v>
      </c>
      <c r="M252" t="n">
        <v>0</v>
      </c>
      <c r="N252" t="n">
        <v>0</v>
      </c>
      <c r="O252" t="n">
        <v>0</v>
      </c>
      <c r="P252" t="n">
        <v>0</v>
      </c>
      <c r="Q252" t="n">
        <v>1</v>
      </c>
      <c r="R252" s="2" t="inlineStr">
        <is>
          <t>Blåmossa</t>
        </is>
      </c>
      <c r="S252">
        <f>HYPERLINK("https://klasma.github.io/Logging_1257/artfynd/A 65473-2021 artfynd.xlsx", "A 65473-2021")</f>
        <v/>
      </c>
      <c r="T252">
        <f>HYPERLINK("https://klasma.github.io/Logging_1257/kartor/A 65473-2021 karta.png", "A 65473-2021")</f>
        <v/>
      </c>
      <c r="V252">
        <f>HYPERLINK("https://klasma.github.io/Logging_1257/klagomål/A 65473-2021 FSC-klagomål.docx", "A 65473-2021")</f>
        <v/>
      </c>
      <c r="W252">
        <f>HYPERLINK("https://klasma.github.io/Logging_1257/klagomålsmail/A 65473-2021 FSC-klagomål mail.docx", "A 65473-2021")</f>
        <v/>
      </c>
      <c r="X252">
        <f>HYPERLINK("https://klasma.github.io/Logging_1257/tillsyn/A 65473-2021 tillsynsbegäran.docx", "A 65473-2021")</f>
        <v/>
      </c>
      <c r="Y252">
        <f>HYPERLINK("https://klasma.github.io/Logging_1257/tillsynsmail/A 65473-2021 tillsynsbegäran mail.docx", "A 65473-2021")</f>
        <v/>
      </c>
    </row>
    <row r="253" ht="15" customHeight="1">
      <c r="A253" t="inlineStr">
        <is>
          <t>A 71055-2021</t>
        </is>
      </c>
      <c r="B253" s="1" t="n">
        <v>44538</v>
      </c>
      <c r="C253" s="1" t="n">
        <v>45744</v>
      </c>
      <c r="D253" t="inlineStr">
        <is>
          <t>SKÅNE LÄN</t>
        </is>
      </c>
      <c r="E253" t="inlineStr">
        <is>
          <t>SJÖBO</t>
        </is>
      </c>
      <c r="G253" t="n">
        <v>7.2</v>
      </c>
      <c r="H253" t="n">
        <v>0</v>
      </c>
      <c r="I253" t="n">
        <v>0</v>
      </c>
      <c r="J253" t="n">
        <v>0</v>
      </c>
      <c r="K253" t="n">
        <v>0</v>
      </c>
      <c r="L253" t="n">
        <v>0</v>
      </c>
      <c r="M253" t="n">
        <v>1</v>
      </c>
      <c r="N253" t="n">
        <v>0</v>
      </c>
      <c r="O253" t="n">
        <v>1</v>
      </c>
      <c r="P253" t="n">
        <v>1</v>
      </c>
      <c r="Q253" t="n">
        <v>1</v>
      </c>
      <c r="R253" s="2" t="inlineStr">
        <is>
          <t>Skogsalm</t>
        </is>
      </c>
      <c r="S253">
        <f>HYPERLINK("https://klasma.github.io/Logging_1265/artfynd/A 71055-2021 artfynd.xlsx", "A 71055-2021")</f>
        <v/>
      </c>
      <c r="T253">
        <f>HYPERLINK("https://klasma.github.io/Logging_1265/kartor/A 71055-2021 karta.png", "A 71055-2021")</f>
        <v/>
      </c>
      <c r="V253">
        <f>HYPERLINK("https://klasma.github.io/Logging_1265/klagomål/A 71055-2021 FSC-klagomål.docx", "A 71055-2021")</f>
        <v/>
      </c>
      <c r="W253">
        <f>HYPERLINK("https://klasma.github.io/Logging_1265/klagomålsmail/A 71055-2021 FSC-klagomål mail.docx", "A 71055-2021")</f>
        <v/>
      </c>
      <c r="X253">
        <f>HYPERLINK("https://klasma.github.io/Logging_1265/tillsyn/A 71055-2021 tillsynsbegäran.docx", "A 71055-2021")</f>
        <v/>
      </c>
      <c r="Y253">
        <f>HYPERLINK("https://klasma.github.io/Logging_1265/tillsynsmail/A 71055-2021 tillsynsbegäran mail.docx", "A 71055-2021")</f>
        <v/>
      </c>
    </row>
    <row r="254" ht="15" customHeight="1">
      <c r="A254" t="inlineStr">
        <is>
          <t>A 72269-2021</t>
        </is>
      </c>
      <c r="B254" s="1" t="n">
        <v>44543</v>
      </c>
      <c r="C254" s="1" t="n">
        <v>45744</v>
      </c>
      <c r="D254" t="inlineStr">
        <is>
          <t>SKÅNE LÄN</t>
        </is>
      </c>
      <c r="E254" t="inlineStr">
        <is>
          <t>LUND</t>
        </is>
      </c>
      <c r="G254" t="n">
        <v>3.2</v>
      </c>
      <c r="H254" t="n">
        <v>0</v>
      </c>
      <c r="I254" t="n">
        <v>1</v>
      </c>
      <c r="J254" t="n">
        <v>0</v>
      </c>
      <c r="K254" t="n">
        <v>0</v>
      </c>
      <c r="L254" t="n">
        <v>0</v>
      </c>
      <c r="M254" t="n">
        <v>0</v>
      </c>
      <c r="N254" t="n">
        <v>0</v>
      </c>
      <c r="O254" t="n">
        <v>0</v>
      </c>
      <c r="P254" t="n">
        <v>0</v>
      </c>
      <c r="Q254" t="n">
        <v>1</v>
      </c>
      <c r="R254" s="2" t="inlineStr">
        <is>
          <t>Stor häxört</t>
        </is>
      </c>
      <c r="S254">
        <f>HYPERLINK("https://klasma.github.io/Logging_1281/artfynd/A 72269-2021 artfynd.xlsx", "A 72269-2021")</f>
        <v/>
      </c>
      <c r="T254">
        <f>HYPERLINK("https://klasma.github.io/Logging_1281/kartor/A 72269-2021 karta.png", "A 72269-2021")</f>
        <v/>
      </c>
      <c r="V254">
        <f>HYPERLINK("https://klasma.github.io/Logging_1281/klagomål/A 72269-2021 FSC-klagomål.docx", "A 72269-2021")</f>
        <v/>
      </c>
      <c r="W254">
        <f>HYPERLINK("https://klasma.github.io/Logging_1281/klagomålsmail/A 72269-2021 FSC-klagomål mail.docx", "A 72269-2021")</f>
        <v/>
      </c>
      <c r="X254">
        <f>HYPERLINK("https://klasma.github.io/Logging_1281/tillsyn/A 72269-2021 tillsynsbegäran.docx", "A 72269-2021")</f>
        <v/>
      </c>
      <c r="Y254">
        <f>HYPERLINK("https://klasma.github.io/Logging_1281/tillsynsmail/A 72269-2021 tillsynsbegäran mail.docx", "A 72269-2021")</f>
        <v/>
      </c>
    </row>
    <row r="255" ht="15" customHeight="1">
      <c r="A255" t="inlineStr">
        <is>
          <t>A 74272-2021</t>
        </is>
      </c>
      <c r="B255" s="1" t="n">
        <v>44553</v>
      </c>
      <c r="C255" s="1" t="n">
        <v>45744</v>
      </c>
      <c r="D255" t="inlineStr">
        <is>
          <t>SKÅNE LÄN</t>
        </is>
      </c>
      <c r="E255" t="inlineStr">
        <is>
          <t>ÄNGELHOLM</t>
        </is>
      </c>
      <c r="G255" t="n">
        <v>5</v>
      </c>
      <c r="H255" t="n">
        <v>1</v>
      </c>
      <c r="I255" t="n">
        <v>0</v>
      </c>
      <c r="J255" t="n">
        <v>1</v>
      </c>
      <c r="K255" t="n">
        <v>0</v>
      </c>
      <c r="L255" t="n">
        <v>0</v>
      </c>
      <c r="M255" t="n">
        <v>0</v>
      </c>
      <c r="N255" t="n">
        <v>0</v>
      </c>
      <c r="O255" t="n">
        <v>1</v>
      </c>
      <c r="P255" t="n">
        <v>0</v>
      </c>
      <c r="Q255" t="n">
        <v>1</v>
      </c>
      <c r="R255" s="2" t="inlineStr">
        <is>
          <t>Entita</t>
        </is>
      </c>
      <c r="S255">
        <f>HYPERLINK("https://klasma.github.io/Logging_1292/artfynd/A 74272-2021 artfynd.xlsx", "A 74272-2021")</f>
        <v/>
      </c>
      <c r="T255">
        <f>HYPERLINK("https://klasma.github.io/Logging_1292/kartor/A 74272-2021 karta.png", "A 74272-2021")</f>
        <v/>
      </c>
      <c r="V255">
        <f>HYPERLINK("https://klasma.github.io/Logging_1292/klagomål/A 74272-2021 FSC-klagomål.docx", "A 74272-2021")</f>
        <v/>
      </c>
      <c r="W255">
        <f>HYPERLINK("https://klasma.github.io/Logging_1292/klagomålsmail/A 74272-2021 FSC-klagomål mail.docx", "A 74272-2021")</f>
        <v/>
      </c>
      <c r="X255">
        <f>HYPERLINK("https://klasma.github.io/Logging_1292/tillsyn/A 74272-2021 tillsynsbegäran.docx", "A 74272-2021")</f>
        <v/>
      </c>
      <c r="Y255">
        <f>HYPERLINK("https://klasma.github.io/Logging_1292/tillsynsmail/A 74272-2021 tillsynsbegäran mail.docx", "A 74272-2021")</f>
        <v/>
      </c>
      <c r="Z255">
        <f>HYPERLINK("https://klasma.github.io/Logging_1292/fåglar/A 74272-2021 prioriterade fågelarter.docx", "A 74272-2021")</f>
        <v/>
      </c>
    </row>
    <row r="256" ht="15" customHeight="1">
      <c r="A256" t="inlineStr">
        <is>
          <t>A 2697-2022</t>
        </is>
      </c>
      <c r="B256" s="1" t="n">
        <v>44580</v>
      </c>
      <c r="C256" s="1" t="n">
        <v>45744</v>
      </c>
      <c r="D256" t="inlineStr">
        <is>
          <t>SKÅNE LÄN</t>
        </is>
      </c>
      <c r="E256" t="inlineStr">
        <is>
          <t>ÖSTRA GÖINGE</t>
        </is>
      </c>
      <c r="G256" t="n">
        <v>1.3</v>
      </c>
      <c r="H256" t="n">
        <v>1</v>
      </c>
      <c r="I256" t="n">
        <v>0</v>
      </c>
      <c r="J256" t="n">
        <v>1</v>
      </c>
      <c r="K256" t="n">
        <v>0</v>
      </c>
      <c r="L256" t="n">
        <v>0</v>
      </c>
      <c r="M256" t="n">
        <v>0</v>
      </c>
      <c r="N256" t="n">
        <v>0</v>
      </c>
      <c r="O256" t="n">
        <v>1</v>
      </c>
      <c r="P256" t="n">
        <v>0</v>
      </c>
      <c r="Q256" t="n">
        <v>1</v>
      </c>
      <c r="R256" s="2" t="inlineStr">
        <is>
          <t>Grönsångare</t>
        </is>
      </c>
      <c r="S256">
        <f>HYPERLINK("https://klasma.github.io/Logging_1256/artfynd/A 2697-2022 artfynd.xlsx", "A 2697-2022")</f>
        <v/>
      </c>
      <c r="T256">
        <f>HYPERLINK("https://klasma.github.io/Logging_1256/kartor/A 2697-2022 karta.png", "A 2697-2022")</f>
        <v/>
      </c>
      <c r="V256">
        <f>HYPERLINK("https://klasma.github.io/Logging_1256/klagomål/A 2697-2022 FSC-klagomål.docx", "A 2697-2022")</f>
        <v/>
      </c>
      <c r="W256">
        <f>HYPERLINK("https://klasma.github.io/Logging_1256/klagomålsmail/A 2697-2022 FSC-klagomål mail.docx", "A 2697-2022")</f>
        <v/>
      </c>
      <c r="X256">
        <f>HYPERLINK("https://klasma.github.io/Logging_1256/tillsyn/A 2697-2022 tillsynsbegäran.docx", "A 2697-2022")</f>
        <v/>
      </c>
      <c r="Y256">
        <f>HYPERLINK("https://klasma.github.io/Logging_1256/tillsynsmail/A 2697-2022 tillsynsbegäran mail.docx", "A 2697-2022")</f>
        <v/>
      </c>
      <c r="Z256">
        <f>HYPERLINK("https://klasma.github.io/Logging_1256/fåglar/A 2697-2022 prioriterade fågelarter.docx", "A 2697-2022")</f>
        <v/>
      </c>
    </row>
    <row r="257" ht="15" customHeight="1">
      <c r="A257" t="inlineStr">
        <is>
          <t>A 5732-2022</t>
        </is>
      </c>
      <c r="B257" s="1" t="n">
        <v>44596</v>
      </c>
      <c r="C257" s="1" t="n">
        <v>45744</v>
      </c>
      <c r="D257" t="inlineStr">
        <is>
          <t>SKÅNE LÄN</t>
        </is>
      </c>
      <c r="E257" t="inlineStr">
        <is>
          <t>KLIPPAN</t>
        </is>
      </c>
      <c r="G257" t="n">
        <v>6.1</v>
      </c>
      <c r="H257" t="n">
        <v>1</v>
      </c>
      <c r="I257" t="n">
        <v>0</v>
      </c>
      <c r="J257" t="n">
        <v>1</v>
      </c>
      <c r="K257" t="n">
        <v>0</v>
      </c>
      <c r="L257" t="n">
        <v>0</v>
      </c>
      <c r="M257" t="n">
        <v>0</v>
      </c>
      <c r="N257" t="n">
        <v>0</v>
      </c>
      <c r="O257" t="n">
        <v>1</v>
      </c>
      <c r="P257" t="n">
        <v>0</v>
      </c>
      <c r="Q257" t="n">
        <v>1</v>
      </c>
      <c r="R257" s="2" t="inlineStr">
        <is>
          <t>Talltita</t>
        </is>
      </c>
      <c r="S257">
        <f>HYPERLINK("https://klasma.github.io/Logging_1276/artfynd/A 5732-2022 artfynd.xlsx", "A 5732-2022")</f>
        <v/>
      </c>
      <c r="T257">
        <f>HYPERLINK("https://klasma.github.io/Logging_1276/kartor/A 5732-2022 karta.png", "A 5732-2022")</f>
        <v/>
      </c>
      <c r="V257">
        <f>HYPERLINK("https://klasma.github.io/Logging_1276/klagomål/A 5732-2022 FSC-klagomål.docx", "A 5732-2022")</f>
        <v/>
      </c>
      <c r="W257">
        <f>HYPERLINK("https://klasma.github.io/Logging_1276/klagomålsmail/A 5732-2022 FSC-klagomål mail.docx", "A 5732-2022")</f>
        <v/>
      </c>
      <c r="X257">
        <f>HYPERLINK("https://klasma.github.io/Logging_1276/tillsyn/A 5732-2022 tillsynsbegäran.docx", "A 5732-2022")</f>
        <v/>
      </c>
      <c r="Y257">
        <f>HYPERLINK("https://klasma.github.io/Logging_1276/tillsynsmail/A 5732-2022 tillsynsbegäran mail.docx", "A 5732-2022")</f>
        <v/>
      </c>
      <c r="Z257">
        <f>HYPERLINK("https://klasma.github.io/Logging_1276/fåglar/A 5732-2022 prioriterade fågelarter.docx", "A 5732-2022")</f>
        <v/>
      </c>
    </row>
    <row r="258" ht="15" customHeight="1">
      <c r="A258" t="inlineStr">
        <is>
          <t>A 6350-2022</t>
        </is>
      </c>
      <c r="B258" s="1" t="n">
        <v>44600</v>
      </c>
      <c r="C258" s="1" t="n">
        <v>45744</v>
      </c>
      <c r="D258" t="inlineStr">
        <is>
          <t>SKÅNE LÄN</t>
        </is>
      </c>
      <c r="E258" t="inlineStr">
        <is>
          <t>HÄSSLEHOLM</t>
        </is>
      </c>
      <c r="G258" t="n">
        <v>6.1</v>
      </c>
      <c r="H258" t="n">
        <v>1</v>
      </c>
      <c r="I258" t="n">
        <v>1</v>
      </c>
      <c r="J258" t="n">
        <v>0</v>
      </c>
      <c r="K258" t="n">
        <v>0</v>
      </c>
      <c r="L258" t="n">
        <v>0</v>
      </c>
      <c r="M258" t="n">
        <v>0</v>
      </c>
      <c r="N258" t="n">
        <v>0</v>
      </c>
      <c r="O258" t="n">
        <v>0</v>
      </c>
      <c r="P258" t="n">
        <v>0</v>
      </c>
      <c r="Q258" t="n">
        <v>1</v>
      </c>
      <c r="R258" s="2" t="inlineStr">
        <is>
          <t>Skogsknipprot</t>
        </is>
      </c>
      <c r="S258">
        <f>HYPERLINK("https://klasma.github.io/Logging_1293/artfynd/A 6350-2022 artfynd.xlsx", "A 6350-2022")</f>
        <v/>
      </c>
      <c r="T258">
        <f>HYPERLINK("https://klasma.github.io/Logging_1293/kartor/A 6350-2022 karta.png", "A 6350-2022")</f>
        <v/>
      </c>
      <c r="V258">
        <f>HYPERLINK("https://klasma.github.io/Logging_1293/klagomål/A 6350-2022 FSC-klagomål.docx", "A 6350-2022")</f>
        <v/>
      </c>
      <c r="W258">
        <f>HYPERLINK("https://klasma.github.io/Logging_1293/klagomålsmail/A 6350-2022 FSC-klagomål mail.docx", "A 6350-2022")</f>
        <v/>
      </c>
      <c r="X258">
        <f>HYPERLINK("https://klasma.github.io/Logging_1293/tillsyn/A 6350-2022 tillsynsbegäran.docx", "A 6350-2022")</f>
        <v/>
      </c>
      <c r="Y258">
        <f>HYPERLINK("https://klasma.github.io/Logging_1293/tillsynsmail/A 6350-2022 tillsynsbegäran mail.docx", "A 6350-2022")</f>
        <v/>
      </c>
    </row>
    <row r="259" ht="15" customHeight="1">
      <c r="A259" t="inlineStr">
        <is>
          <t>A 11750-2022</t>
        </is>
      </c>
      <c r="B259" s="1" t="n">
        <v>44634</v>
      </c>
      <c r="C259" s="1" t="n">
        <v>45744</v>
      </c>
      <c r="D259" t="inlineStr">
        <is>
          <t>SKÅNE LÄN</t>
        </is>
      </c>
      <c r="E259" t="inlineStr">
        <is>
          <t>KRISTIANSTAD</t>
        </is>
      </c>
      <c r="G259" t="n">
        <v>1.8</v>
      </c>
      <c r="H259" t="n">
        <v>0</v>
      </c>
      <c r="I259" t="n">
        <v>0</v>
      </c>
      <c r="J259" t="n">
        <v>0</v>
      </c>
      <c r="K259" t="n">
        <v>1</v>
      </c>
      <c r="L259" t="n">
        <v>0</v>
      </c>
      <c r="M259" t="n">
        <v>0</v>
      </c>
      <c r="N259" t="n">
        <v>0</v>
      </c>
      <c r="O259" t="n">
        <v>1</v>
      </c>
      <c r="P259" t="n">
        <v>1</v>
      </c>
      <c r="Q259" t="n">
        <v>1</v>
      </c>
      <c r="R259" s="2" t="inlineStr">
        <is>
          <t>Sanddådra</t>
        </is>
      </c>
      <c r="S259">
        <f>HYPERLINK("https://klasma.github.io/Logging_1290/artfynd/A 11750-2022 artfynd.xlsx", "A 11750-2022")</f>
        <v/>
      </c>
      <c r="T259">
        <f>HYPERLINK("https://klasma.github.io/Logging_1290/kartor/A 11750-2022 karta.png", "A 11750-2022")</f>
        <v/>
      </c>
      <c r="V259">
        <f>HYPERLINK("https://klasma.github.io/Logging_1290/klagomål/A 11750-2022 FSC-klagomål.docx", "A 11750-2022")</f>
        <v/>
      </c>
      <c r="W259">
        <f>HYPERLINK("https://klasma.github.io/Logging_1290/klagomålsmail/A 11750-2022 FSC-klagomål mail.docx", "A 11750-2022")</f>
        <v/>
      </c>
      <c r="X259">
        <f>HYPERLINK("https://klasma.github.io/Logging_1290/tillsyn/A 11750-2022 tillsynsbegäran.docx", "A 11750-2022")</f>
        <v/>
      </c>
      <c r="Y259">
        <f>HYPERLINK("https://klasma.github.io/Logging_1290/tillsynsmail/A 11750-2022 tillsynsbegäran mail.docx", "A 11750-2022")</f>
        <v/>
      </c>
    </row>
    <row r="260" ht="15" customHeight="1">
      <c r="A260" t="inlineStr">
        <is>
          <t>A 13705-2022</t>
        </is>
      </c>
      <c r="B260" s="1" t="n">
        <v>44648</v>
      </c>
      <c r="C260" s="1" t="n">
        <v>45744</v>
      </c>
      <c r="D260" t="inlineStr">
        <is>
          <t>SKÅNE LÄN</t>
        </is>
      </c>
      <c r="E260" t="inlineStr">
        <is>
          <t>HÄSSLEHOLM</t>
        </is>
      </c>
      <c r="G260" t="n">
        <v>1.5</v>
      </c>
      <c r="H260" t="n">
        <v>1</v>
      </c>
      <c r="I260" t="n">
        <v>0</v>
      </c>
      <c r="J260" t="n">
        <v>0</v>
      </c>
      <c r="K260" t="n">
        <v>0</v>
      </c>
      <c r="L260" t="n">
        <v>0</v>
      </c>
      <c r="M260" t="n">
        <v>0</v>
      </c>
      <c r="N260" t="n">
        <v>0</v>
      </c>
      <c r="O260" t="n">
        <v>0</v>
      </c>
      <c r="P260" t="n">
        <v>0</v>
      </c>
      <c r="Q260" t="n">
        <v>1</v>
      </c>
      <c r="R260" s="2" t="inlineStr">
        <is>
          <t>Grönvit nattviol</t>
        </is>
      </c>
      <c r="S260">
        <f>HYPERLINK("https://klasma.github.io/Logging_1293/artfynd/A 13705-2022 artfynd.xlsx", "A 13705-2022")</f>
        <v/>
      </c>
      <c r="T260">
        <f>HYPERLINK("https://klasma.github.io/Logging_1293/kartor/A 13705-2022 karta.png", "A 13705-2022")</f>
        <v/>
      </c>
      <c r="V260">
        <f>HYPERLINK("https://klasma.github.io/Logging_1293/klagomål/A 13705-2022 FSC-klagomål.docx", "A 13705-2022")</f>
        <v/>
      </c>
      <c r="W260">
        <f>HYPERLINK("https://klasma.github.io/Logging_1293/klagomålsmail/A 13705-2022 FSC-klagomål mail.docx", "A 13705-2022")</f>
        <v/>
      </c>
      <c r="X260">
        <f>HYPERLINK("https://klasma.github.io/Logging_1293/tillsyn/A 13705-2022 tillsynsbegäran.docx", "A 13705-2022")</f>
        <v/>
      </c>
      <c r="Y260">
        <f>HYPERLINK("https://klasma.github.io/Logging_1293/tillsynsmail/A 13705-2022 tillsynsbegäran mail.docx", "A 13705-2022")</f>
        <v/>
      </c>
    </row>
    <row r="261" ht="15" customHeight="1">
      <c r="A261" t="inlineStr">
        <is>
          <t>A 18464-2022</t>
        </is>
      </c>
      <c r="B261" s="1" t="n">
        <v>44686</v>
      </c>
      <c r="C261" s="1" t="n">
        <v>45744</v>
      </c>
      <c r="D261" t="inlineStr">
        <is>
          <t>SKÅNE LÄN</t>
        </is>
      </c>
      <c r="E261" t="inlineStr">
        <is>
          <t>SVEDALA</t>
        </is>
      </c>
      <c r="G261" t="n">
        <v>1.5</v>
      </c>
      <c r="H261" t="n">
        <v>1</v>
      </c>
      <c r="I261" t="n">
        <v>0</v>
      </c>
      <c r="J261" t="n">
        <v>0</v>
      </c>
      <c r="K261" t="n">
        <v>0</v>
      </c>
      <c r="L261" t="n">
        <v>0</v>
      </c>
      <c r="M261" t="n">
        <v>0</v>
      </c>
      <c r="N261" t="n">
        <v>0</v>
      </c>
      <c r="O261" t="n">
        <v>0</v>
      </c>
      <c r="P261" t="n">
        <v>0</v>
      </c>
      <c r="Q261" t="n">
        <v>1</v>
      </c>
      <c r="R261" s="2" t="inlineStr">
        <is>
          <t>Vanlig groda</t>
        </is>
      </c>
      <c r="S261">
        <f>HYPERLINK("https://klasma.github.io/Logging_1263/artfynd/A 18464-2022 artfynd.xlsx", "A 18464-2022")</f>
        <v/>
      </c>
      <c r="T261">
        <f>HYPERLINK("https://klasma.github.io/Logging_1263/kartor/A 18464-2022 karta.png", "A 18464-2022")</f>
        <v/>
      </c>
      <c r="V261">
        <f>HYPERLINK("https://klasma.github.io/Logging_1263/klagomål/A 18464-2022 FSC-klagomål.docx", "A 18464-2022")</f>
        <v/>
      </c>
      <c r="W261">
        <f>HYPERLINK("https://klasma.github.io/Logging_1263/klagomålsmail/A 18464-2022 FSC-klagomål mail.docx", "A 18464-2022")</f>
        <v/>
      </c>
      <c r="X261">
        <f>HYPERLINK("https://klasma.github.io/Logging_1263/tillsyn/A 18464-2022 tillsynsbegäran.docx", "A 18464-2022")</f>
        <v/>
      </c>
      <c r="Y261">
        <f>HYPERLINK("https://klasma.github.io/Logging_1263/tillsynsmail/A 18464-2022 tillsynsbegäran mail.docx", "A 18464-2022")</f>
        <v/>
      </c>
    </row>
    <row r="262" ht="15" customHeight="1">
      <c r="A262" t="inlineStr">
        <is>
          <t>A 18539-2022</t>
        </is>
      </c>
      <c r="B262" s="1" t="n">
        <v>44686</v>
      </c>
      <c r="C262" s="1" t="n">
        <v>45744</v>
      </c>
      <c r="D262" t="inlineStr">
        <is>
          <t>SKÅNE LÄN</t>
        </is>
      </c>
      <c r="E262" t="inlineStr">
        <is>
          <t>KRISTIANSTAD</t>
        </is>
      </c>
      <c r="G262" t="n">
        <v>4.3</v>
      </c>
      <c r="H262" t="n">
        <v>0</v>
      </c>
      <c r="I262" t="n">
        <v>0</v>
      </c>
      <c r="J262" t="n">
        <v>1</v>
      </c>
      <c r="K262" t="n">
        <v>0</v>
      </c>
      <c r="L262" t="n">
        <v>0</v>
      </c>
      <c r="M262" t="n">
        <v>0</v>
      </c>
      <c r="N262" t="n">
        <v>0</v>
      </c>
      <c r="O262" t="n">
        <v>1</v>
      </c>
      <c r="P262" t="n">
        <v>0</v>
      </c>
      <c r="Q262" t="n">
        <v>1</v>
      </c>
      <c r="R262" s="2" t="inlineStr">
        <is>
          <t>Skogslysing</t>
        </is>
      </c>
      <c r="S262">
        <f>HYPERLINK("https://klasma.github.io/Logging_1290/artfynd/A 18539-2022 artfynd.xlsx", "A 18539-2022")</f>
        <v/>
      </c>
      <c r="T262">
        <f>HYPERLINK("https://klasma.github.io/Logging_1290/kartor/A 18539-2022 karta.png", "A 18539-2022")</f>
        <v/>
      </c>
      <c r="V262">
        <f>HYPERLINK("https://klasma.github.io/Logging_1290/klagomål/A 18539-2022 FSC-klagomål.docx", "A 18539-2022")</f>
        <v/>
      </c>
      <c r="W262">
        <f>HYPERLINK("https://klasma.github.io/Logging_1290/klagomålsmail/A 18539-2022 FSC-klagomål mail.docx", "A 18539-2022")</f>
        <v/>
      </c>
      <c r="X262">
        <f>HYPERLINK("https://klasma.github.io/Logging_1290/tillsyn/A 18539-2022 tillsynsbegäran.docx", "A 18539-2022")</f>
        <v/>
      </c>
      <c r="Y262">
        <f>HYPERLINK("https://klasma.github.io/Logging_1290/tillsynsmail/A 18539-2022 tillsynsbegäran mail.docx", "A 18539-2022")</f>
        <v/>
      </c>
    </row>
    <row r="263" ht="15" customHeight="1">
      <c r="A263" t="inlineStr">
        <is>
          <t>A 23466-2022</t>
        </is>
      </c>
      <c r="B263" s="1" t="n">
        <v>44721</v>
      </c>
      <c r="C263" s="1" t="n">
        <v>45744</v>
      </c>
      <c r="D263" t="inlineStr">
        <is>
          <t>SKÅNE LÄN</t>
        </is>
      </c>
      <c r="E263" t="inlineStr">
        <is>
          <t>TOMELILLA</t>
        </is>
      </c>
      <c r="F263" t="inlineStr">
        <is>
          <t>Övriga Aktiebolag</t>
        </is>
      </c>
      <c r="G263" t="n">
        <v>6.3</v>
      </c>
      <c r="H263" t="n">
        <v>0</v>
      </c>
      <c r="I263" t="n">
        <v>0</v>
      </c>
      <c r="J263" t="n">
        <v>1</v>
      </c>
      <c r="K263" t="n">
        <v>0</v>
      </c>
      <c r="L263" t="n">
        <v>0</v>
      </c>
      <c r="M263" t="n">
        <v>0</v>
      </c>
      <c r="N263" t="n">
        <v>0</v>
      </c>
      <c r="O263" t="n">
        <v>1</v>
      </c>
      <c r="P263" t="n">
        <v>0</v>
      </c>
      <c r="Q263" t="n">
        <v>1</v>
      </c>
      <c r="R263" s="2" t="inlineStr">
        <is>
          <t>Skogslysing</t>
        </is>
      </c>
      <c r="S263">
        <f>HYPERLINK("https://klasma.github.io/Logging_1270/artfynd/A 23466-2022 artfynd.xlsx", "A 23466-2022")</f>
        <v/>
      </c>
      <c r="T263">
        <f>HYPERLINK("https://klasma.github.io/Logging_1270/kartor/A 23466-2022 karta.png", "A 23466-2022")</f>
        <v/>
      </c>
      <c r="V263">
        <f>HYPERLINK("https://klasma.github.io/Logging_1270/klagomål/A 23466-2022 FSC-klagomål.docx", "A 23466-2022")</f>
        <v/>
      </c>
      <c r="W263">
        <f>HYPERLINK("https://klasma.github.io/Logging_1270/klagomålsmail/A 23466-2022 FSC-klagomål mail.docx", "A 23466-2022")</f>
        <v/>
      </c>
      <c r="X263">
        <f>HYPERLINK("https://klasma.github.io/Logging_1270/tillsyn/A 23466-2022 tillsynsbegäran.docx", "A 23466-2022")</f>
        <v/>
      </c>
      <c r="Y263">
        <f>HYPERLINK("https://klasma.github.io/Logging_1270/tillsynsmail/A 23466-2022 tillsynsbegäran mail.docx", "A 23466-2022")</f>
        <v/>
      </c>
    </row>
    <row r="264" ht="15" customHeight="1">
      <c r="A264" t="inlineStr">
        <is>
          <t>A 23963-2022</t>
        </is>
      </c>
      <c r="B264" s="1" t="n">
        <v>44722</v>
      </c>
      <c r="C264" s="1" t="n">
        <v>45744</v>
      </c>
      <c r="D264" t="inlineStr">
        <is>
          <t>SKÅNE LÄN</t>
        </is>
      </c>
      <c r="E264" t="inlineStr">
        <is>
          <t>OSBY</t>
        </is>
      </c>
      <c r="F264" t="inlineStr">
        <is>
          <t>Kyrkan</t>
        </is>
      </c>
      <c r="G264" t="n">
        <v>4.5</v>
      </c>
      <c r="H264" t="n">
        <v>1</v>
      </c>
      <c r="I264" t="n">
        <v>0</v>
      </c>
      <c r="J264" t="n">
        <v>0</v>
      </c>
      <c r="K264" t="n">
        <v>0</v>
      </c>
      <c r="L264" t="n">
        <v>0</v>
      </c>
      <c r="M264" t="n">
        <v>0</v>
      </c>
      <c r="N264" t="n">
        <v>0</v>
      </c>
      <c r="O264" t="n">
        <v>0</v>
      </c>
      <c r="P264" t="n">
        <v>0</v>
      </c>
      <c r="Q264" t="n">
        <v>1</v>
      </c>
      <c r="R264" s="2" t="inlineStr">
        <is>
          <t>Kungsfågel</t>
        </is>
      </c>
      <c r="S264">
        <f>HYPERLINK("https://klasma.github.io/Logging_1273/artfynd/A 23963-2022 artfynd.xlsx", "A 23963-2022")</f>
        <v/>
      </c>
      <c r="T264">
        <f>HYPERLINK("https://klasma.github.io/Logging_1273/kartor/A 23963-2022 karta.png", "A 23963-2022")</f>
        <v/>
      </c>
      <c r="V264">
        <f>HYPERLINK("https://klasma.github.io/Logging_1273/klagomål/A 23963-2022 FSC-klagomål.docx", "A 23963-2022")</f>
        <v/>
      </c>
      <c r="W264">
        <f>HYPERLINK("https://klasma.github.io/Logging_1273/klagomålsmail/A 23963-2022 FSC-klagomål mail.docx", "A 23963-2022")</f>
        <v/>
      </c>
      <c r="X264">
        <f>HYPERLINK("https://klasma.github.io/Logging_1273/tillsyn/A 23963-2022 tillsynsbegäran.docx", "A 23963-2022")</f>
        <v/>
      </c>
      <c r="Y264">
        <f>HYPERLINK("https://klasma.github.io/Logging_1273/tillsynsmail/A 23963-2022 tillsynsbegäran mail.docx", "A 23963-2022")</f>
        <v/>
      </c>
      <c r="Z264">
        <f>HYPERLINK("https://klasma.github.io/Logging_1273/fåglar/A 23963-2022 prioriterade fågelarter.docx", "A 23963-2022")</f>
        <v/>
      </c>
    </row>
    <row r="265" ht="15" customHeight="1">
      <c r="A265" t="inlineStr">
        <is>
          <t>A 24158-2022</t>
        </is>
      </c>
      <c r="B265" s="1" t="n">
        <v>44725</v>
      </c>
      <c r="C265" s="1" t="n">
        <v>45744</v>
      </c>
      <c r="D265" t="inlineStr">
        <is>
          <t>SKÅNE LÄN</t>
        </is>
      </c>
      <c r="E265" t="inlineStr">
        <is>
          <t>HÖRBY</t>
        </is>
      </c>
      <c r="G265" t="n">
        <v>3.1</v>
      </c>
      <c r="H265" t="n">
        <v>0</v>
      </c>
      <c r="I265" t="n">
        <v>0</v>
      </c>
      <c r="J265" t="n">
        <v>0</v>
      </c>
      <c r="K265" t="n">
        <v>1</v>
      </c>
      <c r="L265" t="n">
        <v>0</v>
      </c>
      <c r="M265" t="n">
        <v>0</v>
      </c>
      <c r="N265" t="n">
        <v>0</v>
      </c>
      <c r="O265" t="n">
        <v>1</v>
      </c>
      <c r="P265" t="n">
        <v>1</v>
      </c>
      <c r="Q265" t="n">
        <v>1</v>
      </c>
      <c r="R265" s="2" t="inlineStr">
        <is>
          <t>Slåttergubbe</t>
        </is>
      </c>
      <c r="S265">
        <f>HYPERLINK("https://klasma.github.io/Logging_1266/artfynd/A 24158-2022 artfynd.xlsx", "A 24158-2022")</f>
        <v/>
      </c>
      <c r="T265">
        <f>HYPERLINK("https://klasma.github.io/Logging_1266/kartor/A 24158-2022 karta.png", "A 24158-2022")</f>
        <v/>
      </c>
      <c r="V265">
        <f>HYPERLINK("https://klasma.github.io/Logging_1266/klagomål/A 24158-2022 FSC-klagomål.docx", "A 24158-2022")</f>
        <v/>
      </c>
      <c r="W265">
        <f>HYPERLINK("https://klasma.github.io/Logging_1266/klagomålsmail/A 24158-2022 FSC-klagomål mail.docx", "A 24158-2022")</f>
        <v/>
      </c>
      <c r="X265">
        <f>HYPERLINK("https://klasma.github.io/Logging_1266/tillsyn/A 24158-2022 tillsynsbegäran.docx", "A 24158-2022")</f>
        <v/>
      </c>
      <c r="Y265">
        <f>HYPERLINK("https://klasma.github.io/Logging_1266/tillsynsmail/A 24158-2022 tillsynsbegäran mail.docx", "A 24158-2022")</f>
        <v/>
      </c>
    </row>
    <row r="266" ht="15" customHeight="1">
      <c r="A266" t="inlineStr">
        <is>
          <t>A 27327-2022</t>
        </is>
      </c>
      <c r="B266" s="1" t="n">
        <v>44742</v>
      </c>
      <c r="C266" s="1" t="n">
        <v>45744</v>
      </c>
      <c r="D266" t="inlineStr">
        <is>
          <t>SKÅNE LÄN</t>
        </is>
      </c>
      <c r="E266" t="inlineStr">
        <is>
          <t>ÄNGELHOLM</t>
        </is>
      </c>
      <c r="G266" t="n">
        <v>0.6</v>
      </c>
      <c r="H266" t="n">
        <v>0</v>
      </c>
      <c r="I266" t="n">
        <v>0</v>
      </c>
      <c r="J266" t="n">
        <v>0</v>
      </c>
      <c r="K266" t="n">
        <v>1</v>
      </c>
      <c r="L266" t="n">
        <v>0</v>
      </c>
      <c r="M266" t="n">
        <v>0</v>
      </c>
      <c r="N266" t="n">
        <v>0</v>
      </c>
      <c r="O266" t="n">
        <v>1</v>
      </c>
      <c r="P266" t="n">
        <v>1</v>
      </c>
      <c r="Q266" t="n">
        <v>1</v>
      </c>
      <c r="R266" s="2" t="inlineStr">
        <is>
          <t>Småvänderot</t>
        </is>
      </c>
      <c r="S266">
        <f>HYPERLINK("https://klasma.github.io/Logging_1292/artfynd/A 27327-2022 artfynd.xlsx", "A 27327-2022")</f>
        <v/>
      </c>
      <c r="T266">
        <f>HYPERLINK("https://klasma.github.io/Logging_1292/kartor/A 27327-2022 karta.png", "A 27327-2022")</f>
        <v/>
      </c>
      <c r="V266">
        <f>HYPERLINK("https://klasma.github.io/Logging_1292/klagomål/A 27327-2022 FSC-klagomål.docx", "A 27327-2022")</f>
        <v/>
      </c>
      <c r="W266">
        <f>HYPERLINK("https://klasma.github.io/Logging_1292/klagomålsmail/A 27327-2022 FSC-klagomål mail.docx", "A 27327-2022")</f>
        <v/>
      </c>
      <c r="X266">
        <f>HYPERLINK("https://klasma.github.io/Logging_1292/tillsyn/A 27327-2022 tillsynsbegäran.docx", "A 27327-2022")</f>
        <v/>
      </c>
      <c r="Y266">
        <f>HYPERLINK("https://klasma.github.io/Logging_1292/tillsynsmail/A 27327-2022 tillsynsbegäran mail.docx", "A 27327-2022")</f>
        <v/>
      </c>
    </row>
    <row r="267" ht="15" customHeight="1">
      <c r="A267" t="inlineStr">
        <is>
          <t>A 27958-2022</t>
        </is>
      </c>
      <c r="B267" s="1" t="n">
        <v>44744</v>
      </c>
      <c r="C267" s="1" t="n">
        <v>45744</v>
      </c>
      <c r="D267" t="inlineStr">
        <is>
          <t>SKÅNE LÄN</t>
        </is>
      </c>
      <c r="E267" t="inlineStr">
        <is>
          <t>HÄSSLEHOLM</t>
        </is>
      </c>
      <c r="G267" t="n">
        <v>3.9</v>
      </c>
      <c r="H267" t="n">
        <v>0</v>
      </c>
      <c r="I267" t="n">
        <v>1</v>
      </c>
      <c r="J267" t="n">
        <v>0</v>
      </c>
      <c r="K267" t="n">
        <v>0</v>
      </c>
      <c r="L267" t="n">
        <v>0</v>
      </c>
      <c r="M267" t="n">
        <v>0</v>
      </c>
      <c r="N267" t="n">
        <v>0</v>
      </c>
      <c r="O267" t="n">
        <v>0</v>
      </c>
      <c r="P267" t="n">
        <v>0</v>
      </c>
      <c r="Q267" t="n">
        <v>1</v>
      </c>
      <c r="R267" s="2" t="inlineStr">
        <is>
          <t>Myskmadra</t>
        </is>
      </c>
      <c r="S267">
        <f>HYPERLINK("https://klasma.github.io/Logging_1293/artfynd/A 27958-2022 artfynd.xlsx", "A 27958-2022")</f>
        <v/>
      </c>
      <c r="T267">
        <f>HYPERLINK("https://klasma.github.io/Logging_1293/kartor/A 27958-2022 karta.png", "A 27958-2022")</f>
        <v/>
      </c>
      <c r="V267">
        <f>HYPERLINK("https://klasma.github.io/Logging_1293/klagomål/A 27958-2022 FSC-klagomål.docx", "A 27958-2022")</f>
        <v/>
      </c>
      <c r="W267">
        <f>HYPERLINK("https://klasma.github.io/Logging_1293/klagomålsmail/A 27958-2022 FSC-klagomål mail.docx", "A 27958-2022")</f>
        <v/>
      </c>
      <c r="X267">
        <f>HYPERLINK("https://klasma.github.io/Logging_1293/tillsyn/A 27958-2022 tillsynsbegäran.docx", "A 27958-2022")</f>
        <v/>
      </c>
      <c r="Y267">
        <f>HYPERLINK("https://klasma.github.io/Logging_1293/tillsynsmail/A 27958-2022 tillsynsbegäran mail.docx", "A 27958-2022")</f>
        <v/>
      </c>
    </row>
    <row r="268" ht="15" customHeight="1">
      <c r="A268" t="inlineStr">
        <is>
          <t>A 28265-2022</t>
        </is>
      </c>
      <c r="B268" s="1" t="n">
        <v>44746</v>
      </c>
      <c r="C268" s="1" t="n">
        <v>45744</v>
      </c>
      <c r="D268" t="inlineStr">
        <is>
          <t>SKÅNE LÄN</t>
        </is>
      </c>
      <c r="E268" t="inlineStr">
        <is>
          <t>ÄNGELHOLM</t>
        </is>
      </c>
      <c r="G268" t="n">
        <v>3.3</v>
      </c>
      <c r="H268" t="n">
        <v>1</v>
      </c>
      <c r="I268" t="n">
        <v>0</v>
      </c>
      <c r="J268" t="n">
        <v>1</v>
      </c>
      <c r="K268" t="n">
        <v>0</v>
      </c>
      <c r="L268" t="n">
        <v>0</v>
      </c>
      <c r="M268" t="n">
        <v>0</v>
      </c>
      <c r="N268" t="n">
        <v>0</v>
      </c>
      <c r="O268" t="n">
        <v>1</v>
      </c>
      <c r="P268" t="n">
        <v>0</v>
      </c>
      <c r="Q268" t="n">
        <v>1</v>
      </c>
      <c r="R268" s="2" t="inlineStr">
        <is>
          <t>Havsörn</t>
        </is>
      </c>
      <c r="S268">
        <f>HYPERLINK("https://klasma.github.io/Logging_1292/artfynd/A 28265-2022 artfynd.xlsx", "A 28265-2022")</f>
        <v/>
      </c>
      <c r="T268">
        <f>HYPERLINK("https://klasma.github.io/Logging_1292/kartor/A 28265-2022 karta.png", "A 28265-2022")</f>
        <v/>
      </c>
      <c r="V268">
        <f>HYPERLINK("https://klasma.github.io/Logging_1292/klagomål/A 28265-2022 FSC-klagomål.docx", "A 28265-2022")</f>
        <v/>
      </c>
      <c r="W268">
        <f>HYPERLINK("https://klasma.github.io/Logging_1292/klagomålsmail/A 28265-2022 FSC-klagomål mail.docx", "A 28265-2022")</f>
        <v/>
      </c>
      <c r="X268">
        <f>HYPERLINK("https://klasma.github.io/Logging_1292/tillsyn/A 28265-2022 tillsynsbegäran.docx", "A 28265-2022")</f>
        <v/>
      </c>
      <c r="Y268">
        <f>HYPERLINK("https://klasma.github.io/Logging_1292/tillsynsmail/A 28265-2022 tillsynsbegäran mail.docx", "A 28265-2022")</f>
        <v/>
      </c>
      <c r="Z268">
        <f>HYPERLINK("https://klasma.github.io/Logging_1292/fåglar/A 28265-2022 prioriterade fågelarter.docx", "A 28265-2022")</f>
        <v/>
      </c>
    </row>
    <row r="269" ht="15" customHeight="1">
      <c r="A269" t="inlineStr">
        <is>
          <t>A 29858-2022</t>
        </is>
      </c>
      <c r="B269" s="1" t="n">
        <v>44756</v>
      </c>
      <c r="C269" s="1" t="n">
        <v>45744</v>
      </c>
      <c r="D269" t="inlineStr">
        <is>
          <t>SKÅNE LÄN</t>
        </is>
      </c>
      <c r="E269" t="inlineStr">
        <is>
          <t>YSTAD</t>
        </is>
      </c>
      <c r="G269" t="n">
        <v>0.5</v>
      </c>
      <c r="H269" t="n">
        <v>0</v>
      </c>
      <c r="I269" t="n">
        <v>0</v>
      </c>
      <c r="J269" t="n">
        <v>1</v>
      </c>
      <c r="K269" t="n">
        <v>0</v>
      </c>
      <c r="L269" t="n">
        <v>0</v>
      </c>
      <c r="M269" t="n">
        <v>0</v>
      </c>
      <c r="N269" t="n">
        <v>0</v>
      </c>
      <c r="O269" t="n">
        <v>1</v>
      </c>
      <c r="P269" t="n">
        <v>0</v>
      </c>
      <c r="Q269" t="n">
        <v>1</v>
      </c>
      <c r="R269" s="2" t="inlineStr">
        <is>
          <t>Igelkott</t>
        </is>
      </c>
      <c r="S269">
        <f>HYPERLINK("https://klasma.github.io/Logging_1286/artfynd/A 29858-2022 artfynd.xlsx", "A 29858-2022")</f>
        <v/>
      </c>
      <c r="T269">
        <f>HYPERLINK("https://klasma.github.io/Logging_1286/kartor/A 29858-2022 karta.png", "A 29858-2022")</f>
        <v/>
      </c>
      <c r="V269">
        <f>HYPERLINK("https://klasma.github.io/Logging_1286/klagomål/A 29858-2022 FSC-klagomål.docx", "A 29858-2022")</f>
        <v/>
      </c>
      <c r="W269">
        <f>HYPERLINK("https://klasma.github.io/Logging_1286/klagomålsmail/A 29858-2022 FSC-klagomål mail.docx", "A 29858-2022")</f>
        <v/>
      </c>
      <c r="X269">
        <f>HYPERLINK("https://klasma.github.io/Logging_1286/tillsyn/A 29858-2022 tillsynsbegäran.docx", "A 29858-2022")</f>
        <v/>
      </c>
      <c r="Y269">
        <f>HYPERLINK("https://klasma.github.io/Logging_1286/tillsynsmail/A 29858-2022 tillsynsbegäran mail.docx", "A 29858-2022")</f>
        <v/>
      </c>
    </row>
    <row r="270" ht="15" customHeight="1">
      <c r="A270" t="inlineStr">
        <is>
          <t>A 33491-2022</t>
        </is>
      </c>
      <c r="B270" s="1" t="n">
        <v>44788</v>
      </c>
      <c r="C270" s="1" t="n">
        <v>45744</v>
      </c>
      <c r="D270" t="inlineStr">
        <is>
          <t>SKÅNE LÄN</t>
        </is>
      </c>
      <c r="E270" t="inlineStr">
        <is>
          <t>OSBY</t>
        </is>
      </c>
      <c r="G270" t="n">
        <v>11.8</v>
      </c>
      <c r="H270" t="n">
        <v>0</v>
      </c>
      <c r="I270" t="n">
        <v>0</v>
      </c>
      <c r="J270" t="n">
        <v>0</v>
      </c>
      <c r="K270" t="n">
        <v>0</v>
      </c>
      <c r="L270" t="n">
        <v>0</v>
      </c>
      <c r="M270" t="n">
        <v>0</v>
      </c>
      <c r="N270" t="n">
        <v>1</v>
      </c>
      <c r="O270" t="n">
        <v>1</v>
      </c>
      <c r="P270" t="n">
        <v>0</v>
      </c>
      <c r="Q270" t="n">
        <v>1</v>
      </c>
      <c r="R270" s="2" t="inlineStr">
        <is>
          <t>Pimpinellros</t>
        </is>
      </c>
      <c r="S270">
        <f>HYPERLINK("https://klasma.github.io/Logging_1273/artfynd/A 33491-2022 artfynd.xlsx", "A 33491-2022")</f>
        <v/>
      </c>
      <c r="T270">
        <f>HYPERLINK("https://klasma.github.io/Logging_1273/kartor/A 33491-2022 karta.png", "A 33491-2022")</f>
        <v/>
      </c>
      <c r="V270">
        <f>HYPERLINK("https://klasma.github.io/Logging_1273/klagomål/A 33491-2022 FSC-klagomål.docx", "A 33491-2022")</f>
        <v/>
      </c>
      <c r="W270">
        <f>HYPERLINK("https://klasma.github.io/Logging_1273/klagomålsmail/A 33491-2022 FSC-klagomål mail.docx", "A 33491-2022")</f>
        <v/>
      </c>
      <c r="X270">
        <f>HYPERLINK("https://klasma.github.io/Logging_1273/tillsyn/A 33491-2022 tillsynsbegäran.docx", "A 33491-2022")</f>
        <v/>
      </c>
      <c r="Y270">
        <f>HYPERLINK("https://klasma.github.io/Logging_1273/tillsynsmail/A 33491-2022 tillsynsbegäran mail.docx", "A 33491-2022")</f>
        <v/>
      </c>
    </row>
    <row r="271" ht="15" customHeight="1">
      <c r="A271" t="inlineStr">
        <is>
          <t>A 36038-2022</t>
        </is>
      </c>
      <c r="B271" s="1" t="n">
        <v>44802</v>
      </c>
      <c r="C271" s="1" t="n">
        <v>45744</v>
      </c>
      <c r="D271" t="inlineStr">
        <is>
          <t>SKÅNE LÄN</t>
        </is>
      </c>
      <c r="E271" t="inlineStr">
        <is>
          <t>ÄNGELHOLM</t>
        </is>
      </c>
      <c r="G271" t="n">
        <v>1.7</v>
      </c>
      <c r="H271" t="n">
        <v>0</v>
      </c>
      <c r="I271" t="n">
        <v>1</v>
      </c>
      <c r="J271" t="n">
        <v>0</v>
      </c>
      <c r="K271" t="n">
        <v>0</v>
      </c>
      <c r="L271" t="n">
        <v>0</v>
      </c>
      <c r="M271" t="n">
        <v>0</v>
      </c>
      <c r="N271" t="n">
        <v>0</v>
      </c>
      <c r="O271" t="n">
        <v>0</v>
      </c>
      <c r="P271" t="n">
        <v>0</v>
      </c>
      <c r="Q271" t="n">
        <v>1</v>
      </c>
      <c r="R271" s="2" t="inlineStr">
        <is>
          <t>Västlig hakmossa</t>
        </is>
      </c>
      <c r="S271">
        <f>HYPERLINK("https://klasma.github.io/Logging_1292/artfynd/A 36038-2022 artfynd.xlsx", "A 36038-2022")</f>
        <v/>
      </c>
      <c r="T271">
        <f>HYPERLINK("https://klasma.github.io/Logging_1292/kartor/A 36038-2022 karta.png", "A 36038-2022")</f>
        <v/>
      </c>
      <c r="V271">
        <f>HYPERLINK("https://klasma.github.io/Logging_1292/klagomål/A 36038-2022 FSC-klagomål.docx", "A 36038-2022")</f>
        <v/>
      </c>
      <c r="W271">
        <f>HYPERLINK("https://klasma.github.io/Logging_1292/klagomålsmail/A 36038-2022 FSC-klagomål mail.docx", "A 36038-2022")</f>
        <v/>
      </c>
      <c r="X271">
        <f>HYPERLINK("https://klasma.github.io/Logging_1292/tillsyn/A 36038-2022 tillsynsbegäran.docx", "A 36038-2022")</f>
        <v/>
      </c>
      <c r="Y271">
        <f>HYPERLINK("https://klasma.github.io/Logging_1292/tillsynsmail/A 36038-2022 tillsynsbegäran mail.docx", "A 36038-2022")</f>
        <v/>
      </c>
    </row>
    <row r="272" ht="15" customHeight="1">
      <c r="A272" t="inlineStr">
        <is>
          <t>A 38643-2022</t>
        </is>
      </c>
      <c r="B272" s="1" t="n">
        <v>44813</v>
      </c>
      <c r="C272" s="1" t="n">
        <v>45744</v>
      </c>
      <c r="D272" t="inlineStr">
        <is>
          <t>SKÅNE LÄN</t>
        </is>
      </c>
      <c r="E272" t="inlineStr">
        <is>
          <t>OSBY</t>
        </is>
      </c>
      <c r="F272" t="inlineStr">
        <is>
          <t>Kyrkan</t>
        </is>
      </c>
      <c r="G272" t="n">
        <v>9.5</v>
      </c>
      <c r="H272" t="n">
        <v>0</v>
      </c>
      <c r="I272" t="n">
        <v>1</v>
      </c>
      <c r="J272" t="n">
        <v>0</v>
      </c>
      <c r="K272" t="n">
        <v>0</v>
      </c>
      <c r="L272" t="n">
        <v>0</v>
      </c>
      <c r="M272" t="n">
        <v>0</v>
      </c>
      <c r="N272" t="n">
        <v>0</v>
      </c>
      <c r="O272" t="n">
        <v>0</v>
      </c>
      <c r="P272" t="n">
        <v>0</v>
      </c>
      <c r="Q272" t="n">
        <v>1</v>
      </c>
      <c r="R272" s="2" t="inlineStr">
        <is>
          <t>Havstulpanlav</t>
        </is>
      </c>
      <c r="S272">
        <f>HYPERLINK("https://klasma.github.io/Logging_1273/artfynd/A 38643-2022 artfynd.xlsx", "A 38643-2022")</f>
        <v/>
      </c>
      <c r="T272">
        <f>HYPERLINK("https://klasma.github.io/Logging_1273/kartor/A 38643-2022 karta.png", "A 38643-2022")</f>
        <v/>
      </c>
      <c r="V272">
        <f>HYPERLINK("https://klasma.github.io/Logging_1273/klagomål/A 38643-2022 FSC-klagomål.docx", "A 38643-2022")</f>
        <v/>
      </c>
      <c r="W272">
        <f>HYPERLINK("https://klasma.github.io/Logging_1273/klagomålsmail/A 38643-2022 FSC-klagomål mail.docx", "A 38643-2022")</f>
        <v/>
      </c>
      <c r="X272">
        <f>HYPERLINK("https://klasma.github.io/Logging_1273/tillsyn/A 38643-2022 tillsynsbegäran.docx", "A 38643-2022")</f>
        <v/>
      </c>
      <c r="Y272">
        <f>HYPERLINK("https://klasma.github.io/Logging_1273/tillsynsmail/A 38643-2022 tillsynsbegäran mail.docx", "A 38643-2022")</f>
        <v/>
      </c>
    </row>
    <row r="273" ht="15" customHeight="1">
      <c r="A273" t="inlineStr">
        <is>
          <t>A 39733-2022</t>
        </is>
      </c>
      <c r="B273" s="1" t="n">
        <v>44819</v>
      </c>
      <c r="C273" s="1" t="n">
        <v>45744</v>
      </c>
      <c r="D273" t="inlineStr">
        <is>
          <t>SKÅNE LÄN</t>
        </is>
      </c>
      <c r="E273" t="inlineStr">
        <is>
          <t>HÄSSLEHOLM</t>
        </is>
      </c>
      <c r="G273" t="n">
        <v>1.9</v>
      </c>
      <c r="H273" t="n">
        <v>1</v>
      </c>
      <c r="I273" t="n">
        <v>0</v>
      </c>
      <c r="J273" t="n">
        <v>1</v>
      </c>
      <c r="K273" t="n">
        <v>0</v>
      </c>
      <c r="L273" t="n">
        <v>0</v>
      </c>
      <c r="M273" t="n">
        <v>0</v>
      </c>
      <c r="N273" t="n">
        <v>0</v>
      </c>
      <c r="O273" t="n">
        <v>1</v>
      </c>
      <c r="P273" t="n">
        <v>0</v>
      </c>
      <c r="Q273" t="n">
        <v>1</v>
      </c>
      <c r="R273" s="2" t="inlineStr">
        <is>
          <t>Spillkråka</t>
        </is>
      </c>
      <c r="S273">
        <f>HYPERLINK("https://klasma.github.io/Logging_1293/artfynd/A 39733-2022 artfynd.xlsx", "A 39733-2022")</f>
        <v/>
      </c>
      <c r="T273">
        <f>HYPERLINK("https://klasma.github.io/Logging_1293/kartor/A 39733-2022 karta.png", "A 39733-2022")</f>
        <v/>
      </c>
      <c r="V273">
        <f>HYPERLINK("https://klasma.github.io/Logging_1293/klagomål/A 39733-2022 FSC-klagomål.docx", "A 39733-2022")</f>
        <v/>
      </c>
      <c r="W273">
        <f>HYPERLINK("https://klasma.github.io/Logging_1293/klagomålsmail/A 39733-2022 FSC-klagomål mail.docx", "A 39733-2022")</f>
        <v/>
      </c>
      <c r="X273">
        <f>HYPERLINK("https://klasma.github.io/Logging_1293/tillsyn/A 39733-2022 tillsynsbegäran.docx", "A 39733-2022")</f>
        <v/>
      </c>
      <c r="Y273">
        <f>HYPERLINK("https://klasma.github.io/Logging_1293/tillsynsmail/A 39733-2022 tillsynsbegäran mail.docx", "A 39733-2022")</f>
        <v/>
      </c>
      <c r="Z273">
        <f>HYPERLINK("https://klasma.github.io/Logging_1293/fåglar/A 39733-2022 prioriterade fågelarter.docx", "A 39733-2022")</f>
        <v/>
      </c>
    </row>
    <row r="274" ht="15" customHeight="1">
      <c r="A274" t="inlineStr">
        <is>
          <t>A 40135-2022</t>
        </is>
      </c>
      <c r="B274" s="1" t="n">
        <v>44820</v>
      </c>
      <c r="C274" s="1" t="n">
        <v>45744</v>
      </c>
      <c r="D274" t="inlineStr">
        <is>
          <t>SKÅNE LÄN</t>
        </is>
      </c>
      <c r="E274" t="inlineStr">
        <is>
          <t>ÖSTRA GÖINGE</t>
        </is>
      </c>
      <c r="G274" t="n">
        <v>3.7</v>
      </c>
      <c r="H274" t="n">
        <v>0</v>
      </c>
      <c r="I274" t="n">
        <v>1</v>
      </c>
      <c r="J274" t="n">
        <v>0</v>
      </c>
      <c r="K274" t="n">
        <v>0</v>
      </c>
      <c r="L274" t="n">
        <v>0</v>
      </c>
      <c r="M274" t="n">
        <v>0</v>
      </c>
      <c r="N274" t="n">
        <v>0</v>
      </c>
      <c r="O274" t="n">
        <v>0</v>
      </c>
      <c r="P274" t="n">
        <v>0</v>
      </c>
      <c r="Q274" t="n">
        <v>1</v>
      </c>
      <c r="R274" s="2" t="inlineStr">
        <is>
          <t>Fällmossa</t>
        </is>
      </c>
      <c r="S274">
        <f>HYPERLINK("https://klasma.github.io/Logging_1256/artfynd/A 40135-2022 artfynd.xlsx", "A 40135-2022")</f>
        <v/>
      </c>
      <c r="T274">
        <f>HYPERLINK("https://klasma.github.io/Logging_1256/kartor/A 40135-2022 karta.png", "A 40135-2022")</f>
        <v/>
      </c>
      <c r="V274">
        <f>HYPERLINK("https://klasma.github.io/Logging_1256/klagomål/A 40135-2022 FSC-klagomål.docx", "A 40135-2022")</f>
        <v/>
      </c>
      <c r="W274">
        <f>HYPERLINK("https://klasma.github.io/Logging_1256/klagomålsmail/A 40135-2022 FSC-klagomål mail.docx", "A 40135-2022")</f>
        <v/>
      </c>
      <c r="X274">
        <f>HYPERLINK("https://klasma.github.io/Logging_1256/tillsyn/A 40135-2022 tillsynsbegäran.docx", "A 40135-2022")</f>
        <v/>
      </c>
      <c r="Y274">
        <f>HYPERLINK("https://klasma.github.io/Logging_1256/tillsynsmail/A 40135-2022 tillsynsbegäran mail.docx", "A 40135-2022")</f>
        <v/>
      </c>
    </row>
    <row r="275" ht="15" customHeight="1">
      <c r="A275" t="inlineStr">
        <is>
          <t>A 40904-2022</t>
        </is>
      </c>
      <c r="B275" s="1" t="n">
        <v>44820</v>
      </c>
      <c r="C275" s="1" t="n">
        <v>45744</v>
      </c>
      <c r="D275" t="inlineStr">
        <is>
          <t>SKÅNE LÄN</t>
        </is>
      </c>
      <c r="E275" t="inlineStr">
        <is>
          <t>ÖSTRA GÖINGE</t>
        </is>
      </c>
      <c r="G275" t="n">
        <v>4.1</v>
      </c>
      <c r="H275" t="n">
        <v>0</v>
      </c>
      <c r="I275" t="n">
        <v>0</v>
      </c>
      <c r="J275" t="n">
        <v>1</v>
      </c>
      <c r="K275" t="n">
        <v>0</v>
      </c>
      <c r="L275" t="n">
        <v>0</v>
      </c>
      <c r="M275" t="n">
        <v>0</v>
      </c>
      <c r="N275" t="n">
        <v>0</v>
      </c>
      <c r="O275" t="n">
        <v>1</v>
      </c>
      <c r="P275" t="n">
        <v>0</v>
      </c>
      <c r="Q275" t="n">
        <v>1</v>
      </c>
      <c r="R275" s="2" t="inlineStr">
        <is>
          <t>Igelkott</t>
        </is>
      </c>
      <c r="S275">
        <f>HYPERLINK("https://klasma.github.io/Logging_1256/artfynd/A 40904-2022 artfynd.xlsx", "A 40904-2022")</f>
        <v/>
      </c>
      <c r="T275">
        <f>HYPERLINK("https://klasma.github.io/Logging_1256/kartor/A 40904-2022 karta.png", "A 40904-2022")</f>
        <v/>
      </c>
      <c r="V275">
        <f>HYPERLINK("https://klasma.github.io/Logging_1256/klagomål/A 40904-2022 FSC-klagomål.docx", "A 40904-2022")</f>
        <v/>
      </c>
      <c r="W275">
        <f>HYPERLINK("https://klasma.github.io/Logging_1256/klagomålsmail/A 40904-2022 FSC-klagomål mail.docx", "A 40904-2022")</f>
        <v/>
      </c>
      <c r="X275">
        <f>HYPERLINK("https://klasma.github.io/Logging_1256/tillsyn/A 40904-2022 tillsynsbegäran.docx", "A 40904-2022")</f>
        <v/>
      </c>
      <c r="Y275">
        <f>HYPERLINK("https://klasma.github.io/Logging_1256/tillsynsmail/A 40904-2022 tillsynsbegäran mail.docx", "A 40904-2022")</f>
        <v/>
      </c>
    </row>
    <row r="276" ht="15" customHeight="1">
      <c r="A276" t="inlineStr">
        <is>
          <t>A 41004-2022</t>
        </is>
      </c>
      <c r="B276" s="1" t="n">
        <v>44825</v>
      </c>
      <c r="C276" s="1" t="n">
        <v>45744</v>
      </c>
      <c r="D276" t="inlineStr">
        <is>
          <t>SKÅNE LÄN</t>
        </is>
      </c>
      <c r="E276" t="inlineStr">
        <is>
          <t>KRISTIANSTAD</t>
        </is>
      </c>
      <c r="G276" t="n">
        <v>2.4</v>
      </c>
      <c r="H276" t="n">
        <v>0</v>
      </c>
      <c r="I276" t="n">
        <v>1</v>
      </c>
      <c r="J276" t="n">
        <v>0</v>
      </c>
      <c r="K276" t="n">
        <v>0</v>
      </c>
      <c r="L276" t="n">
        <v>0</v>
      </c>
      <c r="M276" t="n">
        <v>0</v>
      </c>
      <c r="N276" t="n">
        <v>0</v>
      </c>
      <c r="O276" t="n">
        <v>0</v>
      </c>
      <c r="P276" t="n">
        <v>0</v>
      </c>
      <c r="Q276" t="n">
        <v>1</v>
      </c>
      <c r="R276" s="2" t="inlineStr">
        <is>
          <t>Skogsbräsma</t>
        </is>
      </c>
      <c r="S276">
        <f>HYPERLINK("https://klasma.github.io/Logging_1290/artfynd/A 41004-2022 artfynd.xlsx", "A 41004-2022")</f>
        <v/>
      </c>
      <c r="T276">
        <f>HYPERLINK("https://klasma.github.io/Logging_1290/kartor/A 41004-2022 karta.png", "A 41004-2022")</f>
        <v/>
      </c>
      <c r="V276">
        <f>HYPERLINK("https://klasma.github.io/Logging_1290/klagomål/A 41004-2022 FSC-klagomål.docx", "A 41004-2022")</f>
        <v/>
      </c>
      <c r="W276">
        <f>HYPERLINK("https://klasma.github.io/Logging_1290/klagomålsmail/A 41004-2022 FSC-klagomål mail.docx", "A 41004-2022")</f>
        <v/>
      </c>
      <c r="X276">
        <f>HYPERLINK("https://klasma.github.io/Logging_1290/tillsyn/A 41004-2022 tillsynsbegäran.docx", "A 41004-2022")</f>
        <v/>
      </c>
      <c r="Y276">
        <f>HYPERLINK("https://klasma.github.io/Logging_1290/tillsynsmail/A 41004-2022 tillsynsbegäran mail.docx", "A 41004-2022")</f>
        <v/>
      </c>
    </row>
    <row r="277" ht="15" customHeight="1">
      <c r="A277" t="inlineStr">
        <is>
          <t>A 41275-2022</t>
        </is>
      </c>
      <c r="B277" s="1" t="n">
        <v>44826</v>
      </c>
      <c r="C277" s="1" t="n">
        <v>45744</v>
      </c>
      <c r="D277" t="inlineStr">
        <is>
          <t>SKÅNE LÄN</t>
        </is>
      </c>
      <c r="E277" t="inlineStr">
        <is>
          <t>KRISTIANSTAD</t>
        </is>
      </c>
      <c r="G277" t="n">
        <v>2.9</v>
      </c>
      <c r="H277" t="n">
        <v>1</v>
      </c>
      <c r="I277" t="n">
        <v>0</v>
      </c>
      <c r="J277" t="n">
        <v>0</v>
      </c>
      <c r="K277" t="n">
        <v>0</v>
      </c>
      <c r="L277" t="n">
        <v>1</v>
      </c>
      <c r="M277" t="n">
        <v>0</v>
      </c>
      <c r="N277" t="n">
        <v>0</v>
      </c>
      <c r="O277" t="n">
        <v>1</v>
      </c>
      <c r="P277" t="n">
        <v>1</v>
      </c>
      <c r="Q277" t="n">
        <v>1</v>
      </c>
      <c r="R277" s="2" t="inlineStr">
        <is>
          <t>Praktnejlika</t>
        </is>
      </c>
      <c r="S277">
        <f>HYPERLINK("https://klasma.github.io/Logging_1290/artfynd/A 41275-2022 artfynd.xlsx", "A 41275-2022")</f>
        <v/>
      </c>
      <c r="T277">
        <f>HYPERLINK("https://klasma.github.io/Logging_1290/kartor/A 41275-2022 karta.png", "A 41275-2022")</f>
        <v/>
      </c>
      <c r="V277">
        <f>HYPERLINK("https://klasma.github.io/Logging_1290/klagomål/A 41275-2022 FSC-klagomål.docx", "A 41275-2022")</f>
        <v/>
      </c>
      <c r="W277">
        <f>HYPERLINK("https://klasma.github.io/Logging_1290/klagomålsmail/A 41275-2022 FSC-klagomål mail.docx", "A 41275-2022")</f>
        <v/>
      </c>
      <c r="X277">
        <f>HYPERLINK("https://klasma.github.io/Logging_1290/tillsyn/A 41275-2022 tillsynsbegäran.docx", "A 41275-2022")</f>
        <v/>
      </c>
      <c r="Y277">
        <f>HYPERLINK("https://klasma.github.io/Logging_1290/tillsynsmail/A 41275-2022 tillsynsbegäran mail.docx", "A 41275-2022")</f>
        <v/>
      </c>
    </row>
    <row r="278" ht="15" customHeight="1">
      <c r="A278" t="inlineStr">
        <is>
          <t>A 45334-2022</t>
        </is>
      </c>
      <c r="B278" s="1" t="n">
        <v>44844</v>
      </c>
      <c r="C278" s="1" t="n">
        <v>45744</v>
      </c>
      <c r="D278" t="inlineStr">
        <is>
          <t>SKÅNE LÄN</t>
        </is>
      </c>
      <c r="E278" t="inlineStr">
        <is>
          <t>HÖRBY</t>
        </is>
      </c>
      <c r="F278" t="inlineStr">
        <is>
          <t>Sveaskog</t>
        </is>
      </c>
      <c r="G278" t="n">
        <v>4.7</v>
      </c>
      <c r="H278" t="n">
        <v>0</v>
      </c>
      <c r="I278" t="n">
        <v>1</v>
      </c>
      <c r="J278" t="n">
        <v>0</v>
      </c>
      <c r="K278" t="n">
        <v>0</v>
      </c>
      <c r="L278" t="n">
        <v>0</v>
      </c>
      <c r="M278" t="n">
        <v>0</v>
      </c>
      <c r="N278" t="n">
        <v>0</v>
      </c>
      <c r="O278" t="n">
        <v>0</v>
      </c>
      <c r="P278" t="n">
        <v>0</v>
      </c>
      <c r="Q278" t="n">
        <v>1</v>
      </c>
      <c r="R278" s="2" t="inlineStr">
        <is>
          <t>Strutbräken</t>
        </is>
      </c>
      <c r="S278">
        <f>HYPERLINK("https://klasma.github.io/Logging_1266/artfynd/A 45334-2022 artfynd.xlsx", "A 45334-2022")</f>
        <v/>
      </c>
      <c r="T278">
        <f>HYPERLINK("https://klasma.github.io/Logging_1266/kartor/A 45334-2022 karta.png", "A 45334-2022")</f>
        <v/>
      </c>
      <c r="V278">
        <f>HYPERLINK("https://klasma.github.io/Logging_1266/klagomål/A 45334-2022 FSC-klagomål.docx", "A 45334-2022")</f>
        <v/>
      </c>
      <c r="W278">
        <f>HYPERLINK("https://klasma.github.io/Logging_1266/klagomålsmail/A 45334-2022 FSC-klagomål mail.docx", "A 45334-2022")</f>
        <v/>
      </c>
      <c r="X278">
        <f>HYPERLINK("https://klasma.github.io/Logging_1266/tillsyn/A 45334-2022 tillsynsbegäran.docx", "A 45334-2022")</f>
        <v/>
      </c>
      <c r="Y278">
        <f>HYPERLINK("https://klasma.github.io/Logging_1266/tillsynsmail/A 45334-2022 tillsynsbegäran mail.docx", "A 45334-2022")</f>
        <v/>
      </c>
    </row>
    <row r="279" ht="15" customHeight="1">
      <c r="A279" t="inlineStr">
        <is>
          <t>A 45802-2022</t>
        </is>
      </c>
      <c r="B279" s="1" t="n">
        <v>44844</v>
      </c>
      <c r="C279" s="1" t="n">
        <v>45744</v>
      </c>
      <c r="D279" t="inlineStr">
        <is>
          <t>SKÅNE LÄN</t>
        </is>
      </c>
      <c r="E279" t="inlineStr">
        <is>
          <t>SIMRISHAMN</t>
        </is>
      </c>
      <c r="G279" t="n">
        <v>1.2</v>
      </c>
      <c r="H279" t="n">
        <v>0</v>
      </c>
      <c r="I279" t="n">
        <v>0</v>
      </c>
      <c r="J279" t="n">
        <v>0</v>
      </c>
      <c r="K279" t="n">
        <v>0</v>
      </c>
      <c r="L279" t="n">
        <v>1</v>
      </c>
      <c r="M279" t="n">
        <v>0</v>
      </c>
      <c r="N279" t="n">
        <v>0</v>
      </c>
      <c r="O279" t="n">
        <v>1</v>
      </c>
      <c r="P279" t="n">
        <v>1</v>
      </c>
      <c r="Q279" t="n">
        <v>1</v>
      </c>
      <c r="R279" s="2" t="inlineStr">
        <is>
          <t>Hartsticka</t>
        </is>
      </c>
      <c r="S279">
        <f>HYPERLINK("https://klasma.github.io/Logging_1291/artfynd/A 45802-2022 artfynd.xlsx", "A 45802-2022")</f>
        <v/>
      </c>
      <c r="T279">
        <f>HYPERLINK("https://klasma.github.io/Logging_1291/kartor/A 45802-2022 karta.png", "A 45802-2022")</f>
        <v/>
      </c>
      <c r="V279">
        <f>HYPERLINK("https://klasma.github.io/Logging_1291/klagomål/A 45802-2022 FSC-klagomål.docx", "A 45802-2022")</f>
        <v/>
      </c>
      <c r="W279">
        <f>HYPERLINK("https://klasma.github.io/Logging_1291/klagomålsmail/A 45802-2022 FSC-klagomål mail.docx", "A 45802-2022")</f>
        <v/>
      </c>
      <c r="X279">
        <f>HYPERLINK("https://klasma.github.io/Logging_1291/tillsyn/A 45802-2022 tillsynsbegäran.docx", "A 45802-2022")</f>
        <v/>
      </c>
      <c r="Y279">
        <f>HYPERLINK("https://klasma.github.io/Logging_1291/tillsynsmail/A 45802-2022 tillsynsbegäran mail.docx", "A 45802-2022")</f>
        <v/>
      </c>
    </row>
    <row r="280" ht="15" customHeight="1">
      <c r="A280" t="inlineStr">
        <is>
          <t>A 46195-2022</t>
        </is>
      </c>
      <c r="B280" s="1" t="n">
        <v>44845</v>
      </c>
      <c r="C280" s="1" t="n">
        <v>45744</v>
      </c>
      <c r="D280" t="inlineStr">
        <is>
          <t>SKÅNE LÄN</t>
        </is>
      </c>
      <c r="E280" t="inlineStr">
        <is>
          <t>PERSTORP</t>
        </is>
      </c>
      <c r="G280" t="n">
        <v>0.7</v>
      </c>
      <c r="H280" t="n">
        <v>0</v>
      </c>
      <c r="I280" t="n">
        <v>1</v>
      </c>
      <c r="J280" t="n">
        <v>0</v>
      </c>
      <c r="K280" t="n">
        <v>0</v>
      </c>
      <c r="L280" t="n">
        <v>0</v>
      </c>
      <c r="M280" t="n">
        <v>0</v>
      </c>
      <c r="N280" t="n">
        <v>0</v>
      </c>
      <c r="O280" t="n">
        <v>0</v>
      </c>
      <c r="P280" t="n">
        <v>0</v>
      </c>
      <c r="Q280" t="n">
        <v>1</v>
      </c>
      <c r="R280" s="2" t="inlineStr">
        <is>
          <t>Brandticka</t>
        </is>
      </c>
      <c r="S280">
        <f>HYPERLINK("https://klasma.github.io/Logging_1275/artfynd/A 46195-2022 artfynd.xlsx", "A 46195-2022")</f>
        <v/>
      </c>
      <c r="T280">
        <f>HYPERLINK("https://klasma.github.io/Logging_1275/kartor/A 46195-2022 karta.png", "A 46195-2022")</f>
        <v/>
      </c>
      <c r="V280">
        <f>HYPERLINK("https://klasma.github.io/Logging_1275/klagomål/A 46195-2022 FSC-klagomål.docx", "A 46195-2022")</f>
        <v/>
      </c>
      <c r="W280">
        <f>HYPERLINK("https://klasma.github.io/Logging_1275/klagomålsmail/A 46195-2022 FSC-klagomål mail.docx", "A 46195-2022")</f>
        <v/>
      </c>
      <c r="X280">
        <f>HYPERLINK("https://klasma.github.io/Logging_1275/tillsyn/A 46195-2022 tillsynsbegäran.docx", "A 46195-2022")</f>
        <v/>
      </c>
      <c r="Y280">
        <f>HYPERLINK("https://klasma.github.io/Logging_1275/tillsynsmail/A 46195-2022 tillsynsbegäran mail.docx", "A 46195-2022")</f>
        <v/>
      </c>
    </row>
    <row r="281" ht="15" customHeight="1">
      <c r="A281" t="inlineStr">
        <is>
          <t>A 46232-2022</t>
        </is>
      </c>
      <c r="B281" s="1" t="n">
        <v>44847</v>
      </c>
      <c r="C281" s="1" t="n">
        <v>45744</v>
      </c>
      <c r="D281" t="inlineStr">
        <is>
          <t>SKÅNE LÄN</t>
        </is>
      </c>
      <c r="E281" t="inlineStr">
        <is>
          <t>SVALÖV</t>
        </is>
      </c>
      <c r="G281" t="n">
        <v>3.8</v>
      </c>
      <c r="H281" t="n">
        <v>0</v>
      </c>
      <c r="I281" t="n">
        <v>0</v>
      </c>
      <c r="J281" t="n">
        <v>1</v>
      </c>
      <c r="K281" t="n">
        <v>0</v>
      </c>
      <c r="L281" t="n">
        <v>0</v>
      </c>
      <c r="M281" t="n">
        <v>0</v>
      </c>
      <c r="N281" t="n">
        <v>0</v>
      </c>
      <c r="O281" t="n">
        <v>1</v>
      </c>
      <c r="P281" t="n">
        <v>0</v>
      </c>
      <c r="Q281" t="n">
        <v>1</v>
      </c>
      <c r="R281" s="2" t="inlineStr">
        <is>
          <t>Igelkott</t>
        </is>
      </c>
      <c r="S281">
        <f>HYPERLINK("https://klasma.github.io/Logging_1214/artfynd/A 46232-2022 artfynd.xlsx", "A 46232-2022")</f>
        <v/>
      </c>
      <c r="T281">
        <f>HYPERLINK("https://klasma.github.io/Logging_1214/kartor/A 46232-2022 karta.png", "A 46232-2022")</f>
        <v/>
      </c>
      <c r="V281">
        <f>HYPERLINK("https://klasma.github.io/Logging_1214/klagomål/A 46232-2022 FSC-klagomål.docx", "A 46232-2022")</f>
        <v/>
      </c>
      <c r="W281">
        <f>HYPERLINK("https://klasma.github.io/Logging_1214/klagomålsmail/A 46232-2022 FSC-klagomål mail.docx", "A 46232-2022")</f>
        <v/>
      </c>
      <c r="X281">
        <f>HYPERLINK("https://klasma.github.io/Logging_1214/tillsyn/A 46232-2022 tillsynsbegäran.docx", "A 46232-2022")</f>
        <v/>
      </c>
      <c r="Y281">
        <f>HYPERLINK("https://klasma.github.io/Logging_1214/tillsynsmail/A 46232-2022 tillsynsbegäran mail.docx", "A 46232-2022")</f>
        <v/>
      </c>
    </row>
    <row r="282" ht="15" customHeight="1">
      <c r="A282" t="inlineStr">
        <is>
          <t>A 47612-2022</t>
        </is>
      </c>
      <c r="B282" s="1" t="n">
        <v>44852</v>
      </c>
      <c r="C282" s="1" t="n">
        <v>45744</v>
      </c>
      <c r="D282" t="inlineStr">
        <is>
          <t>SKÅNE LÄN</t>
        </is>
      </c>
      <c r="E282" t="inlineStr">
        <is>
          <t>OSBY</t>
        </is>
      </c>
      <c r="F282" t="inlineStr">
        <is>
          <t>Kyrkan</t>
        </is>
      </c>
      <c r="G282" t="n">
        <v>16.4</v>
      </c>
      <c r="H282" t="n">
        <v>1</v>
      </c>
      <c r="I282" t="n">
        <v>0</v>
      </c>
      <c r="J282" t="n">
        <v>1</v>
      </c>
      <c r="K282" t="n">
        <v>0</v>
      </c>
      <c r="L282" t="n">
        <v>0</v>
      </c>
      <c r="M282" t="n">
        <v>0</v>
      </c>
      <c r="N282" t="n">
        <v>0</v>
      </c>
      <c r="O282" t="n">
        <v>1</v>
      </c>
      <c r="P282" t="n">
        <v>0</v>
      </c>
      <c r="Q282" t="n">
        <v>1</v>
      </c>
      <c r="R282" s="2" t="inlineStr">
        <is>
          <t>Ärtsångare</t>
        </is>
      </c>
      <c r="S282">
        <f>HYPERLINK("https://klasma.github.io/Logging_1273/artfynd/A 47612-2022 artfynd.xlsx", "A 47612-2022")</f>
        <v/>
      </c>
      <c r="T282">
        <f>HYPERLINK("https://klasma.github.io/Logging_1273/kartor/A 47612-2022 karta.png", "A 47612-2022")</f>
        <v/>
      </c>
      <c r="V282">
        <f>HYPERLINK("https://klasma.github.io/Logging_1273/klagomål/A 47612-2022 FSC-klagomål.docx", "A 47612-2022")</f>
        <v/>
      </c>
      <c r="W282">
        <f>HYPERLINK("https://klasma.github.io/Logging_1273/klagomålsmail/A 47612-2022 FSC-klagomål mail.docx", "A 47612-2022")</f>
        <v/>
      </c>
      <c r="X282">
        <f>HYPERLINK("https://klasma.github.io/Logging_1273/tillsyn/A 47612-2022 tillsynsbegäran.docx", "A 47612-2022")</f>
        <v/>
      </c>
      <c r="Y282">
        <f>HYPERLINK("https://klasma.github.io/Logging_1273/tillsynsmail/A 47612-2022 tillsynsbegäran mail.docx", "A 47612-2022")</f>
        <v/>
      </c>
      <c r="Z282">
        <f>HYPERLINK("https://klasma.github.io/Logging_1273/fåglar/A 47612-2022 prioriterade fågelarter.docx", "A 47612-2022")</f>
        <v/>
      </c>
    </row>
    <row r="283" ht="15" customHeight="1">
      <c r="A283" t="inlineStr">
        <is>
          <t>A 50118-2022</t>
        </is>
      </c>
      <c r="B283" s="1" t="n">
        <v>44860</v>
      </c>
      <c r="C283" s="1" t="n">
        <v>45744</v>
      </c>
      <c r="D283" t="inlineStr">
        <is>
          <t>SKÅNE LÄN</t>
        </is>
      </c>
      <c r="E283" t="inlineStr">
        <is>
          <t>BROMÖLLA</t>
        </is>
      </c>
      <c r="G283" t="n">
        <v>12.8</v>
      </c>
      <c r="H283" t="n">
        <v>0</v>
      </c>
      <c r="I283" t="n">
        <v>1</v>
      </c>
      <c r="J283" t="n">
        <v>0</v>
      </c>
      <c r="K283" t="n">
        <v>0</v>
      </c>
      <c r="L283" t="n">
        <v>0</v>
      </c>
      <c r="M283" t="n">
        <v>0</v>
      </c>
      <c r="N283" t="n">
        <v>0</v>
      </c>
      <c r="O283" t="n">
        <v>0</v>
      </c>
      <c r="P283" t="n">
        <v>0</v>
      </c>
      <c r="Q283" t="n">
        <v>1</v>
      </c>
      <c r="R283" s="2" t="inlineStr">
        <is>
          <t>Myskmadra</t>
        </is>
      </c>
      <c r="S283">
        <f>HYPERLINK("https://klasma.github.io/Logging_1272/artfynd/A 50118-2022 artfynd.xlsx", "A 50118-2022")</f>
        <v/>
      </c>
      <c r="T283">
        <f>HYPERLINK("https://klasma.github.io/Logging_1272/kartor/A 50118-2022 karta.png", "A 50118-2022")</f>
        <v/>
      </c>
      <c r="V283">
        <f>HYPERLINK("https://klasma.github.io/Logging_1272/klagomål/A 50118-2022 FSC-klagomål.docx", "A 50118-2022")</f>
        <v/>
      </c>
      <c r="W283">
        <f>HYPERLINK("https://klasma.github.io/Logging_1272/klagomålsmail/A 50118-2022 FSC-klagomål mail.docx", "A 50118-2022")</f>
        <v/>
      </c>
      <c r="X283">
        <f>HYPERLINK("https://klasma.github.io/Logging_1272/tillsyn/A 50118-2022 tillsynsbegäran.docx", "A 50118-2022")</f>
        <v/>
      </c>
      <c r="Y283">
        <f>HYPERLINK("https://klasma.github.io/Logging_1272/tillsynsmail/A 50118-2022 tillsynsbegäran mail.docx", "A 50118-2022")</f>
        <v/>
      </c>
    </row>
    <row r="284" ht="15" customHeight="1">
      <c r="A284" t="inlineStr">
        <is>
          <t>A 49572-2022</t>
        </is>
      </c>
      <c r="B284" s="1" t="n">
        <v>44862</v>
      </c>
      <c r="C284" s="1" t="n">
        <v>45744</v>
      </c>
      <c r="D284" t="inlineStr">
        <is>
          <t>SKÅNE LÄN</t>
        </is>
      </c>
      <c r="E284" t="inlineStr">
        <is>
          <t>HÄSSLEHOLM</t>
        </is>
      </c>
      <c r="G284" t="n">
        <v>1.4</v>
      </c>
      <c r="H284" t="n">
        <v>0</v>
      </c>
      <c r="I284" t="n">
        <v>1</v>
      </c>
      <c r="J284" t="n">
        <v>0</v>
      </c>
      <c r="K284" t="n">
        <v>0</v>
      </c>
      <c r="L284" t="n">
        <v>0</v>
      </c>
      <c r="M284" t="n">
        <v>0</v>
      </c>
      <c r="N284" t="n">
        <v>0</v>
      </c>
      <c r="O284" t="n">
        <v>0</v>
      </c>
      <c r="P284" t="n">
        <v>0</v>
      </c>
      <c r="Q284" t="n">
        <v>1</v>
      </c>
      <c r="R284" s="2" t="inlineStr">
        <is>
          <t>Blåmossa</t>
        </is>
      </c>
      <c r="S284">
        <f>HYPERLINK("https://klasma.github.io/Logging_1293/artfynd/A 49572-2022 artfynd.xlsx", "A 49572-2022")</f>
        <v/>
      </c>
      <c r="T284">
        <f>HYPERLINK("https://klasma.github.io/Logging_1293/kartor/A 49572-2022 karta.png", "A 49572-2022")</f>
        <v/>
      </c>
      <c r="V284">
        <f>HYPERLINK("https://klasma.github.io/Logging_1293/klagomål/A 49572-2022 FSC-klagomål.docx", "A 49572-2022")</f>
        <v/>
      </c>
      <c r="W284">
        <f>HYPERLINK("https://klasma.github.io/Logging_1293/klagomålsmail/A 49572-2022 FSC-klagomål mail.docx", "A 49572-2022")</f>
        <v/>
      </c>
      <c r="X284">
        <f>HYPERLINK("https://klasma.github.io/Logging_1293/tillsyn/A 49572-2022 tillsynsbegäran.docx", "A 49572-2022")</f>
        <v/>
      </c>
      <c r="Y284">
        <f>HYPERLINK("https://klasma.github.io/Logging_1293/tillsynsmail/A 49572-2022 tillsynsbegäran mail.docx", "A 49572-2022")</f>
        <v/>
      </c>
    </row>
    <row r="285" ht="15" customHeight="1">
      <c r="A285" t="inlineStr">
        <is>
          <t>A 57811-2022</t>
        </is>
      </c>
      <c r="B285" s="1" t="n">
        <v>44897</v>
      </c>
      <c r="C285" s="1" t="n">
        <v>45744</v>
      </c>
      <c r="D285" t="inlineStr">
        <is>
          <t>SKÅNE LÄN</t>
        </is>
      </c>
      <c r="E285" t="inlineStr">
        <is>
          <t>TRELLEBORG</t>
        </is>
      </c>
      <c r="G285" t="n">
        <v>2.2</v>
      </c>
      <c r="H285" t="n">
        <v>0</v>
      </c>
      <c r="I285" t="n">
        <v>0</v>
      </c>
      <c r="J285" t="n">
        <v>1</v>
      </c>
      <c r="K285" t="n">
        <v>0</v>
      </c>
      <c r="L285" t="n">
        <v>0</v>
      </c>
      <c r="M285" t="n">
        <v>0</v>
      </c>
      <c r="N285" t="n">
        <v>0</v>
      </c>
      <c r="O285" t="n">
        <v>1</v>
      </c>
      <c r="P285" t="n">
        <v>0</v>
      </c>
      <c r="Q285" t="n">
        <v>1</v>
      </c>
      <c r="R285" s="2" t="inlineStr">
        <is>
          <t>Skogsveronika</t>
        </is>
      </c>
      <c r="S285">
        <f>HYPERLINK("https://klasma.github.io/Logging_1287/artfynd/A 57811-2022 artfynd.xlsx", "A 57811-2022")</f>
        <v/>
      </c>
      <c r="T285">
        <f>HYPERLINK("https://klasma.github.io/Logging_1287/kartor/A 57811-2022 karta.png", "A 57811-2022")</f>
        <v/>
      </c>
      <c r="V285">
        <f>HYPERLINK("https://klasma.github.io/Logging_1287/klagomål/A 57811-2022 FSC-klagomål.docx", "A 57811-2022")</f>
        <v/>
      </c>
      <c r="W285">
        <f>HYPERLINK("https://klasma.github.io/Logging_1287/klagomålsmail/A 57811-2022 FSC-klagomål mail.docx", "A 57811-2022")</f>
        <v/>
      </c>
      <c r="X285">
        <f>HYPERLINK("https://klasma.github.io/Logging_1287/tillsyn/A 57811-2022 tillsynsbegäran.docx", "A 57811-2022")</f>
        <v/>
      </c>
      <c r="Y285">
        <f>HYPERLINK("https://klasma.github.io/Logging_1287/tillsynsmail/A 57811-2022 tillsynsbegäran mail.docx", "A 57811-2022")</f>
        <v/>
      </c>
    </row>
    <row r="286" ht="15" customHeight="1">
      <c r="A286" t="inlineStr">
        <is>
          <t>A 58641-2022</t>
        </is>
      </c>
      <c r="B286" s="1" t="n">
        <v>44902</v>
      </c>
      <c r="C286" s="1" t="n">
        <v>45744</v>
      </c>
      <c r="D286" t="inlineStr">
        <is>
          <t>SKÅNE LÄN</t>
        </is>
      </c>
      <c r="E286" t="inlineStr">
        <is>
          <t>OSBY</t>
        </is>
      </c>
      <c r="G286" t="n">
        <v>1.2</v>
      </c>
      <c r="H286" t="n">
        <v>0</v>
      </c>
      <c r="I286" t="n">
        <v>0</v>
      </c>
      <c r="J286" t="n">
        <v>0</v>
      </c>
      <c r="K286" t="n">
        <v>0</v>
      </c>
      <c r="L286" t="n">
        <v>1</v>
      </c>
      <c r="M286" t="n">
        <v>0</v>
      </c>
      <c r="N286" t="n">
        <v>0</v>
      </c>
      <c r="O286" t="n">
        <v>1</v>
      </c>
      <c r="P286" t="n">
        <v>1</v>
      </c>
      <c r="Q286" t="n">
        <v>1</v>
      </c>
      <c r="R286" s="2" t="inlineStr">
        <is>
          <t>Ask</t>
        </is>
      </c>
      <c r="S286">
        <f>HYPERLINK("https://klasma.github.io/Logging_1273/artfynd/A 58641-2022 artfynd.xlsx", "A 58641-2022")</f>
        <v/>
      </c>
      <c r="T286">
        <f>HYPERLINK("https://klasma.github.io/Logging_1273/kartor/A 58641-2022 karta.png", "A 58641-2022")</f>
        <v/>
      </c>
      <c r="V286">
        <f>HYPERLINK("https://klasma.github.io/Logging_1273/klagomål/A 58641-2022 FSC-klagomål.docx", "A 58641-2022")</f>
        <v/>
      </c>
      <c r="W286">
        <f>HYPERLINK("https://klasma.github.io/Logging_1273/klagomålsmail/A 58641-2022 FSC-klagomål mail.docx", "A 58641-2022")</f>
        <v/>
      </c>
      <c r="X286">
        <f>HYPERLINK("https://klasma.github.io/Logging_1273/tillsyn/A 58641-2022 tillsynsbegäran.docx", "A 58641-2022")</f>
        <v/>
      </c>
      <c r="Y286">
        <f>HYPERLINK("https://klasma.github.io/Logging_1273/tillsynsmail/A 58641-2022 tillsynsbegäran mail.docx", "A 58641-2022")</f>
        <v/>
      </c>
    </row>
    <row r="287" ht="15" customHeight="1">
      <c r="A287" t="inlineStr">
        <is>
          <t>A 61517-2022</t>
        </is>
      </c>
      <c r="B287" s="1" t="n">
        <v>44910</v>
      </c>
      <c r="C287" s="1" t="n">
        <v>45744</v>
      </c>
      <c r="D287" t="inlineStr">
        <is>
          <t>SKÅNE LÄN</t>
        </is>
      </c>
      <c r="E287" t="inlineStr">
        <is>
          <t>OSBY</t>
        </is>
      </c>
      <c r="F287" t="inlineStr">
        <is>
          <t>Kyrkan</t>
        </is>
      </c>
      <c r="G287" t="n">
        <v>4.4</v>
      </c>
      <c r="H287" t="n">
        <v>0</v>
      </c>
      <c r="I287" t="n">
        <v>1</v>
      </c>
      <c r="J287" t="n">
        <v>0</v>
      </c>
      <c r="K287" t="n">
        <v>0</v>
      </c>
      <c r="L287" t="n">
        <v>0</v>
      </c>
      <c r="M287" t="n">
        <v>0</v>
      </c>
      <c r="N287" t="n">
        <v>0</v>
      </c>
      <c r="O287" t="n">
        <v>0</v>
      </c>
      <c r="P287" t="n">
        <v>0</v>
      </c>
      <c r="Q287" t="n">
        <v>1</v>
      </c>
      <c r="R287" s="2" t="inlineStr">
        <is>
          <t>Blodticka</t>
        </is>
      </c>
      <c r="S287">
        <f>HYPERLINK("https://klasma.github.io/Logging_1273/artfynd/A 61517-2022 artfynd.xlsx", "A 61517-2022")</f>
        <v/>
      </c>
      <c r="T287">
        <f>HYPERLINK("https://klasma.github.io/Logging_1273/kartor/A 61517-2022 karta.png", "A 61517-2022")</f>
        <v/>
      </c>
      <c r="V287">
        <f>HYPERLINK("https://klasma.github.io/Logging_1273/klagomål/A 61517-2022 FSC-klagomål.docx", "A 61517-2022")</f>
        <v/>
      </c>
      <c r="W287">
        <f>HYPERLINK("https://klasma.github.io/Logging_1273/klagomålsmail/A 61517-2022 FSC-klagomål mail.docx", "A 61517-2022")</f>
        <v/>
      </c>
      <c r="X287">
        <f>HYPERLINK("https://klasma.github.io/Logging_1273/tillsyn/A 61517-2022 tillsynsbegäran.docx", "A 61517-2022")</f>
        <v/>
      </c>
      <c r="Y287">
        <f>HYPERLINK("https://klasma.github.io/Logging_1273/tillsynsmail/A 61517-2022 tillsynsbegäran mail.docx", "A 61517-2022")</f>
        <v/>
      </c>
    </row>
    <row r="288" ht="15" customHeight="1">
      <c r="A288" t="inlineStr">
        <is>
          <t>A 61885-2022</t>
        </is>
      </c>
      <c r="B288" s="1" t="n">
        <v>44917</v>
      </c>
      <c r="C288" s="1" t="n">
        <v>45744</v>
      </c>
      <c r="D288" t="inlineStr">
        <is>
          <t>SKÅNE LÄN</t>
        </is>
      </c>
      <c r="E288" t="inlineStr">
        <is>
          <t>KRISTIANSTAD</t>
        </is>
      </c>
      <c r="G288" t="n">
        <v>1.4</v>
      </c>
      <c r="H288" t="n">
        <v>0</v>
      </c>
      <c r="I288" t="n">
        <v>0</v>
      </c>
      <c r="J288" t="n">
        <v>1</v>
      </c>
      <c r="K288" t="n">
        <v>0</v>
      </c>
      <c r="L288" t="n">
        <v>0</v>
      </c>
      <c r="M288" t="n">
        <v>0</v>
      </c>
      <c r="N288" t="n">
        <v>0</v>
      </c>
      <c r="O288" t="n">
        <v>1</v>
      </c>
      <c r="P288" t="n">
        <v>0</v>
      </c>
      <c r="Q288" t="n">
        <v>1</v>
      </c>
      <c r="R288" s="2" t="inlineStr">
        <is>
          <t>Koralltaggsvamp</t>
        </is>
      </c>
      <c r="S288">
        <f>HYPERLINK("https://klasma.github.io/Logging_1290/artfynd/A 61885-2022 artfynd.xlsx", "A 61885-2022")</f>
        <v/>
      </c>
      <c r="T288">
        <f>HYPERLINK("https://klasma.github.io/Logging_1290/kartor/A 61885-2022 karta.png", "A 61885-2022")</f>
        <v/>
      </c>
      <c r="V288">
        <f>HYPERLINK("https://klasma.github.io/Logging_1290/klagomål/A 61885-2022 FSC-klagomål.docx", "A 61885-2022")</f>
        <v/>
      </c>
      <c r="W288">
        <f>HYPERLINK("https://klasma.github.io/Logging_1290/klagomålsmail/A 61885-2022 FSC-klagomål mail.docx", "A 61885-2022")</f>
        <v/>
      </c>
      <c r="X288">
        <f>HYPERLINK("https://klasma.github.io/Logging_1290/tillsyn/A 61885-2022 tillsynsbegäran.docx", "A 61885-2022")</f>
        <v/>
      </c>
      <c r="Y288">
        <f>HYPERLINK("https://klasma.github.io/Logging_1290/tillsynsmail/A 61885-2022 tillsynsbegäran mail.docx", "A 61885-2022")</f>
        <v/>
      </c>
    </row>
    <row r="289" ht="15" customHeight="1">
      <c r="A289" t="inlineStr">
        <is>
          <t>A 62067-2022</t>
        </is>
      </c>
      <c r="B289" s="1" t="n">
        <v>44918</v>
      </c>
      <c r="C289" s="1" t="n">
        <v>45744</v>
      </c>
      <c r="D289" t="inlineStr">
        <is>
          <t>SKÅNE LÄN</t>
        </is>
      </c>
      <c r="E289" t="inlineStr">
        <is>
          <t>KRISTIANSTAD</t>
        </is>
      </c>
      <c r="G289" t="n">
        <v>3</v>
      </c>
      <c r="H289" t="n">
        <v>0</v>
      </c>
      <c r="I289" t="n">
        <v>1</v>
      </c>
      <c r="J289" t="n">
        <v>0</v>
      </c>
      <c r="K289" t="n">
        <v>0</v>
      </c>
      <c r="L289" t="n">
        <v>0</v>
      </c>
      <c r="M289" t="n">
        <v>0</v>
      </c>
      <c r="N289" t="n">
        <v>0</v>
      </c>
      <c r="O289" t="n">
        <v>0</v>
      </c>
      <c r="P289" t="n">
        <v>0</v>
      </c>
      <c r="Q289" t="n">
        <v>1</v>
      </c>
      <c r="R289" s="2" t="inlineStr">
        <is>
          <t>Plattad jordtunga</t>
        </is>
      </c>
      <c r="S289">
        <f>HYPERLINK("https://klasma.github.io/Logging_1290/artfynd/A 62067-2022 artfynd.xlsx", "A 62067-2022")</f>
        <v/>
      </c>
      <c r="T289">
        <f>HYPERLINK("https://klasma.github.io/Logging_1290/kartor/A 62067-2022 karta.png", "A 62067-2022")</f>
        <v/>
      </c>
      <c r="V289">
        <f>HYPERLINK("https://klasma.github.io/Logging_1290/klagomål/A 62067-2022 FSC-klagomål.docx", "A 62067-2022")</f>
        <v/>
      </c>
      <c r="W289">
        <f>HYPERLINK("https://klasma.github.io/Logging_1290/klagomålsmail/A 62067-2022 FSC-klagomål mail.docx", "A 62067-2022")</f>
        <v/>
      </c>
      <c r="X289">
        <f>HYPERLINK("https://klasma.github.io/Logging_1290/tillsyn/A 62067-2022 tillsynsbegäran.docx", "A 62067-2022")</f>
        <v/>
      </c>
      <c r="Y289">
        <f>HYPERLINK("https://klasma.github.io/Logging_1290/tillsynsmail/A 62067-2022 tillsynsbegäran mail.docx", "A 62067-2022")</f>
        <v/>
      </c>
    </row>
    <row r="290" ht="15" customHeight="1">
      <c r="A290" t="inlineStr">
        <is>
          <t>A 113-2023</t>
        </is>
      </c>
      <c r="B290" s="1" t="n">
        <v>44928</v>
      </c>
      <c r="C290" s="1" t="n">
        <v>45744</v>
      </c>
      <c r="D290" t="inlineStr">
        <is>
          <t>SKÅNE LÄN</t>
        </is>
      </c>
      <c r="E290" t="inlineStr">
        <is>
          <t>HÖRBY</t>
        </is>
      </c>
      <c r="G290" t="n">
        <v>5.1</v>
      </c>
      <c r="H290" t="n">
        <v>0</v>
      </c>
      <c r="I290" t="n">
        <v>0</v>
      </c>
      <c r="J290" t="n">
        <v>0</v>
      </c>
      <c r="K290" t="n">
        <v>1</v>
      </c>
      <c r="L290" t="n">
        <v>0</v>
      </c>
      <c r="M290" t="n">
        <v>0</v>
      </c>
      <c r="N290" t="n">
        <v>0</v>
      </c>
      <c r="O290" t="n">
        <v>1</v>
      </c>
      <c r="P290" t="n">
        <v>1</v>
      </c>
      <c r="Q290" t="n">
        <v>1</v>
      </c>
      <c r="R290" s="2" t="inlineStr">
        <is>
          <t>Slåttergubbe</t>
        </is>
      </c>
      <c r="S290">
        <f>HYPERLINK("https://klasma.github.io/Logging_1266/artfynd/A 113-2023 artfynd.xlsx", "A 113-2023")</f>
        <v/>
      </c>
      <c r="T290">
        <f>HYPERLINK("https://klasma.github.io/Logging_1266/kartor/A 113-2023 karta.png", "A 113-2023")</f>
        <v/>
      </c>
      <c r="V290">
        <f>HYPERLINK("https://klasma.github.io/Logging_1266/klagomål/A 113-2023 FSC-klagomål.docx", "A 113-2023")</f>
        <v/>
      </c>
      <c r="W290">
        <f>HYPERLINK("https://klasma.github.io/Logging_1266/klagomålsmail/A 113-2023 FSC-klagomål mail.docx", "A 113-2023")</f>
        <v/>
      </c>
      <c r="X290">
        <f>HYPERLINK("https://klasma.github.io/Logging_1266/tillsyn/A 113-2023 tillsynsbegäran.docx", "A 113-2023")</f>
        <v/>
      </c>
      <c r="Y290">
        <f>HYPERLINK("https://klasma.github.io/Logging_1266/tillsynsmail/A 113-2023 tillsynsbegäran mail.docx", "A 113-2023")</f>
        <v/>
      </c>
    </row>
    <row r="291" ht="15" customHeight="1">
      <c r="A291" t="inlineStr">
        <is>
          <t>A 389-2023</t>
        </is>
      </c>
      <c r="B291" s="1" t="n">
        <v>44929</v>
      </c>
      <c r="C291" s="1" t="n">
        <v>45744</v>
      </c>
      <c r="D291" t="inlineStr">
        <is>
          <t>SKÅNE LÄN</t>
        </is>
      </c>
      <c r="E291" t="inlineStr">
        <is>
          <t>BÅSTAD</t>
        </is>
      </c>
      <c r="G291" t="n">
        <v>2.5</v>
      </c>
      <c r="H291" t="n">
        <v>1</v>
      </c>
      <c r="I291" t="n">
        <v>0</v>
      </c>
      <c r="J291" t="n">
        <v>0</v>
      </c>
      <c r="K291" t="n">
        <v>0</v>
      </c>
      <c r="L291" t="n">
        <v>0</v>
      </c>
      <c r="M291" t="n">
        <v>0</v>
      </c>
      <c r="N291" t="n">
        <v>0</v>
      </c>
      <c r="O291" t="n">
        <v>0</v>
      </c>
      <c r="P291" t="n">
        <v>0</v>
      </c>
      <c r="Q291" t="n">
        <v>1</v>
      </c>
      <c r="R291" s="2" t="inlineStr">
        <is>
          <t>Grönvit nattviol</t>
        </is>
      </c>
      <c r="S291">
        <f>HYPERLINK("https://klasma.github.io/Logging_1278/artfynd/A 389-2023 artfynd.xlsx", "A 389-2023")</f>
        <v/>
      </c>
      <c r="T291">
        <f>HYPERLINK("https://klasma.github.io/Logging_1278/kartor/A 389-2023 karta.png", "A 389-2023")</f>
        <v/>
      </c>
      <c r="V291">
        <f>HYPERLINK("https://klasma.github.io/Logging_1278/klagomål/A 389-2023 FSC-klagomål.docx", "A 389-2023")</f>
        <v/>
      </c>
      <c r="W291">
        <f>HYPERLINK("https://klasma.github.io/Logging_1278/klagomålsmail/A 389-2023 FSC-klagomål mail.docx", "A 389-2023")</f>
        <v/>
      </c>
      <c r="X291">
        <f>HYPERLINK("https://klasma.github.io/Logging_1278/tillsyn/A 389-2023 tillsynsbegäran.docx", "A 389-2023")</f>
        <v/>
      </c>
      <c r="Y291">
        <f>HYPERLINK("https://klasma.github.io/Logging_1278/tillsynsmail/A 389-2023 tillsynsbegäran mail.docx", "A 389-2023")</f>
        <v/>
      </c>
    </row>
    <row r="292" ht="15" customHeight="1">
      <c r="A292" t="inlineStr">
        <is>
          <t>A 4251-2023</t>
        </is>
      </c>
      <c r="B292" s="1" t="n">
        <v>44953</v>
      </c>
      <c r="C292" s="1" t="n">
        <v>45744</v>
      </c>
      <c r="D292" t="inlineStr">
        <is>
          <t>SKÅNE LÄN</t>
        </is>
      </c>
      <c r="E292" t="inlineStr">
        <is>
          <t>ÖSTRA GÖINGE</t>
        </is>
      </c>
      <c r="G292" t="n">
        <v>6.4</v>
      </c>
      <c r="H292" t="n">
        <v>0</v>
      </c>
      <c r="I292" t="n">
        <v>0</v>
      </c>
      <c r="J292" t="n">
        <v>0</v>
      </c>
      <c r="K292" t="n">
        <v>0</v>
      </c>
      <c r="L292" t="n">
        <v>1</v>
      </c>
      <c r="M292" t="n">
        <v>0</v>
      </c>
      <c r="N292" t="n">
        <v>0</v>
      </c>
      <c r="O292" t="n">
        <v>1</v>
      </c>
      <c r="P292" t="n">
        <v>1</v>
      </c>
      <c r="Q292" t="n">
        <v>1</v>
      </c>
      <c r="R292" s="2" t="inlineStr">
        <is>
          <t>Ask</t>
        </is>
      </c>
      <c r="S292">
        <f>HYPERLINK("https://klasma.github.io/Logging_1256/artfynd/A 4251-2023 artfynd.xlsx", "A 4251-2023")</f>
        <v/>
      </c>
      <c r="T292">
        <f>HYPERLINK("https://klasma.github.io/Logging_1256/kartor/A 4251-2023 karta.png", "A 4251-2023")</f>
        <v/>
      </c>
      <c r="V292">
        <f>HYPERLINK("https://klasma.github.io/Logging_1256/klagomål/A 4251-2023 FSC-klagomål.docx", "A 4251-2023")</f>
        <v/>
      </c>
      <c r="W292">
        <f>HYPERLINK("https://klasma.github.io/Logging_1256/klagomålsmail/A 4251-2023 FSC-klagomål mail.docx", "A 4251-2023")</f>
        <v/>
      </c>
      <c r="X292">
        <f>HYPERLINK("https://klasma.github.io/Logging_1256/tillsyn/A 4251-2023 tillsynsbegäran.docx", "A 4251-2023")</f>
        <v/>
      </c>
      <c r="Y292">
        <f>HYPERLINK("https://klasma.github.io/Logging_1256/tillsynsmail/A 4251-2023 tillsynsbegäran mail.docx", "A 4251-2023")</f>
        <v/>
      </c>
    </row>
    <row r="293" ht="15" customHeight="1">
      <c r="A293" t="inlineStr">
        <is>
          <t>A 4892-2023</t>
        </is>
      </c>
      <c r="B293" s="1" t="n">
        <v>44958</v>
      </c>
      <c r="C293" s="1" t="n">
        <v>45744</v>
      </c>
      <c r="D293" t="inlineStr">
        <is>
          <t>SKÅNE LÄN</t>
        </is>
      </c>
      <c r="E293" t="inlineStr">
        <is>
          <t>ÖSTRA GÖINGE</t>
        </is>
      </c>
      <c r="G293" t="n">
        <v>2</v>
      </c>
      <c r="H293" t="n">
        <v>1</v>
      </c>
      <c r="I293" t="n">
        <v>0</v>
      </c>
      <c r="J293" t="n">
        <v>1</v>
      </c>
      <c r="K293" t="n">
        <v>0</v>
      </c>
      <c r="L293" t="n">
        <v>0</v>
      </c>
      <c r="M293" t="n">
        <v>0</v>
      </c>
      <c r="N293" t="n">
        <v>0</v>
      </c>
      <c r="O293" t="n">
        <v>1</v>
      </c>
      <c r="P293" t="n">
        <v>0</v>
      </c>
      <c r="Q293" t="n">
        <v>1</v>
      </c>
      <c r="R293" s="2" t="inlineStr">
        <is>
          <t>Gulsparv</t>
        </is>
      </c>
      <c r="S293">
        <f>HYPERLINK("https://klasma.github.io/Logging_1256/artfynd/A 4892-2023 artfynd.xlsx", "A 4892-2023")</f>
        <v/>
      </c>
      <c r="T293">
        <f>HYPERLINK("https://klasma.github.io/Logging_1256/kartor/A 4892-2023 karta.png", "A 4892-2023")</f>
        <v/>
      </c>
      <c r="V293">
        <f>HYPERLINK("https://klasma.github.io/Logging_1256/klagomål/A 4892-2023 FSC-klagomål.docx", "A 4892-2023")</f>
        <v/>
      </c>
      <c r="W293">
        <f>HYPERLINK("https://klasma.github.io/Logging_1256/klagomålsmail/A 4892-2023 FSC-klagomål mail.docx", "A 4892-2023")</f>
        <v/>
      </c>
      <c r="X293">
        <f>HYPERLINK("https://klasma.github.io/Logging_1256/tillsyn/A 4892-2023 tillsynsbegäran.docx", "A 4892-2023")</f>
        <v/>
      </c>
      <c r="Y293">
        <f>HYPERLINK("https://klasma.github.io/Logging_1256/tillsynsmail/A 4892-2023 tillsynsbegäran mail.docx", "A 4892-2023")</f>
        <v/>
      </c>
      <c r="Z293">
        <f>HYPERLINK("https://klasma.github.io/Logging_1256/fåglar/A 4892-2023 prioriterade fågelarter.docx", "A 4892-2023")</f>
        <v/>
      </c>
    </row>
    <row r="294" ht="15" customHeight="1">
      <c r="A294" t="inlineStr">
        <is>
          <t>A 11170-2023</t>
        </is>
      </c>
      <c r="B294" s="1" t="n">
        <v>44987</v>
      </c>
      <c r="C294" s="1" t="n">
        <v>45744</v>
      </c>
      <c r="D294" t="inlineStr">
        <is>
          <t>SKÅNE LÄN</t>
        </is>
      </c>
      <c r="E294" t="inlineStr">
        <is>
          <t>SVALÖV</t>
        </is>
      </c>
      <c r="G294" t="n">
        <v>0.9</v>
      </c>
      <c r="H294" t="n">
        <v>0</v>
      </c>
      <c r="I294" t="n">
        <v>0</v>
      </c>
      <c r="J294" t="n">
        <v>0</v>
      </c>
      <c r="K294" t="n">
        <v>0</v>
      </c>
      <c r="L294" t="n">
        <v>1</v>
      </c>
      <c r="M294" t="n">
        <v>0</v>
      </c>
      <c r="N294" t="n">
        <v>0</v>
      </c>
      <c r="O294" t="n">
        <v>1</v>
      </c>
      <c r="P294" t="n">
        <v>1</v>
      </c>
      <c r="Q294" t="n">
        <v>1</v>
      </c>
      <c r="R294" s="2" t="inlineStr">
        <is>
          <t>Korndådra</t>
        </is>
      </c>
      <c r="S294">
        <f>HYPERLINK("https://klasma.github.io/Logging_1214/artfynd/A 11170-2023 artfynd.xlsx", "A 11170-2023")</f>
        <v/>
      </c>
      <c r="T294">
        <f>HYPERLINK("https://klasma.github.io/Logging_1214/kartor/A 11170-2023 karta.png", "A 11170-2023")</f>
        <v/>
      </c>
      <c r="V294">
        <f>HYPERLINK("https://klasma.github.io/Logging_1214/klagomål/A 11170-2023 FSC-klagomål.docx", "A 11170-2023")</f>
        <v/>
      </c>
      <c r="W294">
        <f>HYPERLINK("https://klasma.github.io/Logging_1214/klagomålsmail/A 11170-2023 FSC-klagomål mail.docx", "A 11170-2023")</f>
        <v/>
      </c>
      <c r="X294">
        <f>HYPERLINK("https://klasma.github.io/Logging_1214/tillsyn/A 11170-2023 tillsynsbegäran.docx", "A 11170-2023")</f>
        <v/>
      </c>
      <c r="Y294">
        <f>HYPERLINK("https://klasma.github.io/Logging_1214/tillsynsmail/A 11170-2023 tillsynsbegäran mail.docx", "A 11170-2023")</f>
        <v/>
      </c>
    </row>
    <row r="295" ht="15" customHeight="1">
      <c r="A295" t="inlineStr">
        <is>
          <t>A 12026-2023</t>
        </is>
      </c>
      <c r="B295" s="1" t="n">
        <v>44995</v>
      </c>
      <c r="C295" s="1" t="n">
        <v>45744</v>
      </c>
      <c r="D295" t="inlineStr">
        <is>
          <t>SKÅNE LÄN</t>
        </is>
      </c>
      <c r="E295" t="inlineStr">
        <is>
          <t>LOMMA</t>
        </is>
      </c>
      <c r="G295" t="n">
        <v>0.5</v>
      </c>
      <c r="H295" t="n">
        <v>1</v>
      </c>
      <c r="I295" t="n">
        <v>0</v>
      </c>
      <c r="J295" t="n">
        <v>0</v>
      </c>
      <c r="K295" t="n">
        <v>1</v>
      </c>
      <c r="L295" t="n">
        <v>0</v>
      </c>
      <c r="M295" t="n">
        <v>0</v>
      </c>
      <c r="N295" t="n">
        <v>0</v>
      </c>
      <c r="O295" t="n">
        <v>1</v>
      </c>
      <c r="P295" t="n">
        <v>1</v>
      </c>
      <c r="Q295" t="n">
        <v>1</v>
      </c>
      <c r="R295" s="2" t="inlineStr">
        <is>
          <t>Hedblomster</t>
        </is>
      </c>
      <c r="S295">
        <f>HYPERLINK("https://klasma.github.io/Logging_1262/artfynd/A 12026-2023 artfynd.xlsx", "A 12026-2023")</f>
        <v/>
      </c>
      <c r="T295">
        <f>HYPERLINK("https://klasma.github.io/Logging_1262/kartor/A 12026-2023 karta.png", "A 12026-2023")</f>
        <v/>
      </c>
      <c r="V295">
        <f>HYPERLINK("https://klasma.github.io/Logging_1262/klagomål/A 12026-2023 FSC-klagomål.docx", "A 12026-2023")</f>
        <v/>
      </c>
      <c r="W295">
        <f>HYPERLINK("https://klasma.github.io/Logging_1262/klagomålsmail/A 12026-2023 FSC-klagomål mail.docx", "A 12026-2023")</f>
        <v/>
      </c>
      <c r="X295">
        <f>HYPERLINK("https://klasma.github.io/Logging_1262/tillsyn/A 12026-2023 tillsynsbegäran.docx", "A 12026-2023")</f>
        <v/>
      </c>
      <c r="Y295">
        <f>HYPERLINK("https://klasma.github.io/Logging_1262/tillsynsmail/A 12026-2023 tillsynsbegäran mail.docx", "A 12026-2023")</f>
        <v/>
      </c>
    </row>
    <row r="296" ht="15" customHeight="1">
      <c r="A296" t="inlineStr">
        <is>
          <t>A 12906-2023</t>
        </is>
      </c>
      <c r="B296" s="1" t="n">
        <v>45001</v>
      </c>
      <c r="C296" s="1" t="n">
        <v>45744</v>
      </c>
      <c r="D296" t="inlineStr">
        <is>
          <t>SKÅNE LÄN</t>
        </is>
      </c>
      <c r="E296" t="inlineStr">
        <is>
          <t>HÖÖR</t>
        </is>
      </c>
      <c r="G296" t="n">
        <v>2.4</v>
      </c>
      <c r="H296" t="n">
        <v>1</v>
      </c>
      <c r="I296" t="n">
        <v>0</v>
      </c>
      <c r="J296" t="n">
        <v>0</v>
      </c>
      <c r="K296" t="n">
        <v>0</v>
      </c>
      <c r="L296" t="n">
        <v>0</v>
      </c>
      <c r="M296" t="n">
        <v>0</v>
      </c>
      <c r="N296" t="n">
        <v>0</v>
      </c>
      <c r="O296" t="n">
        <v>0</v>
      </c>
      <c r="P296" t="n">
        <v>0</v>
      </c>
      <c r="Q296" t="n">
        <v>1</v>
      </c>
      <c r="R296" s="2" t="inlineStr">
        <is>
          <t>Revlummer</t>
        </is>
      </c>
      <c r="S296">
        <f>HYPERLINK("https://klasma.github.io/Logging_1267/artfynd/A 12906-2023 artfynd.xlsx", "A 12906-2023")</f>
        <v/>
      </c>
      <c r="T296">
        <f>HYPERLINK("https://klasma.github.io/Logging_1267/kartor/A 12906-2023 karta.png", "A 12906-2023")</f>
        <v/>
      </c>
      <c r="V296">
        <f>HYPERLINK("https://klasma.github.io/Logging_1267/klagomål/A 12906-2023 FSC-klagomål.docx", "A 12906-2023")</f>
        <v/>
      </c>
      <c r="W296">
        <f>HYPERLINK("https://klasma.github.io/Logging_1267/klagomålsmail/A 12906-2023 FSC-klagomål mail.docx", "A 12906-2023")</f>
        <v/>
      </c>
      <c r="X296">
        <f>HYPERLINK("https://klasma.github.io/Logging_1267/tillsyn/A 12906-2023 tillsynsbegäran.docx", "A 12906-2023")</f>
        <v/>
      </c>
      <c r="Y296">
        <f>HYPERLINK("https://klasma.github.io/Logging_1267/tillsynsmail/A 12906-2023 tillsynsbegäran mail.docx", "A 12906-2023")</f>
        <v/>
      </c>
    </row>
    <row r="297" ht="15" customHeight="1">
      <c r="A297" t="inlineStr">
        <is>
          <t>A 13766-2023</t>
        </is>
      </c>
      <c r="B297" s="1" t="n">
        <v>45007</v>
      </c>
      <c r="C297" s="1" t="n">
        <v>45744</v>
      </c>
      <c r="D297" t="inlineStr">
        <is>
          <t>SKÅNE LÄN</t>
        </is>
      </c>
      <c r="E297" t="inlineStr">
        <is>
          <t>YSTAD</t>
        </is>
      </c>
      <c r="G297" t="n">
        <v>0.9</v>
      </c>
      <c r="H297" t="n">
        <v>1</v>
      </c>
      <c r="I297" t="n">
        <v>0</v>
      </c>
      <c r="J297" t="n">
        <v>0</v>
      </c>
      <c r="K297" t="n">
        <v>0</v>
      </c>
      <c r="L297" t="n">
        <v>0</v>
      </c>
      <c r="M297" t="n">
        <v>0</v>
      </c>
      <c r="N297" t="n">
        <v>0</v>
      </c>
      <c r="O297" t="n">
        <v>0</v>
      </c>
      <c r="P297" t="n">
        <v>0</v>
      </c>
      <c r="Q297" t="n">
        <v>1</v>
      </c>
      <c r="R297" s="2" t="inlineStr">
        <is>
          <t>Större vattensalamander</t>
        </is>
      </c>
      <c r="S297">
        <f>HYPERLINK("https://klasma.github.io/Logging_1286/artfynd/A 13766-2023 artfynd.xlsx", "A 13766-2023")</f>
        <v/>
      </c>
      <c r="T297">
        <f>HYPERLINK("https://klasma.github.io/Logging_1286/kartor/A 13766-2023 karta.png", "A 13766-2023")</f>
        <v/>
      </c>
      <c r="V297">
        <f>HYPERLINK("https://klasma.github.io/Logging_1286/klagomål/A 13766-2023 FSC-klagomål.docx", "A 13766-2023")</f>
        <v/>
      </c>
      <c r="W297">
        <f>HYPERLINK("https://klasma.github.io/Logging_1286/klagomålsmail/A 13766-2023 FSC-klagomål mail.docx", "A 13766-2023")</f>
        <v/>
      </c>
      <c r="X297">
        <f>HYPERLINK("https://klasma.github.io/Logging_1286/tillsyn/A 13766-2023 tillsynsbegäran.docx", "A 13766-2023")</f>
        <v/>
      </c>
      <c r="Y297">
        <f>HYPERLINK("https://klasma.github.io/Logging_1286/tillsynsmail/A 13766-2023 tillsynsbegäran mail.docx", "A 13766-2023")</f>
        <v/>
      </c>
    </row>
    <row r="298" ht="15" customHeight="1">
      <c r="A298" t="inlineStr">
        <is>
          <t>A 14933-2023</t>
        </is>
      </c>
      <c r="B298" s="1" t="n">
        <v>45014</v>
      </c>
      <c r="C298" s="1" t="n">
        <v>45744</v>
      </c>
      <c r="D298" t="inlineStr">
        <is>
          <t>SKÅNE LÄN</t>
        </is>
      </c>
      <c r="E298" t="inlineStr">
        <is>
          <t>HÄSSLEHOLM</t>
        </is>
      </c>
      <c r="G298" t="n">
        <v>1.2</v>
      </c>
      <c r="H298" t="n">
        <v>0</v>
      </c>
      <c r="I298" t="n">
        <v>0</v>
      </c>
      <c r="J298" t="n">
        <v>0</v>
      </c>
      <c r="K298" t="n">
        <v>1</v>
      </c>
      <c r="L298" t="n">
        <v>0</v>
      </c>
      <c r="M298" t="n">
        <v>0</v>
      </c>
      <c r="N298" t="n">
        <v>0</v>
      </c>
      <c r="O298" t="n">
        <v>1</v>
      </c>
      <c r="P298" t="n">
        <v>1</v>
      </c>
      <c r="Q298" t="n">
        <v>1</v>
      </c>
      <c r="R298" s="2" t="inlineStr">
        <is>
          <t>Småvänderot</t>
        </is>
      </c>
      <c r="S298">
        <f>HYPERLINK("https://klasma.github.io/Logging_1293/artfynd/A 14933-2023 artfynd.xlsx", "A 14933-2023")</f>
        <v/>
      </c>
      <c r="T298">
        <f>HYPERLINK("https://klasma.github.io/Logging_1293/kartor/A 14933-2023 karta.png", "A 14933-2023")</f>
        <v/>
      </c>
      <c r="V298">
        <f>HYPERLINK("https://klasma.github.io/Logging_1293/klagomål/A 14933-2023 FSC-klagomål.docx", "A 14933-2023")</f>
        <v/>
      </c>
      <c r="W298">
        <f>HYPERLINK("https://klasma.github.io/Logging_1293/klagomålsmail/A 14933-2023 FSC-klagomål mail.docx", "A 14933-2023")</f>
        <v/>
      </c>
      <c r="X298">
        <f>HYPERLINK("https://klasma.github.io/Logging_1293/tillsyn/A 14933-2023 tillsynsbegäran.docx", "A 14933-2023")</f>
        <v/>
      </c>
      <c r="Y298">
        <f>HYPERLINK("https://klasma.github.io/Logging_1293/tillsynsmail/A 14933-2023 tillsynsbegäran mail.docx", "A 14933-2023")</f>
        <v/>
      </c>
    </row>
    <row r="299" ht="15" customHeight="1">
      <c r="A299" t="inlineStr">
        <is>
          <t>A 14892-2023</t>
        </is>
      </c>
      <c r="B299" s="1" t="n">
        <v>45015</v>
      </c>
      <c r="C299" s="1" t="n">
        <v>45744</v>
      </c>
      <c r="D299" t="inlineStr">
        <is>
          <t>SKÅNE LÄN</t>
        </is>
      </c>
      <c r="E299" t="inlineStr">
        <is>
          <t>KLIPPAN</t>
        </is>
      </c>
      <c r="G299" t="n">
        <v>2.7</v>
      </c>
      <c r="H299" t="n">
        <v>1</v>
      </c>
      <c r="I299" t="n">
        <v>0</v>
      </c>
      <c r="J299" t="n">
        <v>1</v>
      </c>
      <c r="K299" t="n">
        <v>0</v>
      </c>
      <c r="L299" t="n">
        <v>0</v>
      </c>
      <c r="M299" t="n">
        <v>0</v>
      </c>
      <c r="N299" t="n">
        <v>0</v>
      </c>
      <c r="O299" t="n">
        <v>1</v>
      </c>
      <c r="P299" t="n">
        <v>0</v>
      </c>
      <c r="Q299" t="n">
        <v>1</v>
      </c>
      <c r="R299" s="2" t="inlineStr">
        <is>
          <t>Mindre hackspett</t>
        </is>
      </c>
      <c r="S299">
        <f>HYPERLINK("https://klasma.github.io/Logging_1276/artfynd/A 14892-2023 artfynd.xlsx", "A 14892-2023")</f>
        <v/>
      </c>
      <c r="T299">
        <f>HYPERLINK("https://klasma.github.io/Logging_1276/kartor/A 14892-2023 karta.png", "A 14892-2023")</f>
        <v/>
      </c>
      <c r="V299">
        <f>HYPERLINK("https://klasma.github.io/Logging_1276/klagomål/A 14892-2023 FSC-klagomål.docx", "A 14892-2023")</f>
        <v/>
      </c>
      <c r="W299">
        <f>HYPERLINK("https://klasma.github.io/Logging_1276/klagomålsmail/A 14892-2023 FSC-klagomål mail.docx", "A 14892-2023")</f>
        <v/>
      </c>
      <c r="X299">
        <f>HYPERLINK("https://klasma.github.io/Logging_1276/tillsyn/A 14892-2023 tillsynsbegäran.docx", "A 14892-2023")</f>
        <v/>
      </c>
      <c r="Y299">
        <f>HYPERLINK("https://klasma.github.io/Logging_1276/tillsynsmail/A 14892-2023 tillsynsbegäran mail.docx", "A 14892-2023")</f>
        <v/>
      </c>
      <c r="Z299">
        <f>HYPERLINK("https://klasma.github.io/Logging_1276/fåglar/A 14892-2023 prioriterade fågelarter.docx", "A 14892-2023")</f>
        <v/>
      </c>
    </row>
    <row r="300" ht="15" customHeight="1">
      <c r="A300" t="inlineStr">
        <is>
          <t>A 15068-2023</t>
        </is>
      </c>
      <c r="B300" s="1" t="n">
        <v>45015</v>
      </c>
      <c r="C300" s="1" t="n">
        <v>45744</v>
      </c>
      <c r="D300" t="inlineStr">
        <is>
          <t>SKÅNE LÄN</t>
        </is>
      </c>
      <c r="E300" t="inlineStr">
        <is>
          <t>ÖRKELLJUNGA</t>
        </is>
      </c>
      <c r="G300" t="n">
        <v>9.9</v>
      </c>
      <c r="H300" t="n">
        <v>0</v>
      </c>
      <c r="I300" t="n">
        <v>1</v>
      </c>
      <c r="J300" t="n">
        <v>0</v>
      </c>
      <c r="K300" t="n">
        <v>0</v>
      </c>
      <c r="L300" t="n">
        <v>0</v>
      </c>
      <c r="M300" t="n">
        <v>0</v>
      </c>
      <c r="N300" t="n">
        <v>0</v>
      </c>
      <c r="O300" t="n">
        <v>0</v>
      </c>
      <c r="P300" t="n">
        <v>0</v>
      </c>
      <c r="Q300" t="n">
        <v>1</v>
      </c>
      <c r="R300" s="2" t="inlineStr">
        <is>
          <t>Kambräken</t>
        </is>
      </c>
      <c r="S300">
        <f>HYPERLINK("https://klasma.github.io/Logging_1257/artfynd/A 15068-2023 artfynd.xlsx", "A 15068-2023")</f>
        <v/>
      </c>
      <c r="T300">
        <f>HYPERLINK("https://klasma.github.io/Logging_1257/kartor/A 15068-2023 karta.png", "A 15068-2023")</f>
        <v/>
      </c>
      <c r="V300">
        <f>HYPERLINK("https://klasma.github.io/Logging_1257/klagomål/A 15068-2023 FSC-klagomål.docx", "A 15068-2023")</f>
        <v/>
      </c>
      <c r="W300">
        <f>HYPERLINK("https://klasma.github.io/Logging_1257/klagomålsmail/A 15068-2023 FSC-klagomål mail.docx", "A 15068-2023")</f>
        <v/>
      </c>
      <c r="X300">
        <f>HYPERLINK("https://klasma.github.io/Logging_1257/tillsyn/A 15068-2023 tillsynsbegäran.docx", "A 15068-2023")</f>
        <v/>
      </c>
      <c r="Y300">
        <f>HYPERLINK("https://klasma.github.io/Logging_1257/tillsynsmail/A 15068-2023 tillsynsbegäran mail.docx", "A 15068-2023")</f>
        <v/>
      </c>
    </row>
    <row r="301" ht="15" customHeight="1">
      <c r="A301" t="inlineStr">
        <is>
          <t>A 16684-2023</t>
        </is>
      </c>
      <c r="B301" s="1" t="n">
        <v>45030</v>
      </c>
      <c r="C301" s="1" t="n">
        <v>45744</v>
      </c>
      <c r="D301" t="inlineStr">
        <is>
          <t>SKÅNE LÄN</t>
        </is>
      </c>
      <c r="E301" t="inlineStr">
        <is>
          <t>SVEDALA</t>
        </is>
      </c>
      <c r="G301" t="n">
        <v>6.1</v>
      </c>
      <c r="H301" t="n">
        <v>0</v>
      </c>
      <c r="I301" t="n">
        <v>0</v>
      </c>
      <c r="J301" t="n">
        <v>0</v>
      </c>
      <c r="K301" t="n">
        <v>1</v>
      </c>
      <c r="L301" t="n">
        <v>0</v>
      </c>
      <c r="M301" t="n">
        <v>0</v>
      </c>
      <c r="N301" t="n">
        <v>0</v>
      </c>
      <c r="O301" t="n">
        <v>1</v>
      </c>
      <c r="P301" t="n">
        <v>1</v>
      </c>
      <c r="Q301" t="n">
        <v>1</v>
      </c>
      <c r="R301" s="2" t="inlineStr">
        <is>
          <t>Större grynsnäcka</t>
        </is>
      </c>
      <c r="S301">
        <f>HYPERLINK("https://klasma.github.io/Logging_1263/artfynd/A 16684-2023 artfynd.xlsx", "A 16684-2023")</f>
        <v/>
      </c>
      <c r="T301">
        <f>HYPERLINK("https://klasma.github.io/Logging_1263/kartor/A 16684-2023 karta.png", "A 16684-2023")</f>
        <v/>
      </c>
      <c r="V301">
        <f>HYPERLINK("https://klasma.github.io/Logging_1263/klagomål/A 16684-2023 FSC-klagomål.docx", "A 16684-2023")</f>
        <v/>
      </c>
      <c r="W301">
        <f>HYPERLINK("https://klasma.github.io/Logging_1263/klagomålsmail/A 16684-2023 FSC-klagomål mail.docx", "A 16684-2023")</f>
        <v/>
      </c>
      <c r="X301">
        <f>HYPERLINK("https://klasma.github.io/Logging_1263/tillsyn/A 16684-2023 tillsynsbegäran.docx", "A 16684-2023")</f>
        <v/>
      </c>
      <c r="Y301">
        <f>HYPERLINK("https://klasma.github.io/Logging_1263/tillsynsmail/A 16684-2023 tillsynsbegäran mail.docx", "A 16684-2023")</f>
        <v/>
      </c>
    </row>
    <row r="302" ht="15" customHeight="1">
      <c r="A302" t="inlineStr">
        <is>
          <t>A 16837-2023</t>
        </is>
      </c>
      <c r="B302" s="1" t="n">
        <v>45033</v>
      </c>
      <c r="C302" s="1" t="n">
        <v>45744</v>
      </c>
      <c r="D302" t="inlineStr">
        <is>
          <t>SKÅNE LÄN</t>
        </is>
      </c>
      <c r="E302" t="inlineStr">
        <is>
          <t>OSBY</t>
        </is>
      </c>
      <c r="G302" t="n">
        <v>0.7</v>
      </c>
      <c r="H302" t="n">
        <v>1</v>
      </c>
      <c r="I302" t="n">
        <v>0</v>
      </c>
      <c r="J302" t="n">
        <v>1</v>
      </c>
      <c r="K302" t="n">
        <v>0</v>
      </c>
      <c r="L302" t="n">
        <v>0</v>
      </c>
      <c r="M302" t="n">
        <v>0</v>
      </c>
      <c r="N302" t="n">
        <v>0</v>
      </c>
      <c r="O302" t="n">
        <v>1</v>
      </c>
      <c r="P302" t="n">
        <v>0</v>
      </c>
      <c r="Q302" t="n">
        <v>1</v>
      </c>
      <c r="R302" s="2" t="inlineStr">
        <is>
          <t>Talltita</t>
        </is>
      </c>
      <c r="S302">
        <f>HYPERLINK("https://klasma.github.io/Logging_1273/artfynd/A 16837-2023 artfynd.xlsx", "A 16837-2023")</f>
        <v/>
      </c>
      <c r="T302">
        <f>HYPERLINK("https://klasma.github.io/Logging_1273/kartor/A 16837-2023 karta.png", "A 16837-2023")</f>
        <v/>
      </c>
      <c r="V302">
        <f>HYPERLINK("https://klasma.github.io/Logging_1273/klagomål/A 16837-2023 FSC-klagomål.docx", "A 16837-2023")</f>
        <v/>
      </c>
      <c r="W302">
        <f>HYPERLINK("https://klasma.github.io/Logging_1273/klagomålsmail/A 16837-2023 FSC-klagomål mail.docx", "A 16837-2023")</f>
        <v/>
      </c>
      <c r="X302">
        <f>HYPERLINK("https://klasma.github.io/Logging_1273/tillsyn/A 16837-2023 tillsynsbegäran.docx", "A 16837-2023")</f>
        <v/>
      </c>
      <c r="Y302">
        <f>HYPERLINK("https://klasma.github.io/Logging_1273/tillsynsmail/A 16837-2023 tillsynsbegäran mail.docx", "A 16837-2023")</f>
        <v/>
      </c>
      <c r="Z302">
        <f>HYPERLINK("https://klasma.github.io/Logging_1273/fåglar/A 16837-2023 prioriterade fågelarter.docx", "A 16837-2023")</f>
        <v/>
      </c>
    </row>
    <row r="303" ht="15" customHeight="1">
      <c r="A303" t="inlineStr">
        <is>
          <t>A 18971-2023</t>
        </is>
      </c>
      <c r="B303" s="1" t="n">
        <v>45044</v>
      </c>
      <c r="C303" s="1" t="n">
        <v>45744</v>
      </c>
      <c r="D303" t="inlineStr">
        <is>
          <t>SKÅNE LÄN</t>
        </is>
      </c>
      <c r="E303" t="inlineStr">
        <is>
          <t>SJÖBO</t>
        </is>
      </c>
      <c r="G303" t="n">
        <v>19.4</v>
      </c>
      <c r="H303" t="n">
        <v>0</v>
      </c>
      <c r="I303" t="n">
        <v>1</v>
      </c>
      <c r="J303" t="n">
        <v>0</v>
      </c>
      <c r="K303" t="n">
        <v>0</v>
      </c>
      <c r="L303" t="n">
        <v>0</v>
      </c>
      <c r="M303" t="n">
        <v>0</v>
      </c>
      <c r="N303" t="n">
        <v>0</v>
      </c>
      <c r="O303" t="n">
        <v>0</v>
      </c>
      <c r="P303" t="n">
        <v>0</v>
      </c>
      <c r="Q303" t="n">
        <v>1</v>
      </c>
      <c r="R303" s="2" t="inlineStr">
        <is>
          <t>Stor häxört</t>
        </is>
      </c>
      <c r="S303">
        <f>HYPERLINK("https://klasma.github.io/Logging_1265/artfynd/A 18971-2023 artfynd.xlsx", "A 18971-2023")</f>
        <v/>
      </c>
      <c r="T303">
        <f>HYPERLINK("https://klasma.github.io/Logging_1265/kartor/A 18971-2023 karta.png", "A 18971-2023")</f>
        <v/>
      </c>
      <c r="V303">
        <f>HYPERLINK("https://klasma.github.io/Logging_1265/klagomål/A 18971-2023 FSC-klagomål.docx", "A 18971-2023")</f>
        <v/>
      </c>
      <c r="W303">
        <f>HYPERLINK("https://klasma.github.io/Logging_1265/klagomålsmail/A 18971-2023 FSC-klagomål mail.docx", "A 18971-2023")</f>
        <v/>
      </c>
      <c r="X303">
        <f>HYPERLINK("https://klasma.github.io/Logging_1265/tillsyn/A 18971-2023 tillsynsbegäran.docx", "A 18971-2023")</f>
        <v/>
      </c>
      <c r="Y303">
        <f>HYPERLINK("https://klasma.github.io/Logging_1265/tillsynsmail/A 18971-2023 tillsynsbegäran mail.docx", "A 18971-2023")</f>
        <v/>
      </c>
    </row>
    <row r="304" ht="15" customHeight="1">
      <c r="A304" t="inlineStr">
        <is>
          <t>A 22786-2023</t>
        </is>
      </c>
      <c r="B304" s="1" t="n">
        <v>45072</v>
      </c>
      <c r="C304" s="1" t="n">
        <v>45744</v>
      </c>
      <c r="D304" t="inlineStr">
        <is>
          <t>SKÅNE LÄN</t>
        </is>
      </c>
      <c r="E304" t="inlineStr">
        <is>
          <t>ESLÖV</t>
        </is>
      </c>
      <c r="G304" t="n">
        <v>12.8</v>
      </c>
      <c r="H304" t="n">
        <v>0</v>
      </c>
      <c r="I304" t="n">
        <v>0</v>
      </c>
      <c r="J304" t="n">
        <v>0</v>
      </c>
      <c r="K304" t="n">
        <v>0</v>
      </c>
      <c r="L304" t="n">
        <v>1</v>
      </c>
      <c r="M304" t="n">
        <v>0</v>
      </c>
      <c r="N304" t="n">
        <v>0</v>
      </c>
      <c r="O304" t="n">
        <v>1</v>
      </c>
      <c r="P304" t="n">
        <v>1</v>
      </c>
      <c r="Q304" t="n">
        <v>1</v>
      </c>
      <c r="R304" s="2" t="inlineStr">
        <is>
          <t>Ask</t>
        </is>
      </c>
      <c r="S304">
        <f>HYPERLINK("https://klasma.github.io/Logging_1285/artfynd/A 22786-2023 artfynd.xlsx", "A 22786-2023")</f>
        <v/>
      </c>
      <c r="T304">
        <f>HYPERLINK("https://klasma.github.io/Logging_1285/kartor/A 22786-2023 karta.png", "A 22786-2023")</f>
        <v/>
      </c>
      <c r="V304">
        <f>HYPERLINK("https://klasma.github.io/Logging_1285/klagomål/A 22786-2023 FSC-klagomål.docx", "A 22786-2023")</f>
        <v/>
      </c>
      <c r="W304">
        <f>HYPERLINK("https://klasma.github.io/Logging_1285/klagomålsmail/A 22786-2023 FSC-klagomål mail.docx", "A 22786-2023")</f>
        <v/>
      </c>
      <c r="X304">
        <f>HYPERLINK("https://klasma.github.io/Logging_1285/tillsyn/A 22786-2023 tillsynsbegäran.docx", "A 22786-2023")</f>
        <v/>
      </c>
      <c r="Y304">
        <f>HYPERLINK("https://klasma.github.io/Logging_1285/tillsynsmail/A 22786-2023 tillsynsbegäran mail.docx", "A 22786-2023")</f>
        <v/>
      </c>
    </row>
    <row r="305" ht="15" customHeight="1">
      <c r="A305" t="inlineStr">
        <is>
          <t>A 24388-2023</t>
        </is>
      </c>
      <c r="B305" s="1" t="n">
        <v>45082</v>
      </c>
      <c r="C305" s="1" t="n">
        <v>45744</v>
      </c>
      <c r="D305" t="inlineStr">
        <is>
          <t>SKÅNE LÄN</t>
        </is>
      </c>
      <c r="E305" t="inlineStr">
        <is>
          <t>OSBY</t>
        </is>
      </c>
      <c r="G305" t="n">
        <v>4.1</v>
      </c>
      <c r="H305" t="n">
        <v>0</v>
      </c>
      <c r="I305" t="n">
        <v>1</v>
      </c>
      <c r="J305" t="n">
        <v>0</v>
      </c>
      <c r="K305" t="n">
        <v>0</v>
      </c>
      <c r="L305" t="n">
        <v>0</v>
      </c>
      <c r="M305" t="n">
        <v>0</v>
      </c>
      <c r="N305" t="n">
        <v>0</v>
      </c>
      <c r="O305" t="n">
        <v>0</v>
      </c>
      <c r="P305" t="n">
        <v>0</v>
      </c>
      <c r="Q305" t="n">
        <v>1</v>
      </c>
      <c r="R305" s="2" t="inlineStr">
        <is>
          <t>Havstulpanlav</t>
        </is>
      </c>
      <c r="S305">
        <f>HYPERLINK("https://klasma.github.io/Logging_1273/artfynd/A 24388-2023 artfynd.xlsx", "A 24388-2023")</f>
        <v/>
      </c>
      <c r="T305">
        <f>HYPERLINK("https://klasma.github.io/Logging_1273/kartor/A 24388-2023 karta.png", "A 24388-2023")</f>
        <v/>
      </c>
      <c r="V305">
        <f>HYPERLINK("https://klasma.github.io/Logging_1273/klagomål/A 24388-2023 FSC-klagomål.docx", "A 24388-2023")</f>
        <v/>
      </c>
      <c r="W305">
        <f>HYPERLINK("https://klasma.github.io/Logging_1273/klagomålsmail/A 24388-2023 FSC-klagomål mail.docx", "A 24388-2023")</f>
        <v/>
      </c>
      <c r="X305">
        <f>HYPERLINK("https://klasma.github.io/Logging_1273/tillsyn/A 24388-2023 tillsynsbegäran.docx", "A 24388-2023")</f>
        <v/>
      </c>
      <c r="Y305">
        <f>HYPERLINK("https://klasma.github.io/Logging_1273/tillsynsmail/A 24388-2023 tillsynsbegäran mail.docx", "A 24388-2023")</f>
        <v/>
      </c>
    </row>
    <row r="306" ht="15" customHeight="1">
      <c r="A306" t="inlineStr">
        <is>
          <t>A 24528-2023</t>
        </is>
      </c>
      <c r="B306" s="1" t="n">
        <v>45082</v>
      </c>
      <c r="C306" s="1" t="n">
        <v>45744</v>
      </c>
      <c r="D306" t="inlineStr">
        <is>
          <t>SKÅNE LÄN</t>
        </is>
      </c>
      <c r="E306" t="inlineStr">
        <is>
          <t>ÖSTRA GÖINGE</t>
        </is>
      </c>
      <c r="G306" t="n">
        <v>5.1</v>
      </c>
      <c r="H306" t="n">
        <v>0</v>
      </c>
      <c r="I306" t="n">
        <v>1</v>
      </c>
      <c r="J306" t="n">
        <v>0</v>
      </c>
      <c r="K306" t="n">
        <v>0</v>
      </c>
      <c r="L306" t="n">
        <v>0</v>
      </c>
      <c r="M306" t="n">
        <v>0</v>
      </c>
      <c r="N306" t="n">
        <v>0</v>
      </c>
      <c r="O306" t="n">
        <v>0</v>
      </c>
      <c r="P306" t="n">
        <v>0</v>
      </c>
      <c r="Q306" t="n">
        <v>1</v>
      </c>
      <c r="R306" s="2" t="inlineStr">
        <is>
          <t>Springkorn</t>
        </is>
      </c>
      <c r="S306">
        <f>HYPERLINK("https://klasma.github.io/Logging_1256/artfynd/A 24528-2023 artfynd.xlsx", "A 24528-2023")</f>
        <v/>
      </c>
      <c r="T306">
        <f>HYPERLINK("https://klasma.github.io/Logging_1256/kartor/A 24528-2023 karta.png", "A 24528-2023")</f>
        <v/>
      </c>
      <c r="V306">
        <f>HYPERLINK("https://klasma.github.io/Logging_1256/klagomål/A 24528-2023 FSC-klagomål.docx", "A 24528-2023")</f>
        <v/>
      </c>
      <c r="W306">
        <f>HYPERLINK("https://klasma.github.io/Logging_1256/klagomålsmail/A 24528-2023 FSC-klagomål mail.docx", "A 24528-2023")</f>
        <v/>
      </c>
      <c r="X306">
        <f>HYPERLINK("https://klasma.github.io/Logging_1256/tillsyn/A 24528-2023 tillsynsbegäran.docx", "A 24528-2023")</f>
        <v/>
      </c>
      <c r="Y306">
        <f>HYPERLINK("https://klasma.github.io/Logging_1256/tillsynsmail/A 24528-2023 tillsynsbegäran mail.docx", "A 24528-2023")</f>
        <v/>
      </c>
    </row>
    <row r="307" ht="15" customHeight="1">
      <c r="A307" t="inlineStr">
        <is>
          <t>A 24650-2023</t>
        </is>
      </c>
      <c r="B307" s="1" t="n">
        <v>45084</v>
      </c>
      <c r="C307" s="1" t="n">
        <v>45744</v>
      </c>
      <c r="D307" t="inlineStr">
        <is>
          <t>SKÅNE LÄN</t>
        </is>
      </c>
      <c r="E307" t="inlineStr">
        <is>
          <t>KLIPPAN</t>
        </is>
      </c>
      <c r="F307" t="inlineStr">
        <is>
          <t>Övriga Aktiebolag</t>
        </is>
      </c>
      <c r="G307" t="n">
        <v>10.1</v>
      </c>
      <c r="H307" t="n">
        <v>0</v>
      </c>
      <c r="I307" t="n">
        <v>1</v>
      </c>
      <c r="J307" t="n">
        <v>0</v>
      </c>
      <c r="K307" t="n">
        <v>0</v>
      </c>
      <c r="L307" t="n">
        <v>0</v>
      </c>
      <c r="M307" t="n">
        <v>0</v>
      </c>
      <c r="N307" t="n">
        <v>0</v>
      </c>
      <c r="O307" t="n">
        <v>0</v>
      </c>
      <c r="P307" t="n">
        <v>0</v>
      </c>
      <c r="Q307" t="n">
        <v>1</v>
      </c>
      <c r="R307" s="2" t="inlineStr">
        <is>
          <t>Kambräken</t>
        </is>
      </c>
      <c r="S307">
        <f>HYPERLINK("https://klasma.github.io/Logging_1276/artfynd/A 24650-2023 artfynd.xlsx", "A 24650-2023")</f>
        <v/>
      </c>
      <c r="T307">
        <f>HYPERLINK("https://klasma.github.io/Logging_1276/kartor/A 24650-2023 karta.png", "A 24650-2023")</f>
        <v/>
      </c>
      <c r="V307">
        <f>HYPERLINK("https://klasma.github.io/Logging_1276/klagomål/A 24650-2023 FSC-klagomål.docx", "A 24650-2023")</f>
        <v/>
      </c>
      <c r="W307">
        <f>HYPERLINK("https://klasma.github.io/Logging_1276/klagomålsmail/A 24650-2023 FSC-klagomål mail.docx", "A 24650-2023")</f>
        <v/>
      </c>
      <c r="X307">
        <f>HYPERLINK("https://klasma.github.io/Logging_1276/tillsyn/A 24650-2023 tillsynsbegäran.docx", "A 24650-2023")</f>
        <v/>
      </c>
      <c r="Y307">
        <f>HYPERLINK("https://klasma.github.io/Logging_1276/tillsynsmail/A 24650-2023 tillsynsbegäran mail.docx", "A 24650-2023")</f>
        <v/>
      </c>
    </row>
    <row r="308" ht="15" customHeight="1">
      <c r="A308" t="inlineStr">
        <is>
          <t>A 26965-2023</t>
        </is>
      </c>
      <c r="B308" s="1" t="n">
        <v>45093</v>
      </c>
      <c r="C308" s="1" t="n">
        <v>45744</v>
      </c>
      <c r="D308" t="inlineStr">
        <is>
          <t>SKÅNE LÄN</t>
        </is>
      </c>
      <c r="E308" t="inlineStr">
        <is>
          <t>KRISTIANSTAD</t>
        </is>
      </c>
      <c r="F308" t="inlineStr">
        <is>
          <t>Sveaskog</t>
        </is>
      </c>
      <c r="G308" t="n">
        <v>9.9</v>
      </c>
      <c r="H308" t="n">
        <v>0</v>
      </c>
      <c r="I308" t="n">
        <v>0</v>
      </c>
      <c r="J308" t="n">
        <v>0</v>
      </c>
      <c r="K308" t="n">
        <v>1</v>
      </c>
      <c r="L308" t="n">
        <v>0</v>
      </c>
      <c r="M308" t="n">
        <v>0</v>
      </c>
      <c r="N308" t="n">
        <v>0</v>
      </c>
      <c r="O308" t="n">
        <v>1</v>
      </c>
      <c r="P308" t="n">
        <v>1</v>
      </c>
      <c r="Q308" t="n">
        <v>1</v>
      </c>
      <c r="R308" s="2" t="inlineStr">
        <is>
          <t>Sjötåtel</t>
        </is>
      </c>
      <c r="S308">
        <f>HYPERLINK("https://klasma.github.io/Logging_1290/artfynd/A 26965-2023 artfynd.xlsx", "A 26965-2023")</f>
        <v/>
      </c>
      <c r="T308">
        <f>HYPERLINK("https://klasma.github.io/Logging_1290/kartor/A 26965-2023 karta.png", "A 26965-2023")</f>
        <v/>
      </c>
      <c r="V308">
        <f>HYPERLINK("https://klasma.github.io/Logging_1290/klagomål/A 26965-2023 FSC-klagomål.docx", "A 26965-2023")</f>
        <v/>
      </c>
      <c r="W308">
        <f>HYPERLINK("https://klasma.github.io/Logging_1290/klagomålsmail/A 26965-2023 FSC-klagomål mail.docx", "A 26965-2023")</f>
        <v/>
      </c>
      <c r="X308">
        <f>HYPERLINK("https://klasma.github.io/Logging_1290/tillsyn/A 26965-2023 tillsynsbegäran.docx", "A 26965-2023")</f>
        <v/>
      </c>
      <c r="Y308">
        <f>HYPERLINK("https://klasma.github.io/Logging_1290/tillsynsmail/A 26965-2023 tillsynsbegäran mail.docx", "A 26965-2023")</f>
        <v/>
      </c>
    </row>
    <row r="309" ht="15" customHeight="1">
      <c r="A309" t="inlineStr">
        <is>
          <t>A 29183-2023</t>
        </is>
      </c>
      <c r="B309" s="1" t="n">
        <v>45105</v>
      </c>
      <c r="C309" s="1" t="n">
        <v>45744</v>
      </c>
      <c r="D309" t="inlineStr">
        <is>
          <t>SKÅNE LÄN</t>
        </is>
      </c>
      <c r="E309" t="inlineStr">
        <is>
          <t>KRISTIANSTAD</t>
        </is>
      </c>
      <c r="G309" t="n">
        <v>3.2</v>
      </c>
      <c r="H309" t="n">
        <v>0</v>
      </c>
      <c r="I309" t="n">
        <v>0</v>
      </c>
      <c r="J309" t="n">
        <v>0</v>
      </c>
      <c r="K309" t="n">
        <v>1</v>
      </c>
      <c r="L309" t="n">
        <v>0</v>
      </c>
      <c r="M309" t="n">
        <v>0</v>
      </c>
      <c r="N309" t="n">
        <v>0</v>
      </c>
      <c r="O309" t="n">
        <v>1</v>
      </c>
      <c r="P309" t="n">
        <v>1</v>
      </c>
      <c r="Q309" t="n">
        <v>1</v>
      </c>
      <c r="R309" s="2" t="inlineStr">
        <is>
          <t>Småvänderot</t>
        </is>
      </c>
      <c r="S309">
        <f>HYPERLINK("https://klasma.github.io/Logging_1290/artfynd/A 29183-2023 artfynd.xlsx", "A 29183-2023")</f>
        <v/>
      </c>
      <c r="T309">
        <f>HYPERLINK("https://klasma.github.io/Logging_1290/kartor/A 29183-2023 karta.png", "A 29183-2023")</f>
        <v/>
      </c>
      <c r="V309">
        <f>HYPERLINK("https://klasma.github.io/Logging_1290/klagomål/A 29183-2023 FSC-klagomål.docx", "A 29183-2023")</f>
        <v/>
      </c>
      <c r="W309">
        <f>HYPERLINK("https://klasma.github.io/Logging_1290/klagomålsmail/A 29183-2023 FSC-klagomål mail.docx", "A 29183-2023")</f>
        <v/>
      </c>
      <c r="X309">
        <f>HYPERLINK("https://klasma.github.io/Logging_1290/tillsyn/A 29183-2023 tillsynsbegäran.docx", "A 29183-2023")</f>
        <v/>
      </c>
      <c r="Y309">
        <f>HYPERLINK("https://klasma.github.io/Logging_1290/tillsynsmail/A 29183-2023 tillsynsbegäran mail.docx", "A 29183-2023")</f>
        <v/>
      </c>
    </row>
    <row r="310" ht="15" customHeight="1">
      <c r="A310" t="inlineStr">
        <is>
          <t>A 29272-2023</t>
        </is>
      </c>
      <c r="B310" s="1" t="n">
        <v>45105</v>
      </c>
      <c r="C310" s="1" t="n">
        <v>45744</v>
      </c>
      <c r="D310" t="inlineStr">
        <is>
          <t>SKÅNE LÄN</t>
        </is>
      </c>
      <c r="E310" t="inlineStr">
        <is>
          <t>HÄSSLEHOLM</t>
        </is>
      </c>
      <c r="G310" t="n">
        <v>2.2</v>
      </c>
      <c r="H310" t="n">
        <v>0</v>
      </c>
      <c r="I310" t="n">
        <v>1</v>
      </c>
      <c r="J310" t="n">
        <v>0</v>
      </c>
      <c r="K310" t="n">
        <v>0</v>
      </c>
      <c r="L310" t="n">
        <v>0</v>
      </c>
      <c r="M310" t="n">
        <v>0</v>
      </c>
      <c r="N310" t="n">
        <v>0</v>
      </c>
      <c r="O310" t="n">
        <v>0</v>
      </c>
      <c r="P310" t="n">
        <v>0</v>
      </c>
      <c r="Q310" t="n">
        <v>1</v>
      </c>
      <c r="R310" s="2" t="inlineStr">
        <is>
          <t>Sotlav</t>
        </is>
      </c>
      <c r="S310">
        <f>HYPERLINK("https://klasma.github.io/Logging_1293/artfynd/A 29272-2023 artfynd.xlsx", "A 29272-2023")</f>
        <v/>
      </c>
      <c r="T310">
        <f>HYPERLINK("https://klasma.github.io/Logging_1293/kartor/A 29272-2023 karta.png", "A 29272-2023")</f>
        <v/>
      </c>
      <c r="V310">
        <f>HYPERLINK("https://klasma.github.io/Logging_1293/klagomål/A 29272-2023 FSC-klagomål.docx", "A 29272-2023")</f>
        <v/>
      </c>
      <c r="W310">
        <f>HYPERLINK("https://klasma.github.io/Logging_1293/klagomålsmail/A 29272-2023 FSC-klagomål mail.docx", "A 29272-2023")</f>
        <v/>
      </c>
      <c r="X310">
        <f>HYPERLINK("https://klasma.github.io/Logging_1293/tillsyn/A 29272-2023 tillsynsbegäran.docx", "A 29272-2023")</f>
        <v/>
      </c>
      <c r="Y310">
        <f>HYPERLINK("https://klasma.github.io/Logging_1293/tillsynsmail/A 29272-2023 tillsynsbegäran mail.docx", "A 29272-2023")</f>
        <v/>
      </c>
    </row>
    <row r="311" ht="15" customHeight="1">
      <c r="A311" t="inlineStr">
        <is>
          <t>A 29683-2023</t>
        </is>
      </c>
      <c r="B311" s="1" t="n">
        <v>45107</v>
      </c>
      <c r="C311" s="1" t="n">
        <v>45744</v>
      </c>
      <c r="D311" t="inlineStr">
        <is>
          <t>SKÅNE LÄN</t>
        </is>
      </c>
      <c r="E311" t="inlineStr">
        <is>
          <t>KRISTIANSTAD</t>
        </is>
      </c>
      <c r="G311" t="n">
        <v>7.4</v>
      </c>
      <c r="H311" t="n">
        <v>0</v>
      </c>
      <c r="I311" t="n">
        <v>0</v>
      </c>
      <c r="J311" t="n">
        <v>0</v>
      </c>
      <c r="K311" t="n">
        <v>1</v>
      </c>
      <c r="L311" t="n">
        <v>0</v>
      </c>
      <c r="M311" t="n">
        <v>0</v>
      </c>
      <c r="N311" t="n">
        <v>0</v>
      </c>
      <c r="O311" t="n">
        <v>1</v>
      </c>
      <c r="P311" t="n">
        <v>1</v>
      </c>
      <c r="Q311" t="n">
        <v>1</v>
      </c>
      <c r="R311" s="2" t="inlineStr">
        <is>
          <t>Småvänderot</t>
        </is>
      </c>
      <c r="S311">
        <f>HYPERLINK("https://klasma.github.io/Logging_1290/artfynd/A 29683-2023 artfynd.xlsx", "A 29683-2023")</f>
        <v/>
      </c>
      <c r="T311">
        <f>HYPERLINK("https://klasma.github.io/Logging_1290/kartor/A 29683-2023 karta.png", "A 29683-2023")</f>
        <v/>
      </c>
      <c r="V311">
        <f>HYPERLINK("https://klasma.github.io/Logging_1290/klagomål/A 29683-2023 FSC-klagomål.docx", "A 29683-2023")</f>
        <v/>
      </c>
      <c r="W311">
        <f>HYPERLINK("https://klasma.github.io/Logging_1290/klagomålsmail/A 29683-2023 FSC-klagomål mail.docx", "A 29683-2023")</f>
        <v/>
      </c>
      <c r="X311">
        <f>HYPERLINK("https://klasma.github.io/Logging_1290/tillsyn/A 29683-2023 tillsynsbegäran.docx", "A 29683-2023")</f>
        <v/>
      </c>
      <c r="Y311">
        <f>HYPERLINK("https://klasma.github.io/Logging_1290/tillsynsmail/A 29683-2023 tillsynsbegäran mail.docx", "A 29683-2023")</f>
        <v/>
      </c>
    </row>
    <row r="312" ht="15" customHeight="1">
      <c r="A312" t="inlineStr">
        <is>
          <t>A 31181-2023</t>
        </is>
      </c>
      <c r="B312" s="1" t="n">
        <v>45113</v>
      </c>
      <c r="C312" s="1" t="n">
        <v>45744</v>
      </c>
      <c r="D312" t="inlineStr">
        <is>
          <t>SKÅNE LÄN</t>
        </is>
      </c>
      <c r="E312" t="inlineStr">
        <is>
          <t>ESLÖV</t>
        </is>
      </c>
      <c r="G312" t="n">
        <v>3.1</v>
      </c>
      <c r="H312" t="n">
        <v>0</v>
      </c>
      <c r="I312" t="n">
        <v>1</v>
      </c>
      <c r="J312" t="n">
        <v>0</v>
      </c>
      <c r="K312" t="n">
        <v>0</v>
      </c>
      <c r="L312" t="n">
        <v>0</v>
      </c>
      <c r="M312" t="n">
        <v>0</v>
      </c>
      <c r="N312" t="n">
        <v>0</v>
      </c>
      <c r="O312" t="n">
        <v>0</v>
      </c>
      <c r="P312" t="n">
        <v>0</v>
      </c>
      <c r="Q312" t="n">
        <v>1</v>
      </c>
      <c r="R312" s="2" t="inlineStr">
        <is>
          <t>Springkorn</t>
        </is>
      </c>
      <c r="S312">
        <f>HYPERLINK("https://klasma.github.io/Logging_1285/artfynd/A 31181-2023 artfynd.xlsx", "A 31181-2023")</f>
        <v/>
      </c>
      <c r="T312">
        <f>HYPERLINK("https://klasma.github.io/Logging_1285/kartor/A 31181-2023 karta.png", "A 31181-2023")</f>
        <v/>
      </c>
      <c r="V312">
        <f>HYPERLINK("https://klasma.github.io/Logging_1285/klagomål/A 31181-2023 FSC-klagomål.docx", "A 31181-2023")</f>
        <v/>
      </c>
      <c r="W312">
        <f>HYPERLINK("https://klasma.github.io/Logging_1285/klagomålsmail/A 31181-2023 FSC-klagomål mail.docx", "A 31181-2023")</f>
        <v/>
      </c>
      <c r="X312">
        <f>HYPERLINK("https://klasma.github.io/Logging_1285/tillsyn/A 31181-2023 tillsynsbegäran.docx", "A 31181-2023")</f>
        <v/>
      </c>
      <c r="Y312">
        <f>HYPERLINK("https://klasma.github.io/Logging_1285/tillsynsmail/A 31181-2023 tillsynsbegäran mail.docx", "A 31181-2023")</f>
        <v/>
      </c>
    </row>
    <row r="313" ht="15" customHeight="1">
      <c r="A313" t="inlineStr">
        <is>
          <t>A 31213-2023</t>
        </is>
      </c>
      <c r="B313" s="1" t="n">
        <v>45113</v>
      </c>
      <c r="C313" s="1" t="n">
        <v>45744</v>
      </c>
      <c r="D313" t="inlineStr">
        <is>
          <t>SKÅNE LÄN</t>
        </is>
      </c>
      <c r="E313" t="inlineStr">
        <is>
          <t>YSTAD</t>
        </is>
      </c>
      <c r="G313" t="n">
        <v>6.5</v>
      </c>
      <c r="H313" t="n">
        <v>0</v>
      </c>
      <c r="I313" t="n">
        <v>0</v>
      </c>
      <c r="J313" t="n">
        <v>1</v>
      </c>
      <c r="K313" t="n">
        <v>0</v>
      </c>
      <c r="L313" t="n">
        <v>0</v>
      </c>
      <c r="M313" t="n">
        <v>0</v>
      </c>
      <c r="N313" t="n">
        <v>0</v>
      </c>
      <c r="O313" t="n">
        <v>1</v>
      </c>
      <c r="P313" t="n">
        <v>0</v>
      </c>
      <c r="Q313" t="n">
        <v>1</v>
      </c>
      <c r="R313" s="2" t="inlineStr">
        <is>
          <t>Skogsveronika</t>
        </is>
      </c>
      <c r="S313">
        <f>HYPERLINK("https://klasma.github.io/Logging_1286/artfynd/A 31213-2023 artfynd.xlsx", "A 31213-2023")</f>
        <v/>
      </c>
      <c r="T313">
        <f>HYPERLINK("https://klasma.github.io/Logging_1286/kartor/A 31213-2023 karta.png", "A 31213-2023")</f>
        <v/>
      </c>
      <c r="V313">
        <f>HYPERLINK("https://klasma.github.io/Logging_1286/klagomål/A 31213-2023 FSC-klagomål.docx", "A 31213-2023")</f>
        <v/>
      </c>
      <c r="W313">
        <f>HYPERLINK("https://klasma.github.io/Logging_1286/klagomålsmail/A 31213-2023 FSC-klagomål mail.docx", "A 31213-2023")</f>
        <v/>
      </c>
      <c r="X313">
        <f>HYPERLINK("https://klasma.github.io/Logging_1286/tillsyn/A 31213-2023 tillsynsbegäran.docx", "A 31213-2023")</f>
        <v/>
      </c>
      <c r="Y313">
        <f>HYPERLINK("https://klasma.github.io/Logging_1286/tillsynsmail/A 31213-2023 tillsynsbegäran mail.docx", "A 31213-2023")</f>
        <v/>
      </c>
    </row>
    <row r="314" ht="15" customHeight="1">
      <c r="A314" t="inlineStr">
        <is>
          <t>A 31700-2023</t>
        </is>
      </c>
      <c r="B314" s="1" t="n">
        <v>45117</v>
      </c>
      <c r="C314" s="1" t="n">
        <v>45744</v>
      </c>
      <c r="D314" t="inlineStr">
        <is>
          <t>SKÅNE LÄN</t>
        </is>
      </c>
      <c r="E314" t="inlineStr">
        <is>
          <t>SVEDALA</t>
        </is>
      </c>
      <c r="G314" t="n">
        <v>1.1</v>
      </c>
      <c r="H314" t="n">
        <v>0</v>
      </c>
      <c r="I314" t="n">
        <v>0</v>
      </c>
      <c r="J314" t="n">
        <v>0</v>
      </c>
      <c r="K314" t="n">
        <v>1</v>
      </c>
      <c r="L314" t="n">
        <v>0</v>
      </c>
      <c r="M314" t="n">
        <v>0</v>
      </c>
      <c r="N314" t="n">
        <v>0</v>
      </c>
      <c r="O314" t="n">
        <v>1</v>
      </c>
      <c r="P314" t="n">
        <v>1</v>
      </c>
      <c r="Q314" t="n">
        <v>1</v>
      </c>
      <c r="R314" s="2" t="inlineStr">
        <is>
          <t>Revig blodrot</t>
        </is>
      </c>
      <c r="S314">
        <f>HYPERLINK("https://klasma.github.io/Logging_1263/artfynd/A 31700-2023 artfynd.xlsx", "A 31700-2023")</f>
        <v/>
      </c>
      <c r="T314">
        <f>HYPERLINK("https://klasma.github.io/Logging_1263/kartor/A 31700-2023 karta.png", "A 31700-2023")</f>
        <v/>
      </c>
      <c r="V314">
        <f>HYPERLINK("https://klasma.github.io/Logging_1263/klagomål/A 31700-2023 FSC-klagomål.docx", "A 31700-2023")</f>
        <v/>
      </c>
      <c r="W314">
        <f>HYPERLINK("https://klasma.github.io/Logging_1263/klagomålsmail/A 31700-2023 FSC-klagomål mail.docx", "A 31700-2023")</f>
        <v/>
      </c>
      <c r="X314">
        <f>HYPERLINK("https://klasma.github.io/Logging_1263/tillsyn/A 31700-2023 tillsynsbegäran.docx", "A 31700-2023")</f>
        <v/>
      </c>
      <c r="Y314">
        <f>HYPERLINK("https://klasma.github.io/Logging_1263/tillsynsmail/A 31700-2023 tillsynsbegäran mail.docx", "A 31700-2023")</f>
        <v/>
      </c>
    </row>
    <row r="315" ht="15" customHeight="1">
      <c r="A315" t="inlineStr">
        <is>
          <t>A 31722-2023</t>
        </is>
      </c>
      <c r="B315" s="1" t="n">
        <v>45117</v>
      </c>
      <c r="C315" s="1" t="n">
        <v>45744</v>
      </c>
      <c r="D315" t="inlineStr">
        <is>
          <t>SKÅNE LÄN</t>
        </is>
      </c>
      <c r="E315" t="inlineStr">
        <is>
          <t>OSBY</t>
        </is>
      </c>
      <c r="G315" t="n">
        <v>0.6</v>
      </c>
      <c r="H315" t="n">
        <v>1</v>
      </c>
      <c r="I315" t="n">
        <v>0</v>
      </c>
      <c r="J315" t="n">
        <v>0</v>
      </c>
      <c r="K315" t="n">
        <v>0</v>
      </c>
      <c r="L315" t="n">
        <v>1</v>
      </c>
      <c r="M315" t="n">
        <v>0</v>
      </c>
      <c r="N315" t="n">
        <v>0</v>
      </c>
      <c r="O315" t="n">
        <v>1</v>
      </c>
      <c r="P315" t="n">
        <v>1</v>
      </c>
      <c r="Q315" t="n">
        <v>1</v>
      </c>
      <c r="R315" s="2" t="inlineStr">
        <is>
          <t>Klockgentiana</t>
        </is>
      </c>
      <c r="S315">
        <f>HYPERLINK("https://klasma.github.io/Logging_1273/artfynd/A 31722-2023 artfynd.xlsx", "A 31722-2023")</f>
        <v/>
      </c>
      <c r="T315">
        <f>HYPERLINK("https://klasma.github.io/Logging_1273/kartor/A 31722-2023 karta.png", "A 31722-2023")</f>
        <v/>
      </c>
      <c r="V315">
        <f>HYPERLINK("https://klasma.github.io/Logging_1273/klagomål/A 31722-2023 FSC-klagomål.docx", "A 31722-2023")</f>
        <v/>
      </c>
      <c r="W315">
        <f>HYPERLINK("https://klasma.github.io/Logging_1273/klagomålsmail/A 31722-2023 FSC-klagomål mail.docx", "A 31722-2023")</f>
        <v/>
      </c>
      <c r="X315">
        <f>HYPERLINK("https://klasma.github.io/Logging_1273/tillsyn/A 31722-2023 tillsynsbegäran.docx", "A 31722-2023")</f>
        <v/>
      </c>
      <c r="Y315">
        <f>HYPERLINK("https://klasma.github.io/Logging_1273/tillsynsmail/A 31722-2023 tillsynsbegäran mail.docx", "A 31722-2023")</f>
        <v/>
      </c>
    </row>
    <row r="316" ht="15" customHeight="1">
      <c r="A316" t="inlineStr">
        <is>
          <t>A 31764-2023</t>
        </is>
      </c>
      <c r="B316" s="1" t="n">
        <v>45118</v>
      </c>
      <c r="C316" s="1" t="n">
        <v>45744</v>
      </c>
      <c r="D316" t="inlineStr">
        <is>
          <t>SKÅNE LÄN</t>
        </is>
      </c>
      <c r="E316" t="inlineStr">
        <is>
          <t>LUND</t>
        </is>
      </c>
      <c r="F316" t="inlineStr">
        <is>
          <t>Kommuner</t>
        </is>
      </c>
      <c r="G316" t="n">
        <v>1.2</v>
      </c>
      <c r="H316" t="n">
        <v>0</v>
      </c>
      <c r="I316" t="n">
        <v>0</v>
      </c>
      <c r="J316" t="n">
        <v>0</v>
      </c>
      <c r="K316" t="n">
        <v>0</v>
      </c>
      <c r="L316" t="n">
        <v>0</v>
      </c>
      <c r="M316" t="n">
        <v>0</v>
      </c>
      <c r="N316" t="n">
        <v>0</v>
      </c>
      <c r="O316" t="n">
        <v>1</v>
      </c>
      <c r="P316" t="n">
        <v>0</v>
      </c>
      <c r="Q316" t="n">
        <v>1</v>
      </c>
      <c r="R316" s="2" t="inlineStr">
        <is>
          <t>Skorpdyna</t>
        </is>
      </c>
      <c r="S316">
        <f>HYPERLINK("https://klasma.github.io/Logging_1281/artfynd/A 31764-2023 artfynd.xlsx", "A 31764-2023")</f>
        <v/>
      </c>
      <c r="T316">
        <f>HYPERLINK("https://klasma.github.io/Logging_1281/kartor/A 31764-2023 karta.png", "A 31764-2023")</f>
        <v/>
      </c>
      <c r="V316">
        <f>HYPERLINK("https://klasma.github.io/Logging_1281/klagomål/A 31764-2023 FSC-klagomål.docx", "A 31764-2023")</f>
        <v/>
      </c>
      <c r="W316">
        <f>HYPERLINK("https://klasma.github.io/Logging_1281/klagomålsmail/A 31764-2023 FSC-klagomål mail.docx", "A 31764-2023")</f>
        <v/>
      </c>
      <c r="X316">
        <f>HYPERLINK("https://klasma.github.io/Logging_1281/tillsyn/A 31764-2023 tillsynsbegäran.docx", "A 31764-2023")</f>
        <v/>
      </c>
      <c r="Y316">
        <f>HYPERLINK("https://klasma.github.io/Logging_1281/tillsynsmail/A 31764-2023 tillsynsbegäran mail.docx", "A 31764-2023")</f>
        <v/>
      </c>
    </row>
    <row r="317" ht="15" customHeight="1">
      <c r="A317" t="inlineStr">
        <is>
          <t>A 34360-2023</t>
        </is>
      </c>
      <c r="B317" s="1" t="n">
        <v>45139</v>
      </c>
      <c r="C317" s="1" t="n">
        <v>45744</v>
      </c>
      <c r="D317" t="inlineStr">
        <is>
          <t>SKÅNE LÄN</t>
        </is>
      </c>
      <c r="E317" t="inlineStr">
        <is>
          <t>KRISTIANSTAD</t>
        </is>
      </c>
      <c r="G317" t="n">
        <v>2.2</v>
      </c>
      <c r="H317" t="n">
        <v>0</v>
      </c>
      <c r="I317" t="n">
        <v>0</v>
      </c>
      <c r="J317" t="n">
        <v>0</v>
      </c>
      <c r="K317" t="n">
        <v>1</v>
      </c>
      <c r="L317" t="n">
        <v>0</v>
      </c>
      <c r="M317" t="n">
        <v>0</v>
      </c>
      <c r="N317" t="n">
        <v>0</v>
      </c>
      <c r="O317" t="n">
        <v>1</v>
      </c>
      <c r="P317" t="n">
        <v>1</v>
      </c>
      <c r="Q317" t="n">
        <v>1</v>
      </c>
      <c r="R317" s="2" t="inlineStr">
        <is>
          <t>Småvänderot</t>
        </is>
      </c>
      <c r="S317">
        <f>HYPERLINK("https://klasma.github.io/Logging_1290/artfynd/A 34360-2023 artfynd.xlsx", "A 34360-2023")</f>
        <v/>
      </c>
      <c r="T317">
        <f>HYPERLINK("https://klasma.github.io/Logging_1290/kartor/A 34360-2023 karta.png", "A 34360-2023")</f>
        <v/>
      </c>
      <c r="V317">
        <f>HYPERLINK("https://klasma.github.io/Logging_1290/klagomål/A 34360-2023 FSC-klagomål.docx", "A 34360-2023")</f>
        <v/>
      </c>
      <c r="W317">
        <f>HYPERLINK("https://klasma.github.io/Logging_1290/klagomålsmail/A 34360-2023 FSC-klagomål mail.docx", "A 34360-2023")</f>
        <v/>
      </c>
      <c r="X317">
        <f>HYPERLINK("https://klasma.github.io/Logging_1290/tillsyn/A 34360-2023 tillsynsbegäran.docx", "A 34360-2023")</f>
        <v/>
      </c>
      <c r="Y317">
        <f>HYPERLINK("https://klasma.github.io/Logging_1290/tillsynsmail/A 34360-2023 tillsynsbegäran mail.docx", "A 34360-2023")</f>
        <v/>
      </c>
    </row>
    <row r="318" ht="15" customHeight="1">
      <c r="A318" t="inlineStr">
        <is>
          <t>A 34729-2023</t>
        </is>
      </c>
      <c r="B318" s="1" t="n">
        <v>45139</v>
      </c>
      <c r="C318" s="1" t="n">
        <v>45744</v>
      </c>
      <c r="D318" t="inlineStr">
        <is>
          <t>SKÅNE LÄN</t>
        </is>
      </c>
      <c r="E318" t="inlineStr">
        <is>
          <t>ÖSTRA GÖINGE</t>
        </is>
      </c>
      <c r="G318" t="n">
        <v>7.3</v>
      </c>
      <c r="H318" t="n">
        <v>0</v>
      </c>
      <c r="I318" t="n">
        <v>0</v>
      </c>
      <c r="J318" t="n">
        <v>1</v>
      </c>
      <c r="K318" t="n">
        <v>0</v>
      </c>
      <c r="L318" t="n">
        <v>0</v>
      </c>
      <c r="M318" t="n">
        <v>0</v>
      </c>
      <c r="N318" t="n">
        <v>0</v>
      </c>
      <c r="O318" t="n">
        <v>1</v>
      </c>
      <c r="P318" t="n">
        <v>0</v>
      </c>
      <c r="Q318" t="n">
        <v>1</v>
      </c>
      <c r="R318" s="2" t="inlineStr">
        <is>
          <t>Grynig filtlav</t>
        </is>
      </c>
      <c r="S318">
        <f>HYPERLINK("https://klasma.github.io/Logging_1256/artfynd/A 34729-2023 artfynd.xlsx", "A 34729-2023")</f>
        <v/>
      </c>
      <c r="T318">
        <f>HYPERLINK("https://klasma.github.io/Logging_1256/kartor/A 34729-2023 karta.png", "A 34729-2023")</f>
        <v/>
      </c>
      <c r="V318">
        <f>HYPERLINK("https://klasma.github.io/Logging_1256/klagomål/A 34729-2023 FSC-klagomål.docx", "A 34729-2023")</f>
        <v/>
      </c>
      <c r="W318">
        <f>HYPERLINK("https://klasma.github.io/Logging_1256/klagomålsmail/A 34729-2023 FSC-klagomål mail.docx", "A 34729-2023")</f>
        <v/>
      </c>
      <c r="X318">
        <f>HYPERLINK("https://klasma.github.io/Logging_1256/tillsyn/A 34729-2023 tillsynsbegäran.docx", "A 34729-2023")</f>
        <v/>
      </c>
      <c r="Y318">
        <f>HYPERLINK("https://klasma.github.io/Logging_1256/tillsynsmail/A 34729-2023 tillsynsbegäran mail.docx", "A 34729-2023")</f>
        <v/>
      </c>
    </row>
    <row r="319" ht="15" customHeight="1">
      <c r="A319" t="inlineStr">
        <is>
          <t>A 40376-2023</t>
        </is>
      </c>
      <c r="B319" s="1" t="n">
        <v>45169</v>
      </c>
      <c r="C319" s="1" t="n">
        <v>45744</v>
      </c>
      <c r="D319" t="inlineStr">
        <is>
          <t>SKÅNE LÄN</t>
        </is>
      </c>
      <c r="E319" t="inlineStr">
        <is>
          <t>HÖRBY</t>
        </is>
      </c>
      <c r="G319" t="n">
        <v>2.7</v>
      </c>
      <c r="H319" t="n">
        <v>1</v>
      </c>
      <c r="I319" t="n">
        <v>0</v>
      </c>
      <c r="J319" t="n">
        <v>1</v>
      </c>
      <c r="K319" t="n">
        <v>0</v>
      </c>
      <c r="L319" t="n">
        <v>0</v>
      </c>
      <c r="M319" t="n">
        <v>0</v>
      </c>
      <c r="N319" t="n">
        <v>0</v>
      </c>
      <c r="O319" t="n">
        <v>1</v>
      </c>
      <c r="P319" t="n">
        <v>0</v>
      </c>
      <c r="Q319" t="n">
        <v>1</v>
      </c>
      <c r="R319" s="2" t="inlineStr">
        <is>
          <t>Talltita</t>
        </is>
      </c>
      <c r="S319">
        <f>HYPERLINK("https://klasma.github.io/Logging_1266/artfynd/A 40376-2023 artfynd.xlsx", "A 40376-2023")</f>
        <v/>
      </c>
      <c r="T319">
        <f>HYPERLINK("https://klasma.github.io/Logging_1266/kartor/A 40376-2023 karta.png", "A 40376-2023")</f>
        <v/>
      </c>
      <c r="V319">
        <f>HYPERLINK("https://klasma.github.io/Logging_1266/klagomål/A 40376-2023 FSC-klagomål.docx", "A 40376-2023")</f>
        <v/>
      </c>
      <c r="W319">
        <f>HYPERLINK("https://klasma.github.io/Logging_1266/klagomålsmail/A 40376-2023 FSC-klagomål mail.docx", "A 40376-2023")</f>
        <v/>
      </c>
      <c r="X319">
        <f>HYPERLINK("https://klasma.github.io/Logging_1266/tillsyn/A 40376-2023 tillsynsbegäran.docx", "A 40376-2023")</f>
        <v/>
      </c>
      <c r="Y319">
        <f>HYPERLINK("https://klasma.github.io/Logging_1266/tillsynsmail/A 40376-2023 tillsynsbegäran mail.docx", "A 40376-2023")</f>
        <v/>
      </c>
      <c r="Z319">
        <f>HYPERLINK("https://klasma.github.io/Logging_1266/fåglar/A 40376-2023 prioriterade fågelarter.docx", "A 40376-2023")</f>
        <v/>
      </c>
    </row>
    <row r="320" ht="15" customHeight="1">
      <c r="A320" t="inlineStr">
        <is>
          <t>A 42053-2023</t>
        </is>
      </c>
      <c r="B320" s="1" t="n">
        <v>45174</v>
      </c>
      <c r="C320" s="1" t="n">
        <v>45744</v>
      </c>
      <c r="D320" t="inlineStr">
        <is>
          <t>SKÅNE LÄN</t>
        </is>
      </c>
      <c r="E320" t="inlineStr">
        <is>
          <t>HÖÖR</t>
        </is>
      </c>
      <c r="G320" t="n">
        <v>1</v>
      </c>
      <c r="H320" t="n">
        <v>0</v>
      </c>
      <c r="I320" t="n">
        <v>0</v>
      </c>
      <c r="J320" t="n">
        <v>0</v>
      </c>
      <c r="K320" t="n">
        <v>1</v>
      </c>
      <c r="L320" t="n">
        <v>0</v>
      </c>
      <c r="M320" t="n">
        <v>0</v>
      </c>
      <c r="N320" t="n">
        <v>0</v>
      </c>
      <c r="O320" t="n">
        <v>1</v>
      </c>
      <c r="P320" t="n">
        <v>1</v>
      </c>
      <c r="Q320" t="n">
        <v>1</v>
      </c>
      <c r="R320" s="2" t="inlineStr">
        <is>
          <t>Småvänderot</t>
        </is>
      </c>
      <c r="S320">
        <f>HYPERLINK("https://klasma.github.io/Logging_1267/artfynd/A 42053-2023 artfynd.xlsx", "A 42053-2023")</f>
        <v/>
      </c>
      <c r="T320">
        <f>HYPERLINK("https://klasma.github.io/Logging_1267/kartor/A 42053-2023 karta.png", "A 42053-2023")</f>
        <v/>
      </c>
      <c r="V320">
        <f>HYPERLINK("https://klasma.github.io/Logging_1267/klagomål/A 42053-2023 FSC-klagomål.docx", "A 42053-2023")</f>
        <v/>
      </c>
      <c r="W320">
        <f>HYPERLINK("https://klasma.github.io/Logging_1267/klagomålsmail/A 42053-2023 FSC-klagomål mail.docx", "A 42053-2023")</f>
        <v/>
      </c>
      <c r="X320">
        <f>HYPERLINK("https://klasma.github.io/Logging_1267/tillsyn/A 42053-2023 tillsynsbegäran.docx", "A 42053-2023")</f>
        <v/>
      </c>
      <c r="Y320">
        <f>HYPERLINK("https://klasma.github.io/Logging_1267/tillsynsmail/A 42053-2023 tillsynsbegäran mail.docx", "A 42053-2023")</f>
        <v/>
      </c>
    </row>
    <row r="321" ht="15" customHeight="1">
      <c r="A321" t="inlineStr">
        <is>
          <t>A 42027-2023</t>
        </is>
      </c>
      <c r="B321" s="1" t="n">
        <v>45177</v>
      </c>
      <c r="C321" s="1" t="n">
        <v>45744</v>
      </c>
      <c r="D321" t="inlineStr">
        <is>
          <t>SKÅNE LÄN</t>
        </is>
      </c>
      <c r="E321" t="inlineStr">
        <is>
          <t>OSBY</t>
        </is>
      </c>
      <c r="F321" t="inlineStr">
        <is>
          <t>Kommuner</t>
        </is>
      </c>
      <c r="G321" t="n">
        <v>2.2</v>
      </c>
      <c r="H321" t="n">
        <v>0</v>
      </c>
      <c r="I321" t="n">
        <v>1</v>
      </c>
      <c r="J321" t="n">
        <v>0</v>
      </c>
      <c r="K321" t="n">
        <v>0</v>
      </c>
      <c r="L321" t="n">
        <v>0</v>
      </c>
      <c r="M321" t="n">
        <v>0</v>
      </c>
      <c r="N321" t="n">
        <v>0</v>
      </c>
      <c r="O321" t="n">
        <v>0</v>
      </c>
      <c r="P321" t="n">
        <v>0</v>
      </c>
      <c r="Q321" t="n">
        <v>1</v>
      </c>
      <c r="R321" s="2" t="inlineStr">
        <is>
          <t>Grovticka</t>
        </is>
      </c>
      <c r="S321">
        <f>HYPERLINK("https://klasma.github.io/Logging_1273/artfynd/A 42027-2023 artfynd.xlsx", "A 42027-2023")</f>
        <v/>
      </c>
      <c r="T321">
        <f>HYPERLINK("https://klasma.github.io/Logging_1273/kartor/A 42027-2023 karta.png", "A 42027-2023")</f>
        <v/>
      </c>
      <c r="V321">
        <f>HYPERLINK("https://klasma.github.io/Logging_1273/klagomål/A 42027-2023 FSC-klagomål.docx", "A 42027-2023")</f>
        <v/>
      </c>
      <c r="W321">
        <f>HYPERLINK("https://klasma.github.io/Logging_1273/klagomålsmail/A 42027-2023 FSC-klagomål mail.docx", "A 42027-2023")</f>
        <v/>
      </c>
      <c r="X321">
        <f>HYPERLINK("https://klasma.github.io/Logging_1273/tillsyn/A 42027-2023 tillsynsbegäran.docx", "A 42027-2023")</f>
        <v/>
      </c>
      <c r="Y321">
        <f>HYPERLINK("https://klasma.github.io/Logging_1273/tillsynsmail/A 42027-2023 tillsynsbegäran mail.docx", "A 42027-2023")</f>
        <v/>
      </c>
    </row>
    <row r="322" ht="15" customHeight="1">
      <c r="A322" t="inlineStr">
        <is>
          <t>A 43335-2023</t>
        </is>
      </c>
      <c r="B322" s="1" t="n">
        <v>45183</v>
      </c>
      <c r="C322" s="1" t="n">
        <v>45744</v>
      </c>
      <c r="D322" t="inlineStr">
        <is>
          <t>SKÅNE LÄN</t>
        </is>
      </c>
      <c r="E322" t="inlineStr">
        <is>
          <t>SJÖBO</t>
        </is>
      </c>
      <c r="F322" t="inlineStr">
        <is>
          <t>Kommuner</t>
        </is>
      </c>
      <c r="G322" t="n">
        <v>4.9</v>
      </c>
      <c r="H322" t="n">
        <v>0</v>
      </c>
      <c r="I322" t="n">
        <v>0</v>
      </c>
      <c r="J322" t="n">
        <v>1</v>
      </c>
      <c r="K322" t="n">
        <v>0</v>
      </c>
      <c r="L322" t="n">
        <v>0</v>
      </c>
      <c r="M322" t="n">
        <v>0</v>
      </c>
      <c r="N322" t="n">
        <v>0</v>
      </c>
      <c r="O322" t="n">
        <v>1</v>
      </c>
      <c r="P322" t="n">
        <v>0</v>
      </c>
      <c r="Q322" t="n">
        <v>1</v>
      </c>
      <c r="R322" s="2" t="inlineStr">
        <is>
          <t>Igelkott</t>
        </is>
      </c>
      <c r="S322">
        <f>HYPERLINK("https://klasma.github.io/Logging_1265/artfynd/A 43335-2023 artfynd.xlsx", "A 43335-2023")</f>
        <v/>
      </c>
      <c r="T322">
        <f>HYPERLINK("https://klasma.github.io/Logging_1265/kartor/A 43335-2023 karta.png", "A 43335-2023")</f>
        <v/>
      </c>
      <c r="V322">
        <f>HYPERLINK("https://klasma.github.io/Logging_1265/klagomål/A 43335-2023 FSC-klagomål.docx", "A 43335-2023")</f>
        <v/>
      </c>
      <c r="W322">
        <f>HYPERLINK("https://klasma.github.io/Logging_1265/klagomålsmail/A 43335-2023 FSC-klagomål mail.docx", "A 43335-2023")</f>
        <v/>
      </c>
      <c r="X322">
        <f>HYPERLINK("https://klasma.github.io/Logging_1265/tillsyn/A 43335-2023 tillsynsbegäran.docx", "A 43335-2023")</f>
        <v/>
      </c>
      <c r="Y322">
        <f>HYPERLINK("https://klasma.github.io/Logging_1265/tillsynsmail/A 43335-2023 tillsynsbegäran mail.docx", "A 43335-2023")</f>
        <v/>
      </c>
    </row>
    <row r="323" ht="15" customHeight="1">
      <c r="A323" t="inlineStr">
        <is>
          <t>A 45088-2023</t>
        </is>
      </c>
      <c r="B323" s="1" t="n">
        <v>45191</v>
      </c>
      <c r="C323" s="1" t="n">
        <v>45744</v>
      </c>
      <c r="D323" t="inlineStr">
        <is>
          <t>SKÅNE LÄN</t>
        </is>
      </c>
      <c r="E323" t="inlineStr">
        <is>
          <t>HÖÖR</t>
        </is>
      </c>
      <c r="G323" t="n">
        <v>2.5</v>
      </c>
      <c r="H323" t="n">
        <v>0</v>
      </c>
      <c r="I323" t="n">
        <v>0</v>
      </c>
      <c r="J323" t="n">
        <v>0</v>
      </c>
      <c r="K323" t="n">
        <v>1</v>
      </c>
      <c r="L323" t="n">
        <v>0</v>
      </c>
      <c r="M323" t="n">
        <v>0</v>
      </c>
      <c r="N323" t="n">
        <v>0</v>
      </c>
      <c r="O323" t="n">
        <v>1</v>
      </c>
      <c r="P323" t="n">
        <v>1</v>
      </c>
      <c r="Q323" t="n">
        <v>1</v>
      </c>
      <c r="R323" s="2" t="inlineStr">
        <is>
          <t>Småvänderot</t>
        </is>
      </c>
      <c r="S323">
        <f>HYPERLINK("https://klasma.github.io/Logging_1267/artfynd/A 45088-2023 artfynd.xlsx", "A 45088-2023")</f>
        <v/>
      </c>
      <c r="T323">
        <f>HYPERLINK("https://klasma.github.io/Logging_1267/kartor/A 45088-2023 karta.png", "A 45088-2023")</f>
        <v/>
      </c>
      <c r="V323">
        <f>HYPERLINK("https://klasma.github.io/Logging_1267/klagomål/A 45088-2023 FSC-klagomål.docx", "A 45088-2023")</f>
        <v/>
      </c>
      <c r="W323">
        <f>HYPERLINK("https://klasma.github.io/Logging_1267/klagomålsmail/A 45088-2023 FSC-klagomål mail.docx", "A 45088-2023")</f>
        <v/>
      </c>
      <c r="X323">
        <f>HYPERLINK("https://klasma.github.io/Logging_1267/tillsyn/A 45088-2023 tillsynsbegäran.docx", "A 45088-2023")</f>
        <v/>
      </c>
      <c r="Y323">
        <f>HYPERLINK("https://klasma.github.io/Logging_1267/tillsynsmail/A 45088-2023 tillsynsbegäran mail.docx", "A 45088-2023")</f>
        <v/>
      </c>
    </row>
    <row r="324" ht="15" customHeight="1">
      <c r="A324" t="inlineStr">
        <is>
          <t>A 46602-2023</t>
        </is>
      </c>
      <c r="B324" s="1" t="n">
        <v>45194</v>
      </c>
      <c r="C324" s="1" t="n">
        <v>45744</v>
      </c>
      <c r="D324" t="inlineStr">
        <is>
          <t>SKÅNE LÄN</t>
        </is>
      </c>
      <c r="E324" t="inlineStr">
        <is>
          <t>HÄSSLEHOLM</t>
        </is>
      </c>
      <c r="G324" t="n">
        <v>7.3</v>
      </c>
      <c r="H324" t="n">
        <v>0</v>
      </c>
      <c r="I324" t="n">
        <v>0</v>
      </c>
      <c r="J324" t="n">
        <v>0</v>
      </c>
      <c r="K324" t="n">
        <v>1</v>
      </c>
      <c r="L324" t="n">
        <v>0</v>
      </c>
      <c r="M324" t="n">
        <v>0</v>
      </c>
      <c r="N324" t="n">
        <v>0</v>
      </c>
      <c r="O324" t="n">
        <v>1</v>
      </c>
      <c r="P324" t="n">
        <v>1</v>
      </c>
      <c r="Q324" t="n">
        <v>1</v>
      </c>
      <c r="R324" s="2" t="inlineStr">
        <is>
          <t>Lungrot</t>
        </is>
      </c>
      <c r="S324">
        <f>HYPERLINK("https://klasma.github.io/Logging_1293/artfynd/A 46602-2023 artfynd.xlsx", "A 46602-2023")</f>
        <v/>
      </c>
      <c r="T324">
        <f>HYPERLINK("https://klasma.github.io/Logging_1293/kartor/A 46602-2023 karta.png", "A 46602-2023")</f>
        <v/>
      </c>
      <c r="V324">
        <f>HYPERLINK("https://klasma.github.io/Logging_1293/klagomål/A 46602-2023 FSC-klagomål.docx", "A 46602-2023")</f>
        <v/>
      </c>
      <c r="W324">
        <f>HYPERLINK("https://klasma.github.io/Logging_1293/klagomålsmail/A 46602-2023 FSC-klagomål mail.docx", "A 46602-2023")</f>
        <v/>
      </c>
      <c r="X324">
        <f>HYPERLINK("https://klasma.github.io/Logging_1293/tillsyn/A 46602-2023 tillsynsbegäran.docx", "A 46602-2023")</f>
        <v/>
      </c>
      <c r="Y324">
        <f>HYPERLINK("https://klasma.github.io/Logging_1293/tillsynsmail/A 46602-2023 tillsynsbegäran mail.docx", "A 46602-2023")</f>
        <v/>
      </c>
    </row>
    <row r="325" ht="15" customHeight="1">
      <c r="A325" t="inlineStr">
        <is>
          <t>A 45832-2023</t>
        </is>
      </c>
      <c r="B325" s="1" t="n">
        <v>45195</v>
      </c>
      <c r="C325" s="1" t="n">
        <v>45744</v>
      </c>
      <c r="D325" t="inlineStr">
        <is>
          <t>SKÅNE LÄN</t>
        </is>
      </c>
      <c r="E325" t="inlineStr">
        <is>
          <t>HELSINGBORG</t>
        </is>
      </c>
      <c r="G325" t="n">
        <v>2.3</v>
      </c>
      <c r="H325" t="n">
        <v>0</v>
      </c>
      <c r="I325" t="n">
        <v>0</v>
      </c>
      <c r="J325" t="n">
        <v>1</v>
      </c>
      <c r="K325" t="n">
        <v>0</v>
      </c>
      <c r="L325" t="n">
        <v>0</v>
      </c>
      <c r="M325" t="n">
        <v>0</v>
      </c>
      <c r="N325" t="n">
        <v>0</v>
      </c>
      <c r="O325" t="n">
        <v>1</v>
      </c>
      <c r="P325" t="n">
        <v>0</v>
      </c>
      <c r="Q325" t="n">
        <v>1</v>
      </c>
      <c r="R325" s="2" t="inlineStr">
        <is>
          <t>Skånebjörnbär</t>
        </is>
      </c>
      <c r="S325">
        <f>HYPERLINK("https://klasma.github.io/Logging_1283/artfynd/A 45832-2023 artfynd.xlsx", "A 45832-2023")</f>
        <v/>
      </c>
      <c r="T325">
        <f>HYPERLINK("https://klasma.github.io/Logging_1283/kartor/A 45832-2023 karta.png", "A 45832-2023")</f>
        <v/>
      </c>
      <c r="V325">
        <f>HYPERLINK("https://klasma.github.io/Logging_1283/klagomål/A 45832-2023 FSC-klagomål.docx", "A 45832-2023")</f>
        <v/>
      </c>
      <c r="W325">
        <f>HYPERLINK("https://klasma.github.io/Logging_1283/klagomålsmail/A 45832-2023 FSC-klagomål mail.docx", "A 45832-2023")</f>
        <v/>
      </c>
      <c r="X325">
        <f>HYPERLINK("https://klasma.github.io/Logging_1283/tillsyn/A 45832-2023 tillsynsbegäran.docx", "A 45832-2023")</f>
        <v/>
      </c>
      <c r="Y325">
        <f>HYPERLINK("https://klasma.github.io/Logging_1283/tillsynsmail/A 45832-2023 tillsynsbegäran mail.docx", "A 45832-2023")</f>
        <v/>
      </c>
    </row>
    <row r="326" ht="15" customHeight="1">
      <c r="A326" t="inlineStr">
        <is>
          <t>A 46870-2023</t>
        </is>
      </c>
      <c r="B326" s="1" t="n">
        <v>45200</v>
      </c>
      <c r="C326" s="1" t="n">
        <v>45744</v>
      </c>
      <c r="D326" t="inlineStr">
        <is>
          <t>SKÅNE LÄN</t>
        </is>
      </c>
      <c r="E326" t="inlineStr">
        <is>
          <t>KRISTIANSTAD</t>
        </is>
      </c>
      <c r="G326" t="n">
        <v>2.3</v>
      </c>
      <c r="H326" t="n">
        <v>0</v>
      </c>
      <c r="I326" t="n">
        <v>0</v>
      </c>
      <c r="J326" t="n">
        <v>1</v>
      </c>
      <c r="K326" t="n">
        <v>0</v>
      </c>
      <c r="L326" t="n">
        <v>0</v>
      </c>
      <c r="M326" t="n">
        <v>0</v>
      </c>
      <c r="N326" t="n">
        <v>0</v>
      </c>
      <c r="O326" t="n">
        <v>1</v>
      </c>
      <c r="P326" t="n">
        <v>0</v>
      </c>
      <c r="Q326" t="n">
        <v>1</v>
      </c>
      <c r="R326" s="2" t="inlineStr">
        <is>
          <t>Klasefibbla</t>
        </is>
      </c>
      <c r="S326">
        <f>HYPERLINK("https://klasma.github.io/Logging_1290/artfynd/A 46870-2023 artfynd.xlsx", "A 46870-2023")</f>
        <v/>
      </c>
      <c r="T326">
        <f>HYPERLINK("https://klasma.github.io/Logging_1290/kartor/A 46870-2023 karta.png", "A 46870-2023")</f>
        <v/>
      </c>
      <c r="V326">
        <f>HYPERLINK("https://klasma.github.io/Logging_1290/klagomål/A 46870-2023 FSC-klagomål.docx", "A 46870-2023")</f>
        <v/>
      </c>
      <c r="W326">
        <f>HYPERLINK("https://klasma.github.io/Logging_1290/klagomålsmail/A 46870-2023 FSC-klagomål mail.docx", "A 46870-2023")</f>
        <v/>
      </c>
      <c r="X326">
        <f>HYPERLINK("https://klasma.github.io/Logging_1290/tillsyn/A 46870-2023 tillsynsbegäran.docx", "A 46870-2023")</f>
        <v/>
      </c>
      <c r="Y326">
        <f>HYPERLINK("https://klasma.github.io/Logging_1290/tillsynsmail/A 46870-2023 tillsynsbegäran mail.docx", "A 46870-2023")</f>
        <v/>
      </c>
    </row>
    <row r="327" ht="15" customHeight="1">
      <c r="A327" t="inlineStr">
        <is>
          <t>A 48514-2023</t>
        </is>
      </c>
      <c r="B327" s="1" t="n">
        <v>45208</v>
      </c>
      <c r="C327" s="1" t="n">
        <v>45744</v>
      </c>
      <c r="D327" t="inlineStr">
        <is>
          <t>SKÅNE LÄN</t>
        </is>
      </c>
      <c r="E327" t="inlineStr">
        <is>
          <t>OSBY</t>
        </is>
      </c>
      <c r="G327" t="n">
        <v>3.3</v>
      </c>
      <c r="H327" t="n">
        <v>0</v>
      </c>
      <c r="I327" t="n">
        <v>1</v>
      </c>
      <c r="J327" t="n">
        <v>0</v>
      </c>
      <c r="K327" t="n">
        <v>0</v>
      </c>
      <c r="L327" t="n">
        <v>0</v>
      </c>
      <c r="M327" t="n">
        <v>0</v>
      </c>
      <c r="N327" t="n">
        <v>0</v>
      </c>
      <c r="O327" t="n">
        <v>0</v>
      </c>
      <c r="P327" t="n">
        <v>0</v>
      </c>
      <c r="Q327" t="n">
        <v>1</v>
      </c>
      <c r="R327" s="2" t="inlineStr">
        <is>
          <t>Blåmossa</t>
        </is>
      </c>
      <c r="S327">
        <f>HYPERLINK("https://klasma.github.io/Logging_1273/artfynd/A 48514-2023 artfynd.xlsx", "A 48514-2023")</f>
        <v/>
      </c>
      <c r="T327">
        <f>HYPERLINK("https://klasma.github.io/Logging_1273/kartor/A 48514-2023 karta.png", "A 48514-2023")</f>
        <v/>
      </c>
      <c r="V327">
        <f>HYPERLINK("https://klasma.github.io/Logging_1273/klagomål/A 48514-2023 FSC-klagomål.docx", "A 48514-2023")</f>
        <v/>
      </c>
      <c r="W327">
        <f>HYPERLINK("https://klasma.github.io/Logging_1273/klagomålsmail/A 48514-2023 FSC-klagomål mail.docx", "A 48514-2023")</f>
        <v/>
      </c>
      <c r="X327">
        <f>HYPERLINK("https://klasma.github.io/Logging_1273/tillsyn/A 48514-2023 tillsynsbegäran.docx", "A 48514-2023")</f>
        <v/>
      </c>
      <c r="Y327">
        <f>HYPERLINK("https://klasma.github.io/Logging_1273/tillsynsmail/A 48514-2023 tillsynsbegäran mail.docx", "A 48514-2023")</f>
        <v/>
      </c>
    </row>
    <row r="328" ht="15" customHeight="1">
      <c r="A328" t="inlineStr">
        <is>
          <t>A 50089-2023</t>
        </is>
      </c>
      <c r="B328" s="1" t="n">
        <v>45208</v>
      </c>
      <c r="C328" s="1" t="n">
        <v>45744</v>
      </c>
      <c r="D328" t="inlineStr">
        <is>
          <t>SKÅNE LÄN</t>
        </is>
      </c>
      <c r="E328" t="inlineStr">
        <is>
          <t>KLIPPAN</t>
        </is>
      </c>
      <c r="G328" t="n">
        <v>13.6</v>
      </c>
      <c r="H328" t="n">
        <v>1</v>
      </c>
      <c r="I328" t="n">
        <v>0</v>
      </c>
      <c r="J328" t="n">
        <v>1</v>
      </c>
      <c r="K328" t="n">
        <v>0</v>
      </c>
      <c r="L328" t="n">
        <v>0</v>
      </c>
      <c r="M328" t="n">
        <v>0</v>
      </c>
      <c r="N328" t="n">
        <v>0</v>
      </c>
      <c r="O328" t="n">
        <v>1</v>
      </c>
      <c r="P328" t="n">
        <v>0</v>
      </c>
      <c r="Q328" t="n">
        <v>1</v>
      </c>
      <c r="R328" s="2" t="inlineStr">
        <is>
          <t>Entita</t>
        </is>
      </c>
      <c r="S328">
        <f>HYPERLINK("https://klasma.github.io/Logging_1276/artfynd/A 50089-2023 artfynd.xlsx", "A 50089-2023")</f>
        <v/>
      </c>
      <c r="T328">
        <f>HYPERLINK("https://klasma.github.io/Logging_1276/kartor/A 50089-2023 karta.png", "A 50089-2023")</f>
        <v/>
      </c>
      <c r="V328">
        <f>HYPERLINK("https://klasma.github.io/Logging_1276/klagomål/A 50089-2023 FSC-klagomål.docx", "A 50089-2023")</f>
        <v/>
      </c>
      <c r="W328">
        <f>HYPERLINK("https://klasma.github.io/Logging_1276/klagomålsmail/A 50089-2023 FSC-klagomål mail.docx", "A 50089-2023")</f>
        <v/>
      </c>
      <c r="X328">
        <f>HYPERLINK("https://klasma.github.io/Logging_1276/tillsyn/A 50089-2023 tillsynsbegäran.docx", "A 50089-2023")</f>
        <v/>
      </c>
      <c r="Y328">
        <f>HYPERLINK("https://klasma.github.io/Logging_1276/tillsynsmail/A 50089-2023 tillsynsbegäran mail.docx", "A 50089-2023")</f>
        <v/>
      </c>
      <c r="Z328">
        <f>HYPERLINK("https://klasma.github.io/Logging_1276/fåglar/A 50089-2023 prioriterade fågelarter.docx", "A 50089-2023")</f>
        <v/>
      </c>
    </row>
    <row r="329" ht="15" customHeight="1">
      <c r="A329" t="inlineStr">
        <is>
          <t>A 50684-2023</t>
        </is>
      </c>
      <c r="B329" s="1" t="n">
        <v>45210</v>
      </c>
      <c r="C329" s="1" t="n">
        <v>45744</v>
      </c>
      <c r="D329" t="inlineStr">
        <is>
          <t>SKÅNE LÄN</t>
        </is>
      </c>
      <c r="E329" t="inlineStr">
        <is>
          <t>ÄNGELHOLM</t>
        </is>
      </c>
      <c r="G329" t="n">
        <v>1.6</v>
      </c>
      <c r="H329" t="n">
        <v>1</v>
      </c>
      <c r="I329" t="n">
        <v>0</v>
      </c>
      <c r="J329" t="n">
        <v>0</v>
      </c>
      <c r="K329" t="n">
        <v>0</v>
      </c>
      <c r="L329" t="n">
        <v>0</v>
      </c>
      <c r="M329" t="n">
        <v>0</v>
      </c>
      <c r="N329" t="n">
        <v>0</v>
      </c>
      <c r="O329" t="n">
        <v>0</v>
      </c>
      <c r="P329" t="n">
        <v>0</v>
      </c>
      <c r="Q329" t="n">
        <v>1</v>
      </c>
      <c r="R329" s="2" t="inlineStr">
        <is>
          <t>Kopparödla</t>
        </is>
      </c>
      <c r="S329">
        <f>HYPERLINK("https://klasma.github.io/Logging_1292/artfynd/A 50684-2023 artfynd.xlsx", "A 50684-2023")</f>
        <v/>
      </c>
      <c r="T329">
        <f>HYPERLINK("https://klasma.github.io/Logging_1292/kartor/A 50684-2023 karta.png", "A 50684-2023")</f>
        <v/>
      </c>
      <c r="V329">
        <f>HYPERLINK("https://klasma.github.io/Logging_1292/klagomål/A 50684-2023 FSC-klagomål.docx", "A 50684-2023")</f>
        <v/>
      </c>
      <c r="W329">
        <f>HYPERLINK("https://klasma.github.io/Logging_1292/klagomålsmail/A 50684-2023 FSC-klagomål mail.docx", "A 50684-2023")</f>
        <v/>
      </c>
      <c r="X329">
        <f>HYPERLINK("https://klasma.github.io/Logging_1292/tillsyn/A 50684-2023 tillsynsbegäran.docx", "A 50684-2023")</f>
        <v/>
      </c>
      <c r="Y329">
        <f>HYPERLINK("https://klasma.github.io/Logging_1292/tillsynsmail/A 50684-2023 tillsynsbegäran mail.docx", "A 50684-2023")</f>
        <v/>
      </c>
    </row>
    <row r="330" ht="15" customHeight="1">
      <c r="A330" t="inlineStr">
        <is>
          <t>A 50642-2023</t>
        </is>
      </c>
      <c r="B330" s="1" t="n">
        <v>45210</v>
      </c>
      <c r="C330" s="1" t="n">
        <v>45744</v>
      </c>
      <c r="D330" t="inlineStr">
        <is>
          <t>SKÅNE LÄN</t>
        </is>
      </c>
      <c r="E330" t="inlineStr">
        <is>
          <t>ÄNGELHOLM</t>
        </is>
      </c>
      <c r="G330" t="n">
        <v>0.8</v>
      </c>
      <c r="H330" t="n">
        <v>1</v>
      </c>
      <c r="I330" t="n">
        <v>0</v>
      </c>
      <c r="J330" t="n">
        <v>0</v>
      </c>
      <c r="K330" t="n">
        <v>0</v>
      </c>
      <c r="L330" t="n">
        <v>0</v>
      </c>
      <c r="M330" t="n">
        <v>0</v>
      </c>
      <c r="N330" t="n">
        <v>0</v>
      </c>
      <c r="O330" t="n">
        <v>0</v>
      </c>
      <c r="P330" t="n">
        <v>0</v>
      </c>
      <c r="Q330" t="n">
        <v>1</v>
      </c>
      <c r="R330" s="2" t="inlineStr">
        <is>
          <t>Vanlig padda</t>
        </is>
      </c>
      <c r="S330">
        <f>HYPERLINK("https://klasma.github.io/Logging_1292/artfynd/A 50642-2023 artfynd.xlsx", "A 50642-2023")</f>
        <v/>
      </c>
      <c r="T330">
        <f>HYPERLINK("https://klasma.github.io/Logging_1292/kartor/A 50642-2023 karta.png", "A 50642-2023")</f>
        <v/>
      </c>
      <c r="V330">
        <f>HYPERLINK("https://klasma.github.io/Logging_1292/klagomål/A 50642-2023 FSC-klagomål.docx", "A 50642-2023")</f>
        <v/>
      </c>
      <c r="W330">
        <f>HYPERLINK("https://klasma.github.io/Logging_1292/klagomålsmail/A 50642-2023 FSC-klagomål mail.docx", "A 50642-2023")</f>
        <v/>
      </c>
      <c r="X330">
        <f>HYPERLINK("https://klasma.github.io/Logging_1292/tillsyn/A 50642-2023 tillsynsbegäran.docx", "A 50642-2023")</f>
        <v/>
      </c>
      <c r="Y330">
        <f>HYPERLINK("https://klasma.github.io/Logging_1292/tillsynsmail/A 50642-2023 tillsynsbegäran mail.docx", "A 50642-2023")</f>
        <v/>
      </c>
    </row>
    <row r="331" ht="15" customHeight="1">
      <c r="A331" t="inlineStr">
        <is>
          <t>A 49505-2023</t>
        </is>
      </c>
      <c r="B331" s="1" t="n">
        <v>45211</v>
      </c>
      <c r="C331" s="1" t="n">
        <v>45744</v>
      </c>
      <c r="D331" t="inlineStr">
        <is>
          <t>SKÅNE LÄN</t>
        </is>
      </c>
      <c r="E331" t="inlineStr">
        <is>
          <t>OSBY</t>
        </is>
      </c>
      <c r="G331" t="n">
        <v>3.5</v>
      </c>
      <c r="H331" t="n">
        <v>1</v>
      </c>
      <c r="I331" t="n">
        <v>1</v>
      </c>
      <c r="J331" t="n">
        <v>0</v>
      </c>
      <c r="K331" t="n">
        <v>0</v>
      </c>
      <c r="L331" t="n">
        <v>0</v>
      </c>
      <c r="M331" t="n">
        <v>0</v>
      </c>
      <c r="N331" t="n">
        <v>0</v>
      </c>
      <c r="O331" t="n">
        <v>0</v>
      </c>
      <c r="P331" t="n">
        <v>0</v>
      </c>
      <c r="Q331" t="n">
        <v>1</v>
      </c>
      <c r="R331" s="2" t="inlineStr">
        <is>
          <t>Plattlummer</t>
        </is>
      </c>
      <c r="S331">
        <f>HYPERLINK("https://klasma.github.io/Logging_1273/artfynd/A 49505-2023 artfynd.xlsx", "A 49505-2023")</f>
        <v/>
      </c>
      <c r="T331">
        <f>HYPERLINK("https://klasma.github.io/Logging_1273/kartor/A 49505-2023 karta.png", "A 49505-2023")</f>
        <v/>
      </c>
      <c r="V331">
        <f>HYPERLINK("https://klasma.github.io/Logging_1273/klagomål/A 49505-2023 FSC-klagomål.docx", "A 49505-2023")</f>
        <v/>
      </c>
      <c r="W331">
        <f>HYPERLINK("https://klasma.github.io/Logging_1273/klagomålsmail/A 49505-2023 FSC-klagomål mail.docx", "A 49505-2023")</f>
        <v/>
      </c>
      <c r="X331">
        <f>HYPERLINK("https://klasma.github.io/Logging_1273/tillsyn/A 49505-2023 tillsynsbegäran.docx", "A 49505-2023")</f>
        <v/>
      </c>
      <c r="Y331">
        <f>HYPERLINK("https://klasma.github.io/Logging_1273/tillsynsmail/A 49505-2023 tillsynsbegäran mail.docx", "A 49505-2023")</f>
        <v/>
      </c>
    </row>
    <row r="332" ht="15" customHeight="1">
      <c r="A332" t="inlineStr">
        <is>
          <t>A 53519-2023</t>
        </is>
      </c>
      <c r="B332" s="1" t="n">
        <v>45230</v>
      </c>
      <c r="C332" s="1" t="n">
        <v>45744</v>
      </c>
      <c r="D332" t="inlineStr">
        <is>
          <t>SKÅNE LÄN</t>
        </is>
      </c>
      <c r="E332" t="inlineStr">
        <is>
          <t>KÄVLINGE</t>
        </is>
      </c>
      <c r="G332" t="n">
        <v>1</v>
      </c>
      <c r="H332" t="n">
        <v>0</v>
      </c>
      <c r="I332" t="n">
        <v>0</v>
      </c>
      <c r="J332" t="n">
        <v>0</v>
      </c>
      <c r="K332" t="n">
        <v>0</v>
      </c>
      <c r="L332" t="n">
        <v>1</v>
      </c>
      <c r="M332" t="n">
        <v>0</v>
      </c>
      <c r="N332" t="n">
        <v>0</v>
      </c>
      <c r="O332" t="n">
        <v>1</v>
      </c>
      <c r="P332" t="n">
        <v>1</v>
      </c>
      <c r="Q332" t="n">
        <v>1</v>
      </c>
      <c r="R332" s="2" t="inlineStr">
        <is>
          <t>Bergbjörnbär</t>
        </is>
      </c>
      <c r="S332">
        <f>HYPERLINK("https://klasma.github.io/Logging_1261/artfynd/A 53519-2023 artfynd.xlsx", "A 53519-2023")</f>
        <v/>
      </c>
      <c r="T332">
        <f>HYPERLINK("https://klasma.github.io/Logging_1261/kartor/A 53519-2023 karta.png", "A 53519-2023")</f>
        <v/>
      </c>
      <c r="V332">
        <f>HYPERLINK("https://klasma.github.io/Logging_1261/klagomål/A 53519-2023 FSC-klagomål.docx", "A 53519-2023")</f>
        <v/>
      </c>
      <c r="W332">
        <f>HYPERLINK("https://klasma.github.io/Logging_1261/klagomålsmail/A 53519-2023 FSC-klagomål mail.docx", "A 53519-2023")</f>
        <v/>
      </c>
      <c r="X332">
        <f>HYPERLINK("https://klasma.github.io/Logging_1261/tillsyn/A 53519-2023 tillsynsbegäran.docx", "A 53519-2023")</f>
        <v/>
      </c>
      <c r="Y332">
        <f>HYPERLINK("https://klasma.github.io/Logging_1261/tillsynsmail/A 53519-2023 tillsynsbegäran mail.docx", "A 53519-2023")</f>
        <v/>
      </c>
    </row>
    <row r="333" ht="15" customHeight="1">
      <c r="A333" t="inlineStr">
        <is>
          <t>A 54424-2023</t>
        </is>
      </c>
      <c r="B333" s="1" t="n">
        <v>45233</v>
      </c>
      <c r="C333" s="1" t="n">
        <v>45744</v>
      </c>
      <c r="D333" t="inlineStr">
        <is>
          <t>SKÅNE LÄN</t>
        </is>
      </c>
      <c r="E333" t="inlineStr">
        <is>
          <t>SVALÖV</t>
        </is>
      </c>
      <c r="G333" t="n">
        <v>5.7</v>
      </c>
      <c r="H333" t="n">
        <v>0</v>
      </c>
      <c r="I333" t="n">
        <v>1</v>
      </c>
      <c r="J333" t="n">
        <v>0</v>
      </c>
      <c r="K333" t="n">
        <v>0</v>
      </c>
      <c r="L333" t="n">
        <v>0</v>
      </c>
      <c r="M333" t="n">
        <v>0</v>
      </c>
      <c r="N333" t="n">
        <v>0</v>
      </c>
      <c r="O333" t="n">
        <v>0</v>
      </c>
      <c r="P333" t="n">
        <v>0</v>
      </c>
      <c r="Q333" t="n">
        <v>1</v>
      </c>
      <c r="R333" s="2" t="inlineStr">
        <is>
          <t>Myskmadra</t>
        </is>
      </c>
      <c r="S333">
        <f>HYPERLINK("https://klasma.github.io/Logging_1214/artfynd/A 54424-2023 artfynd.xlsx", "A 54424-2023")</f>
        <v/>
      </c>
      <c r="T333">
        <f>HYPERLINK("https://klasma.github.io/Logging_1214/kartor/A 54424-2023 karta.png", "A 54424-2023")</f>
        <v/>
      </c>
      <c r="V333">
        <f>HYPERLINK("https://klasma.github.io/Logging_1214/klagomål/A 54424-2023 FSC-klagomål.docx", "A 54424-2023")</f>
        <v/>
      </c>
      <c r="W333">
        <f>HYPERLINK("https://klasma.github.io/Logging_1214/klagomålsmail/A 54424-2023 FSC-klagomål mail.docx", "A 54424-2023")</f>
        <v/>
      </c>
      <c r="X333">
        <f>HYPERLINK("https://klasma.github.io/Logging_1214/tillsyn/A 54424-2023 tillsynsbegäran.docx", "A 54424-2023")</f>
        <v/>
      </c>
      <c r="Y333">
        <f>HYPERLINK("https://klasma.github.io/Logging_1214/tillsynsmail/A 54424-2023 tillsynsbegäran mail.docx", "A 54424-2023")</f>
        <v/>
      </c>
    </row>
    <row r="334" ht="15" customHeight="1">
      <c r="A334" t="inlineStr">
        <is>
          <t>A 55145-2023</t>
        </is>
      </c>
      <c r="B334" s="1" t="n">
        <v>45237</v>
      </c>
      <c r="C334" s="1" t="n">
        <v>45744</v>
      </c>
      <c r="D334" t="inlineStr">
        <is>
          <t>SKÅNE LÄN</t>
        </is>
      </c>
      <c r="E334" t="inlineStr">
        <is>
          <t>LUND</t>
        </is>
      </c>
      <c r="F334" t="inlineStr">
        <is>
          <t>Kommuner</t>
        </is>
      </c>
      <c r="G334" t="n">
        <v>4.5</v>
      </c>
      <c r="H334" t="n">
        <v>0</v>
      </c>
      <c r="I334" t="n">
        <v>1</v>
      </c>
      <c r="J334" t="n">
        <v>0</v>
      </c>
      <c r="K334" t="n">
        <v>0</v>
      </c>
      <c r="L334" t="n">
        <v>0</v>
      </c>
      <c r="M334" t="n">
        <v>0</v>
      </c>
      <c r="N334" t="n">
        <v>0</v>
      </c>
      <c r="O334" t="n">
        <v>0</v>
      </c>
      <c r="P334" t="n">
        <v>0</v>
      </c>
      <c r="Q334" t="n">
        <v>1</v>
      </c>
      <c r="R334" s="2" t="inlineStr">
        <is>
          <t>Grovticka</t>
        </is>
      </c>
      <c r="S334">
        <f>HYPERLINK("https://klasma.github.io/Logging_1281/artfynd/A 55145-2023 artfynd.xlsx", "A 55145-2023")</f>
        <v/>
      </c>
      <c r="T334">
        <f>HYPERLINK("https://klasma.github.io/Logging_1281/kartor/A 55145-2023 karta.png", "A 55145-2023")</f>
        <v/>
      </c>
      <c r="V334">
        <f>HYPERLINK("https://klasma.github.io/Logging_1281/klagomål/A 55145-2023 FSC-klagomål.docx", "A 55145-2023")</f>
        <v/>
      </c>
      <c r="W334">
        <f>HYPERLINK("https://klasma.github.io/Logging_1281/klagomålsmail/A 55145-2023 FSC-klagomål mail.docx", "A 55145-2023")</f>
        <v/>
      </c>
      <c r="X334">
        <f>HYPERLINK("https://klasma.github.io/Logging_1281/tillsyn/A 55145-2023 tillsynsbegäran.docx", "A 55145-2023")</f>
        <v/>
      </c>
      <c r="Y334">
        <f>HYPERLINK("https://klasma.github.io/Logging_1281/tillsynsmail/A 55145-2023 tillsynsbegäran mail.docx", "A 55145-2023")</f>
        <v/>
      </c>
    </row>
    <row r="335" ht="15" customHeight="1">
      <c r="A335" t="inlineStr">
        <is>
          <t>A 57035-2023</t>
        </is>
      </c>
      <c r="B335" s="1" t="n">
        <v>45244</v>
      </c>
      <c r="C335" s="1" t="n">
        <v>45744</v>
      </c>
      <c r="D335" t="inlineStr">
        <is>
          <t>SKÅNE LÄN</t>
        </is>
      </c>
      <c r="E335" t="inlineStr">
        <is>
          <t>OSBY</t>
        </is>
      </c>
      <c r="G335" t="n">
        <v>5.1</v>
      </c>
      <c r="H335" t="n">
        <v>1</v>
      </c>
      <c r="I335" t="n">
        <v>0</v>
      </c>
      <c r="J335" t="n">
        <v>0</v>
      </c>
      <c r="K335" t="n">
        <v>0</v>
      </c>
      <c r="L335" t="n">
        <v>0</v>
      </c>
      <c r="M335" t="n">
        <v>0</v>
      </c>
      <c r="N335" t="n">
        <v>0</v>
      </c>
      <c r="O335" t="n">
        <v>0</v>
      </c>
      <c r="P335" t="n">
        <v>0</v>
      </c>
      <c r="Q335" t="n">
        <v>1</v>
      </c>
      <c r="R335" s="2" t="inlineStr">
        <is>
          <t>Kungsfågel</t>
        </is>
      </c>
      <c r="S335">
        <f>HYPERLINK("https://klasma.github.io/Logging_1273/artfynd/A 57035-2023 artfynd.xlsx", "A 57035-2023")</f>
        <v/>
      </c>
      <c r="T335">
        <f>HYPERLINK("https://klasma.github.io/Logging_1273/kartor/A 57035-2023 karta.png", "A 57035-2023")</f>
        <v/>
      </c>
      <c r="V335">
        <f>HYPERLINK("https://klasma.github.io/Logging_1273/klagomål/A 57035-2023 FSC-klagomål.docx", "A 57035-2023")</f>
        <v/>
      </c>
      <c r="W335">
        <f>HYPERLINK("https://klasma.github.io/Logging_1273/klagomålsmail/A 57035-2023 FSC-klagomål mail.docx", "A 57035-2023")</f>
        <v/>
      </c>
      <c r="X335">
        <f>HYPERLINK("https://klasma.github.io/Logging_1273/tillsyn/A 57035-2023 tillsynsbegäran.docx", "A 57035-2023")</f>
        <v/>
      </c>
      <c r="Y335">
        <f>HYPERLINK("https://klasma.github.io/Logging_1273/tillsynsmail/A 57035-2023 tillsynsbegäran mail.docx", "A 57035-2023")</f>
        <v/>
      </c>
      <c r="Z335">
        <f>HYPERLINK("https://klasma.github.io/Logging_1273/fåglar/A 57035-2023 prioriterade fågelarter.docx", "A 57035-2023")</f>
        <v/>
      </c>
    </row>
    <row r="336" ht="15" customHeight="1">
      <c r="A336" t="inlineStr">
        <is>
          <t>A 59610-2023</t>
        </is>
      </c>
      <c r="B336" s="1" t="n">
        <v>45253</v>
      </c>
      <c r="C336" s="1" t="n">
        <v>45744</v>
      </c>
      <c r="D336" t="inlineStr">
        <is>
          <t>SKÅNE LÄN</t>
        </is>
      </c>
      <c r="E336" t="inlineStr">
        <is>
          <t>SJÖBO</t>
        </is>
      </c>
      <c r="G336" t="n">
        <v>2.4</v>
      </c>
      <c r="H336" t="n">
        <v>1</v>
      </c>
      <c r="I336" t="n">
        <v>1</v>
      </c>
      <c r="J336" t="n">
        <v>0</v>
      </c>
      <c r="K336" t="n">
        <v>0</v>
      </c>
      <c r="L336" t="n">
        <v>0</v>
      </c>
      <c r="M336" t="n">
        <v>0</v>
      </c>
      <c r="N336" t="n">
        <v>0</v>
      </c>
      <c r="O336" t="n">
        <v>0</v>
      </c>
      <c r="P336" t="n">
        <v>0</v>
      </c>
      <c r="Q336" t="n">
        <v>1</v>
      </c>
      <c r="R336" s="2" t="inlineStr">
        <is>
          <t>Ekoxe</t>
        </is>
      </c>
      <c r="S336">
        <f>HYPERLINK("https://klasma.github.io/Logging_1265/artfynd/A 59610-2023 artfynd.xlsx", "A 59610-2023")</f>
        <v/>
      </c>
      <c r="T336">
        <f>HYPERLINK("https://klasma.github.io/Logging_1265/kartor/A 59610-2023 karta.png", "A 59610-2023")</f>
        <v/>
      </c>
      <c r="V336">
        <f>HYPERLINK("https://klasma.github.io/Logging_1265/klagomål/A 59610-2023 FSC-klagomål.docx", "A 59610-2023")</f>
        <v/>
      </c>
      <c r="W336">
        <f>HYPERLINK("https://klasma.github.io/Logging_1265/klagomålsmail/A 59610-2023 FSC-klagomål mail.docx", "A 59610-2023")</f>
        <v/>
      </c>
      <c r="X336">
        <f>HYPERLINK("https://klasma.github.io/Logging_1265/tillsyn/A 59610-2023 tillsynsbegäran.docx", "A 59610-2023")</f>
        <v/>
      </c>
      <c r="Y336">
        <f>HYPERLINK("https://klasma.github.io/Logging_1265/tillsynsmail/A 59610-2023 tillsynsbegäran mail.docx", "A 59610-2023")</f>
        <v/>
      </c>
    </row>
    <row r="337" ht="15" customHeight="1">
      <c r="A337" t="inlineStr">
        <is>
          <t>A 60820-2023</t>
        </is>
      </c>
      <c r="B337" s="1" t="n">
        <v>45260</v>
      </c>
      <c r="C337" s="1" t="n">
        <v>45744</v>
      </c>
      <c r="D337" t="inlineStr">
        <is>
          <t>SKÅNE LÄN</t>
        </is>
      </c>
      <c r="E337" t="inlineStr">
        <is>
          <t>TOMELILLA</t>
        </is>
      </c>
      <c r="G337" t="n">
        <v>4.6</v>
      </c>
      <c r="H337" t="n">
        <v>0</v>
      </c>
      <c r="I337" t="n">
        <v>1</v>
      </c>
      <c r="J337" t="n">
        <v>0</v>
      </c>
      <c r="K337" t="n">
        <v>0</v>
      </c>
      <c r="L337" t="n">
        <v>0</v>
      </c>
      <c r="M337" t="n">
        <v>0</v>
      </c>
      <c r="N337" t="n">
        <v>0</v>
      </c>
      <c r="O337" t="n">
        <v>0</v>
      </c>
      <c r="P337" t="n">
        <v>0</v>
      </c>
      <c r="Q337" t="n">
        <v>1</v>
      </c>
      <c r="R337" s="2" t="inlineStr">
        <is>
          <t>Guldlockmossa</t>
        </is>
      </c>
      <c r="S337">
        <f>HYPERLINK("https://klasma.github.io/Logging_1270/artfynd/A 60820-2023 artfynd.xlsx", "A 60820-2023")</f>
        <v/>
      </c>
      <c r="T337">
        <f>HYPERLINK("https://klasma.github.io/Logging_1270/kartor/A 60820-2023 karta.png", "A 60820-2023")</f>
        <v/>
      </c>
      <c r="V337">
        <f>HYPERLINK("https://klasma.github.io/Logging_1270/klagomål/A 60820-2023 FSC-klagomål.docx", "A 60820-2023")</f>
        <v/>
      </c>
      <c r="W337">
        <f>HYPERLINK("https://klasma.github.io/Logging_1270/klagomålsmail/A 60820-2023 FSC-klagomål mail.docx", "A 60820-2023")</f>
        <v/>
      </c>
      <c r="X337">
        <f>HYPERLINK("https://klasma.github.io/Logging_1270/tillsyn/A 60820-2023 tillsynsbegäran.docx", "A 60820-2023")</f>
        <v/>
      </c>
      <c r="Y337">
        <f>HYPERLINK("https://klasma.github.io/Logging_1270/tillsynsmail/A 60820-2023 tillsynsbegäran mail.docx", "A 60820-2023")</f>
        <v/>
      </c>
    </row>
    <row r="338" ht="15" customHeight="1">
      <c r="A338" t="inlineStr">
        <is>
          <t>A 61690-2023</t>
        </is>
      </c>
      <c r="B338" s="1" t="n">
        <v>45264</v>
      </c>
      <c r="C338" s="1" t="n">
        <v>45744</v>
      </c>
      <c r="D338" t="inlineStr">
        <is>
          <t>SKÅNE LÄN</t>
        </is>
      </c>
      <c r="E338" t="inlineStr">
        <is>
          <t>KLIPPAN</t>
        </is>
      </c>
      <c r="G338" t="n">
        <v>5.5</v>
      </c>
      <c r="H338" t="n">
        <v>1</v>
      </c>
      <c r="I338" t="n">
        <v>0</v>
      </c>
      <c r="J338" t="n">
        <v>1</v>
      </c>
      <c r="K338" t="n">
        <v>0</v>
      </c>
      <c r="L338" t="n">
        <v>0</v>
      </c>
      <c r="M338" t="n">
        <v>0</v>
      </c>
      <c r="N338" t="n">
        <v>0</v>
      </c>
      <c r="O338" t="n">
        <v>1</v>
      </c>
      <c r="P338" t="n">
        <v>0</v>
      </c>
      <c r="Q338" t="n">
        <v>1</v>
      </c>
      <c r="R338" s="2" t="inlineStr">
        <is>
          <t>Entita</t>
        </is>
      </c>
      <c r="S338">
        <f>HYPERLINK("https://klasma.github.io/Logging_1276/artfynd/A 61690-2023 artfynd.xlsx", "A 61690-2023")</f>
        <v/>
      </c>
      <c r="T338">
        <f>HYPERLINK("https://klasma.github.io/Logging_1276/kartor/A 61690-2023 karta.png", "A 61690-2023")</f>
        <v/>
      </c>
      <c r="V338">
        <f>HYPERLINK("https://klasma.github.io/Logging_1276/klagomål/A 61690-2023 FSC-klagomål.docx", "A 61690-2023")</f>
        <v/>
      </c>
      <c r="W338">
        <f>HYPERLINK("https://klasma.github.io/Logging_1276/klagomålsmail/A 61690-2023 FSC-klagomål mail.docx", "A 61690-2023")</f>
        <v/>
      </c>
      <c r="X338">
        <f>HYPERLINK("https://klasma.github.io/Logging_1276/tillsyn/A 61690-2023 tillsynsbegäran.docx", "A 61690-2023")</f>
        <v/>
      </c>
      <c r="Y338">
        <f>HYPERLINK("https://klasma.github.io/Logging_1276/tillsynsmail/A 61690-2023 tillsynsbegäran mail.docx", "A 61690-2023")</f>
        <v/>
      </c>
      <c r="Z338">
        <f>HYPERLINK("https://klasma.github.io/Logging_1276/fåglar/A 61690-2023 prioriterade fågelarter.docx", "A 61690-2023")</f>
        <v/>
      </c>
    </row>
    <row r="339" ht="15" customHeight="1">
      <c r="A339" t="inlineStr">
        <is>
          <t>A 61558-2023</t>
        </is>
      </c>
      <c r="B339" s="1" t="n">
        <v>45265</v>
      </c>
      <c r="C339" s="1" t="n">
        <v>45744</v>
      </c>
      <c r="D339" t="inlineStr">
        <is>
          <t>SKÅNE LÄN</t>
        </is>
      </c>
      <c r="E339" t="inlineStr">
        <is>
          <t>YSTAD</t>
        </is>
      </c>
      <c r="F339" t="inlineStr">
        <is>
          <t>Övriga statliga verk och myndigheter</t>
        </is>
      </c>
      <c r="G339" t="n">
        <v>1.5</v>
      </c>
      <c r="H339" t="n">
        <v>0</v>
      </c>
      <c r="I339" t="n">
        <v>0</v>
      </c>
      <c r="J339" t="n">
        <v>0</v>
      </c>
      <c r="K339" t="n">
        <v>0</v>
      </c>
      <c r="L339" t="n">
        <v>1</v>
      </c>
      <c r="M339" t="n">
        <v>0</v>
      </c>
      <c r="N339" t="n">
        <v>0</v>
      </c>
      <c r="O339" t="n">
        <v>1</v>
      </c>
      <c r="P339" t="n">
        <v>1</v>
      </c>
      <c r="Q339" t="n">
        <v>1</v>
      </c>
      <c r="R339" s="2" t="inlineStr">
        <is>
          <t>Ask</t>
        </is>
      </c>
      <c r="S339">
        <f>HYPERLINK("https://klasma.github.io/Logging_1286/artfynd/A 61558-2023 artfynd.xlsx", "A 61558-2023")</f>
        <v/>
      </c>
      <c r="T339">
        <f>HYPERLINK("https://klasma.github.io/Logging_1286/kartor/A 61558-2023 karta.png", "A 61558-2023")</f>
        <v/>
      </c>
      <c r="V339">
        <f>HYPERLINK("https://klasma.github.io/Logging_1286/klagomål/A 61558-2023 FSC-klagomål.docx", "A 61558-2023")</f>
        <v/>
      </c>
      <c r="W339">
        <f>HYPERLINK("https://klasma.github.io/Logging_1286/klagomålsmail/A 61558-2023 FSC-klagomål mail.docx", "A 61558-2023")</f>
        <v/>
      </c>
      <c r="X339">
        <f>HYPERLINK("https://klasma.github.io/Logging_1286/tillsyn/A 61558-2023 tillsynsbegäran.docx", "A 61558-2023")</f>
        <v/>
      </c>
      <c r="Y339">
        <f>HYPERLINK("https://klasma.github.io/Logging_1286/tillsynsmail/A 61558-2023 tillsynsbegäran mail.docx", "A 61558-2023")</f>
        <v/>
      </c>
    </row>
    <row r="340" ht="15" customHeight="1">
      <c r="A340" t="inlineStr">
        <is>
          <t>A 62140-2023</t>
        </is>
      </c>
      <c r="B340" s="1" t="n">
        <v>45267</v>
      </c>
      <c r="C340" s="1" t="n">
        <v>45744</v>
      </c>
      <c r="D340" t="inlineStr">
        <is>
          <t>SKÅNE LÄN</t>
        </is>
      </c>
      <c r="E340" t="inlineStr">
        <is>
          <t>ÖSTRA GÖINGE</t>
        </is>
      </c>
      <c r="G340" t="n">
        <v>1.5</v>
      </c>
      <c r="H340" t="n">
        <v>1</v>
      </c>
      <c r="I340" t="n">
        <v>0</v>
      </c>
      <c r="J340" t="n">
        <v>0</v>
      </c>
      <c r="K340" t="n">
        <v>0</v>
      </c>
      <c r="L340" t="n">
        <v>0</v>
      </c>
      <c r="M340" t="n">
        <v>0</v>
      </c>
      <c r="N340" t="n">
        <v>0</v>
      </c>
      <c r="O340" t="n">
        <v>0</v>
      </c>
      <c r="P340" t="n">
        <v>0</v>
      </c>
      <c r="Q340" t="n">
        <v>1</v>
      </c>
      <c r="R340" s="2" t="inlineStr">
        <is>
          <t>Grönvit nattviol</t>
        </is>
      </c>
      <c r="S340">
        <f>HYPERLINK("https://klasma.github.io/Logging_1256/artfynd/A 62140-2023 artfynd.xlsx", "A 62140-2023")</f>
        <v/>
      </c>
      <c r="T340">
        <f>HYPERLINK("https://klasma.github.io/Logging_1256/kartor/A 62140-2023 karta.png", "A 62140-2023")</f>
        <v/>
      </c>
      <c r="V340">
        <f>HYPERLINK("https://klasma.github.io/Logging_1256/klagomål/A 62140-2023 FSC-klagomål.docx", "A 62140-2023")</f>
        <v/>
      </c>
      <c r="W340">
        <f>HYPERLINK("https://klasma.github.io/Logging_1256/klagomålsmail/A 62140-2023 FSC-klagomål mail.docx", "A 62140-2023")</f>
        <v/>
      </c>
      <c r="X340">
        <f>HYPERLINK("https://klasma.github.io/Logging_1256/tillsyn/A 62140-2023 tillsynsbegäran.docx", "A 62140-2023")</f>
        <v/>
      </c>
      <c r="Y340">
        <f>HYPERLINK("https://klasma.github.io/Logging_1256/tillsynsmail/A 62140-2023 tillsynsbegäran mail.docx", "A 62140-2023")</f>
        <v/>
      </c>
    </row>
    <row r="341" ht="15" customHeight="1">
      <c r="A341" t="inlineStr">
        <is>
          <t>A 62349-2023</t>
        </is>
      </c>
      <c r="B341" s="1" t="n">
        <v>45267</v>
      </c>
      <c r="C341" s="1" t="n">
        <v>45744</v>
      </c>
      <c r="D341" t="inlineStr">
        <is>
          <t>SKÅNE LÄN</t>
        </is>
      </c>
      <c r="E341" t="inlineStr">
        <is>
          <t>KRISTIANSTAD</t>
        </is>
      </c>
      <c r="F341" t="inlineStr">
        <is>
          <t>Sveaskog</t>
        </is>
      </c>
      <c r="G341" t="n">
        <v>5.3</v>
      </c>
      <c r="H341" t="n">
        <v>1</v>
      </c>
      <c r="I341" t="n">
        <v>0</v>
      </c>
      <c r="J341" t="n">
        <v>0</v>
      </c>
      <c r="K341" t="n">
        <v>0</v>
      </c>
      <c r="L341" t="n">
        <v>0</v>
      </c>
      <c r="M341" t="n">
        <v>0</v>
      </c>
      <c r="N341" t="n">
        <v>0</v>
      </c>
      <c r="O341" t="n">
        <v>0</v>
      </c>
      <c r="P341" t="n">
        <v>0</v>
      </c>
      <c r="Q341" t="n">
        <v>1</v>
      </c>
      <c r="R341" s="2" t="inlineStr">
        <is>
          <t>Nattskärra</t>
        </is>
      </c>
      <c r="S341">
        <f>HYPERLINK("https://klasma.github.io/Logging_1290/artfynd/A 62349-2023 artfynd.xlsx", "A 62349-2023")</f>
        <v/>
      </c>
      <c r="T341">
        <f>HYPERLINK("https://klasma.github.io/Logging_1290/kartor/A 62349-2023 karta.png", "A 62349-2023")</f>
        <v/>
      </c>
      <c r="V341">
        <f>HYPERLINK("https://klasma.github.io/Logging_1290/klagomål/A 62349-2023 FSC-klagomål.docx", "A 62349-2023")</f>
        <v/>
      </c>
      <c r="W341">
        <f>HYPERLINK("https://klasma.github.io/Logging_1290/klagomålsmail/A 62349-2023 FSC-klagomål mail.docx", "A 62349-2023")</f>
        <v/>
      </c>
      <c r="X341">
        <f>HYPERLINK("https://klasma.github.io/Logging_1290/tillsyn/A 62349-2023 tillsynsbegäran.docx", "A 62349-2023")</f>
        <v/>
      </c>
      <c r="Y341">
        <f>HYPERLINK("https://klasma.github.io/Logging_1290/tillsynsmail/A 62349-2023 tillsynsbegäran mail.docx", "A 62349-2023")</f>
        <v/>
      </c>
      <c r="Z341">
        <f>HYPERLINK("https://klasma.github.io/Logging_1290/fåglar/A 62349-2023 prioriterade fågelarter.docx", "A 62349-2023")</f>
        <v/>
      </c>
    </row>
    <row r="342" ht="15" customHeight="1">
      <c r="A342" t="inlineStr">
        <is>
          <t>A 62724-2023</t>
        </is>
      </c>
      <c r="B342" s="1" t="n">
        <v>45271</v>
      </c>
      <c r="C342" s="1" t="n">
        <v>45744</v>
      </c>
      <c r="D342" t="inlineStr">
        <is>
          <t>SKÅNE LÄN</t>
        </is>
      </c>
      <c r="E342" t="inlineStr">
        <is>
          <t>OSBY</t>
        </is>
      </c>
      <c r="G342" t="n">
        <v>3.8</v>
      </c>
      <c r="H342" t="n">
        <v>1</v>
      </c>
      <c r="I342" t="n">
        <v>0</v>
      </c>
      <c r="J342" t="n">
        <v>0</v>
      </c>
      <c r="K342" t="n">
        <v>0</v>
      </c>
      <c r="L342" t="n">
        <v>0</v>
      </c>
      <c r="M342" t="n">
        <v>0</v>
      </c>
      <c r="N342" t="n">
        <v>0</v>
      </c>
      <c r="O342" t="n">
        <v>0</v>
      </c>
      <c r="P342" t="n">
        <v>0</v>
      </c>
      <c r="Q342" t="n">
        <v>1</v>
      </c>
      <c r="R342" s="2" t="inlineStr">
        <is>
          <t>Järnsparv</t>
        </is>
      </c>
      <c r="S342">
        <f>HYPERLINK("https://klasma.github.io/Logging_1273/artfynd/A 62724-2023 artfynd.xlsx", "A 62724-2023")</f>
        <v/>
      </c>
      <c r="T342">
        <f>HYPERLINK("https://klasma.github.io/Logging_1273/kartor/A 62724-2023 karta.png", "A 62724-2023")</f>
        <v/>
      </c>
      <c r="V342">
        <f>HYPERLINK("https://klasma.github.io/Logging_1273/klagomål/A 62724-2023 FSC-klagomål.docx", "A 62724-2023")</f>
        <v/>
      </c>
      <c r="W342">
        <f>HYPERLINK("https://klasma.github.io/Logging_1273/klagomålsmail/A 62724-2023 FSC-klagomål mail.docx", "A 62724-2023")</f>
        <v/>
      </c>
      <c r="X342">
        <f>HYPERLINK("https://klasma.github.io/Logging_1273/tillsyn/A 62724-2023 tillsynsbegäran.docx", "A 62724-2023")</f>
        <v/>
      </c>
      <c r="Y342">
        <f>HYPERLINK("https://klasma.github.io/Logging_1273/tillsynsmail/A 62724-2023 tillsynsbegäran mail.docx", "A 62724-2023")</f>
        <v/>
      </c>
      <c r="Z342">
        <f>HYPERLINK("https://klasma.github.io/Logging_1273/fåglar/A 62724-2023 prioriterade fågelarter.docx", "A 62724-2023")</f>
        <v/>
      </c>
    </row>
    <row r="343" ht="15" customHeight="1">
      <c r="A343" t="inlineStr">
        <is>
          <t>A 64562-2023</t>
        </is>
      </c>
      <c r="B343" s="1" t="n">
        <v>45281</v>
      </c>
      <c r="C343" s="1" t="n">
        <v>45744</v>
      </c>
      <c r="D343" t="inlineStr">
        <is>
          <t>SKÅNE LÄN</t>
        </is>
      </c>
      <c r="E343" t="inlineStr">
        <is>
          <t>ÄNGELHOLM</t>
        </is>
      </c>
      <c r="G343" t="n">
        <v>15</v>
      </c>
      <c r="H343" t="n">
        <v>1</v>
      </c>
      <c r="I343" t="n">
        <v>0</v>
      </c>
      <c r="J343" t="n">
        <v>0</v>
      </c>
      <c r="K343" t="n">
        <v>0</v>
      </c>
      <c r="L343" t="n">
        <v>0</v>
      </c>
      <c r="M343" t="n">
        <v>0</v>
      </c>
      <c r="N343" t="n">
        <v>0</v>
      </c>
      <c r="O343" t="n">
        <v>0</v>
      </c>
      <c r="P343" t="n">
        <v>0</v>
      </c>
      <c r="Q343" t="n">
        <v>1</v>
      </c>
      <c r="R343" s="2" t="inlineStr">
        <is>
          <t>Revlummer</t>
        </is>
      </c>
      <c r="S343">
        <f>HYPERLINK("https://klasma.github.io/Logging_1292/artfynd/A 64562-2023 artfynd.xlsx", "A 64562-2023")</f>
        <v/>
      </c>
      <c r="T343">
        <f>HYPERLINK("https://klasma.github.io/Logging_1292/kartor/A 64562-2023 karta.png", "A 64562-2023")</f>
        <v/>
      </c>
      <c r="V343">
        <f>HYPERLINK("https://klasma.github.io/Logging_1292/klagomål/A 64562-2023 FSC-klagomål.docx", "A 64562-2023")</f>
        <v/>
      </c>
      <c r="W343">
        <f>HYPERLINK("https://klasma.github.io/Logging_1292/klagomålsmail/A 64562-2023 FSC-klagomål mail.docx", "A 64562-2023")</f>
        <v/>
      </c>
      <c r="X343">
        <f>HYPERLINK("https://klasma.github.io/Logging_1292/tillsyn/A 64562-2023 tillsynsbegäran.docx", "A 64562-2023")</f>
        <v/>
      </c>
      <c r="Y343">
        <f>HYPERLINK("https://klasma.github.io/Logging_1292/tillsynsmail/A 64562-2023 tillsynsbegäran mail.docx", "A 64562-2023")</f>
        <v/>
      </c>
    </row>
    <row r="344" ht="15" customHeight="1">
      <c r="A344" t="inlineStr">
        <is>
          <t>A 561-2024</t>
        </is>
      </c>
      <c r="B344" s="1" t="n">
        <v>45299</v>
      </c>
      <c r="C344" s="1" t="n">
        <v>45744</v>
      </c>
      <c r="D344" t="inlineStr">
        <is>
          <t>SKÅNE LÄN</t>
        </is>
      </c>
      <c r="E344" t="inlineStr">
        <is>
          <t>TOMELILLA</t>
        </is>
      </c>
      <c r="F344" t="inlineStr">
        <is>
          <t>Övriga Aktiebolag</t>
        </is>
      </c>
      <c r="G344" t="n">
        <v>22.1</v>
      </c>
      <c r="H344" t="n">
        <v>1</v>
      </c>
      <c r="I344" t="n">
        <v>0</v>
      </c>
      <c r="J344" t="n">
        <v>0</v>
      </c>
      <c r="K344" t="n">
        <v>0</v>
      </c>
      <c r="L344" t="n">
        <v>0</v>
      </c>
      <c r="M344" t="n">
        <v>0</v>
      </c>
      <c r="N344" t="n">
        <v>0</v>
      </c>
      <c r="O344" t="n">
        <v>0</v>
      </c>
      <c r="P344" t="n">
        <v>0</v>
      </c>
      <c r="Q344" t="n">
        <v>1</v>
      </c>
      <c r="R344" s="2" t="inlineStr">
        <is>
          <t>Vanlig snok</t>
        </is>
      </c>
      <c r="S344">
        <f>HYPERLINK("https://klasma.github.io/Logging_1270/artfynd/A 561-2024 artfynd.xlsx", "A 561-2024")</f>
        <v/>
      </c>
      <c r="T344">
        <f>HYPERLINK("https://klasma.github.io/Logging_1270/kartor/A 561-2024 karta.png", "A 561-2024")</f>
        <v/>
      </c>
      <c r="V344">
        <f>HYPERLINK("https://klasma.github.io/Logging_1270/klagomål/A 561-2024 FSC-klagomål.docx", "A 561-2024")</f>
        <v/>
      </c>
      <c r="W344">
        <f>HYPERLINK("https://klasma.github.io/Logging_1270/klagomålsmail/A 561-2024 FSC-klagomål mail.docx", "A 561-2024")</f>
        <v/>
      </c>
      <c r="X344">
        <f>HYPERLINK("https://klasma.github.io/Logging_1270/tillsyn/A 561-2024 tillsynsbegäran.docx", "A 561-2024")</f>
        <v/>
      </c>
      <c r="Y344">
        <f>HYPERLINK("https://klasma.github.io/Logging_1270/tillsynsmail/A 561-2024 tillsynsbegäran mail.docx", "A 561-2024")</f>
        <v/>
      </c>
    </row>
    <row r="345" ht="15" customHeight="1">
      <c r="A345" t="inlineStr">
        <is>
          <t>A 756-2024</t>
        </is>
      </c>
      <c r="B345" s="1" t="n">
        <v>45300</v>
      </c>
      <c r="C345" s="1" t="n">
        <v>45744</v>
      </c>
      <c r="D345" t="inlineStr">
        <is>
          <t>SKÅNE LÄN</t>
        </is>
      </c>
      <c r="E345" t="inlineStr">
        <is>
          <t>TOMELILLA</t>
        </is>
      </c>
      <c r="F345" t="inlineStr">
        <is>
          <t>Övriga Aktiebolag</t>
        </is>
      </c>
      <c r="G345" t="n">
        <v>13.1</v>
      </c>
      <c r="H345" t="n">
        <v>0</v>
      </c>
      <c r="I345" t="n">
        <v>0</v>
      </c>
      <c r="J345" t="n">
        <v>1</v>
      </c>
      <c r="K345" t="n">
        <v>0</v>
      </c>
      <c r="L345" t="n">
        <v>0</v>
      </c>
      <c r="M345" t="n">
        <v>0</v>
      </c>
      <c r="N345" t="n">
        <v>0</v>
      </c>
      <c r="O345" t="n">
        <v>1</v>
      </c>
      <c r="P345" t="n">
        <v>0</v>
      </c>
      <c r="Q345" t="n">
        <v>1</v>
      </c>
      <c r="R345" s="2" t="inlineStr">
        <is>
          <t>Borsttåg</t>
        </is>
      </c>
      <c r="S345">
        <f>HYPERLINK("https://klasma.github.io/Logging_1270/artfynd/A 756-2024 artfynd.xlsx", "A 756-2024")</f>
        <v/>
      </c>
      <c r="T345">
        <f>HYPERLINK("https://klasma.github.io/Logging_1270/kartor/A 756-2024 karta.png", "A 756-2024")</f>
        <v/>
      </c>
      <c r="V345">
        <f>HYPERLINK("https://klasma.github.io/Logging_1270/klagomål/A 756-2024 FSC-klagomål.docx", "A 756-2024")</f>
        <v/>
      </c>
      <c r="W345">
        <f>HYPERLINK("https://klasma.github.io/Logging_1270/klagomålsmail/A 756-2024 FSC-klagomål mail.docx", "A 756-2024")</f>
        <v/>
      </c>
      <c r="X345">
        <f>HYPERLINK("https://klasma.github.io/Logging_1270/tillsyn/A 756-2024 tillsynsbegäran.docx", "A 756-2024")</f>
        <v/>
      </c>
      <c r="Y345">
        <f>HYPERLINK("https://klasma.github.io/Logging_1270/tillsynsmail/A 756-2024 tillsynsbegäran mail.docx", "A 756-2024")</f>
        <v/>
      </c>
    </row>
    <row r="346" ht="15" customHeight="1">
      <c r="A346" t="inlineStr">
        <is>
          <t>A 951-2024</t>
        </is>
      </c>
      <c r="B346" s="1" t="n">
        <v>45301</v>
      </c>
      <c r="C346" s="1" t="n">
        <v>45744</v>
      </c>
      <c r="D346" t="inlineStr">
        <is>
          <t>SKÅNE LÄN</t>
        </is>
      </c>
      <c r="E346" t="inlineStr">
        <is>
          <t>SIMRISHAMN</t>
        </is>
      </c>
      <c r="F346" t="inlineStr">
        <is>
          <t>Övriga Aktiebolag</t>
        </is>
      </c>
      <c r="G346" t="n">
        <v>28.1</v>
      </c>
      <c r="H346" t="n">
        <v>1</v>
      </c>
      <c r="I346" t="n">
        <v>0</v>
      </c>
      <c r="J346" t="n">
        <v>0</v>
      </c>
      <c r="K346" t="n">
        <v>0</v>
      </c>
      <c r="L346" t="n">
        <v>0</v>
      </c>
      <c r="M346" t="n">
        <v>0</v>
      </c>
      <c r="N346" t="n">
        <v>0</v>
      </c>
      <c r="O346" t="n">
        <v>0</v>
      </c>
      <c r="P346" t="n">
        <v>0</v>
      </c>
      <c r="Q346" t="n">
        <v>1</v>
      </c>
      <c r="R346" s="2" t="inlineStr">
        <is>
          <t>Dvärgpipistrell</t>
        </is>
      </c>
      <c r="S346">
        <f>HYPERLINK("https://klasma.github.io/Logging_1291/artfynd/A 951-2024 artfynd.xlsx", "A 951-2024")</f>
        <v/>
      </c>
      <c r="T346">
        <f>HYPERLINK("https://klasma.github.io/Logging_1291/kartor/A 951-2024 karta.png", "A 951-2024")</f>
        <v/>
      </c>
      <c r="V346">
        <f>HYPERLINK("https://klasma.github.io/Logging_1291/klagomål/A 951-2024 FSC-klagomål.docx", "A 951-2024")</f>
        <v/>
      </c>
      <c r="W346">
        <f>HYPERLINK("https://klasma.github.io/Logging_1291/klagomålsmail/A 951-2024 FSC-klagomål mail.docx", "A 951-2024")</f>
        <v/>
      </c>
      <c r="X346">
        <f>HYPERLINK("https://klasma.github.io/Logging_1291/tillsyn/A 951-2024 tillsynsbegäran.docx", "A 951-2024")</f>
        <v/>
      </c>
      <c r="Y346">
        <f>HYPERLINK("https://klasma.github.io/Logging_1291/tillsynsmail/A 951-2024 tillsynsbegäran mail.docx", "A 951-2024")</f>
        <v/>
      </c>
    </row>
    <row r="347" ht="15" customHeight="1">
      <c r="A347" t="inlineStr">
        <is>
          <t>A 1188-2024</t>
        </is>
      </c>
      <c r="B347" s="1" t="n">
        <v>45302</v>
      </c>
      <c r="C347" s="1" t="n">
        <v>45744</v>
      </c>
      <c r="D347" t="inlineStr">
        <is>
          <t>SKÅNE LÄN</t>
        </is>
      </c>
      <c r="E347" t="inlineStr">
        <is>
          <t>KRISTIANSTAD</t>
        </is>
      </c>
      <c r="G347" t="n">
        <v>6.1</v>
      </c>
      <c r="H347" t="n">
        <v>1</v>
      </c>
      <c r="I347" t="n">
        <v>0</v>
      </c>
      <c r="J347" t="n">
        <v>0</v>
      </c>
      <c r="K347" t="n">
        <v>1</v>
      </c>
      <c r="L347" t="n">
        <v>0</v>
      </c>
      <c r="M347" t="n">
        <v>0</v>
      </c>
      <c r="N347" t="n">
        <v>0</v>
      </c>
      <c r="O347" t="n">
        <v>1</v>
      </c>
      <c r="P347" t="n">
        <v>1</v>
      </c>
      <c r="Q347" t="n">
        <v>1</v>
      </c>
      <c r="R347" s="2" t="inlineStr">
        <is>
          <t>Backsippa</t>
        </is>
      </c>
      <c r="S347">
        <f>HYPERLINK("https://klasma.github.io/Logging_1290/artfynd/A 1188-2024 artfynd.xlsx", "A 1188-2024")</f>
        <v/>
      </c>
      <c r="T347">
        <f>HYPERLINK("https://klasma.github.io/Logging_1290/kartor/A 1188-2024 karta.png", "A 1188-2024")</f>
        <v/>
      </c>
      <c r="V347">
        <f>HYPERLINK("https://klasma.github.io/Logging_1290/klagomål/A 1188-2024 FSC-klagomål.docx", "A 1188-2024")</f>
        <v/>
      </c>
      <c r="W347">
        <f>HYPERLINK("https://klasma.github.io/Logging_1290/klagomålsmail/A 1188-2024 FSC-klagomål mail.docx", "A 1188-2024")</f>
        <v/>
      </c>
      <c r="X347">
        <f>HYPERLINK("https://klasma.github.io/Logging_1290/tillsyn/A 1188-2024 tillsynsbegäran.docx", "A 1188-2024")</f>
        <v/>
      </c>
      <c r="Y347">
        <f>HYPERLINK("https://klasma.github.io/Logging_1290/tillsynsmail/A 1188-2024 tillsynsbegäran mail.docx", "A 1188-2024")</f>
        <v/>
      </c>
    </row>
    <row r="348" ht="15" customHeight="1">
      <c r="A348" t="inlineStr">
        <is>
          <t>A 1418-2024</t>
        </is>
      </c>
      <c r="B348" s="1" t="n">
        <v>45303</v>
      </c>
      <c r="C348" s="1" t="n">
        <v>45744</v>
      </c>
      <c r="D348" t="inlineStr">
        <is>
          <t>SKÅNE LÄN</t>
        </is>
      </c>
      <c r="E348" t="inlineStr">
        <is>
          <t>KRISTIANSTAD</t>
        </is>
      </c>
      <c r="F348" t="inlineStr">
        <is>
          <t>Övriga Aktiebolag</t>
        </is>
      </c>
      <c r="G348" t="n">
        <v>0.7</v>
      </c>
      <c r="H348" t="n">
        <v>0</v>
      </c>
      <c r="I348" t="n">
        <v>0</v>
      </c>
      <c r="J348" t="n">
        <v>1</v>
      </c>
      <c r="K348" t="n">
        <v>0</v>
      </c>
      <c r="L348" t="n">
        <v>0</v>
      </c>
      <c r="M348" t="n">
        <v>0</v>
      </c>
      <c r="N348" t="n">
        <v>0</v>
      </c>
      <c r="O348" t="n">
        <v>1</v>
      </c>
      <c r="P348" t="n">
        <v>0</v>
      </c>
      <c r="Q348" t="n">
        <v>1</v>
      </c>
      <c r="R348" s="2" t="inlineStr">
        <is>
          <t>Gropticka</t>
        </is>
      </c>
      <c r="S348">
        <f>HYPERLINK("https://klasma.github.io/Logging_1290/artfynd/A 1418-2024 artfynd.xlsx", "A 1418-2024")</f>
        <v/>
      </c>
      <c r="T348">
        <f>HYPERLINK("https://klasma.github.io/Logging_1290/kartor/A 1418-2024 karta.png", "A 1418-2024")</f>
        <v/>
      </c>
      <c r="V348">
        <f>HYPERLINK("https://klasma.github.io/Logging_1290/klagomål/A 1418-2024 FSC-klagomål.docx", "A 1418-2024")</f>
        <v/>
      </c>
      <c r="W348">
        <f>HYPERLINK("https://klasma.github.io/Logging_1290/klagomålsmail/A 1418-2024 FSC-klagomål mail.docx", "A 1418-2024")</f>
        <v/>
      </c>
      <c r="X348">
        <f>HYPERLINK("https://klasma.github.io/Logging_1290/tillsyn/A 1418-2024 tillsynsbegäran.docx", "A 1418-2024")</f>
        <v/>
      </c>
      <c r="Y348">
        <f>HYPERLINK("https://klasma.github.io/Logging_1290/tillsynsmail/A 1418-2024 tillsynsbegäran mail.docx", "A 1418-2024")</f>
        <v/>
      </c>
    </row>
    <row r="349" ht="15" customHeight="1">
      <c r="A349" t="inlineStr">
        <is>
          <t>A 1510-2024</t>
        </is>
      </c>
      <c r="B349" s="1" t="n">
        <v>45306</v>
      </c>
      <c r="C349" s="1" t="n">
        <v>45744</v>
      </c>
      <c r="D349" t="inlineStr">
        <is>
          <t>SKÅNE LÄN</t>
        </is>
      </c>
      <c r="E349" t="inlineStr">
        <is>
          <t>ESLÖV</t>
        </is>
      </c>
      <c r="G349" t="n">
        <v>3.7</v>
      </c>
      <c r="H349" t="n">
        <v>1</v>
      </c>
      <c r="I349" t="n">
        <v>0</v>
      </c>
      <c r="J349" t="n">
        <v>0</v>
      </c>
      <c r="K349" t="n">
        <v>0</v>
      </c>
      <c r="L349" t="n">
        <v>0</v>
      </c>
      <c r="M349" t="n">
        <v>0</v>
      </c>
      <c r="N349" t="n">
        <v>1</v>
      </c>
      <c r="O349" t="n">
        <v>1</v>
      </c>
      <c r="P349" t="n">
        <v>0</v>
      </c>
      <c r="Q349" t="n">
        <v>1</v>
      </c>
      <c r="R349" s="2" t="inlineStr">
        <is>
          <t>Svart stork</t>
        </is>
      </c>
      <c r="S349">
        <f>HYPERLINK("https://klasma.github.io/Logging_1285/artfynd/A 1510-2024 artfynd.xlsx", "A 1510-2024")</f>
        <v/>
      </c>
      <c r="T349">
        <f>HYPERLINK("https://klasma.github.io/Logging_1285/kartor/A 1510-2024 karta.png", "A 1510-2024")</f>
        <v/>
      </c>
      <c r="V349">
        <f>HYPERLINK("https://klasma.github.io/Logging_1285/klagomål/A 1510-2024 FSC-klagomål.docx", "A 1510-2024")</f>
        <v/>
      </c>
      <c r="W349">
        <f>HYPERLINK("https://klasma.github.io/Logging_1285/klagomålsmail/A 1510-2024 FSC-klagomål mail.docx", "A 1510-2024")</f>
        <v/>
      </c>
      <c r="X349">
        <f>HYPERLINK("https://klasma.github.io/Logging_1285/tillsyn/A 1510-2024 tillsynsbegäran.docx", "A 1510-2024")</f>
        <v/>
      </c>
      <c r="Y349">
        <f>HYPERLINK("https://klasma.github.io/Logging_1285/tillsynsmail/A 1510-2024 tillsynsbegäran mail.docx", "A 1510-2024")</f>
        <v/>
      </c>
      <c r="Z349">
        <f>HYPERLINK("https://klasma.github.io/Logging_1285/fåglar/A 1510-2024 prioriterade fågelarter.docx", "A 1510-2024")</f>
        <v/>
      </c>
    </row>
    <row r="350" ht="15" customHeight="1">
      <c r="A350" t="inlineStr">
        <is>
          <t>A 1577-2024</t>
        </is>
      </c>
      <c r="B350" s="1" t="n">
        <v>45306</v>
      </c>
      <c r="C350" s="1" t="n">
        <v>45744</v>
      </c>
      <c r="D350" t="inlineStr">
        <is>
          <t>SKÅNE LÄN</t>
        </is>
      </c>
      <c r="E350" t="inlineStr">
        <is>
          <t>SVALÖV</t>
        </is>
      </c>
      <c r="G350" t="n">
        <v>21.2</v>
      </c>
      <c r="H350" t="n">
        <v>1</v>
      </c>
      <c r="I350" t="n">
        <v>0</v>
      </c>
      <c r="J350" t="n">
        <v>0</v>
      </c>
      <c r="K350" t="n">
        <v>0</v>
      </c>
      <c r="L350" t="n">
        <v>0</v>
      </c>
      <c r="M350" t="n">
        <v>0</v>
      </c>
      <c r="N350" t="n">
        <v>0</v>
      </c>
      <c r="O350" t="n">
        <v>0</v>
      </c>
      <c r="P350" t="n">
        <v>0</v>
      </c>
      <c r="Q350" t="n">
        <v>1</v>
      </c>
      <c r="R350" s="2" t="inlineStr">
        <is>
          <t>Större vattensalamander</t>
        </is>
      </c>
      <c r="S350">
        <f>HYPERLINK("https://klasma.github.io/Logging_1214/artfynd/A 1577-2024 artfynd.xlsx", "A 1577-2024")</f>
        <v/>
      </c>
      <c r="T350">
        <f>HYPERLINK("https://klasma.github.io/Logging_1214/kartor/A 1577-2024 karta.png", "A 1577-2024")</f>
        <v/>
      </c>
      <c r="V350">
        <f>HYPERLINK("https://klasma.github.io/Logging_1214/klagomål/A 1577-2024 FSC-klagomål.docx", "A 1577-2024")</f>
        <v/>
      </c>
      <c r="W350">
        <f>HYPERLINK("https://klasma.github.io/Logging_1214/klagomålsmail/A 1577-2024 FSC-klagomål mail.docx", "A 1577-2024")</f>
        <v/>
      </c>
      <c r="X350">
        <f>HYPERLINK("https://klasma.github.io/Logging_1214/tillsyn/A 1577-2024 tillsynsbegäran.docx", "A 1577-2024")</f>
        <v/>
      </c>
      <c r="Y350">
        <f>HYPERLINK("https://klasma.github.io/Logging_1214/tillsynsmail/A 1577-2024 tillsynsbegäran mail.docx", "A 1577-2024")</f>
        <v/>
      </c>
    </row>
    <row r="351" ht="15" customHeight="1">
      <c r="A351" t="inlineStr">
        <is>
          <t>A 1782-2024</t>
        </is>
      </c>
      <c r="B351" s="1" t="n">
        <v>45307</v>
      </c>
      <c r="C351" s="1" t="n">
        <v>45744</v>
      </c>
      <c r="D351" t="inlineStr">
        <is>
          <t>SKÅNE LÄN</t>
        </is>
      </c>
      <c r="E351" t="inlineStr">
        <is>
          <t>BÅSTAD</t>
        </is>
      </c>
      <c r="G351" t="n">
        <v>2.7</v>
      </c>
      <c r="H351" t="n">
        <v>1</v>
      </c>
      <c r="I351" t="n">
        <v>0</v>
      </c>
      <c r="J351" t="n">
        <v>0</v>
      </c>
      <c r="K351" t="n">
        <v>0</v>
      </c>
      <c r="L351" t="n">
        <v>0</v>
      </c>
      <c r="M351" t="n">
        <v>0</v>
      </c>
      <c r="N351" t="n">
        <v>0</v>
      </c>
      <c r="O351" t="n">
        <v>0</v>
      </c>
      <c r="P351" t="n">
        <v>0</v>
      </c>
      <c r="Q351" t="n">
        <v>1</v>
      </c>
      <c r="R351" s="2" t="inlineStr">
        <is>
          <t>Grönvit nattviol</t>
        </is>
      </c>
      <c r="S351">
        <f>HYPERLINK("https://klasma.github.io/Logging_1278/artfynd/A 1782-2024 artfynd.xlsx", "A 1782-2024")</f>
        <v/>
      </c>
      <c r="T351">
        <f>HYPERLINK("https://klasma.github.io/Logging_1278/kartor/A 1782-2024 karta.png", "A 1782-2024")</f>
        <v/>
      </c>
      <c r="V351">
        <f>HYPERLINK("https://klasma.github.io/Logging_1278/klagomål/A 1782-2024 FSC-klagomål.docx", "A 1782-2024")</f>
        <v/>
      </c>
      <c r="W351">
        <f>HYPERLINK("https://klasma.github.io/Logging_1278/klagomålsmail/A 1782-2024 FSC-klagomål mail.docx", "A 1782-2024")</f>
        <v/>
      </c>
      <c r="X351">
        <f>HYPERLINK("https://klasma.github.io/Logging_1278/tillsyn/A 1782-2024 tillsynsbegäran.docx", "A 1782-2024")</f>
        <v/>
      </c>
      <c r="Y351">
        <f>HYPERLINK("https://klasma.github.io/Logging_1278/tillsynsmail/A 1782-2024 tillsynsbegäran mail.docx", "A 1782-2024")</f>
        <v/>
      </c>
    </row>
    <row r="352" ht="15" customHeight="1">
      <c r="A352" t="inlineStr">
        <is>
          <t>A 2018-2024</t>
        </is>
      </c>
      <c r="B352" s="1" t="n">
        <v>45308</v>
      </c>
      <c r="C352" s="1" t="n">
        <v>45744</v>
      </c>
      <c r="D352" t="inlineStr">
        <is>
          <t>SKÅNE LÄN</t>
        </is>
      </c>
      <c r="E352" t="inlineStr">
        <is>
          <t>TOMELILLA</t>
        </is>
      </c>
      <c r="G352" t="n">
        <v>17.2</v>
      </c>
      <c r="H352" t="n">
        <v>0</v>
      </c>
      <c r="I352" t="n">
        <v>0</v>
      </c>
      <c r="J352" t="n">
        <v>1</v>
      </c>
      <c r="K352" t="n">
        <v>0</v>
      </c>
      <c r="L352" t="n">
        <v>0</v>
      </c>
      <c r="M352" t="n">
        <v>0</v>
      </c>
      <c r="N352" t="n">
        <v>0</v>
      </c>
      <c r="O352" t="n">
        <v>1</v>
      </c>
      <c r="P352" t="n">
        <v>0</v>
      </c>
      <c r="Q352" t="n">
        <v>1</v>
      </c>
      <c r="R352" s="2" t="inlineStr">
        <is>
          <t>Åkerkulla</t>
        </is>
      </c>
      <c r="S352">
        <f>HYPERLINK("https://klasma.github.io/Logging_1270/artfynd/A 2018-2024 artfynd.xlsx", "A 2018-2024")</f>
        <v/>
      </c>
      <c r="T352">
        <f>HYPERLINK("https://klasma.github.io/Logging_1270/kartor/A 2018-2024 karta.png", "A 2018-2024")</f>
        <v/>
      </c>
      <c r="V352">
        <f>HYPERLINK("https://klasma.github.io/Logging_1270/klagomål/A 2018-2024 FSC-klagomål.docx", "A 2018-2024")</f>
        <v/>
      </c>
      <c r="W352">
        <f>HYPERLINK("https://klasma.github.io/Logging_1270/klagomålsmail/A 2018-2024 FSC-klagomål mail.docx", "A 2018-2024")</f>
        <v/>
      </c>
      <c r="X352">
        <f>HYPERLINK("https://klasma.github.io/Logging_1270/tillsyn/A 2018-2024 tillsynsbegäran.docx", "A 2018-2024")</f>
        <v/>
      </c>
      <c r="Y352">
        <f>HYPERLINK("https://klasma.github.io/Logging_1270/tillsynsmail/A 2018-2024 tillsynsbegäran mail.docx", "A 2018-2024")</f>
        <v/>
      </c>
    </row>
    <row r="353" ht="15" customHeight="1">
      <c r="A353" t="inlineStr">
        <is>
          <t>A 2942-2024</t>
        </is>
      </c>
      <c r="B353" s="1" t="n">
        <v>45315</v>
      </c>
      <c r="C353" s="1" t="n">
        <v>45744</v>
      </c>
      <c r="D353" t="inlineStr">
        <is>
          <t>SKÅNE LÄN</t>
        </is>
      </c>
      <c r="E353" t="inlineStr">
        <is>
          <t>HÖÖR</t>
        </is>
      </c>
      <c r="G353" t="n">
        <v>11.2</v>
      </c>
      <c r="H353" t="n">
        <v>1</v>
      </c>
      <c r="I353" t="n">
        <v>0</v>
      </c>
      <c r="J353" t="n">
        <v>0</v>
      </c>
      <c r="K353" t="n">
        <v>0</v>
      </c>
      <c r="L353" t="n">
        <v>0</v>
      </c>
      <c r="M353" t="n">
        <v>0</v>
      </c>
      <c r="N353" t="n">
        <v>0</v>
      </c>
      <c r="O353" t="n">
        <v>0</v>
      </c>
      <c r="P353" t="n">
        <v>0</v>
      </c>
      <c r="Q353" t="n">
        <v>1</v>
      </c>
      <c r="R353" s="2" t="inlineStr">
        <is>
          <t>Revlummer</t>
        </is>
      </c>
      <c r="S353">
        <f>HYPERLINK("https://klasma.github.io/Logging_1267/artfynd/A 2942-2024 artfynd.xlsx", "A 2942-2024")</f>
        <v/>
      </c>
      <c r="T353">
        <f>HYPERLINK("https://klasma.github.io/Logging_1267/kartor/A 2942-2024 karta.png", "A 2942-2024")</f>
        <v/>
      </c>
      <c r="V353">
        <f>HYPERLINK("https://klasma.github.io/Logging_1267/klagomål/A 2942-2024 FSC-klagomål.docx", "A 2942-2024")</f>
        <v/>
      </c>
      <c r="W353">
        <f>HYPERLINK("https://klasma.github.io/Logging_1267/klagomålsmail/A 2942-2024 FSC-klagomål mail.docx", "A 2942-2024")</f>
        <v/>
      </c>
      <c r="X353">
        <f>HYPERLINK("https://klasma.github.io/Logging_1267/tillsyn/A 2942-2024 tillsynsbegäran.docx", "A 2942-2024")</f>
        <v/>
      </c>
      <c r="Y353">
        <f>HYPERLINK("https://klasma.github.io/Logging_1267/tillsynsmail/A 2942-2024 tillsynsbegäran mail.docx", "A 2942-2024")</f>
        <v/>
      </c>
    </row>
    <row r="354" ht="15" customHeight="1">
      <c r="A354" t="inlineStr">
        <is>
          <t>A 3401-2024</t>
        </is>
      </c>
      <c r="B354" s="1" t="n">
        <v>45318</v>
      </c>
      <c r="C354" s="1" t="n">
        <v>45744</v>
      </c>
      <c r="D354" t="inlineStr">
        <is>
          <t>SKÅNE LÄN</t>
        </is>
      </c>
      <c r="E354" t="inlineStr">
        <is>
          <t>SIMRISHAMN</t>
        </is>
      </c>
      <c r="G354" t="n">
        <v>6.8</v>
      </c>
      <c r="H354" t="n">
        <v>0</v>
      </c>
      <c r="I354" t="n">
        <v>0</v>
      </c>
      <c r="J354" t="n">
        <v>1</v>
      </c>
      <c r="K354" t="n">
        <v>0</v>
      </c>
      <c r="L354" t="n">
        <v>0</v>
      </c>
      <c r="M354" t="n">
        <v>0</v>
      </c>
      <c r="N354" t="n">
        <v>0</v>
      </c>
      <c r="O354" t="n">
        <v>1</v>
      </c>
      <c r="P354" t="n">
        <v>0</v>
      </c>
      <c r="Q354" t="n">
        <v>1</v>
      </c>
      <c r="R354" s="2" t="inlineStr">
        <is>
          <t>Borsttåg</t>
        </is>
      </c>
      <c r="S354">
        <f>HYPERLINK("https://klasma.github.io/Logging_1291/artfynd/A 3401-2024 artfynd.xlsx", "A 3401-2024")</f>
        <v/>
      </c>
      <c r="T354">
        <f>HYPERLINK("https://klasma.github.io/Logging_1291/kartor/A 3401-2024 karta.png", "A 3401-2024")</f>
        <v/>
      </c>
      <c r="V354">
        <f>HYPERLINK("https://klasma.github.io/Logging_1291/klagomål/A 3401-2024 FSC-klagomål.docx", "A 3401-2024")</f>
        <v/>
      </c>
      <c r="W354">
        <f>HYPERLINK("https://klasma.github.io/Logging_1291/klagomålsmail/A 3401-2024 FSC-klagomål mail.docx", "A 3401-2024")</f>
        <v/>
      </c>
      <c r="X354">
        <f>HYPERLINK("https://klasma.github.io/Logging_1291/tillsyn/A 3401-2024 tillsynsbegäran.docx", "A 3401-2024")</f>
        <v/>
      </c>
      <c r="Y354">
        <f>HYPERLINK("https://klasma.github.io/Logging_1291/tillsynsmail/A 3401-2024 tillsynsbegäran mail.docx", "A 3401-2024")</f>
        <v/>
      </c>
    </row>
    <row r="355" ht="15" customHeight="1">
      <c r="A355" t="inlineStr">
        <is>
          <t>A 3954-2024</t>
        </is>
      </c>
      <c r="B355" s="1" t="n">
        <v>45322</v>
      </c>
      <c r="C355" s="1" t="n">
        <v>45744</v>
      </c>
      <c r="D355" t="inlineStr">
        <is>
          <t>SKÅNE LÄN</t>
        </is>
      </c>
      <c r="E355" t="inlineStr">
        <is>
          <t>KRISTIANSTAD</t>
        </is>
      </c>
      <c r="G355" t="n">
        <v>1.2</v>
      </c>
      <c r="H355" t="n">
        <v>0</v>
      </c>
      <c r="I355" t="n">
        <v>0</v>
      </c>
      <c r="J355" t="n">
        <v>0</v>
      </c>
      <c r="K355" t="n">
        <v>1</v>
      </c>
      <c r="L355" t="n">
        <v>0</v>
      </c>
      <c r="M355" t="n">
        <v>0</v>
      </c>
      <c r="N355" t="n">
        <v>0</v>
      </c>
      <c r="O355" t="n">
        <v>1</v>
      </c>
      <c r="P355" t="n">
        <v>1</v>
      </c>
      <c r="Q355" t="n">
        <v>1</v>
      </c>
      <c r="R355" s="2" t="inlineStr">
        <is>
          <t>Slåttergubbe</t>
        </is>
      </c>
      <c r="S355">
        <f>HYPERLINK("https://klasma.github.io/Logging_1290/artfynd/A 3954-2024 artfynd.xlsx", "A 3954-2024")</f>
        <v/>
      </c>
      <c r="T355">
        <f>HYPERLINK("https://klasma.github.io/Logging_1290/kartor/A 3954-2024 karta.png", "A 3954-2024")</f>
        <v/>
      </c>
      <c r="V355">
        <f>HYPERLINK("https://klasma.github.io/Logging_1290/klagomål/A 3954-2024 FSC-klagomål.docx", "A 3954-2024")</f>
        <v/>
      </c>
      <c r="W355">
        <f>HYPERLINK("https://klasma.github.io/Logging_1290/klagomålsmail/A 3954-2024 FSC-klagomål mail.docx", "A 3954-2024")</f>
        <v/>
      </c>
      <c r="X355">
        <f>HYPERLINK("https://klasma.github.io/Logging_1290/tillsyn/A 3954-2024 tillsynsbegäran.docx", "A 3954-2024")</f>
        <v/>
      </c>
      <c r="Y355">
        <f>HYPERLINK("https://klasma.github.io/Logging_1290/tillsynsmail/A 3954-2024 tillsynsbegäran mail.docx", "A 3954-2024")</f>
        <v/>
      </c>
    </row>
    <row r="356" ht="15" customHeight="1">
      <c r="A356" t="inlineStr">
        <is>
          <t>A 4443-2024</t>
        </is>
      </c>
      <c r="B356" s="1" t="n">
        <v>45324</v>
      </c>
      <c r="C356" s="1" t="n">
        <v>45744</v>
      </c>
      <c r="D356" t="inlineStr">
        <is>
          <t>SKÅNE LÄN</t>
        </is>
      </c>
      <c r="E356" t="inlineStr">
        <is>
          <t>HÖÖR</t>
        </is>
      </c>
      <c r="G356" t="n">
        <v>6.5</v>
      </c>
      <c r="H356" t="n">
        <v>0</v>
      </c>
      <c r="I356" t="n">
        <v>0</v>
      </c>
      <c r="J356" t="n">
        <v>0</v>
      </c>
      <c r="K356" t="n">
        <v>1</v>
      </c>
      <c r="L356" t="n">
        <v>0</v>
      </c>
      <c r="M356" t="n">
        <v>0</v>
      </c>
      <c r="N356" t="n">
        <v>0</v>
      </c>
      <c r="O356" t="n">
        <v>1</v>
      </c>
      <c r="P356" t="n">
        <v>1</v>
      </c>
      <c r="Q356" t="n">
        <v>1</v>
      </c>
      <c r="R356" s="2" t="inlineStr">
        <is>
          <t>Småvänderot</t>
        </is>
      </c>
      <c r="S356">
        <f>HYPERLINK("https://klasma.github.io/Logging_1267/artfynd/A 4443-2024 artfynd.xlsx", "A 4443-2024")</f>
        <v/>
      </c>
      <c r="T356">
        <f>HYPERLINK("https://klasma.github.io/Logging_1267/kartor/A 4443-2024 karta.png", "A 4443-2024")</f>
        <v/>
      </c>
      <c r="V356">
        <f>HYPERLINK("https://klasma.github.io/Logging_1267/klagomål/A 4443-2024 FSC-klagomål.docx", "A 4443-2024")</f>
        <v/>
      </c>
      <c r="W356">
        <f>HYPERLINK("https://klasma.github.io/Logging_1267/klagomålsmail/A 4443-2024 FSC-klagomål mail.docx", "A 4443-2024")</f>
        <v/>
      </c>
      <c r="X356">
        <f>HYPERLINK("https://klasma.github.io/Logging_1267/tillsyn/A 4443-2024 tillsynsbegäran.docx", "A 4443-2024")</f>
        <v/>
      </c>
      <c r="Y356">
        <f>HYPERLINK("https://klasma.github.io/Logging_1267/tillsynsmail/A 4443-2024 tillsynsbegäran mail.docx", "A 4443-2024")</f>
        <v/>
      </c>
    </row>
    <row r="357" ht="15" customHeight="1">
      <c r="A357" t="inlineStr">
        <is>
          <t>A 5423-2024</t>
        </is>
      </c>
      <c r="B357" s="1" t="n">
        <v>45331</v>
      </c>
      <c r="C357" s="1" t="n">
        <v>45744</v>
      </c>
      <c r="D357" t="inlineStr">
        <is>
          <t>SKÅNE LÄN</t>
        </is>
      </c>
      <c r="E357" t="inlineStr">
        <is>
          <t>HÖÖR</t>
        </is>
      </c>
      <c r="G357" t="n">
        <v>6.2</v>
      </c>
      <c r="H357" t="n">
        <v>0</v>
      </c>
      <c r="I357" t="n">
        <v>0</v>
      </c>
      <c r="J357" t="n">
        <v>1</v>
      </c>
      <c r="K357" t="n">
        <v>0</v>
      </c>
      <c r="L357" t="n">
        <v>0</v>
      </c>
      <c r="M357" t="n">
        <v>0</v>
      </c>
      <c r="N357" t="n">
        <v>0</v>
      </c>
      <c r="O357" t="n">
        <v>1</v>
      </c>
      <c r="P357" t="n">
        <v>0</v>
      </c>
      <c r="Q357" t="n">
        <v>1</v>
      </c>
      <c r="R357" s="2" t="inlineStr">
        <is>
          <t>Igelkott</t>
        </is>
      </c>
      <c r="S357">
        <f>HYPERLINK("https://klasma.github.io/Logging_1267/artfynd/A 5423-2024 artfynd.xlsx", "A 5423-2024")</f>
        <v/>
      </c>
      <c r="T357">
        <f>HYPERLINK("https://klasma.github.io/Logging_1267/kartor/A 5423-2024 karta.png", "A 5423-2024")</f>
        <v/>
      </c>
      <c r="V357">
        <f>HYPERLINK("https://klasma.github.io/Logging_1267/klagomål/A 5423-2024 FSC-klagomål.docx", "A 5423-2024")</f>
        <v/>
      </c>
      <c r="W357">
        <f>HYPERLINK("https://klasma.github.io/Logging_1267/klagomålsmail/A 5423-2024 FSC-klagomål mail.docx", "A 5423-2024")</f>
        <v/>
      </c>
      <c r="X357">
        <f>HYPERLINK("https://klasma.github.io/Logging_1267/tillsyn/A 5423-2024 tillsynsbegäran.docx", "A 5423-2024")</f>
        <v/>
      </c>
      <c r="Y357">
        <f>HYPERLINK("https://klasma.github.io/Logging_1267/tillsynsmail/A 5423-2024 tillsynsbegäran mail.docx", "A 5423-2024")</f>
        <v/>
      </c>
    </row>
    <row r="358" ht="15" customHeight="1">
      <c r="A358" t="inlineStr">
        <is>
          <t>A 6245-2024</t>
        </is>
      </c>
      <c r="B358" s="1" t="n">
        <v>45337</v>
      </c>
      <c r="C358" s="1" t="n">
        <v>45744</v>
      </c>
      <c r="D358" t="inlineStr">
        <is>
          <t>SKÅNE LÄN</t>
        </is>
      </c>
      <c r="E358" t="inlineStr">
        <is>
          <t>KRISTIANSTAD</t>
        </is>
      </c>
      <c r="F358" t="inlineStr">
        <is>
          <t>Övriga Aktiebolag</t>
        </is>
      </c>
      <c r="G358" t="n">
        <v>8.699999999999999</v>
      </c>
      <c r="H358" t="n">
        <v>0</v>
      </c>
      <c r="I358" t="n">
        <v>0</v>
      </c>
      <c r="J358" t="n">
        <v>0</v>
      </c>
      <c r="K358" t="n">
        <v>1</v>
      </c>
      <c r="L358" t="n">
        <v>0</v>
      </c>
      <c r="M358" t="n">
        <v>0</v>
      </c>
      <c r="N358" t="n">
        <v>0</v>
      </c>
      <c r="O358" t="n">
        <v>1</v>
      </c>
      <c r="P358" t="n">
        <v>1</v>
      </c>
      <c r="Q358" t="n">
        <v>1</v>
      </c>
      <c r="R358" s="2" t="inlineStr">
        <is>
          <t>Flenörtskapuschongfly</t>
        </is>
      </c>
      <c r="S358">
        <f>HYPERLINK("https://klasma.github.io/Logging_1290/artfynd/A 6245-2024 artfynd.xlsx", "A 6245-2024")</f>
        <v/>
      </c>
      <c r="T358">
        <f>HYPERLINK("https://klasma.github.io/Logging_1290/kartor/A 6245-2024 karta.png", "A 6245-2024")</f>
        <v/>
      </c>
      <c r="V358">
        <f>HYPERLINK("https://klasma.github.io/Logging_1290/klagomål/A 6245-2024 FSC-klagomål.docx", "A 6245-2024")</f>
        <v/>
      </c>
      <c r="W358">
        <f>HYPERLINK("https://klasma.github.io/Logging_1290/klagomålsmail/A 6245-2024 FSC-klagomål mail.docx", "A 6245-2024")</f>
        <v/>
      </c>
      <c r="X358">
        <f>HYPERLINK("https://klasma.github.io/Logging_1290/tillsyn/A 6245-2024 tillsynsbegäran.docx", "A 6245-2024")</f>
        <v/>
      </c>
      <c r="Y358">
        <f>HYPERLINK("https://klasma.github.io/Logging_1290/tillsynsmail/A 6245-2024 tillsynsbegäran mail.docx", "A 6245-2024")</f>
        <v/>
      </c>
    </row>
    <row r="359" ht="15" customHeight="1">
      <c r="A359" t="inlineStr">
        <is>
          <t>A 6634-2024</t>
        </is>
      </c>
      <c r="B359" s="1" t="n">
        <v>45341</v>
      </c>
      <c r="C359" s="1" t="n">
        <v>45744</v>
      </c>
      <c r="D359" t="inlineStr">
        <is>
          <t>SKÅNE LÄN</t>
        </is>
      </c>
      <c r="E359" t="inlineStr">
        <is>
          <t>HÄSSLEHOLM</t>
        </is>
      </c>
      <c r="G359" t="n">
        <v>1.9</v>
      </c>
      <c r="H359" t="n">
        <v>0</v>
      </c>
      <c r="I359" t="n">
        <v>0</v>
      </c>
      <c r="J359" t="n">
        <v>0</v>
      </c>
      <c r="K359" t="n">
        <v>1</v>
      </c>
      <c r="L359" t="n">
        <v>0</v>
      </c>
      <c r="M359" t="n">
        <v>0</v>
      </c>
      <c r="N359" t="n">
        <v>0</v>
      </c>
      <c r="O359" t="n">
        <v>1</v>
      </c>
      <c r="P359" t="n">
        <v>1</v>
      </c>
      <c r="Q359" t="n">
        <v>1</v>
      </c>
      <c r="R359" s="2" t="inlineStr">
        <is>
          <t>Revig blodrot</t>
        </is>
      </c>
      <c r="S359">
        <f>HYPERLINK("https://klasma.github.io/Logging_1293/artfynd/A 6634-2024 artfynd.xlsx", "A 6634-2024")</f>
        <v/>
      </c>
      <c r="T359">
        <f>HYPERLINK("https://klasma.github.io/Logging_1293/kartor/A 6634-2024 karta.png", "A 6634-2024")</f>
        <v/>
      </c>
      <c r="V359">
        <f>HYPERLINK("https://klasma.github.io/Logging_1293/klagomål/A 6634-2024 FSC-klagomål.docx", "A 6634-2024")</f>
        <v/>
      </c>
      <c r="W359">
        <f>HYPERLINK("https://klasma.github.io/Logging_1293/klagomålsmail/A 6634-2024 FSC-klagomål mail.docx", "A 6634-2024")</f>
        <v/>
      </c>
      <c r="X359">
        <f>HYPERLINK("https://klasma.github.io/Logging_1293/tillsyn/A 6634-2024 tillsynsbegäran.docx", "A 6634-2024")</f>
        <v/>
      </c>
      <c r="Y359">
        <f>HYPERLINK("https://klasma.github.io/Logging_1293/tillsynsmail/A 6634-2024 tillsynsbegäran mail.docx", "A 6634-2024")</f>
        <v/>
      </c>
    </row>
    <row r="360" ht="15" customHeight="1">
      <c r="A360" t="inlineStr">
        <is>
          <t>A 7082-2024</t>
        </is>
      </c>
      <c r="B360" s="1" t="n">
        <v>45343</v>
      </c>
      <c r="C360" s="1" t="n">
        <v>45744</v>
      </c>
      <c r="D360" t="inlineStr">
        <is>
          <t>SKÅNE LÄN</t>
        </is>
      </c>
      <c r="E360" t="inlineStr">
        <is>
          <t>SIMRISHAMN</t>
        </is>
      </c>
      <c r="F360" t="inlineStr">
        <is>
          <t>Övriga Aktiebolag</t>
        </is>
      </c>
      <c r="G360" t="n">
        <v>22.7</v>
      </c>
      <c r="H360" t="n">
        <v>0</v>
      </c>
      <c r="I360" t="n">
        <v>0</v>
      </c>
      <c r="J360" t="n">
        <v>0</v>
      </c>
      <c r="K360" t="n">
        <v>1</v>
      </c>
      <c r="L360" t="n">
        <v>0</v>
      </c>
      <c r="M360" t="n">
        <v>0</v>
      </c>
      <c r="N360" t="n">
        <v>0</v>
      </c>
      <c r="O360" t="n">
        <v>1</v>
      </c>
      <c r="P360" t="n">
        <v>1</v>
      </c>
      <c r="Q360" t="n">
        <v>1</v>
      </c>
      <c r="R360" s="2" t="inlineStr">
        <is>
          <t>Småvänderot</t>
        </is>
      </c>
      <c r="S360">
        <f>HYPERLINK("https://klasma.github.io/Logging_1291/artfynd/A 7082-2024 artfynd.xlsx", "A 7082-2024")</f>
        <v/>
      </c>
      <c r="T360">
        <f>HYPERLINK("https://klasma.github.io/Logging_1291/kartor/A 7082-2024 karta.png", "A 7082-2024")</f>
        <v/>
      </c>
      <c r="V360">
        <f>HYPERLINK("https://klasma.github.io/Logging_1291/klagomål/A 7082-2024 FSC-klagomål.docx", "A 7082-2024")</f>
        <v/>
      </c>
      <c r="W360">
        <f>HYPERLINK("https://klasma.github.io/Logging_1291/klagomålsmail/A 7082-2024 FSC-klagomål mail.docx", "A 7082-2024")</f>
        <v/>
      </c>
      <c r="X360">
        <f>HYPERLINK("https://klasma.github.io/Logging_1291/tillsyn/A 7082-2024 tillsynsbegäran.docx", "A 7082-2024")</f>
        <v/>
      </c>
      <c r="Y360">
        <f>HYPERLINK("https://klasma.github.io/Logging_1291/tillsynsmail/A 7082-2024 tillsynsbegäran mail.docx", "A 7082-2024")</f>
        <v/>
      </c>
    </row>
    <row r="361" ht="15" customHeight="1">
      <c r="A361" t="inlineStr">
        <is>
          <t>A 7559-2024</t>
        </is>
      </c>
      <c r="B361" s="1" t="n">
        <v>45348</v>
      </c>
      <c r="C361" s="1" t="n">
        <v>45744</v>
      </c>
      <c r="D361" t="inlineStr">
        <is>
          <t>SKÅNE LÄN</t>
        </is>
      </c>
      <c r="E361" t="inlineStr">
        <is>
          <t>SVALÖV</t>
        </is>
      </c>
      <c r="G361" t="n">
        <v>10.2</v>
      </c>
      <c r="H361" t="n">
        <v>1</v>
      </c>
      <c r="I361" t="n">
        <v>0</v>
      </c>
      <c r="J361" t="n">
        <v>1</v>
      </c>
      <c r="K361" t="n">
        <v>0</v>
      </c>
      <c r="L361" t="n">
        <v>0</v>
      </c>
      <c r="M361" t="n">
        <v>0</v>
      </c>
      <c r="N361" t="n">
        <v>0</v>
      </c>
      <c r="O361" t="n">
        <v>1</v>
      </c>
      <c r="P361" t="n">
        <v>0</v>
      </c>
      <c r="Q361" t="n">
        <v>1</v>
      </c>
      <c r="R361" s="2" t="inlineStr">
        <is>
          <t>Entita</t>
        </is>
      </c>
      <c r="S361">
        <f>HYPERLINK("https://klasma.github.io/Logging_1214/artfynd/A 7559-2024 artfynd.xlsx", "A 7559-2024")</f>
        <v/>
      </c>
      <c r="T361">
        <f>HYPERLINK("https://klasma.github.io/Logging_1214/kartor/A 7559-2024 karta.png", "A 7559-2024")</f>
        <v/>
      </c>
      <c r="V361">
        <f>HYPERLINK("https://klasma.github.io/Logging_1214/klagomål/A 7559-2024 FSC-klagomål.docx", "A 7559-2024")</f>
        <v/>
      </c>
      <c r="W361">
        <f>HYPERLINK("https://klasma.github.io/Logging_1214/klagomålsmail/A 7559-2024 FSC-klagomål mail.docx", "A 7559-2024")</f>
        <v/>
      </c>
      <c r="X361">
        <f>HYPERLINK("https://klasma.github.io/Logging_1214/tillsyn/A 7559-2024 tillsynsbegäran.docx", "A 7559-2024")</f>
        <v/>
      </c>
      <c r="Y361">
        <f>HYPERLINK("https://klasma.github.io/Logging_1214/tillsynsmail/A 7559-2024 tillsynsbegäran mail.docx", "A 7559-2024")</f>
        <v/>
      </c>
      <c r="Z361">
        <f>HYPERLINK("https://klasma.github.io/Logging_1214/fåglar/A 7559-2024 prioriterade fågelarter.docx", "A 7559-2024")</f>
        <v/>
      </c>
    </row>
    <row r="362" ht="15" customHeight="1">
      <c r="A362" t="inlineStr">
        <is>
          <t>A 7862-2024</t>
        </is>
      </c>
      <c r="B362" s="1" t="n">
        <v>45348</v>
      </c>
      <c r="C362" s="1" t="n">
        <v>45744</v>
      </c>
      <c r="D362" t="inlineStr">
        <is>
          <t>SKÅNE LÄN</t>
        </is>
      </c>
      <c r="E362" t="inlineStr">
        <is>
          <t>HÄSSLEHOLM</t>
        </is>
      </c>
      <c r="G362" t="n">
        <v>5</v>
      </c>
      <c r="H362" t="n">
        <v>0</v>
      </c>
      <c r="I362" t="n">
        <v>1</v>
      </c>
      <c r="J362" t="n">
        <v>0</v>
      </c>
      <c r="K362" t="n">
        <v>0</v>
      </c>
      <c r="L362" t="n">
        <v>0</v>
      </c>
      <c r="M362" t="n">
        <v>0</v>
      </c>
      <c r="N362" t="n">
        <v>0</v>
      </c>
      <c r="O362" t="n">
        <v>0</v>
      </c>
      <c r="P362" t="n">
        <v>0</v>
      </c>
      <c r="Q362" t="n">
        <v>1</v>
      </c>
      <c r="R362" s="2" t="inlineStr">
        <is>
          <t>Stor revmossa</t>
        </is>
      </c>
      <c r="S362">
        <f>HYPERLINK("https://klasma.github.io/Logging_1293/artfynd/A 7862-2024 artfynd.xlsx", "A 7862-2024")</f>
        <v/>
      </c>
      <c r="T362">
        <f>HYPERLINK("https://klasma.github.io/Logging_1293/kartor/A 7862-2024 karta.png", "A 7862-2024")</f>
        <v/>
      </c>
      <c r="V362">
        <f>HYPERLINK("https://klasma.github.io/Logging_1293/klagomål/A 7862-2024 FSC-klagomål.docx", "A 7862-2024")</f>
        <v/>
      </c>
      <c r="W362">
        <f>HYPERLINK("https://klasma.github.io/Logging_1293/klagomålsmail/A 7862-2024 FSC-klagomål mail.docx", "A 7862-2024")</f>
        <v/>
      </c>
      <c r="X362">
        <f>HYPERLINK("https://klasma.github.io/Logging_1293/tillsyn/A 7862-2024 tillsynsbegäran.docx", "A 7862-2024")</f>
        <v/>
      </c>
      <c r="Y362">
        <f>HYPERLINK("https://klasma.github.io/Logging_1293/tillsynsmail/A 7862-2024 tillsynsbegäran mail.docx", "A 7862-2024")</f>
        <v/>
      </c>
    </row>
    <row r="363" ht="15" customHeight="1">
      <c r="A363" t="inlineStr">
        <is>
          <t>A 8150-2024</t>
        </is>
      </c>
      <c r="B363" s="1" t="n">
        <v>45351</v>
      </c>
      <c r="C363" s="1" t="n">
        <v>45744</v>
      </c>
      <c r="D363" t="inlineStr">
        <is>
          <t>SKÅNE LÄN</t>
        </is>
      </c>
      <c r="E363" t="inlineStr">
        <is>
          <t>SJÖBO</t>
        </is>
      </c>
      <c r="G363" t="n">
        <v>1.3</v>
      </c>
      <c r="H363" t="n">
        <v>0</v>
      </c>
      <c r="I363" t="n">
        <v>0</v>
      </c>
      <c r="J363" t="n">
        <v>0</v>
      </c>
      <c r="K363" t="n">
        <v>1</v>
      </c>
      <c r="L363" t="n">
        <v>0</v>
      </c>
      <c r="M363" t="n">
        <v>0</v>
      </c>
      <c r="N363" t="n">
        <v>0</v>
      </c>
      <c r="O363" t="n">
        <v>1</v>
      </c>
      <c r="P363" t="n">
        <v>1</v>
      </c>
      <c r="Q363" t="n">
        <v>1</v>
      </c>
      <c r="R363" s="2" t="inlineStr">
        <is>
          <t>Fläcklungört</t>
        </is>
      </c>
      <c r="S363">
        <f>HYPERLINK("https://klasma.github.io/Logging_1265/artfynd/A 8150-2024 artfynd.xlsx", "A 8150-2024")</f>
        <v/>
      </c>
      <c r="T363">
        <f>HYPERLINK("https://klasma.github.io/Logging_1265/kartor/A 8150-2024 karta.png", "A 8150-2024")</f>
        <v/>
      </c>
      <c r="V363">
        <f>HYPERLINK("https://klasma.github.io/Logging_1265/klagomål/A 8150-2024 FSC-klagomål.docx", "A 8150-2024")</f>
        <v/>
      </c>
      <c r="W363">
        <f>HYPERLINK("https://klasma.github.io/Logging_1265/klagomålsmail/A 8150-2024 FSC-klagomål mail.docx", "A 8150-2024")</f>
        <v/>
      </c>
      <c r="X363">
        <f>HYPERLINK("https://klasma.github.io/Logging_1265/tillsyn/A 8150-2024 tillsynsbegäran.docx", "A 8150-2024")</f>
        <v/>
      </c>
      <c r="Y363">
        <f>HYPERLINK("https://klasma.github.io/Logging_1265/tillsynsmail/A 8150-2024 tillsynsbegäran mail.docx", "A 8150-2024")</f>
        <v/>
      </c>
    </row>
    <row r="364" ht="15" customHeight="1">
      <c r="A364" t="inlineStr">
        <is>
          <t>A 8169-2024</t>
        </is>
      </c>
      <c r="B364" s="1" t="n">
        <v>45351</v>
      </c>
      <c r="C364" s="1" t="n">
        <v>45744</v>
      </c>
      <c r="D364" t="inlineStr">
        <is>
          <t>SKÅNE LÄN</t>
        </is>
      </c>
      <c r="E364" t="inlineStr">
        <is>
          <t>SVALÖV</t>
        </is>
      </c>
      <c r="G364" t="n">
        <v>3.1</v>
      </c>
      <c r="H364" t="n">
        <v>0</v>
      </c>
      <c r="I364" t="n">
        <v>0</v>
      </c>
      <c r="J364" t="n">
        <v>1</v>
      </c>
      <c r="K364" t="n">
        <v>0</v>
      </c>
      <c r="L364" t="n">
        <v>0</v>
      </c>
      <c r="M364" t="n">
        <v>0</v>
      </c>
      <c r="N364" t="n">
        <v>0</v>
      </c>
      <c r="O364" t="n">
        <v>1</v>
      </c>
      <c r="P364" t="n">
        <v>0</v>
      </c>
      <c r="Q364" t="n">
        <v>1</v>
      </c>
      <c r="R364" s="2" t="inlineStr">
        <is>
          <t>Mjukdån</t>
        </is>
      </c>
      <c r="S364">
        <f>HYPERLINK("https://klasma.github.io/Logging_1214/artfynd/A 8169-2024 artfynd.xlsx", "A 8169-2024")</f>
        <v/>
      </c>
      <c r="T364">
        <f>HYPERLINK("https://klasma.github.io/Logging_1214/kartor/A 8169-2024 karta.png", "A 8169-2024")</f>
        <v/>
      </c>
      <c r="V364">
        <f>HYPERLINK("https://klasma.github.io/Logging_1214/klagomål/A 8169-2024 FSC-klagomål.docx", "A 8169-2024")</f>
        <v/>
      </c>
      <c r="W364">
        <f>HYPERLINK("https://klasma.github.io/Logging_1214/klagomålsmail/A 8169-2024 FSC-klagomål mail.docx", "A 8169-2024")</f>
        <v/>
      </c>
      <c r="X364">
        <f>HYPERLINK("https://klasma.github.io/Logging_1214/tillsyn/A 8169-2024 tillsynsbegäran.docx", "A 8169-2024")</f>
        <v/>
      </c>
      <c r="Y364">
        <f>HYPERLINK("https://klasma.github.io/Logging_1214/tillsynsmail/A 8169-2024 tillsynsbegäran mail.docx", "A 8169-2024")</f>
        <v/>
      </c>
    </row>
    <row r="365" ht="15" customHeight="1">
      <c r="A365" t="inlineStr">
        <is>
          <t>A 9758-2024</t>
        </is>
      </c>
      <c r="B365" s="1" t="n">
        <v>45362</v>
      </c>
      <c r="C365" s="1" t="n">
        <v>45744</v>
      </c>
      <c r="D365" t="inlineStr">
        <is>
          <t>SKÅNE LÄN</t>
        </is>
      </c>
      <c r="E365" t="inlineStr">
        <is>
          <t>LUND</t>
        </is>
      </c>
      <c r="G365" t="n">
        <v>12.4</v>
      </c>
      <c r="H365" t="n">
        <v>1</v>
      </c>
      <c r="I365" t="n">
        <v>0</v>
      </c>
      <c r="J365" t="n">
        <v>0</v>
      </c>
      <c r="K365" t="n">
        <v>0</v>
      </c>
      <c r="L365" t="n">
        <v>0</v>
      </c>
      <c r="M365" t="n">
        <v>0</v>
      </c>
      <c r="N365" t="n">
        <v>0</v>
      </c>
      <c r="O365" t="n">
        <v>0</v>
      </c>
      <c r="P365" t="n">
        <v>0</v>
      </c>
      <c r="Q365" t="n">
        <v>1</v>
      </c>
      <c r="R365" s="2" t="inlineStr">
        <is>
          <t>Grönvit nattviol</t>
        </is>
      </c>
      <c r="S365">
        <f>HYPERLINK("https://klasma.github.io/Logging_1281/artfynd/A 9758-2024 artfynd.xlsx", "A 9758-2024")</f>
        <v/>
      </c>
      <c r="T365">
        <f>HYPERLINK("https://klasma.github.io/Logging_1281/kartor/A 9758-2024 karta.png", "A 9758-2024")</f>
        <v/>
      </c>
      <c r="V365">
        <f>HYPERLINK("https://klasma.github.io/Logging_1281/klagomål/A 9758-2024 FSC-klagomål.docx", "A 9758-2024")</f>
        <v/>
      </c>
      <c r="W365">
        <f>HYPERLINK("https://klasma.github.io/Logging_1281/klagomålsmail/A 9758-2024 FSC-klagomål mail.docx", "A 9758-2024")</f>
        <v/>
      </c>
      <c r="X365">
        <f>HYPERLINK("https://klasma.github.io/Logging_1281/tillsyn/A 9758-2024 tillsynsbegäran.docx", "A 9758-2024")</f>
        <v/>
      </c>
      <c r="Y365">
        <f>HYPERLINK("https://klasma.github.io/Logging_1281/tillsynsmail/A 9758-2024 tillsynsbegäran mail.docx", "A 9758-2024")</f>
        <v/>
      </c>
    </row>
    <row r="366" ht="15" customHeight="1">
      <c r="A366" t="inlineStr">
        <is>
          <t>A 10056-2024</t>
        </is>
      </c>
      <c r="B366" s="1" t="n">
        <v>45364</v>
      </c>
      <c r="C366" s="1" t="n">
        <v>45744</v>
      </c>
      <c r="D366" t="inlineStr">
        <is>
          <t>SKÅNE LÄN</t>
        </is>
      </c>
      <c r="E366" t="inlineStr">
        <is>
          <t>OSBY</t>
        </is>
      </c>
      <c r="G366" t="n">
        <v>6</v>
      </c>
      <c r="H366" t="n">
        <v>1</v>
      </c>
      <c r="I366" t="n">
        <v>0</v>
      </c>
      <c r="J366" t="n">
        <v>0</v>
      </c>
      <c r="K366" t="n">
        <v>0</v>
      </c>
      <c r="L366" t="n">
        <v>0</v>
      </c>
      <c r="M366" t="n">
        <v>0</v>
      </c>
      <c r="N366" t="n">
        <v>0</v>
      </c>
      <c r="O366" t="n">
        <v>0</v>
      </c>
      <c r="P366" t="n">
        <v>0</v>
      </c>
      <c r="Q366" t="n">
        <v>1</v>
      </c>
      <c r="R366" s="2" t="inlineStr">
        <is>
          <t>Grönvit nattviol</t>
        </is>
      </c>
      <c r="S366">
        <f>HYPERLINK("https://klasma.github.io/Logging_1273/artfynd/A 10056-2024 artfynd.xlsx", "A 10056-2024")</f>
        <v/>
      </c>
      <c r="T366">
        <f>HYPERLINK("https://klasma.github.io/Logging_1273/kartor/A 10056-2024 karta.png", "A 10056-2024")</f>
        <v/>
      </c>
      <c r="V366">
        <f>HYPERLINK("https://klasma.github.io/Logging_1273/klagomål/A 10056-2024 FSC-klagomål.docx", "A 10056-2024")</f>
        <v/>
      </c>
      <c r="W366">
        <f>HYPERLINK("https://klasma.github.io/Logging_1273/klagomålsmail/A 10056-2024 FSC-klagomål mail.docx", "A 10056-2024")</f>
        <v/>
      </c>
      <c r="X366">
        <f>HYPERLINK("https://klasma.github.io/Logging_1273/tillsyn/A 10056-2024 tillsynsbegäran.docx", "A 10056-2024")</f>
        <v/>
      </c>
      <c r="Y366">
        <f>HYPERLINK("https://klasma.github.io/Logging_1273/tillsynsmail/A 10056-2024 tillsynsbegäran mail.docx", "A 10056-2024")</f>
        <v/>
      </c>
    </row>
    <row r="367" ht="15" customHeight="1">
      <c r="A367" t="inlineStr">
        <is>
          <t>A 11226-2024</t>
        </is>
      </c>
      <c r="B367" s="1" t="n">
        <v>45371</v>
      </c>
      <c r="C367" s="1" t="n">
        <v>45744</v>
      </c>
      <c r="D367" t="inlineStr">
        <is>
          <t>SKÅNE LÄN</t>
        </is>
      </c>
      <c r="E367" t="inlineStr">
        <is>
          <t>HÄSSLEHOLM</t>
        </is>
      </c>
      <c r="G367" t="n">
        <v>1.5</v>
      </c>
      <c r="H367" t="n">
        <v>0</v>
      </c>
      <c r="I367" t="n">
        <v>0</v>
      </c>
      <c r="J367" t="n">
        <v>0</v>
      </c>
      <c r="K367" t="n">
        <v>1</v>
      </c>
      <c r="L367" t="n">
        <v>0</v>
      </c>
      <c r="M367" t="n">
        <v>0</v>
      </c>
      <c r="N367" t="n">
        <v>0</v>
      </c>
      <c r="O367" t="n">
        <v>1</v>
      </c>
      <c r="P367" t="n">
        <v>1</v>
      </c>
      <c r="Q367" t="n">
        <v>1</v>
      </c>
      <c r="R367" s="2" t="inlineStr">
        <is>
          <t>Småvänderot</t>
        </is>
      </c>
      <c r="S367">
        <f>HYPERLINK("https://klasma.github.io/Logging_1293/artfynd/A 11226-2024 artfynd.xlsx", "A 11226-2024")</f>
        <v/>
      </c>
      <c r="T367">
        <f>HYPERLINK("https://klasma.github.io/Logging_1293/kartor/A 11226-2024 karta.png", "A 11226-2024")</f>
        <v/>
      </c>
      <c r="V367">
        <f>HYPERLINK("https://klasma.github.io/Logging_1293/klagomål/A 11226-2024 FSC-klagomål.docx", "A 11226-2024")</f>
        <v/>
      </c>
      <c r="W367">
        <f>HYPERLINK("https://klasma.github.io/Logging_1293/klagomålsmail/A 11226-2024 FSC-klagomål mail.docx", "A 11226-2024")</f>
        <v/>
      </c>
      <c r="X367">
        <f>HYPERLINK("https://klasma.github.io/Logging_1293/tillsyn/A 11226-2024 tillsynsbegäran.docx", "A 11226-2024")</f>
        <v/>
      </c>
      <c r="Y367">
        <f>HYPERLINK("https://klasma.github.io/Logging_1293/tillsynsmail/A 11226-2024 tillsynsbegäran mail.docx", "A 11226-2024")</f>
        <v/>
      </c>
    </row>
    <row r="368" ht="15" customHeight="1">
      <c r="A368" t="inlineStr">
        <is>
          <t>A 11731-2024</t>
        </is>
      </c>
      <c r="B368" s="1" t="n">
        <v>45373</v>
      </c>
      <c r="C368" s="1" t="n">
        <v>45744</v>
      </c>
      <c r="D368" t="inlineStr">
        <is>
          <t>SKÅNE LÄN</t>
        </is>
      </c>
      <c r="E368" t="inlineStr">
        <is>
          <t>LUND</t>
        </is>
      </c>
      <c r="G368" t="n">
        <v>14.5</v>
      </c>
      <c r="H368" t="n">
        <v>0</v>
      </c>
      <c r="I368" t="n">
        <v>1</v>
      </c>
      <c r="J368" t="n">
        <v>0</v>
      </c>
      <c r="K368" t="n">
        <v>0</v>
      </c>
      <c r="L368" t="n">
        <v>0</v>
      </c>
      <c r="M368" t="n">
        <v>0</v>
      </c>
      <c r="N368" t="n">
        <v>0</v>
      </c>
      <c r="O368" t="n">
        <v>0</v>
      </c>
      <c r="P368" t="n">
        <v>0</v>
      </c>
      <c r="Q368" t="n">
        <v>1</v>
      </c>
      <c r="R368" s="2" t="inlineStr">
        <is>
          <t>Skogsbräsma</t>
        </is>
      </c>
      <c r="S368">
        <f>HYPERLINK("https://klasma.github.io/Logging_1281/artfynd/A 11731-2024 artfynd.xlsx", "A 11731-2024")</f>
        <v/>
      </c>
      <c r="T368">
        <f>HYPERLINK("https://klasma.github.io/Logging_1281/kartor/A 11731-2024 karta.png", "A 11731-2024")</f>
        <v/>
      </c>
      <c r="V368">
        <f>HYPERLINK("https://klasma.github.io/Logging_1281/klagomål/A 11731-2024 FSC-klagomål.docx", "A 11731-2024")</f>
        <v/>
      </c>
      <c r="W368">
        <f>HYPERLINK("https://klasma.github.io/Logging_1281/klagomålsmail/A 11731-2024 FSC-klagomål mail.docx", "A 11731-2024")</f>
        <v/>
      </c>
      <c r="X368">
        <f>HYPERLINK("https://klasma.github.io/Logging_1281/tillsyn/A 11731-2024 tillsynsbegäran.docx", "A 11731-2024")</f>
        <v/>
      </c>
      <c r="Y368">
        <f>HYPERLINK("https://klasma.github.io/Logging_1281/tillsynsmail/A 11731-2024 tillsynsbegäran mail.docx", "A 11731-2024")</f>
        <v/>
      </c>
    </row>
    <row r="369" ht="15" customHeight="1">
      <c r="A369" t="inlineStr">
        <is>
          <t>A 12892-2024</t>
        </is>
      </c>
      <c r="B369" s="1" t="n">
        <v>45385</v>
      </c>
      <c r="C369" s="1" t="n">
        <v>45744</v>
      </c>
      <c r="D369" t="inlineStr">
        <is>
          <t>SKÅNE LÄN</t>
        </is>
      </c>
      <c r="E369" t="inlineStr">
        <is>
          <t>HÖRBY</t>
        </is>
      </c>
      <c r="G369" t="n">
        <v>1.5</v>
      </c>
      <c r="H369" t="n">
        <v>0</v>
      </c>
      <c r="I369" t="n">
        <v>1</v>
      </c>
      <c r="J369" t="n">
        <v>0</v>
      </c>
      <c r="K369" t="n">
        <v>0</v>
      </c>
      <c r="L369" t="n">
        <v>0</v>
      </c>
      <c r="M369" t="n">
        <v>0</v>
      </c>
      <c r="N369" t="n">
        <v>0</v>
      </c>
      <c r="O369" t="n">
        <v>0</v>
      </c>
      <c r="P369" t="n">
        <v>0</v>
      </c>
      <c r="Q369" t="n">
        <v>1</v>
      </c>
      <c r="R369" s="2" t="inlineStr">
        <is>
          <t>Blåmossa</t>
        </is>
      </c>
      <c r="S369">
        <f>HYPERLINK("https://klasma.github.io/Logging_1266/artfynd/A 12892-2024 artfynd.xlsx", "A 12892-2024")</f>
        <v/>
      </c>
      <c r="T369">
        <f>HYPERLINK("https://klasma.github.io/Logging_1266/kartor/A 12892-2024 karta.png", "A 12892-2024")</f>
        <v/>
      </c>
      <c r="V369">
        <f>HYPERLINK("https://klasma.github.io/Logging_1266/klagomål/A 12892-2024 FSC-klagomål.docx", "A 12892-2024")</f>
        <v/>
      </c>
      <c r="W369">
        <f>HYPERLINK("https://klasma.github.io/Logging_1266/klagomålsmail/A 12892-2024 FSC-klagomål mail.docx", "A 12892-2024")</f>
        <v/>
      </c>
      <c r="X369">
        <f>HYPERLINK("https://klasma.github.io/Logging_1266/tillsyn/A 12892-2024 tillsynsbegäran.docx", "A 12892-2024")</f>
        <v/>
      </c>
      <c r="Y369">
        <f>HYPERLINK("https://klasma.github.io/Logging_1266/tillsynsmail/A 12892-2024 tillsynsbegäran mail.docx", "A 12892-2024")</f>
        <v/>
      </c>
    </row>
    <row r="370" ht="15" customHeight="1">
      <c r="A370" t="inlineStr">
        <is>
          <t>A 12934-2024</t>
        </is>
      </c>
      <c r="B370" s="1" t="n">
        <v>45385</v>
      </c>
      <c r="C370" s="1" t="n">
        <v>45744</v>
      </c>
      <c r="D370" t="inlineStr">
        <is>
          <t>SKÅNE LÄN</t>
        </is>
      </c>
      <c r="E370" t="inlineStr">
        <is>
          <t>TOMELILLA</t>
        </is>
      </c>
      <c r="F370" t="inlineStr">
        <is>
          <t>Övriga Aktiebolag</t>
        </is>
      </c>
      <c r="G370" t="n">
        <v>22</v>
      </c>
      <c r="H370" t="n">
        <v>0</v>
      </c>
      <c r="I370" t="n">
        <v>0</v>
      </c>
      <c r="J370" t="n">
        <v>1</v>
      </c>
      <c r="K370" t="n">
        <v>0</v>
      </c>
      <c r="L370" t="n">
        <v>0</v>
      </c>
      <c r="M370" t="n">
        <v>0</v>
      </c>
      <c r="N370" t="n">
        <v>0</v>
      </c>
      <c r="O370" t="n">
        <v>1</v>
      </c>
      <c r="P370" t="n">
        <v>0</v>
      </c>
      <c r="Q370" t="n">
        <v>1</v>
      </c>
      <c r="R370" s="2" t="inlineStr">
        <is>
          <t>Mindre bastardsvärmare</t>
        </is>
      </c>
      <c r="S370">
        <f>HYPERLINK("https://klasma.github.io/Logging_1270/artfynd/A 12934-2024 artfynd.xlsx", "A 12934-2024")</f>
        <v/>
      </c>
      <c r="T370">
        <f>HYPERLINK("https://klasma.github.io/Logging_1270/kartor/A 12934-2024 karta.png", "A 12934-2024")</f>
        <v/>
      </c>
      <c r="V370">
        <f>HYPERLINK("https://klasma.github.io/Logging_1270/klagomål/A 12934-2024 FSC-klagomål.docx", "A 12934-2024")</f>
        <v/>
      </c>
      <c r="W370">
        <f>HYPERLINK("https://klasma.github.io/Logging_1270/klagomålsmail/A 12934-2024 FSC-klagomål mail.docx", "A 12934-2024")</f>
        <v/>
      </c>
      <c r="X370">
        <f>HYPERLINK("https://klasma.github.io/Logging_1270/tillsyn/A 12934-2024 tillsynsbegäran.docx", "A 12934-2024")</f>
        <v/>
      </c>
      <c r="Y370">
        <f>HYPERLINK("https://klasma.github.io/Logging_1270/tillsynsmail/A 12934-2024 tillsynsbegäran mail.docx", "A 12934-2024")</f>
        <v/>
      </c>
    </row>
    <row r="371" ht="15" customHeight="1">
      <c r="A371" t="inlineStr">
        <is>
          <t>A 15456-2024</t>
        </is>
      </c>
      <c r="B371" s="1" t="n">
        <v>45401</v>
      </c>
      <c r="C371" s="1" t="n">
        <v>45744</v>
      </c>
      <c r="D371" t="inlineStr">
        <is>
          <t>SKÅNE LÄN</t>
        </is>
      </c>
      <c r="E371" t="inlineStr">
        <is>
          <t>SVALÖV</t>
        </is>
      </c>
      <c r="G371" t="n">
        <v>2.5</v>
      </c>
      <c r="H371" t="n">
        <v>0</v>
      </c>
      <c r="I371" t="n">
        <v>0</v>
      </c>
      <c r="J371" t="n">
        <v>0</v>
      </c>
      <c r="K371" t="n">
        <v>1</v>
      </c>
      <c r="L371" t="n">
        <v>0</v>
      </c>
      <c r="M371" t="n">
        <v>0</v>
      </c>
      <c r="N371" t="n">
        <v>0</v>
      </c>
      <c r="O371" t="n">
        <v>1</v>
      </c>
      <c r="P371" t="n">
        <v>1</v>
      </c>
      <c r="Q371" t="n">
        <v>1</v>
      </c>
      <c r="R371" s="2" t="inlineStr">
        <is>
          <t>Lundticka</t>
        </is>
      </c>
      <c r="S371">
        <f>HYPERLINK("https://klasma.github.io/Logging_1214/artfynd/A 15456-2024 artfynd.xlsx", "A 15456-2024")</f>
        <v/>
      </c>
      <c r="T371">
        <f>HYPERLINK("https://klasma.github.io/Logging_1214/kartor/A 15456-2024 karta.png", "A 15456-2024")</f>
        <v/>
      </c>
      <c r="V371">
        <f>HYPERLINK("https://klasma.github.io/Logging_1214/klagomål/A 15456-2024 FSC-klagomål.docx", "A 15456-2024")</f>
        <v/>
      </c>
      <c r="W371">
        <f>HYPERLINK("https://klasma.github.io/Logging_1214/klagomålsmail/A 15456-2024 FSC-klagomål mail.docx", "A 15456-2024")</f>
        <v/>
      </c>
      <c r="X371">
        <f>HYPERLINK("https://klasma.github.io/Logging_1214/tillsyn/A 15456-2024 tillsynsbegäran.docx", "A 15456-2024")</f>
        <v/>
      </c>
      <c r="Y371">
        <f>HYPERLINK("https://klasma.github.io/Logging_1214/tillsynsmail/A 15456-2024 tillsynsbegäran mail.docx", "A 15456-2024")</f>
        <v/>
      </c>
    </row>
    <row r="372" ht="15" customHeight="1">
      <c r="A372" t="inlineStr">
        <is>
          <t>A 15475-2024</t>
        </is>
      </c>
      <c r="B372" s="1" t="n">
        <v>45401</v>
      </c>
      <c r="C372" s="1" t="n">
        <v>45744</v>
      </c>
      <c r="D372" t="inlineStr">
        <is>
          <t>SKÅNE LÄN</t>
        </is>
      </c>
      <c r="E372" t="inlineStr">
        <is>
          <t>SVALÖV</t>
        </is>
      </c>
      <c r="G372" t="n">
        <v>4.7</v>
      </c>
      <c r="H372" t="n">
        <v>0</v>
      </c>
      <c r="I372" t="n">
        <v>1</v>
      </c>
      <c r="J372" t="n">
        <v>0</v>
      </c>
      <c r="K372" t="n">
        <v>0</v>
      </c>
      <c r="L372" t="n">
        <v>0</v>
      </c>
      <c r="M372" t="n">
        <v>0</v>
      </c>
      <c r="N372" t="n">
        <v>0</v>
      </c>
      <c r="O372" t="n">
        <v>0</v>
      </c>
      <c r="P372" t="n">
        <v>0</v>
      </c>
      <c r="Q372" t="n">
        <v>1</v>
      </c>
      <c r="R372" s="2" t="inlineStr">
        <is>
          <t>Strutbräken</t>
        </is>
      </c>
      <c r="S372">
        <f>HYPERLINK("https://klasma.github.io/Logging_1214/artfynd/A 15475-2024 artfynd.xlsx", "A 15475-2024")</f>
        <v/>
      </c>
      <c r="T372">
        <f>HYPERLINK("https://klasma.github.io/Logging_1214/kartor/A 15475-2024 karta.png", "A 15475-2024")</f>
        <v/>
      </c>
      <c r="V372">
        <f>HYPERLINK("https://klasma.github.io/Logging_1214/klagomål/A 15475-2024 FSC-klagomål.docx", "A 15475-2024")</f>
        <v/>
      </c>
      <c r="W372">
        <f>HYPERLINK("https://klasma.github.io/Logging_1214/klagomålsmail/A 15475-2024 FSC-klagomål mail.docx", "A 15475-2024")</f>
        <v/>
      </c>
      <c r="X372">
        <f>HYPERLINK("https://klasma.github.io/Logging_1214/tillsyn/A 15475-2024 tillsynsbegäran.docx", "A 15475-2024")</f>
        <v/>
      </c>
      <c r="Y372">
        <f>HYPERLINK("https://klasma.github.io/Logging_1214/tillsynsmail/A 15475-2024 tillsynsbegäran mail.docx", "A 15475-2024")</f>
        <v/>
      </c>
    </row>
    <row r="373" ht="15" customHeight="1">
      <c r="A373" t="inlineStr">
        <is>
          <t>A 17396-2024</t>
        </is>
      </c>
      <c r="B373" s="1" t="n">
        <v>45414</v>
      </c>
      <c r="C373" s="1" t="n">
        <v>45744</v>
      </c>
      <c r="D373" t="inlineStr">
        <is>
          <t>SKÅNE LÄN</t>
        </is>
      </c>
      <c r="E373" t="inlineStr">
        <is>
          <t>BROMÖLLA</t>
        </is>
      </c>
      <c r="G373" t="n">
        <v>1.8</v>
      </c>
      <c r="H373" t="n">
        <v>0</v>
      </c>
      <c r="I373" t="n">
        <v>1</v>
      </c>
      <c r="J373" t="n">
        <v>0</v>
      </c>
      <c r="K373" t="n">
        <v>0</v>
      </c>
      <c r="L373" t="n">
        <v>0</v>
      </c>
      <c r="M373" t="n">
        <v>0</v>
      </c>
      <c r="N373" t="n">
        <v>0</v>
      </c>
      <c r="O373" t="n">
        <v>0</v>
      </c>
      <c r="P373" t="n">
        <v>0</v>
      </c>
      <c r="Q373" t="n">
        <v>1</v>
      </c>
      <c r="R373" s="2" t="inlineStr">
        <is>
          <t>Safsa</t>
        </is>
      </c>
      <c r="S373">
        <f>HYPERLINK("https://klasma.github.io/Logging_1272/artfynd/A 17396-2024 artfynd.xlsx", "A 17396-2024")</f>
        <v/>
      </c>
      <c r="T373">
        <f>HYPERLINK("https://klasma.github.io/Logging_1272/kartor/A 17396-2024 karta.png", "A 17396-2024")</f>
        <v/>
      </c>
      <c r="V373">
        <f>HYPERLINK("https://klasma.github.io/Logging_1272/klagomål/A 17396-2024 FSC-klagomål.docx", "A 17396-2024")</f>
        <v/>
      </c>
      <c r="W373">
        <f>HYPERLINK("https://klasma.github.io/Logging_1272/klagomålsmail/A 17396-2024 FSC-klagomål mail.docx", "A 17396-2024")</f>
        <v/>
      </c>
      <c r="X373">
        <f>HYPERLINK("https://klasma.github.io/Logging_1272/tillsyn/A 17396-2024 tillsynsbegäran.docx", "A 17396-2024")</f>
        <v/>
      </c>
      <c r="Y373">
        <f>HYPERLINK("https://klasma.github.io/Logging_1272/tillsynsmail/A 17396-2024 tillsynsbegäran mail.docx", "A 17396-2024")</f>
        <v/>
      </c>
    </row>
    <row r="374" ht="15" customHeight="1">
      <c r="A374" t="inlineStr">
        <is>
          <t>A 20090-2024</t>
        </is>
      </c>
      <c r="B374" s="1" t="n">
        <v>45434</v>
      </c>
      <c r="C374" s="1" t="n">
        <v>45744</v>
      </c>
      <c r="D374" t="inlineStr">
        <is>
          <t>SKÅNE LÄN</t>
        </is>
      </c>
      <c r="E374" t="inlineStr">
        <is>
          <t>SIMRISHAMN</t>
        </is>
      </c>
      <c r="G374" t="n">
        <v>2.4</v>
      </c>
      <c r="H374" t="n">
        <v>1</v>
      </c>
      <c r="I374" t="n">
        <v>0</v>
      </c>
      <c r="J374" t="n">
        <v>0</v>
      </c>
      <c r="K374" t="n">
        <v>0</v>
      </c>
      <c r="L374" t="n">
        <v>0</v>
      </c>
      <c r="M374" t="n">
        <v>0</v>
      </c>
      <c r="N374" t="n">
        <v>0</v>
      </c>
      <c r="O374" t="n">
        <v>0</v>
      </c>
      <c r="P374" t="n">
        <v>0</v>
      </c>
      <c r="Q374" t="n">
        <v>1</v>
      </c>
      <c r="R374" s="2" t="inlineStr">
        <is>
          <t>Hasselmus</t>
        </is>
      </c>
      <c r="S374">
        <f>HYPERLINK("https://klasma.github.io/Logging_1291/artfynd/A 20090-2024 artfynd.xlsx", "A 20090-2024")</f>
        <v/>
      </c>
      <c r="T374">
        <f>HYPERLINK("https://klasma.github.io/Logging_1291/kartor/A 20090-2024 karta.png", "A 20090-2024")</f>
        <v/>
      </c>
      <c r="V374">
        <f>HYPERLINK("https://klasma.github.io/Logging_1291/klagomål/A 20090-2024 FSC-klagomål.docx", "A 20090-2024")</f>
        <v/>
      </c>
      <c r="W374">
        <f>HYPERLINK("https://klasma.github.io/Logging_1291/klagomålsmail/A 20090-2024 FSC-klagomål mail.docx", "A 20090-2024")</f>
        <v/>
      </c>
      <c r="X374">
        <f>HYPERLINK("https://klasma.github.io/Logging_1291/tillsyn/A 20090-2024 tillsynsbegäran.docx", "A 20090-2024")</f>
        <v/>
      </c>
      <c r="Y374">
        <f>HYPERLINK("https://klasma.github.io/Logging_1291/tillsynsmail/A 20090-2024 tillsynsbegäran mail.docx", "A 20090-2024")</f>
        <v/>
      </c>
    </row>
    <row r="375" ht="15" customHeight="1">
      <c r="A375" t="inlineStr">
        <is>
          <t>A 20179-2024</t>
        </is>
      </c>
      <c r="B375" s="1" t="n">
        <v>45434</v>
      </c>
      <c r="C375" s="1" t="n">
        <v>45744</v>
      </c>
      <c r="D375" t="inlineStr">
        <is>
          <t>SKÅNE LÄN</t>
        </is>
      </c>
      <c r="E375" t="inlineStr">
        <is>
          <t>ESLÖV</t>
        </is>
      </c>
      <c r="G375" t="n">
        <v>1.8</v>
      </c>
      <c r="H375" t="n">
        <v>0</v>
      </c>
      <c r="I375" t="n">
        <v>0</v>
      </c>
      <c r="J375" t="n">
        <v>1</v>
      </c>
      <c r="K375" t="n">
        <v>0</v>
      </c>
      <c r="L375" t="n">
        <v>0</v>
      </c>
      <c r="M375" t="n">
        <v>0</v>
      </c>
      <c r="N375" t="n">
        <v>0</v>
      </c>
      <c r="O375" t="n">
        <v>1</v>
      </c>
      <c r="P375" t="n">
        <v>0</v>
      </c>
      <c r="Q375" t="n">
        <v>1</v>
      </c>
      <c r="R375" s="2" t="inlineStr">
        <is>
          <t>Stiftklotterlav</t>
        </is>
      </c>
      <c r="S375">
        <f>HYPERLINK("https://klasma.github.io/Logging_1285/artfynd/A 20179-2024 artfynd.xlsx", "A 20179-2024")</f>
        <v/>
      </c>
      <c r="T375">
        <f>HYPERLINK("https://klasma.github.io/Logging_1285/kartor/A 20179-2024 karta.png", "A 20179-2024")</f>
        <v/>
      </c>
      <c r="V375">
        <f>HYPERLINK("https://klasma.github.io/Logging_1285/klagomål/A 20179-2024 FSC-klagomål.docx", "A 20179-2024")</f>
        <v/>
      </c>
      <c r="W375">
        <f>HYPERLINK("https://klasma.github.io/Logging_1285/klagomålsmail/A 20179-2024 FSC-klagomål mail.docx", "A 20179-2024")</f>
        <v/>
      </c>
      <c r="X375">
        <f>HYPERLINK("https://klasma.github.io/Logging_1285/tillsyn/A 20179-2024 tillsynsbegäran.docx", "A 20179-2024")</f>
        <v/>
      </c>
      <c r="Y375">
        <f>HYPERLINK("https://klasma.github.io/Logging_1285/tillsynsmail/A 20179-2024 tillsynsbegäran mail.docx", "A 20179-2024")</f>
        <v/>
      </c>
    </row>
    <row r="376" ht="15" customHeight="1">
      <c r="A376" t="inlineStr">
        <is>
          <t>A 20679-2024</t>
        </is>
      </c>
      <c r="B376" s="1" t="n">
        <v>45436</v>
      </c>
      <c r="C376" s="1" t="n">
        <v>45744</v>
      </c>
      <c r="D376" t="inlineStr">
        <is>
          <t>SKÅNE LÄN</t>
        </is>
      </c>
      <c r="E376" t="inlineStr">
        <is>
          <t>HÄSSLEHOLM</t>
        </is>
      </c>
      <c r="G376" t="n">
        <v>1.1</v>
      </c>
      <c r="H376" t="n">
        <v>0</v>
      </c>
      <c r="I376" t="n">
        <v>1</v>
      </c>
      <c r="J376" t="n">
        <v>0</v>
      </c>
      <c r="K376" t="n">
        <v>0</v>
      </c>
      <c r="L376" t="n">
        <v>0</v>
      </c>
      <c r="M376" t="n">
        <v>0</v>
      </c>
      <c r="N376" t="n">
        <v>0</v>
      </c>
      <c r="O376" t="n">
        <v>0</v>
      </c>
      <c r="P376" t="n">
        <v>0</v>
      </c>
      <c r="Q376" t="n">
        <v>1</v>
      </c>
      <c r="R376" s="2" t="inlineStr">
        <is>
          <t>Blodticka</t>
        </is>
      </c>
      <c r="S376">
        <f>HYPERLINK("https://klasma.github.io/Logging_1293/artfynd/A 20679-2024 artfynd.xlsx", "A 20679-2024")</f>
        <v/>
      </c>
      <c r="T376">
        <f>HYPERLINK("https://klasma.github.io/Logging_1293/kartor/A 20679-2024 karta.png", "A 20679-2024")</f>
        <v/>
      </c>
      <c r="V376">
        <f>HYPERLINK("https://klasma.github.io/Logging_1293/klagomål/A 20679-2024 FSC-klagomål.docx", "A 20679-2024")</f>
        <v/>
      </c>
      <c r="W376">
        <f>HYPERLINK("https://klasma.github.io/Logging_1293/klagomålsmail/A 20679-2024 FSC-klagomål mail.docx", "A 20679-2024")</f>
        <v/>
      </c>
      <c r="X376">
        <f>HYPERLINK("https://klasma.github.io/Logging_1293/tillsyn/A 20679-2024 tillsynsbegäran.docx", "A 20679-2024")</f>
        <v/>
      </c>
      <c r="Y376">
        <f>HYPERLINK("https://klasma.github.io/Logging_1293/tillsynsmail/A 20679-2024 tillsynsbegäran mail.docx", "A 20679-2024")</f>
        <v/>
      </c>
    </row>
    <row r="377" ht="15" customHeight="1">
      <c r="A377" t="inlineStr">
        <is>
          <t>A 21313-2024</t>
        </is>
      </c>
      <c r="B377" s="1" t="n">
        <v>45440</v>
      </c>
      <c r="C377" s="1" t="n">
        <v>45744</v>
      </c>
      <c r="D377" t="inlineStr">
        <is>
          <t>SKÅNE LÄN</t>
        </is>
      </c>
      <c r="E377" t="inlineStr">
        <is>
          <t>OSBY</t>
        </is>
      </c>
      <c r="G377" t="n">
        <v>3.2</v>
      </c>
      <c r="H377" t="n">
        <v>0</v>
      </c>
      <c r="I377" t="n">
        <v>1</v>
      </c>
      <c r="J377" t="n">
        <v>0</v>
      </c>
      <c r="K377" t="n">
        <v>0</v>
      </c>
      <c r="L377" t="n">
        <v>0</v>
      </c>
      <c r="M377" t="n">
        <v>0</v>
      </c>
      <c r="N377" t="n">
        <v>0</v>
      </c>
      <c r="O377" t="n">
        <v>0</v>
      </c>
      <c r="P377" t="n">
        <v>0</v>
      </c>
      <c r="Q377" t="n">
        <v>1</v>
      </c>
      <c r="R377" s="2" t="inlineStr">
        <is>
          <t>Blåmossa</t>
        </is>
      </c>
      <c r="S377">
        <f>HYPERLINK("https://klasma.github.io/Logging_1273/artfynd/A 21313-2024 artfynd.xlsx", "A 21313-2024")</f>
        <v/>
      </c>
      <c r="T377">
        <f>HYPERLINK("https://klasma.github.io/Logging_1273/kartor/A 21313-2024 karta.png", "A 21313-2024")</f>
        <v/>
      </c>
      <c r="V377">
        <f>HYPERLINK("https://klasma.github.io/Logging_1273/klagomål/A 21313-2024 FSC-klagomål.docx", "A 21313-2024")</f>
        <v/>
      </c>
      <c r="W377">
        <f>HYPERLINK("https://klasma.github.io/Logging_1273/klagomålsmail/A 21313-2024 FSC-klagomål mail.docx", "A 21313-2024")</f>
        <v/>
      </c>
      <c r="X377">
        <f>HYPERLINK("https://klasma.github.io/Logging_1273/tillsyn/A 21313-2024 tillsynsbegäran.docx", "A 21313-2024")</f>
        <v/>
      </c>
      <c r="Y377">
        <f>HYPERLINK("https://klasma.github.io/Logging_1273/tillsynsmail/A 21313-2024 tillsynsbegäran mail.docx", "A 21313-2024")</f>
        <v/>
      </c>
    </row>
    <row r="378" ht="15" customHeight="1">
      <c r="A378" t="inlineStr">
        <is>
          <t>A 22569-2024</t>
        </is>
      </c>
      <c r="B378" s="1" t="n">
        <v>45447</v>
      </c>
      <c r="C378" s="1" t="n">
        <v>45744</v>
      </c>
      <c r="D378" t="inlineStr">
        <is>
          <t>SKÅNE LÄN</t>
        </is>
      </c>
      <c r="E378" t="inlineStr">
        <is>
          <t>HÖÖR</t>
        </is>
      </c>
      <c r="G378" t="n">
        <v>2.2</v>
      </c>
      <c r="H378" t="n">
        <v>1</v>
      </c>
      <c r="I378" t="n">
        <v>0</v>
      </c>
      <c r="J378" t="n">
        <v>1</v>
      </c>
      <c r="K378" t="n">
        <v>0</v>
      </c>
      <c r="L378" t="n">
        <v>0</v>
      </c>
      <c r="M378" t="n">
        <v>0</v>
      </c>
      <c r="N378" t="n">
        <v>0</v>
      </c>
      <c r="O378" t="n">
        <v>1</v>
      </c>
      <c r="P378" t="n">
        <v>0</v>
      </c>
      <c r="Q378" t="n">
        <v>1</v>
      </c>
      <c r="R378" s="2" t="inlineStr">
        <is>
          <t>Spillkråka</t>
        </is>
      </c>
      <c r="S378">
        <f>HYPERLINK("https://klasma.github.io/Logging_1267/artfynd/A 22569-2024 artfynd.xlsx", "A 22569-2024")</f>
        <v/>
      </c>
      <c r="T378">
        <f>HYPERLINK("https://klasma.github.io/Logging_1267/kartor/A 22569-2024 karta.png", "A 22569-2024")</f>
        <v/>
      </c>
      <c r="V378">
        <f>HYPERLINK("https://klasma.github.io/Logging_1267/klagomål/A 22569-2024 FSC-klagomål.docx", "A 22569-2024")</f>
        <v/>
      </c>
      <c r="W378">
        <f>HYPERLINK("https://klasma.github.io/Logging_1267/klagomålsmail/A 22569-2024 FSC-klagomål mail.docx", "A 22569-2024")</f>
        <v/>
      </c>
      <c r="X378">
        <f>HYPERLINK("https://klasma.github.io/Logging_1267/tillsyn/A 22569-2024 tillsynsbegäran.docx", "A 22569-2024")</f>
        <v/>
      </c>
      <c r="Y378">
        <f>HYPERLINK("https://klasma.github.io/Logging_1267/tillsynsmail/A 22569-2024 tillsynsbegäran mail.docx", "A 22569-2024")</f>
        <v/>
      </c>
      <c r="Z378">
        <f>HYPERLINK("https://klasma.github.io/Logging_1267/fåglar/A 22569-2024 prioriterade fågelarter.docx", "A 22569-2024")</f>
        <v/>
      </c>
    </row>
    <row r="379" ht="15" customHeight="1">
      <c r="A379" t="inlineStr">
        <is>
          <t>A 23403-2024</t>
        </is>
      </c>
      <c r="B379" s="1" t="n">
        <v>45453</v>
      </c>
      <c r="C379" s="1" t="n">
        <v>45744</v>
      </c>
      <c r="D379" t="inlineStr">
        <is>
          <t>SKÅNE LÄN</t>
        </is>
      </c>
      <c r="E379" t="inlineStr">
        <is>
          <t>KLIPPAN</t>
        </is>
      </c>
      <c r="G379" t="n">
        <v>9.1</v>
      </c>
      <c r="H379" t="n">
        <v>0</v>
      </c>
      <c r="I379" t="n">
        <v>0</v>
      </c>
      <c r="J379" t="n">
        <v>1</v>
      </c>
      <c r="K379" t="n">
        <v>0</v>
      </c>
      <c r="L379" t="n">
        <v>0</v>
      </c>
      <c r="M379" t="n">
        <v>0</v>
      </c>
      <c r="N379" t="n">
        <v>0</v>
      </c>
      <c r="O379" t="n">
        <v>1</v>
      </c>
      <c r="P379" t="n">
        <v>0</v>
      </c>
      <c r="Q379" t="n">
        <v>1</v>
      </c>
      <c r="R379" s="2" t="inlineStr">
        <is>
          <t>Vårstarr</t>
        </is>
      </c>
      <c r="S379">
        <f>HYPERLINK("https://klasma.github.io/Logging_1276/artfynd/A 23403-2024 artfynd.xlsx", "A 23403-2024")</f>
        <v/>
      </c>
      <c r="T379">
        <f>HYPERLINK("https://klasma.github.io/Logging_1276/kartor/A 23403-2024 karta.png", "A 23403-2024")</f>
        <v/>
      </c>
      <c r="V379">
        <f>HYPERLINK("https://klasma.github.io/Logging_1276/klagomål/A 23403-2024 FSC-klagomål.docx", "A 23403-2024")</f>
        <v/>
      </c>
      <c r="W379">
        <f>HYPERLINK("https://klasma.github.io/Logging_1276/klagomålsmail/A 23403-2024 FSC-klagomål mail.docx", "A 23403-2024")</f>
        <v/>
      </c>
      <c r="X379">
        <f>HYPERLINK("https://klasma.github.io/Logging_1276/tillsyn/A 23403-2024 tillsynsbegäran.docx", "A 23403-2024")</f>
        <v/>
      </c>
      <c r="Y379">
        <f>HYPERLINK("https://klasma.github.io/Logging_1276/tillsynsmail/A 23403-2024 tillsynsbegäran mail.docx", "A 23403-2024")</f>
        <v/>
      </c>
    </row>
    <row r="380" ht="15" customHeight="1">
      <c r="A380" t="inlineStr">
        <is>
          <t>A 23694-2024</t>
        </is>
      </c>
      <c r="B380" s="1" t="n">
        <v>45454</v>
      </c>
      <c r="C380" s="1" t="n">
        <v>45744</v>
      </c>
      <c r="D380" t="inlineStr">
        <is>
          <t>SKÅNE LÄN</t>
        </is>
      </c>
      <c r="E380" t="inlineStr">
        <is>
          <t>OSBY</t>
        </is>
      </c>
      <c r="G380" t="n">
        <v>6</v>
      </c>
      <c r="H380" t="n">
        <v>0</v>
      </c>
      <c r="I380" t="n">
        <v>0</v>
      </c>
      <c r="J380" t="n">
        <v>0</v>
      </c>
      <c r="K380" t="n">
        <v>1</v>
      </c>
      <c r="L380" t="n">
        <v>0</v>
      </c>
      <c r="M380" t="n">
        <v>0</v>
      </c>
      <c r="N380" t="n">
        <v>0</v>
      </c>
      <c r="O380" t="n">
        <v>1</v>
      </c>
      <c r="P380" t="n">
        <v>1</v>
      </c>
      <c r="Q380" t="n">
        <v>1</v>
      </c>
      <c r="R380" s="2" t="inlineStr">
        <is>
          <t>Slåttergubbe</t>
        </is>
      </c>
      <c r="S380">
        <f>HYPERLINK("https://klasma.github.io/Logging_1273/artfynd/A 23694-2024 artfynd.xlsx", "A 23694-2024")</f>
        <v/>
      </c>
      <c r="T380">
        <f>HYPERLINK("https://klasma.github.io/Logging_1273/kartor/A 23694-2024 karta.png", "A 23694-2024")</f>
        <v/>
      </c>
      <c r="V380">
        <f>HYPERLINK("https://klasma.github.io/Logging_1273/klagomål/A 23694-2024 FSC-klagomål.docx", "A 23694-2024")</f>
        <v/>
      </c>
      <c r="W380">
        <f>HYPERLINK("https://klasma.github.io/Logging_1273/klagomålsmail/A 23694-2024 FSC-klagomål mail.docx", "A 23694-2024")</f>
        <v/>
      </c>
      <c r="X380">
        <f>HYPERLINK("https://klasma.github.io/Logging_1273/tillsyn/A 23694-2024 tillsynsbegäran.docx", "A 23694-2024")</f>
        <v/>
      </c>
      <c r="Y380">
        <f>HYPERLINK("https://klasma.github.io/Logging_1273/tillsynsmail/A 23694-2024 tillsynsbegäran mail.docx", "A 23694-2024")</f>
        <v/>
      </c>
    </row>
    <row r="381" ht="15" customHeight="1">
      <c r="A381" t="inlineStr">
        <is>
          <t>A 25761-2024</t>
        </is>
      </c>
      <c r="B381" s="1" t="n">
        <v>45465</v>
      </c>
      <c r="C381" s="1" t="n">
        <v>45744</v>
      </c>
      <c r="D381" t="inlineStr">
        <is>
          <t>SKÅNE LÄN</t>
        </is>
      </c>
      <c r="E381" t="inlineStr">
        <is>
          <t>KRISTIANSTAD</t>
        </is>
      </c>
      <c r="G381" t="n">
        <v>2.8</v>
      </c>
      <c r="H381" t="n">
        <v>1</v>
      </c>
      <c r="I381" t="n">
        <v>0</v>
      </c>
      <c r="J381" t="n">
        <v>0</v>
      </c>
      <c r="K381" t="n">
        <v>0</v>
      </c>
      <c r="L381" t="n">
        <v>0</v>
      </c>
      <c r="M381" t="n">
        <v>0</v>
      </c>
      <c r="N381" t="n">
        <v>0</v>
      </c>
      <c r="O381" t="n">
        <v>0</v>
      </c>
      <c r="P381" t="n">
        <v>0</v>
      </c>
      <c r="Q381" t="n">
        <v>1</v>
      </c>
      <c r="R381" s="2" t="inlineStr">
        <is>
          <t>Gullviva</t>
        </is>
      </c>
      <c r="S381">
        <f>HYPERLINK("https://klasma.github.io/Logging_1290/artfynd/A 25761-2024 artfynd.xlsx", "A 25761-2024")</f>
        <v/>
      </c>
      <c r="T381">
        <f>HYPERLINK("https://klasma.github.io/Logging_1290/kartor/A 25761-2024 karta.png", "A 25761-2024")</f>
        <v/>
      </c>
      <c r="V381">
        <f>HYPERLINK("https://klasma.github.io/Logging_1290/klagomål/A 25761-2024 FSC-klagomål.docx", "A 25761-2024")</f>
        <v/>
      </c>
      <c r="W381">
        <f>HYPERLINK("https://klasma.github.io/Logging_1290/klagomålsmail/A 25761-2024 FSC-klagomål mail.docx", "A 25761-2024")</f>
        <v/>
      </c>
      <c r="X381">
        <f>HYPERLINK("https://klasma.github.io/Logging_1290/tillsyn/A 25761-2024 tillsynsbegäran.docx", "A 25761-2024")</f>
        <v/>
      </c>
      <c r="Y381">
        <f>HYPERLINK("https://klasma.github.io/Logging_1290/tillsynsmail/A 25761-2024 tillsynsbegäran mail.docx", "A 25761-2024")</f>
        <v/>
      </c>
    </row>
    <row r="382" ht="15" customHeight="1">
      <c r="A382" t="inlineStr">
        <is>
          <t>A 27230-2024</t>
        </is>
      </c>
      <c r="B382" s="1" t="n">
        <v>45471</v>
      </c>
      <c r="C382" s="1" t="n">
        <v>45744</v>
      </c>
      <c r="D382" t="inlineStr">
        <is>
          <t>SKÅNE LÄN</t>
        </is>
      </c>
      <c r="E382" t="inlineStr">
        <is>
          <t>SJÖBO</t>
        </is>
      </c>
      <c r="G382" t="n">
        <v>1.5</v>
      </c>
      <c r="H382" t="n">
        <v>1</v>
      </c>
      <c r="I382" t="n">
        <v>0</v>
      </c>
      <c r="J382" t="n">
        <v>1</v>
      </c>
      <c r="K382" t="n">
        <v>0</v>
      </c>
      <c r="L382" t="n">
        <v>0</v>
      </c>
      <c r="M382" t="n">
        <v>0</v>
      </c>
      <c r="N382" t="n">
        <v>0</v>
      </c>
      <c r="O382" t="n">
        <v>1</v>
      </c>
      <c r="P382" t="n">
        <v>0</v>
      </c>
      <c r="Q382" t="n">
        <v>1</v>
      </c>
      <c r="R382" s="2" t="inlineStr">
        <is>
          <t>Havsörn</t>
        </is>
      </c>
      <c r="S382">
        <f>HYPERLINK("https://klasma.github.io/Logging_1265/artfynd/A 27230-2024 artfynd.xlsx", "A 27230-2024")</f>
        <v/>
      </c>
      <c r="T382">
        <f>HYPERLINK("https://klasma.github.io/Logging_1265/kartor/A 27230-2024 karta.png", "A 27230-2024")</f>
        <v/>
      </c>
      <c r="V382">
        <f>HYPERLINK("https://klasma.github.io/Logging_1265/klagomål/A 27230-2024 FSC-klagomål.docx", "A 27230-2024")</f>
        <v/>
      </c>
      <c r="W382">
        <f>HYPERLINK("https://klasma.github.io/Logging_1265/klagomålsmail/A 27230-2024 FSC-klagomål mail.docx", "A 27230-2024")</f>
        <v/>
      </c>
      <c r="X382">
        <f>HYPERLINK("https://klasma.github.io/Logging_1265/tillsyn/A 27230-2024 tillsynsbegäran.docx", "A 27230-2024")</f>
        <v/>
      </c>
      <c r="Y382">
        <f>HYPERLINK("https://klasma.github.io/Logging_1265/tillsynsmail/A 27230-2024 tillsynsbegäran mail.docx", "A 27230-2024")</f>
        <v/>
      </c>
      <c r="Z382">
        <f>HYPERLINK("https://klasma.github.io/Logging_1265/fåglar/A 27230-2024 prioriterade fågelarter.docx", "A 27230-2024")</f>
        <v/>
      </c>
    </row>
    <row r="383" ht="15" customHeight="1">
      <c r="A383" t="inlineStr">
        <is>
          <t>A 28429-2024</t>
        </is>
      </c>
      <c r="B383" s="1" t="n">
        <v>45477</v>
      </c>
      <c r="C383" s="1" t="n">
        <v>45744</v>
      </c>
      <c r="D383" t="inlineStr">
        <is>
          <t>SKÅNE LÄN</t>
        </is>
      </c>
      <c r="E383" t="inlineStr">
        <is>
          <t>KRISTIANSTAD</t>
        </is>
      </c>
      <c r="G383" t="n">
        <v>0.4</v>
      </c>
      <c r="H383" t="n">
        <v>0</v>
      </c>
      <c r="I383" t="n">
        <v>0</v>
      </c>
      <c r="J383" t="n">
        <v>1</v>
      </c>
      <c r="K383" t="n">
        <v>0</v>
      </c>
      <c r="L383" t="n">
        <v>0</v>
      </c>
      <c r="M383" t="n">
        <v>0</v>
      </c>
      <c r="N383" t="n">
        <v>0</v>
      </c>
      <c r="O383" t="n">
        <v>1</v>
      </c>
      <c r="P383" t="n">
        <v>0</v>
      </c>
      <c r="Q383" t="n">
        <v>1</v>
      </c>
      <c r="R383" s="2" t="inlineStr">
        <is>
          <t>Knölspindel</t>
        </is>
      </c>
      <c r="S383">
        <f>HYPERLINK("https://klasma.github.io/Logging_1290/artfynd/A 28429-2024 artfynd.xlsx", "A 28429-2024")</f>
        <v/>
      </c>
      <c r="T383">
        <f>HYPERLINK("https://klasma.github.io/Logging_1290/kartor/A 28429-2024 karta.png", "A 28429-2024")</f>
        <v/>
      </c>
      <c r="V383">
        <f>HYPERLINK("https://klasma.github.io/Logging_1290/klagomål/A 28429-2024 FSC-klagomål.docx", "A 28429-2024")</f>
        <v/>
      </c>
      <c r="W383">
        <f>HYPERLINK("https://klasma.github.io/Logging_1290/klagomålsmail/A 28429-2024 FSC-klagomål mail.docx", "A 28429-2024")</f>
        <v/>
      </c>
      <c r="X383">
        <f>HYPERLINK("https://klasma.github.io/Logging_1290/tillsyn/A 28429-2024 tillsynsbegäran.docx", "A 28429-2024")</f>
        <v/>
      </c>
      <c r="Y383">
        <f>HYPERLINK("https://klasma.github.io/Logging_1290/tillsynsmail/A 28429-2024 tillsynsbegäran mail.docx", "A 28429-2024")</f>
        <v/>
      </c>
    </row>
    <row r="384" ht="15" customHeight="1">
      <c r="A384" t="inlineStr">
        <is>
          <t>A 28342-2024</t>
        </is>
      </c>
      <c r="B384" s="1" t="n">
        <v>45477</v>
      </c>
      <c r="C384" s="1" t="n">
        <v>45744</v>
      </c>
      <c r="D384" t="inlineStr">
        <is>
          <t>SKÅNE LÄN</t>
        </is>
      </c>
      <c r="E384" t="inlineStr">
        <is>
          <t>KRISTIANSTAD</t>
        </is>
      </c>
      <c r="G384" t="n">
        <v>3.2</v>
      </c>
      <c r="H384" t="n">
        <v>0</v>
      </c>
      <c r="I384" t="n">
        <v>0</v>
      </c>
      <c r="J384" t="n">
        <v>1</v>
      </c>
      <c r="K384" t="n">
        <v>0</v>
      </c>
      <c r="L384" t="n">
        <v>0</v>
      </c>
      <c r="M384" t="n">
        <v>0</v>
      </c>
      <c r="N384" t="n">
        <v>0</v>
      </c>
      <c r="O384" t="n">
        <v>1</v>
      </c>
      <c r="P384" t="n">
        <v>0</v>
      </c>
      <c r="Q384" t="n">
        <v>1</v>
      </c>
      <c r="R384" s="2" t="inlineStr">
        <is>
          <t>Knölspindel</t>
        </is>
      </c>
      <c r="S384">
        <f>HYPERLINK("https://klasma.github.io/Logging_1290/artfynd/A 28342-2024 artfynd.xlsx", "A 28342-2024")</f>
        <v/>
      </c>
      <c r="T384">
        <f>HYPERLINK("https://klasma.github.io/Logging_1290/kartor/A 28342-2024 karta.png", "A 28342-2024")</f>
        <v/>
      </c>
      <c r="V384">
        <f>HYPERLINK("https://klasma.github.io/Logging_1290/klagomål/A 28342-2024 FSC-klagomål.docx", "A 28342-2024")</f>
        <v/>
      </c>
      <c r="W384">
        <f>HYPERLINK("https://klasma.github.io/Logging_1290/klagomålsmail/A 28342-2024 FSC-klagomål mail.docx", "A 28342-2024")</f>
        <v/>
      </c>
      <c r="X384">
        <f>HYPERLINK("https://klasma.github.io/Logging_1290/tillsyn/A 28342-2024 tillsynsbegäran.docx", "A 28342-2024")</f>
        <v/>
      </c>
      <c r="Y384">
        <f>HYPERLINK("https://klasma.github.io/Logging_1290/tillsynsmail/A 28342-2024 tillsynsbegäran mail.docx", "A 28342-2024")</f>
        <v/>
      </c>
    </row>
    <row r="385" ht="15" customHeight="1">
      <c r="A385" t="inlineStr">
        <is>
          <t>A 30000-2024</t>
        </is>
      </c>
      <c r="B385" s="1" t="n">
        <v>45488</v>
      </c>
      <c r="C385" s="1" t="n">
        <v>45744</v>
      </c>
      <c r="D385" t="inlineStr">
        <is>
          <t>SKÅNE LÄN</t>
        </is>
      </c>
      <c r="E385" t="inlineStr">
        <is>
          <t>PERSTORP</t>
        </is>
      </c>
      <c r="G385" t="n">
        <v>10.8</v>
      </c>
      <c r="H385" t="n">
        <v>1</v>
      </c>
      <c r="I385" t="n">
        <v>0</v>
      </c>
      <c r="J385" t="n">
        <v>0</v>
      </c>
      <c r="K385" t="n">
        <v>0</v>
      </c>
      <c r="L385" t="n">
        <v>0</v>
      </c>
      <c r="M385" t="n">
        <v>0</v>
      </c>
      <c r="N385" t="n">
        <v>0</v>
      </c>
      <c r="O385" t="n">
        <v>0</v>
      </c>
      <c r="P385" t="n">
        <v>0</v>
      </c>
      <c r="Q385" t="n">
        <v>1</v>
      </c>
      <c r="R385" s="2" t="inlineStr">
        <is>
          <t>Revlummer</t>
        </is>
      </c>
      <c r="S385">
        <f>HYPERLINK("https://klasma.github.io/Logging_1275/artfynd/A 30000-2024 artfynd.xlsx", "A 30000-2024")</f>
        <v/>
      </c>
      <c r="T385">
        <f>HYPERLINK("https://klasma.github.io/Logging_1275/kartor/A 30000-2024 karta.png", "A 30000-2024")</f>
        <v/>
      </c>
      <c r="V385">
        <f>HYPERLINK("https://klasma.github.io/Logging_1275/klagomål/A 30000-2024 FSC-klagomål.docx", "A 30000-2024")</f>
        <v/>
      </c>
      <c r="W385">
        <f>HYPERLINK("https://klasma.github.io/Logging_1275/klagomålsmail/A 30000-2024 FSC-klagomål mail.docx", "A 30000-2024")</f>
        <v/>
      </c>
      <c r="X385">
        <f>HYPERLINK("https://klasma.github.io/Logging_1275/tillsyn/A 30000-2024 tillsynsbegäran.docx", "A 30000-2024")</f>
        <v/>
      </c>
      <c r="Y385">
        <f>HYPERLINK("https://klasma.github.io/Logging_1275/tillsynsmail/A 30000-2024 tillsynsbegäran mail.docx", "A 30000-2024")</f>
        <v/>
      </c>
    </row>
    <row r="386" ht="15" customHeight="1">
      <c r="A386" t="inlineStr">
        <is>
          <t>A 30526-2024</t>
        </is>
      </c>
      <c r="B386" s="1" t="n">
        <v>45492</v>
      </c>
      <c r="C386" s="1" t="n">
        <v>45744</v>
      </c>
      <c r="D386" t="inlineStr">
        <is>
          <t>SKÅNE LÄN</t>
        </is>
      </c>
      <c r="E386" t="inlineStr">
        <is>
          <t>KRISTIANSTAD</t>
        </is>
      </c>
      <c r="G386" t="n">
        <v>2.3</v>
      </c>
      <c r="H386" t="n">
        <v>1</v>
      </c>
      <c r="I386" t="n">
        <v>0</v>
      </c>
      <c r="J386" t="n">
        <v>0</v>
      </c>
      <c r="K386" t="n">
        <v>0</v>
      </c>
      <c r="L386" t="n">
        <v>1</v>
      </c>
      <c r="M386" t="n">
        <v>0</v>
      </c>
      <c r="N386" t="n">
        <v>0</v>
      </c>
      <c r="O386" t="n">
        <v>1</v>
      </c>
      <c r="P386" t="n">
        <v>1</v>
      </c>
      <c r="Q386" t="n">
        <v>1</v>
      </c>
      <c r="R386" s="2" t="inlineStr">
        <is>
          <t>Dvärgjohannesört</t>
        </is>
      </c>
      <c r="S386">
        <f>HYPERLINK("https://klasma.github.io/Logging_1290/artfynd/A 30526-2024 artfynd.xlsx", "A 30526-2024")</f>
        <v/>
      </c>
      <c r="T386">
        <f>HYPERLINK("https://klasma.github.io/Logging_1290/kartor/A 30526-2024 karta.png", "A 30526-2024")</f>
        <v/>
      </c>
      <c r="V386">
        <f>HYPERLINK("https://klasma.github.io/Logging_1290/klagomål/A 30526-2024 FSC-klagomål.docx", "A 30526-2024")</f>
        <v/>
      </c>
      <c r="W386">
        <f>HYPERLINK("https://klasma.github.io/Logging_1290/klagomålsmail/A 30526-2024 FSC-klagomål mail.docx", "A 30526-2024")</f>
        <v/>
      </c>
      <c r="X386">
        <f>HYPERLINK("https://klasma.github.io/Logging_1290/tillsyn/A 30526-2024 tillsynsbegäran.docx", "A 30526-2024")</f>
        <v/>
      </c>
      <c r="Y386">
        <f>HYPERLINK("https://klasma.github.io/Logging_1290/tillsynsmail/A 30526-2024 tillsynsbegäran mail.docx", "A 30526-2024")</f>
        <v/>
      </c>
    </row>
    <row r="387" ht="15" customHeight="1">
      <c r="A387" t="inlineStr">
        <is>
          <t>A 31620-2024</t>
        </is>
      </c>
      <c r="B387" s="1" t="n">
        <v>45506</v>
      </c>
      <c r="C387" s="1" t="n">
        <v>45744</v>
      </c>
      <c r="D387" t="inlineStr">
        <is>
          <t>SKÅNE LÄN</t>
        </is>
      </c>
      <c r="E387" t="inlineStr">
        <is>
          <t>KRISTIANSTAD</t>
        </is>
      </c>
      <c r="G387" t="n">
        <v>0.5</v>
      </c>
      <c r="H387" t="n">
        <v>1</v>
      </c>
      <c r="I387" t="n">
        <v>0</v>
      </c>
      <c r="J387" t="n">
        <v>0</v>
      </c>
      <c r="K387" t="n">
        <v>1</v>
      </c>
      <c r="L387" t="n">
        <v>0</v>
      </c>
      <c r="M387" t="n">
        <v>0</v>
      </c>
      <c r="N387" t="n">
        <v>0</v>
      </c>
      <c r="O387" t="n">
        <v>1</v>
      </c>
      <c r="P387" t="n">
        <v>1</v>
      </c>
      <c r="Q387" t="n">
        <v>1</v>
      </c>
      <c r="R387" s="2" t="inlineStr">
        <is>
          <t>Backsippa</t>
        </is>
      </c>
      <c r="S387">
        <f>HYPERLINK("https://klasma.github.io/Logging_1290/artfynd/A 31620-2024 artfynd.xlsx", "A 31620-2024")</f>
        <v/>
      </c>
      <c r="T387">
        <f>HYPERLINK("https://klasma.github.io/Logging_1290/kartor/A 31620-2024 karta.png", "A 31620-2024")</f>
        <v/>
      </c>
      <c r="V387">
        <f>HYPERLINK("https://klasma.github.io/Logging_1290/klagomål/A 31620-2024 FSC-klagomål.docx", "A 31620-2024")</f>
        <v/>
      </c>
      <c r="W387">
        <f>HYPERLINK("https://klasma.github.io/Logging_1290/klagomålsmail/A 31620-2024 FSC-klagomål mail.docx", "A 31620-2024")</f>
        <v/>
      </c>
      <c r="X387">
        <f>HYPERLINK("https://klasma.github.io/Logging_1290/tillsyn/A 31620-2024 tillsynsbegäran.docx", "A 31620-2024")</f>
        <v/>
      </c>
      <c r="Y387">
        <f>HYPERLINK("https://klasma.github.io/Logging_1290/tillsynsmail/A 31620-2024 tillsynsbegäran mail.docx", "A 31620-2024")</f>
        <v/>
      </c>
    </row>
    <row r="388" ht="15" customHeight="1">
      <c r="A388" t="inlineStr">
        <is>
          <t>A 32101-2024</t>
        </is>
      </c>
      <c r="B388" s="1" t="n">
        <v>45511</v>
      </c>
      <c r="C388" s="1" t="n">
        <v>45744</v>
      </c>
      <c r="D388" t="inlineStr">
        <is>
          <t>SKÅNE LÄN</t>
        </is>
      </c>
      <c r="E388" t="inlineStr">
        <is>
          <t>KRISTIANSTAD</t>
        </is>
      </c>
      <c r="G388" t="n">
        <v>6.6</v>
      </c>
      <c r="H388" t="n">
        <v>1</v>
      </c>
      <c r="I388" t="n">
        <v>1</v>
      </c>
      <c r="J388" t="n">
        <v>0</v>
      </c>
      <c r="K388" t="n">
        <v>0</v>
      </c>
      <c r="L388" t="n">
        <v>0</v>
      </c>
      <c r="M388" t="n">
        <v>0</v>
      </c>
      <c r="N388" t="n">
        <v>0</v>
      </c>
      <c r="O388" t="n">
        <v>0</v>
      </c>
      <c r="P388" t="n">
        <v>0</v>
      </c>
      <c r="Q388" t="n">
        <v>1</v>
      </c>
      <c r="R388" s="2" t="inlineStr">
        <is>
          <t>Skogsknipprot</t>
        </is>
      </c>
      <c r="S388">
        <f>HYPERLINK("https://klasma.github.io/Logging_1290/artfynd/A 32101-2024 artfynd.xlsx", "A 32101-2024")</f>
        <v/>
      </c>
      <c r="T388">
        <f>HYPERLINK("https://klasma.github.io/Logging_1290/kartor/A 32101-2024 karta.png", "A 32101-2024")</f>
        <v/>
      </c>
      <c r="V388">
        <f>HYPERLINK("https://klasma.github.io/Logging_1290/klagomål/A 32101-2024 FSC-klagomål.docx", "A 32101-2024")</f>
        <v/>
      </c>
      <c r="W388">
        <f>HYPERLINK("https://klasma.github.io/Logging_1290/klagomålsmail/A 32101-2024 FSC-klagomål mail.docx", "A 32101-2024")</f>
        <v/>
      </c>
      <c r="X388">
        <f>HYPERLINK("https://klasma.github.io/Logging_1290/tillsyn/A 32101-2024 tillsynsbegäran.docx", "A 32101-2024")</f>
        <v/>
      </c>
      <c r="Y388">
        <f>HYPERLINK("https://klasma.github.io/Logging_1290/tillsynsmail/A 32101-2024 tillsynsbegäran mail.docx", "A 32101-2024")</f>
        <v/>
      </c>
    </row>
    <row r="389" ht="15" customHeight="1">
      <c r="A389" t="inlineStr">
        <is>
          <t>A 32367-2024</t>
        </is>
      </c>
      <c r="B389" s="1" t="n">
        <v>45512</v>
      </c>
      <c r="C389" s="1" t="n">
        <v>45744</v>
      </c>
      <c r="D389" t="inlineStr">
        <is>
          <t>SKÅNE LÄN</t>
        </is>
      </c>
      <c r="E389" t="inlineStr">
        <is>
          <t>ÖSTRA GÖINGE</t>
        </is>
      </c>
      <c r="G389" t="n">
        <v>5.4</v>
      </c>
      <c r="H389" t="n">
        <v>0</v>
      </c>
      <c r="I389" t="n">
        <v>1</v>
      </c>
      <c r="J389" t="n">
        <v>0</v>
      </c>
      <c r="K389" t="n">
        <v>0</v>
      </c>
      <c r="L389" t="n">
        <v>0</v>
      </c>
      <c r="M389" t="n">
        <v>0</v>
      </c>
      <c r="N389" t="n">
        <v>0</v>
      </c>
      <c r="O389" t="n">
        <v>0</v>
      </c>
      <c r="P389" t="n">
        <v>0</v>
      </c>
      <c r="Q389" t="n">
        <v>1</v>
      </c>
      <c r="R389" s="2" t="inlineStr">
        <is>
          <t>Blomkålssvamp</t>
        </is>
      </c>
      <c r="S389">
        <f>HYPERLINK("https://klasma.github.io/Logging_1256/artfynd/A 32367-2024 artfynd.xlsx", "A 32367-2024")</f>
        <v/>
      </c>
      <c r="T389">
        <f>HYPERLINK("https://klasma.github.io/Logging_1256/kartor/A 32367-2024 karta.png", "A 32367-2024")</f>
        <v/>
      </c>
      <c r="V389">
        <f>HYPERLINK("https://klasma.github.io/Logging_1256/klagomål/A 32367-2024 FSC-klagomål.docx", "A 32367-2024")</f>
        <v/>
      </c>
      <c r="W389">
        <f>HYPERLINK("https://klasma.github.io/Logging_1256/klagomålsmail/A 32367-2024 FSC-klagomål mail.docx", "A 32367-2024")</f>
        <v/>
      </c>
      <c r="X389">
        <f>HYPERLINK("https://klasma.github.io/Logging_1256/tillsyn/A 32367-2024 tillsynsbegäran.docx", "A 32367-2024")</f>
        <v/>
      </c>
      <c r="Y389">
        <f>HYPERLINK("https://klasma.github.io/Logging_1256/tillsynsmail/A 32367-2024 tillsynsbegäran mail.docx", "A 32367-2024")</f>
        <v/>
      </c>
    </row>
    <row r="390" ht="15" customHeight="1">
      <c r="A390" t="inlineStr">
        <is>
          <t>A 32842-2024</t>
        </is>
      </c>
      <c r="B390" s="1" t="n">
        <v>45516</v>
      </c>
      <c r="C390" s="1" t="n">
        <v>45744</v>
      </c>
      <c r="D390" t="inlineStr">
        <is>
          <t>SKÅNE LÄN</t>
        </is>
      </c>
      <c r="E390" t="inlineStr">
        <is>
          <t>PERSTORP</t>
        </is>
      </c>
      <c r="G390" t="n">
        <v>2.5</v>
      </c>
      <c r="H390" t="n">
        <v>0</v>
      </c>
      <c r="I390" t="n">
        <v>1</v>
      </c>
      <c r="J390" t="n">
        <v>0</v>
      </c>
      <c r="K390" t="n">
        <v>0</v>
      </c>
      <c r="L390" t="n">
        <v>0</v>
      </c>
      <c r="M390" t="n">
        <v>0</v>
      </c>
      <c r="N390" t="n">
        <v>0</v>
      </c>
      <c r="O390" t="n">
        <v>0</v>
      </c>
      <c r="P390" t="n">
        <v>0</v>
      </c>
      <c r="Q390" t="n">
        <v>1</v>
      </c>
      <c r="R390" s="2" t="inlineStr">
        <is>
          <t>Blåmossa</t>
        </is>
      </c>
      <c r="S390">
        <f>HYPERLINK("https://klasma.github.io/Logging_1275/artfynd/A 32842-2024 artfynd.xlsx", "A 32842-2024")</f>
        <v/>
      </c>
      <c r="T390">
        <f>HYPERLINK("https://klasma.github.io/Logging_1275/kartor/A 32842-2024 karta.png", "A 32842-2024")</f>
        <v/>
      </c>
      <c r="V390">
        <f>HYPERLINK("https://klasma.github.io/Logging_1275/klagomål/A 32842-2024 FSC-klagomål.docx", "A 32842-2024")</f>
        <v/>
      </c>
      <c r="W390">
        <f>HYPERLINK("https://klasma.github.io/Logging_1275/klagomålsmail/A 32842-2024 FSC-klagomål mail.docx", "A 32842-2024")</f>
        <v/>
      </c>
      <c r="X390">
        <f>HYPERLINK("https://klasma.github.io/Logging_1275/tillsyn/A 32842-2024 tillsynsbegäran.docx", "A 32842-2024")</f>
        <v/>
      </c>
      <c r="Y390">
        <f>HYPERLINK("https://klasma.github.io/Logging_1275/tillsynsmail/A 32842-2024 tillsynsbegäran mail.docx", "A 32842-2024")</f>
        <v/>
      </c>
    </row>
    <row r="391" ht="15" customHeight="1">
      <c r="A391" t="inlineStr">
        <is>
          <t>A 34341-2024</t>
        </is>
      </c>
      <c r="B391" s="1" t="n">
        <v>45525</v>
      </c>
      <c r="C391" s="1" t="n">
        <v>45744</v>
      </c>
      <c r="D391" t="inlineStr">
        <is>
          <t>SKÅNE LÄN</t>
        </is>
      </c>
      <c r="E391" t="inlineStr">
        <is>
          <t>YSTAD</t>
        </is>
      </c>
      <c r="F391" t="inlineStr">
        <is>
          <t>Övriga Aktiebolag</t>
        </is>
      </c>
      <c r="G391" t="n">
        <v>14.4</v>
      </c>
      <c r="H391" t="n">
        <v>0</v>
      </c>
      <c r="I391" t="n">
        <v>0</v>
      </c>
      <c r="J391" t="n">
        <v>1</v>
      </c>
      <c r="K391" t="n">
        <v>0</v>
      </c>
      <c r="L391" t="n">
        <v>0</v>
      </c>
      <c r="M391" t="n">
        <v>0</v>
      </c>
      <c r="N391" t="n">
        <v>0</v>
      </c>
      <c r="O391" t="n">
        <v>1</v>
      </c>
      <c r="P391" t="n">
        <v>0</v>
      </c>
      <c r="Q391" t="n">
        <v>1</v>
      </c>
      <c r="R391" s="2" t="inlineStr">
        <is>
          <t>Desmeknopp</t>
        </is>
      </c>
      <c r="S391">
        <f>HYPERLINK("https://klasma.github.io/Logging_1286/artfynd/A 34341-2024 artfynd.xlsx", "A 34341-2024")</f>
        <v/>
      </c>
      <c r="T391">
        <f>HYPERLINK("https://klasma.github.io/Logging_1286/kartor/A 34341-2024 karta.png", "A 34341-2024")</f>
        <v/>
      </c>
      <c r="V391">
        <f>HYPERLINK("https://klasma.github.io/Logging_1286/klagomål/A 34341-2024 FSC-klagomål.docx", "A 34341-2024")</f>
        <v/>
      </c>
      <c r="W391">
        <f>HYPERLINK("https://klasma.github.io/Logging_1286/klagomålsmail/A 34341-2024 FSC-klagomål mail.docx", "A 34341-2024")</f>
        <v/>
      </c>
      <c r="X391">
        <f>HYPERLINK("https://klasma.github.io/Logging_1286/tillsyn/A 34341-2024 tillsynsbegäran.docx", "A 34341-2024")</f>
        <v/>
      </c>
      <c r="Y391">
        <f>HYPERLINK("https://klasma.github.io/Logging_1286/tillsynsmail/A 34341-2024 tillsynsbegäran mail.docx", "A 34341-2024")</f>
        <v/>
      </c>
    </row>
    <row r="392" ht="15" customHeight="1">
      <c r="A392" t="inlineStr">
        <is>
          <t>A 35258-2024</t>
        </is>
      </c>
      <c r="B392" s="1" t="n">
        <v>45530</v>
      </c>
      <c r="C392" s="1" t="n">
        <v>45744</v>
      </c>
      <c r="D392" t="inlineStr">
        <is>
          <t>SKÅNE LÄN</t>
        </is>
      </c>
      <c r="E392" t="inlineStr">
        <is>
          <t>SJÖBO</t>
        </is>
      </c>
      <c r="G392" t="n">
        <v>16.6</v>
      </c>
      <c r="H392" t="n">
        <v>0</v>
      </c>
      <c r="I392" t="n">
        <v>0</v>
      </c>
      <c r="J392" t="n">
        <v>0</v>
      </c>
      <c r="K392" t="n">
        <v>0</v>
      </c>
      <c r="L392" t="n">
        <v>1</v>
      </c>
      <c r="M392" t="n">
        <v>0</v>
      </c>
      <c r="N392" t="n">
        <v>0</v>
      </c>
      <c r="O392" t="n">
        <v>1</v>
      </c>
      <c r="P392" t="n">
        <v>1</v>
      </c>
      <c r="Q392" t="n">
        <v>1</v>
      </c>
      <c r="R392" s="2" t="inlineStr">
        <is>
          <t>Ask</t>
        </is>
      </c>
      <c r="S392">
        <f>HYPERLINK("https://klasma.github.io/Logging_1265/artfynd/A 35258-2024 artfynd.xlsx", "A 35258-2024")</f>
        <v/>
      </c>
      <c r="T392">
        <f>HYPERLINK("https://klasma.github.io/Logging_1265/kartor/A 35258-2024 karta.png", "A 35258-2024")</f>
        <v/>
      </c>
      <c r="V392">
        <f>HYPERLINK("https://klasma.github.io/Logging_1265/klagomål/A 35258-2024 FSC-klagomål.docx", "A 35258-2024")</f>
        <v/>
      </c>
      <c r="W392">
        <f>HYPERLINK("https://klasma.github.io/Logging_1265/klagomålsmail/A 35258-2024 FSC-klagomål mail.docx", "A 35258-2024")</f>
        <v/>
      </c>
      <c r="X392">
        <f>HYPERLINK("https://klasma.github.io/Logging_1265/tillsyn/A 35258-2024 tillsynsbegäran.docx", "A 35258-2024")</f>
        <v/>
      </c>
      <c r="Y392">
        <f>HYPERLINK("https://klasma.github.io/Logging_1265/tillsynsmail/A 35258-2024 tillsynsbegäran mail.docx", "A 35258-2024")</f>
        <v/>
      </c>
    </row>
    <row r="393" ht="15" customHeight="1">
      <c r="A393" t="inlineStr">
        <is>
          <t>A 48064-2024</t>
        </is>
      </c>
      <c r="B393" s="1" t="n">
        <v>45589</v>
      </c>
      <c r="C393" s="1" t="n">
        <v>45744</v>
      </c>
      <c r="D393" t="inlineStr">
        <is>
          <t>SKÅNE LÄN</t>
        </is>
      </c>
      <c r="E393" t="inlineStr">
        <is>
          <t>ÄNGELHOLM</t>
        </is>
      </c>
      <c r="G393" t="n">
        <v>14.9</v>
      </c>
      <c r="H393" t="n">
        <v>1</v>
      </c>
      <c r="I393" t="n">
        <v>0</v>
      </c>
      <c r="J393" t="n">
        <v>0</v>
      </c>
      <c r="K393" t="n">
        <v>0</v>
      </c>
      <c r="L393" t="n">
        <v>0</v>
      </c>
      <c r="M393" t="n">
        <v>0</v>
      </c>
      <c r="N393" t="n">
        <v>0</v>
      </c>
      <c r="O393" t="n">
        <v>0</v>
      </c>
      <c r="P393" t="n">
        <v>0</v>
      </c>
      <c r="Q393" t="n">
        <v>1</v>
      </c>
      <c r="R393" s="2" t="inlineStr">
        <is>
          <t>Klotullört</t>
        </is>
      </c>
      <c r="S393">
        <f>HYPERLINK("https://klasma.github.io/Logging_1292/artfynd/A 48064-2024 artfynd.xlsx", "A 48064-2024")</f>
        <v/>
      </c>
      <c r="T393">
        <f>HYPERLINK("https://klasma.github.io/Logging_1292/kartor/A 48064-2024 karta.png", "A 48064-2024")</f>
        <v/>
      </c>
      <c r="V393">
        <f>HYPERLINK("https://klasma.github.io/Logging_1292/klagomål/A 48064-2024 FSC-klagomål.docx", "A 48064-2024")</f>
        <v/>
      </c>
      <c r="W393">
        <f>HYPERLINK("https://klasma.github.io/Logging_1292/klagomålsmail/A 48064-2024 FSC-klagomål mail.docx", "A 48064-2024")</f>
        <v/>
      </c>
      <c r="X393">
        <f>HYPERLINK("https://klasma.github.io/Logging_1292/tillsyn/A 48064-2024 tillsynsbegäran.docx", "A 48064-2024")</f>
        <v/>
      </c>
      <c r="Y393">
        <f>HYPERLINK("https://klasma.github.io/Logging_1292/tillsynsmail/A 48064-2024 tillsynsbegäran mail.docx", "A 48064-2024")</f>
        <v/>
      </c>
    </row>
    <row r="394" ht="15" customHeight="1">
      <c r="A394" t="inlineStr">
        <is>
          <t>A 48926-2024</t>
        </is>
      </c>
      <c r="B394" s="1" t="n">
        <v>45594</v>
      </c>
      <c r="C394" s="1" t="n">
        <v>45744</v>
      </c>
      <c r="D394" t="inlineStr">
        <is>
          <t>SKÅNE LÄN</t>
        </is>
      </c>
      <c r="E394" t="inlineStr">
        <is>
          <t>HÖÖR</t>
        </is>
      </c>
      <c r="G394" t="n">
        <v>10.8</v>
      </c>
      <c r="H394" t="n">
        <v>0</v>
      </c>
      <c r="I394" t="n">
        <v>0</v>
      </c>
      <c r="J394" t="n">
        <v>0</v>
      </c>
      <c r="K394" t="n">
        <v>1</v>
      </c>
      <c r="L394" t="n">
        <v>0</v>
      </c>
      <c r="M394" t="n">
        <v>0</v>
      </c>
      <c r="N394" t="n">
        <v>0</v>
      </c>
      <c r="O394" t="n">
        <v>1</v>
      </c>
      <c r="P394" t="n">
        <v>1</v>
      </c>
      <c r="Q394" t="n">
        <v>1</v>
      </c>
      <c r="R394" s="2" t="inlineStr">
        <is>
          <t>Småvänderot</t>
        </is>
      </c>
      <c r="S394">
        <f>HYPERLINK("https://klasma.github.io/Logging_1267/artfynd/A 48926-2024 artfynd.xlsx", "A 48926-2024")</f>
        <v/>
      </c>
      <c r="T394">
        <f>HYPERLINK("https://klasma.github.io/Logging_1267/kartor/A 48926-2024 karta.png", "A 48926-2024")</f>
        <v/>
      </c>
      <c r="V394">
        <f>HYPERLINK("https://klasma.github.io/Logging_1267/klagomål/A 48926-2024 FSC-klagomål.docx", "A 48926-2024")</f>
        <v/>
      </c>
      <c r="W394">
        <f>HYPERLINK("https://klasma.github.io/Logging_1267/klagomålsmail/A 48926-2024 FSC-klagomål mail.docx", "A 48926-2024")</f>
        <v/>
      </c>
      <c r="X394">
        <f>HYPERLINK("https://klasma.github.io/Logging_1267/tillsyn/A 48926-2024 tillsynsbegäran.docx", "A 48926-2024")</f>
        <v/>
      </c>
      <c r="Y394">
        <f>HYPERLINK("https://klasma.github.io/Logging_1267/tillsynsmail/A 48926-2024 tillsynsbegäran mail.docx", "A 48926-2024")</f>
        <v/>
      </c>
    </row>
    <row r="395" ht="15" customHeight="1">
      <c r="A395" t="inlineStr">
        <is>
          <t>A 50779-2024</t>
        </is>
      </c>
      <c r="B395" s="1" t="n">
        <v>45602</v>
      </c>
      <c r="C395" s="1" t="n">
        <v>45744</v>
      </c>
      <c r="D395" t="inlineStr">
        <is>
          <t>SKÅNE LÄN</t>
        </is>
      </c>
      <c r="E395" t="inlineStr">
        <is>
          <t>KRISTIANSTAD</t>
        </is>
      </c>
      <c r="G395" t="n">
        <v>6.6</v>
      </c>
      <c r="H395" t="n">
        <v>0</v>
      </c>
      <c r="I395" t="n">
        <v>1</v>
      </c>
      <c r="J395" t="n">
        <v>0</v>
      </c>
      <c r="K395" t="n">
        <v>0</v>
      </c>
      <c r="L395" t="n">
        <v>0</v>
      </c>
      <c r="M395" t="n">
        <v>0</v>
      </c>
      <c r="N395" t="n">
        <v>0</v>
      </c>
      <c r="O395" t="n">
        <v>0</v>
      </c>
      <c r="P395" t="n">
        <v>0</v>
      </c>
      <c r="Q395" t="n">
        <v>1</v>
      </c>
      <c r="R395" s="2" t="inlineStr">
        <is>
          <t>Bokoxe</t>
        </is>
      </c>
      <c r="S395">
        <f>HYPERLINK("https://klasma.github.io/Logging_1290/artfynd/A 50779-2024 artfynd.xlsx", "A 50779-2024")</f>
        <v/>
      </c>
      <c r="T395">
        <f>HYPERLINK("https://klasma.github.io/Logging_1290/kartor/A 50779-2024 karta.png", "A 50779-2024")</f>
        <v/>
      </c>
      <c r="V395">
        <f>HYPERLINK("https://klasma.github.io/Logging_1290/klagomål/A 50779-2024 FSC-klagomål.docx", "A 50779-2024")</f>
        <v/>
      </c>
      <c r="W395">
        <f>HYPERLINK("https://klasma.github.io/Logging_1290/klagomålsmail/A 50779-2024 FSC-klagomål mail.docx", "A 50779-2024")</f>
        <v/>
      </c>
      <c r="X395">
        <f>HYPERLINK("https://klasma.github.io/Logging_1290/tillsyn/A 50779-2024 tillsynsbegäran.docx", "A 50779-2024")</f>
        <v/>
      </c>
      <c r="Y395">
        <f>HYPERLINK("https://klasma.github.io/Logging_1290/tillsynsmail/A 50779-2024 tillsynsbegäran mail.docx", "A 50779-2024")</f>
        <v/>
      </c>
    </row>
    <row r="396" ht="15" customHeight="1">
      <c r="A396" t="inlineStr">
        <is>
          <t>A 53811-2024</t>
        </is>
      </c>
      <c r="B396" s="1" t="n">
        <v>45615</v>
      </c>
      <c r="C396" s="1" t="n">
        <v>45744</v>
      </c>
      <c r="D396" t="inlineStr">
        <is>
          <t>SKÅNE LÄN</t>
        </is>
      </c>
      <c r="E396" t="inlineStr">
        <is>
          <t>ESLÖV</t>
        </is>
      </c>
      <c r="G396" t="n">
        <v>1.2</v>
      </c>
      <c r="H396" t="n">
        <v>0</v>
      </c>
      <c r="I396" t="n">
        <v>0</v>
      </c>
      <c r="J396" t="n">
        <v>1</v>
      </c>
      <c r="K396" t="n">
        <v>0</v>
      </c>
      <c r="L396" t="n">
        <v>0</v>
      </c>
      <c r="M396" t="n">
        <v>0</v>
      </c>
      <c r="N396" t="n">
        <v>0</v>
      </c>
      <c r="O396" t="n">
        <v>1</v>
      </c>
      <c r="P396" t="n">
        <v>0</v>
      </c>
      <c r="Q396" t="n">
        <v>1</v>
      </c>
      <c r="R396" s="2" t="inlineStr">
        <is>
          <t>Dystersopp</t>
        </is>
      </c>
      <c r="S396">
        <f>HYPERLINK("https://klasma.github.io/Logging_1285/artfynd/A 53811-2024 artfynd.xlsx", "A 53811-2024")</f>
        <v/>
      </c>
      <c r="T396">
        <f>HYPERLINK("https://klasma.github.io/Logging_1285/kartor/A 53811-2024 karta.png", "A 53811-2024")</f>
        <v/>
      </c>
      <c r="V396">
        <f>HYPERLINK("https://klasma.github.io/Logging_1285/klagomål/A 53811-2024 FSC-klagomål.docx", "A 53811-2024")</f>
        <v/>
      </c>
      <c r="W396">
        <f>HYPERLINK("https://klasma.github.io/Logging_1285/klagomålsmail/A 53811-2024 FSC-klagomål mail.docx", "A 53811-2024")</f>
        <v/>
      </c>
      <c r="X396">
        <f>HYPERLINK("https://klasma.github.io/Logging_1285/tillsyn/A 53811-2024 tillsynsbegäran.docx", "A 53811-2024")</f>
        <v/>
      </c>
      <c r="Y396">
        <f>HYPERLINK("https://klasma.github.io/Logging_1285/tillsynsmail/A 53811-2024 tillsynsbegäran mail.docx", "A 53811-2024")</f>
        <v/>
      </c>
    </row>
    <row r="397" ht="15" customHeight="1">
      <c r="A397" t="inlineStr">
        <is>
          <t>A 54523-2024</t>
        </is>
      </c>
      <c r="B397" s="1" t="n">
        <v>45617</v>
      </c>
      <c r="C397" s="1" t="n">
        <v>45744</v>
      </c>
      <c r="D397" t="inlineStr">
        <is>
          <t>SKÅNE LÄN</t>
        </is>
      </c>
      <c r="E397" t="inlineStr">
        <is>
          <t>HÄSSLEHOLM</t>
        </is>
      </c>
      <c r="G397" t="n">
        <v>4.5</v>
      </c>
      <c r="H397" t="n">
        <v>1</v>
      </c>
      <c r="I397" t="n">
        <v>0</v>
      </c>
      <c r="J397" t="n">
        <v>0</v>
      </c>
      <c r="K397" t="n">
        <v>0</v>
      </c>
      <c r="L397" t="n">
        <v>0</v>
      </c>
      <c r="M397" t="n">
        <v>0</v>
      </c>
      <c r="N397" t="n">
        <v>0</v>
      </c>
      <c r="O397" t="n">
        <v>0</v>
      </c>
      <c r="P397" t="n">
        <v>0</v>
      </c>
      <c r="Q397" t="n">
        <v>1</v>
      </c>
      <c r="R397" s="2" t="inlineStr">
        <is>
          <t>Grönvit nattviol</t>
        </is>
      </c>
      <c r="S397">
        <f>HYPERLINK("https://klasma.github.io/Logging_1293/artfynd/A 54523-2024 artfynd.xlsx", "A 54523-2024")</f>
        <v/>
      </c>
      <c r="T397">
        <f>HYPERLINK("https://klasma.github.io/Logging_1293/kartor/A 54523-2024 karta.png", "A 54523-2024")</f>
        <v/>
      </c>
      <c r="V397">
        <f>HYPERLINK("https://klasma.github.io/Logging_1293/klagomål/A 54523-2024 FSC-klagomål.docx", "A 54523-2024")</f>
        <v/>
      </c>
      <c r="W397">
        <f>HYPERLINK("https://klasma.github.io/Logging_1293/klagomålsmail/A 54523-2024 FSC-klagomål mail.docx", "A 54523-2024")</f>
        <v/>
      </c>
      <c r="X397">
        <f>HYPERLINK("https://klasma.github.io/Logging_1293/tillsyn/A 54523-2024 tillsynsbegäran.docx", "A 54523-2024")</f>
        <v/>
      </c>
      <c r="Y397">
        <f>HYPERLINK("https://klasma.github.io/Logging_1293/tillsynsmail/A 54523-2024 tillsynsbegäran mail.docx", "A 54523-2024")</f>
        <v/>
      </c>
    </row>
    <row r="398" ht="15" customHeight="1">
      <c r="A398" t="inlineStr">
        <is>
          <t>A 59446-2024</t>
        </is>
      </c>
      <c r="B398" s="1" t="n">
        <v>45638</v>
      </c>
      <c r="C398" s="1" t="n">
        <v>45744</v>
      </c>
      <c r="D398" t="inlineStr">
        <is>
          <t>SKÅNE LÄN</t>
        </is>
      </c>
      <c r="E398" t="inlineStr">
        <is>
          <t>BJUV</t>
        </is>
      </c>
      <c r="G398" t="n">
        <v>3.9</v>
      </c>
      <c r="H398" t="n">
        <v>0</v>
      </c>
      <c r="I398" t="n">
        <v>1</v>
      </c>
      <c r="J398" t="n">
        <v>0</v>
      </c>
      <c r="K398" t="n">
        <v>0</v>
      </c>
      <c r="L398" t="n">
        <v>0</v>
      </c>
      <c r="M398" t="n">
        <v>0</v>
      </c>
      <c r="N398" t="n">
        <v>0</v>
      </c>
      <c r="O398" t="n">
        <v>0</v>
      </c>
      <c r="P398" t="n">
        <v>0</v>
      </c>
      <c r="Q398" t="n">
        <v>1</v>
      </c>
      <c r="R398" s="2" t="inlineStr">
        <is>
          <t>Platt fjädermossa</t>
        </is>
      </c>
      <c r="S398">
        <f>HYPERLINK("https://klasma.github.io/Logging_1260/artfynd/A 59446-2024 artfynd.xlsx", "A 59446-2024")</f>
        <v/>
      </c>
      <c r="T398">
        <f>HYPERLINK("https://klasma.github.io/Logging_1260/kartor/A 59446-2024 karta.png", "A 59446-2024")</f>
        <v/>
      </c>
      <c r="V398">
        <f>HYPERLINK("https://klasma.github.io/Logging_1260/klagomål/A 59446-2024 FSC-klagomål.docx", "A 59446-2024")</f>
        <v/>
      </c>
      <c r="W398">
        <f>HYPERLINK("https://klasma.github.io/Logging_1260/klagomålsmail/A 59446-2024 FSC-klagomål mail.docx", "A 59446-2024")</f>
        <v/>
      </c>
      <c r="X398">
        <f>HYPERLINK("https://klasma.github.io/Logging_1260/tillsyn/A 59446-2024 tillsynsbegäran.docx", "A 59446-2024")</f>
        <v/>
      </c>
      <c r="Y398">
        <f>HYPERLINK("https://klasma.github.io/Logging_1260/tillsynsmail/A 59446-2024 tillsynsbegäran mail.docx", "A 59446-2024")</f>
        <v/>
      </c>
    </row>
    <row r="399" ht="15" customHeight="1">
      <c r="A399" t="inlineStr">
        <is>
          <t>A 60891-2024</t>
        </is>
      </c>
      <c r="B399" s="1" t="n">
        <v>45644</v>
      </c>
      <c r="C399" s="1" t="n">
        <v>45744</v>
      </c>
      <c r="D399" t="inlineStr">
        <is>
          <t>SKÅNE LÄN</t>
        </is>
      </c>
      <c r="E399" t="inlineStr">
        <is>
          <t>YSTAD</t>
        </is>
      </c>
      <c r="G399" t="n">
        <v>16.1</v>
      </c>
      <c r="H399" t="n">
        <v>1</v>
      </c>
      <c r="I399" t="n">
        <v>0</v>
      </c>
      <c r="J399" t="n">
        <v>0</v>
      </c>
      <c r="K399" t="n">
        <v>0</v>
      </c>
      <c r="L399" t="n">
        <v>0</v>
      </c>
      <c r="M399" t="n">
        <v>0</v>
      </c>
      <c r="N399" t="n">
        <v>0</v>
      </c>
      <c r="O399" t="n">
        <v>0</v>
      </c>
      <c r="P399" t="n">
        <v>0</v>
      </c>
      <c r="Q399" t="n">
        <v>1</v>
      </c>
      <c r="R399" s="2" t="inlineStr">
        <is>
          <t>Lövgroda</t>
        </is>
      </c>
      <c r="S399">
        <f>HYPERLINK("https://klasma.github.io/Logging_1286/artfynd/A 60891-2024 artfynd.xlsx", "A 60891-2024")</f>
        <v/>
      </c>
      <c r="T399">
        <f>HYPERLINK("https://klasma.github.io/Logging_1286/kartor/A 60891-2024 karta.png", "A 60891-2024")</f>
        <v/>
      </c>
      <c r="V399">
        <f>HYPERLINK("https://klasma.github.io/Logging_1286/klagomål/A 60891-2024 FSC-klagomål.docx", "A 60891-2024")</f>
        <v/>
      </c>
      <c r="W399">
        <f>HYPERLINK("https://klasma.github.io/Logging_1286/klagomålsmail/A 60891-2024 FSC-klagomål mail.docx", "A 60891-2024")</f>
        <v/>
      </c>
      <c r="X399">
        <f>HYPERLINK("https://klasma.github.io/Logging_1286/tillsyn/A 60891-2024 tillsynsbegäran.docx", "A 60891-2024")</f>
        <v/>
      </c>
      <c r="Y399">
        <f>HYPERLINK("https://klasma.github.io/Logging_1286/tillsynsmail/A 60891-2024 tillsynsbegäran mail.docx", "A 60891-2024")</f>
        <v/>
      </c>
    </row>
    <row r="400" ht="15" customHeight="1">
      <c r="A400" t="inlineStr">
        <is>
          <t>A 60925-2024</t>
        </is>
      </c>
      <c r="B400" s="1" t="n">
        <v>45645</v>
      </c>
      <c r="C400" s="1" t="n">
        <v>45744</v>
      </c>
      <c r="D400" t="inlineStr">
        <is>
          <t>SKÅNE LÄN</t>
        </is>
      </c>
      <c r="E400" t="inlineStr">
        <is>
          <t>HÄSSLEHOLM</t>
        </is>
      </c>
      <c r="G400" t="n">
        <v>1.8</v>
      </c>
      <c r="H400" t="n">
        <v>0</v>
      </c>
      <c r="I400" t="n">
        <v>0</v>
      </c>
      <c r="J400" t="n">
        <v>0</v>
      </c>
      <c r="K400" t="n">
        <v>0</v>
      </c>
      <c r="L400" t="n">
        <v>1</v>
      </c>
      <c r="M400" t="n">
        <v>0</v>
      </c>
      <c r="N400" t="n">
        <v>0</v>
      </c>
      <c r="O400" t="n">
        <v>1</v>
      </c>
      <c r="P400" t="n">
        <v>1</v>
      </c>
      <c r="Q400" t="n">
        <v>1</v>
      </c>
      <c r="R400" s="2" t="inlineStr">
        <is>
          <t>Ask</t>
        </is>
      </c>
      <c r="S400">
        <f>HYPERLINK("https://klasma.github.io/Logging_1293/artfynd/A 60925-2024 artfynd.xlsx", "A 60925-2024")</f>
        <v/>
      </c>
      <c r="T400">
        <f>HYPERLINK("https://klasma.github.io/Logging_1293/kartor/A 60925-2024 karta.png", "A 60925-2024")</f>
        <v/>
      </c>
      <c r="V400">
        <f>HYPERLINK("https://klasma.github.io/Logging_1293/klagomål/A 60925-2024 FSC-klagomål.docx", "A 60925-2024")</f>
        <v/>
      </c>
      <c r="W400">
        <f>HYPERLINK("https://klasma.github.io/Logging_1293/klagomålsmail/A 60925-2024 FSC-klagomål mail.docx", "A 60925-2024")</f>
        <v/>
      </c>
      <c r="X400">
        <f>HYPERLINK("https://klasma.github.io/Logging_1293/tillsyn/A 60925-2024 tillsynsbegäran.docx", "A 60925-2024")</f>
        <v/>
      </c>
      <c r="Y400">
        <f>HYPERLINK("https://klasma.github.io/Logging_1293/tillsynsmail/A 60925-2024 tillsynsbegäran mail.docx", "A 60925-2024")</f>
        <v/>
      </c>
    </row>
    <row r="401" ht="15" customHeight="1">
      <c r="A401" t="inlineStr">
        <is>
          <t>A 61019-2024</t>
        </is>
      </c>
      <c r="B401" s="1" t="n">
        <v>45645</v>
      </c>
      <c r="C401" s="1" t="n">
        <v>45744</v>
      </c>
      <c r="D401" t="inlineStr">
        <is>
          <t>SKÅNE LÄN</t>
        </is>
      </c>
      <c r="E401" t="inlineStr">
        <is>
          <t>HÖÖR</t>
        </is>
      </c>
      <c r="F401" t="inlineStr">
        <is>
          <t>Kommuner</t>
        </is>
      </c>
      <c r="G401" t="n">
        <v>2.2</v>
      </c>
      <c r="H401" t="n">
        <v>0</v>
      </c>
      <c r="I401" t="n">
        <v>0</v>
      </c>
      <c r="J401" t="n">
        <v>1</v>
      </c>
      <c r="K401" t="n">
        <v>0</v>
      </c>
      <c r="L401" t="n">
        <v>0</v>
      </c>
      <c r="M401" t="n">
        <v>0</v>
      </c>
      <c r="N401" t="n">
        <v>0</v>
      </c>
      <c r="O401" t="n">
        <v>1</v>
      </c>
      <c r="P401" t="n">
        <v>0</v>
      </c>
      <c r="Q401" t="n">
        <v>1</v>
      </c>
      <c r="R401" s="2" t="inlineStr">
        <is>
          <t>Brokigt ängsfly</t>
        </is>
      </c>
      <c r="S401">
        <f>HYPERLINK("https://klasma.github.io/Logging_1267/artfynd/A 61019-2024 artfynd.xlsx", "A 61019-2024")</f>
        <v/>
      </c>
      <c r="T401">
        <f>HYPERLINK("https://klasma.github.io/Logging_1267/kartor/A 61019-2024 karta.png", "A 61019-2024")</f>
        <v/>
      </c>
      <c r="V401">
        <f>HYPERLINK("https://klasma.github.io/Logging_1267/klagomål/A 61019-2024 FSC-klagomål.docx", "A 61019-2024")</f>
        <v/>
      </c>
      <c r="W401">
        <f>HYPERLINK("https://klasma.github.io/Logging_1267/klagomålsmail/A 61019-2024 FSC-klagomål mail.docx", "A 61019-2024")</f>
        <v/>
      </c>
      <c r="X401">
        <f>HYPERLINK("https://klasma.github.io/Logging_1267/tillsyn/A 61019-2024 tillsynsbegäran.docx", "A 61019-2024")</f>
        <v/>
      </c>
      <c r="Y401">
        <f>HYPERLINK("https://klasma.github.io/Logging_1267/tillsynsmail/A 61019-2024 tillsynsbegäran mail.docx", "A 61019-2024")</f>
        <v/>
      </c>
    </row>
    <row r="402" ht="15" customHeight="1">
      <c r="A402" t="inlineStr">
        <is>
          <t>A 61707-2024</t>
        </is>
      </c>
      <c r="B402" s="1" t="n">
        <v>45648</v>
      </c>
      <c r="C402" s="1" t="n">
        <v>45744</v>
      </c>
      <c r="D402" t="inlineStr">
        <is>
          <t>SKÅNE LÄN</t>
        </is>
      </c>
      <c r="E402" t="inlineStr">
        <is>
          <t>HÄSSLEHOLM</t>
        </is>
      </c>
      <c r="G402" t="n">
        <v>3.2</v>
      </c>
      <c r="H402" t="n">
        <v>0</v>
      </c>
      <c r="I402" t="n">
        <v>0</v>
      </c>
      <c r="J402" t="n">
        <v>1</v>
      </c>
      <c r="K402" t="n">
        <v>0</v>
      </c>
      <c r="L402" t="n">
        <v>0</v>
      </c>
      <c r="M402" t="n">
        <v>0</v>
      </c>
      <c r="N402" t="n">
        <v>0</v>
      </c>
      <c r="O402" t="n">
        <v>1</v>
      </c>
      <c r="P402" t="n">
        <v>0</v>
      </c>
      <c r="Q402" t="n">
        <v>1</v>
      </c>
      <c r="R402" s="2" t="inlineStr">
        <is>
          <t>Rödlånke</t>
        </is>
      </c>
      <c r="S402">
        <f>HYPERLINK("https://klasma.github.io/Logging_1293/artfynd/A 61707-2024 artfynd.xlsx", "A 61707-2024")</f>
        <v/>
      </c>
      <c r="T402">
        <f>HYPERLINK("https://klasma.github.io/Logging_1293/kartor/A 61707-2024 karta.png", "A 61707-2024")</f>
        <v/>
      </c>
      <c r="V402">
        <f>HYPERLINK("https://klasma.github.io/Logging_1293/klagomål/A 61707-2024 FSC-klagomål.docx", "A 61707-2024")</f>
        <v/>
      </c>
      <c r="W402">
        <f>HYPERLINK("https://klasma.github.io/Logging_1293/klagomålsmail/A 61707-2024 FSC-klagomål mail.docx", "A 61707-2024")</f>
        <v/>
      </c>
      <c r="X402">
        <f>HYPERLINK("https://klasma.github.io/Logging_1293/tillsyn/A 61707-2024 tillsynsbegäran.docx", "A 61707-2024")</f>
        <v/>
      </c>
      <c r="Y402">
        <f>HYPERLINK("https://klasma.github.io/Logging_1293/tillsynsmail/A 61707-2024 tillsynsbegäran mail.docx", "A 61707-2024")</f>
        <v/>
      </c>
    </row>
    <row r="403" ht="15" customHeight="1">
      <c r="A403" t="inlineStr">
        <is>
          <t>A 61738-2024</t>
        </is>
      </c>
      <c r="B403" s="1" t="n">
        <v>45649</v>
      </c>
      <c r="C403" s="1" t="n">
        <v>45744</v>
      </c>
      <c r="D403" t="inlineStr">
        <is>
          <t>SKÅNE LÄN</t>
        </is>
      </c>
      <c r="E403" t="inlineStr">
        <is>
          <t>OSBY</t>
        </is>
      </c>
      <c r="G403" t="n">
        <v>3.7</v>
      </c>
      <c r="H403" t="n">
        <v>1</v>
      </c>
      <c r="I403" t="n">
        <v>0</v>
      </c>
      <c r="J403" t="n">
        <v>0</v>
      </c>
      <c r="K403" t="n">
        <v>0</v>
      </c>
      <c r="L403" t="n">
        <v>0</v>
      </c>
      <c r="M403" t="n">
        <v>0</v>
      </c>
      <c r="N403" t="n">
        <v>0</v>
      </c>
      <c r="O403" t="n">
        <v>0</v>
      </c>
      <c r="P403" t="n">
        <v>0</v>
      </c>
      <c r="Q403" t="n">
        <v>1</v>
      </c>
      <c r="R403" s="2" t="inlineStr">
        <is>
          <t>Vanlig snok</t>
        </is>
      </c>
      <c r="S403">
        <f>HYPERLINK("https://klasma.github.io/Logging_1273/artfynd/A 61738-2024 artfynd.xlsx", "A 61738-2024")</f>
        <v/>
      </c>
      <c r="T403">
        <f>HYPERLINK("https://klasma.github.io/Logging_1273/kartor/A 61738-2024 karta.png", "A 61738-2024")</f>
        <v/>
      </c>
      <c r="V403">
        <f>HYPERLINK("https://klasma.github.io/Logging_1273/klagomål/A 61738-2024 FSC-klagomål.docx", "A 61738-2024")</f>
        <v/>
      </c>
      <c r="W403">
        <f>HYPERLINK("https://klasma.github.io/Logging_1273/klagomålsmail/A 61738-2024 FSC-klagomål mail.docx", "A 61738-2024")</f>
        <v/>
      </c>
      <c r="X403">
        <f>HYPERLINK("https://klasma.github.io/Logging_1273/tillsyn/A 61738-2024 tillsynsbegäran.docx", "A 61738-2024")</f>
        <v/>
      </c>
      <c r="Y403">
        <f>HYPERLINK("https://klasma.github.io/Logging_1273/tillsynsmail/A 61738-2024 tillsynsbegäran mail.docx", "A 61738-2024")</f>
        <v/>
      </c>
    </row>
    <row r="404" ht="15" customHeight="1">
      <c r="A404" t="inlineStr">
        <is>
          <t>A 2482-2025</t>
        </is>
      </c>
      <c r="B404" s="1" t="n">
        <v>45674</v>
      </c>
      <c r="C404" s="1" t="n">
        <v>45744</v>
      </c>
      <c r="D404" t="inlineStr">
        <is>
          <t>SKÅNE LÄN</t>
        </is>
      </c>
      <c r="E404" t="inlineStr">
        <is>
          <t>SVEDALA</t>
        </is>
      </c>
      <c r="G404" t="n">
        <v>0.5</v>
      </c>
      <c r="H404" t="n">
        <v>0</v>
      </c>
      <c r="I404" t="n">
        <v>0</v>
      </c>
      <c r="J404" t="n">
        <v>1</v>
      </c>
      <c r="K404" t="n">
        <v>0</v>
      </c>
      <c r="L404" t="n">
        <v>0</v>
      </c>
      <c r="M404" t="n">
        <v>0</v>
      </c>
      <c r="N404" t="n">
        <v>0</v>
      </c>
      <c r="O404" t="n">
        <v>1</v>
      </c>
      <c r="P404" t="n">
        <v>0</v>
      </c>
      <c r="Q404" t="n">
        <v>1</v>
      </c>
      <c r="R404" s="2" t="inlineStr">
        <is>
          <t>Korallticka</t>
        </is>
      </c>
      <c r="S404">
        <f>HYPERLINK("https://klasma.github.io/Logging_1263/artfynd/A 2482-2025 artfynd.xlsx", "A 2482-2025")</f>
        <v/>
      </c>
      <c r="T404">
        <f>HYPERLINK("https://klasma.github.io/Logging_1263/kartor/A 2482-2025 karta.png", "A 2482-2025")</f>
        <v/>
      </c>
      <c r="V404">
        <f>HYPERLINK("https://klasma.github.io/Logging_1263/klagomål/A 2482-2025 FSC-klagomål.docx", "A 2482-2025")</f>
        <v/>
      </c>
      <c r="W404">
        <f>HYPERLINK("https://klasma.github.io/Logging_1263/klagomålsmail/A 2482-2025 FSC-klagomål mail.docx", "A 2482-2025")</f>
        <v/>
      </c>
      <c r="X404">
        <f>HYPERLINK("https://klasma.github.io/Logging_1263/tillsyn/A 2482-2025 tillsynsbegäran.docx", "A 2482-2025")</f>
        <v/>
      </c>
      <c r="Y404">
        <f>HYPERLINK("https://klasma.github.io/Logging_1263/tillsynsmail/A 2482-2025 tillsynsbegäran mail.docx", "A 2482-2025")</f>
        <v/>
      </c>
    </row>
    <row r="405" ht="15" customHeight="1">
      <c r="A405" t="inlineStr">
        <is>
          <t>A 4619-2025</t>
        </is>
      </c>
      <c r="B405" s="1" t="n">
        <v>45687</v>
      </c>
      <c r="C405" s="1" t="n">
        <v>45744</v>
      </c>
      <c r="D405" t="inlineStr">
        <is>
          <t>SKÅNE LÄN</t>
        </is>
      </c>
      <c r="E405" t="inlineStr">
        <is>
          <t>HÄSSLEHOLM</t>
        </is>
      </c>
      <c r="G405" t="n">
        <v>2.2</v>
      </c>
      <c r="H405" t="n">
        <v>0</v>
      </c>
      <c r="I405" t="n">
        <v>0</v>
      </c>
      <c r="J405" t="n">
        <v>0</v>
      </c>
      <c r="K405" t="n">
        <v>1</v>
      </c>
      <c r="L405" t="n">
        <v>0</v>
      </c>
      <c r="M405" t="n">
        <v>0</v>
      </c>
      <c r="N405" t="n">
        <v>0</v>
      </c>
      <c r="O405" t="n">
        <v>1</v>
      </c>
      <c r="P405" t="n">
        <v>1</v>
      </c>
      <c r="Q405" t="n">
        <v>1</v>
      </c>
      <c r="R405" s="2" t="inlineStr">
        <is>
          <t>Vildris</t>
        </is>
      </c>
      <c r="S405">
        <f>HYPERLINK("https://klasma.github.io/Logging_1293/artfynd/A 4619-2025 artfynd.xlsx", "A 4619-2025")</f>
        <v/>
      </c>
      <c r="T405">
        <f>HYPERLINK("https://klasma.github.io/Logging_1293/kartor/A 4619-2025 karta.png", "A 4619-2025")</f>
        <v/>
      </c>
      <c r="V405">
        <f>HYPERLINK("https://klasma.github.io/Logging_1293/klagomål/A 4619-2025 FSC-klagomål.docx", "A 4619-2025")</f>
        <v/>
      </c>
      <c r="W405">
        <f>HYPERLINK("https://klasma.github.io/Logging_1293/klagomålsmail/A 4619-2025 FSC-klagomål mail.docx", "A 4619-2025")</f>
        <v/>
      </c>
      <c r="X405">
        <f>HYPERLINK("https://klasma.github.io/Logging_1293/tillsyn/A 4619-2025 tillsynsbegäran.docx", "A 4619-2025")</f>
        <v/>
      </c>
      <c r="Y405">
        <f>HYPERLINK("https://klasma.github.io/Logging_1293/tillsynsmail/A 4619-2025 tillsynsbegäran mail.docx", "A 4619-2025")</f>
        <v/>
      </c>
    </row>
    <row r="406" ht="15" customHeight="1">
      <c r="A406" t="inlineStr">
        <is>
          <t>A 4746-2025</t>
        </is>
      </c>
      <c r="B406" s="1" t="n">
        <v>45688</v>
      </c>
      <c r="C406" s="1" t="n">
        <v>45744</v>
      </c>
      <c r="D406" t="inlineStr">
        <is>
          <t>SKÅNE LÄN</t>
        </is>
      </c>
      <c r="E406" t="inlineStr">
        <is>
          <t>LUND</t>
        </is>
      </c>
      <c r="G406" t="n">
        <v>1.1</v>
      </c>
      <c r="H406" t="n">
        <v>1</v>
      </c>
      <c r="I406" t="n">
        <v>0</v>
      </c>
      <c r="J406" t="n">
        <v>1</v>
      </c>
      <c r="K406" t="n">
        <v>0</v>
      </c>
      <c r="L406" t="n">
        <v>0</v>
      </c>
      <c r="M406" t="n">
        <v>0</v>
      </c>
      <c r="N406" t="n">
        <v>0</v>
      </c>
      <c r="O406" t="n">
        <v>1</v>
      </c>
      <c r="P406" t="n">
        <v>0</v>
      </c>
      <c r="Q406" t="n">
        <v>1</v>
      </c>
      <c r="R406" s="2" t="inlineStr">
        <is>
          <t>Svartvit flugsnappare</t>
        </is>
      </c>
      <c r="S406">
        <f>HYPERLINK("https://klasma.github.io/Logging_1281/artfynd/A 4746-2025 artfynd.xlsx", "A 4746-2025")</f>
        <v/>
      </c>
      <c r="T406">
        <f>HYPERLINK("https://klasma.github.io/Logging_1281/kartor/A 4746-2025 karta.png", "A 4746-2025")</f>
        <v/>
      </c>
      <c r="V406">
        <f>HYPERLINK("https://klasma.github.io/Logging_1281/klagomål/A 4746-2025 FSC-klagomål.docx", "A 4746-2025")</f>
        <v/>
      </c>
      <c r="W406">
        <f>HYPERLINK("https://klasma.github.io/Logging_1281/klagomålsmail/A 4746-2025 FSC-klagomål mail.docx", "A 4746-2025")</f>
        <v/>
      </c>
      <c r="X406">
        <f>HYPERLINK("https://klasma.github.io/Logging_1281/tillsyn/A 4746-2025 tillsynsbegäran.docx", "A 4746-2025")</f>
        <v/>
      </c>
      <c r="Y406">
        <f>HYPERLINK("https://klasma.github.io/Logging_1281/tillsynsmail/A 4746-2025 tillsynsbegäran mail.docx", "A 4746-2025")</f>
        <v/>
      </c>
      <c r="Z406">
        <f>HYPERLINK("https://klasma.github.io/Logging_1281/fåglar/A 4746-2025 prioriterade fågelarter.docx", "A 4746-2025")</f>
        <v/>
      </c>
    </row>
    <row r="407" ht="15" customHeight="1">
      <c r="A407" t="inlineStr">
        <is>
          <t>A 4725-2025</t>
        </is>
      </c>
      <c r="B407" s="1" t="n">
        <v>45688</v>
      </c>
      <c r="C407" s="1" t="n">
        <v>45744</v>
      </c>
      <c r="D407" t="inlineStr">
        <is>
          <t>SKÅNE LÄN</t>
        </is>
      </c>
      <c r="E407" t="inlineStr">
        <is>
          <t>HÄSSLEHOLM</t>
        </is>
      </c>
      <c r="G407" t="n">
        <v>5.5</v>
      </c>
      <c r="H407" t="n">
        <v>1</v>
      </c>
      <c r="I407" t="n">
        <v>0</v>
      </c>
      <c r="J407" t="n">
        <v>0</v>
      </c>
      <c r="K407" t="n">
        <v>0</v>
      </c>
      <c r="L407" t="n">
        <v>0</v>
      </c>
      <c r="M407" t="n">
        <v>0</v>
      </c>
      <c r="N407" t="n">
        <v>0</v>
      </c>
      <c r="O407" t="n">
        <v>0</v>
      </c>
      <c r="P407" t="n">
        <v>0</v>
      </c>
      <c r="Q407" t="n">
        <v>1</v>
      </c>
      <c r="R407" s="2" t="inlineStr">
        <is>
          <t>Grönvit nattviol</t>
        </is>
      </c>
      <c r="S407">
        <f>HYPERLINK("https://klasma.github.io/Logging_1293/artfynd/A 4725-2025 artfynd.xlsx", "A 4725-2025")</f>
        <v/>
      </c>
      <c r="T407">
        <f>HYPERLINK("https://klasma.github.io/Logging_1293/kartor/A 4725-2025 karta.png", "A 4725-2025")</f>
        <v/>
      </c>
      <c r="V407">
        <f>HYPERLINK("https://klasma.github.io/Logging_1293/klagomål/A 4725-2025 FSC-klagomål.docx", "A 4725-2025")</f>
        <v/>
      </c>
      <c r="W407">
        <f>HYPERLINK("https://klasma.github.io/Logging_1293/klagomålsmail/A 4725-2025 FSC-klagomål mail.docx", "A 4725-2025")</f>
        <v/>
      </c>
      <c r="X407">
        <f>HYPERLINK("https://klasma.github.io/Logging_1293/tillsyn/A 4725-2025 tillsynsbegäran.docx", "A 4725-2025")</f>
        <v/>
      </c>
      <c r="Y407">
        <f>HYPERLINK("https://klasma.github.io/Logging_1293/tillsynsmail/A 4725-2025 tillsynsbegäran mail.docx", "A 4725-2025")</f>
        <v/>
      </c>
    </row>
    <row r="408" ht="15" customHeight="1">
      <c r="A408" t="inlineStr">
        <is>
          <t>A 4816-2025</t>
        </is>
      </c>
      <c r="B408" s="1" t="n">
        <v>45688</v>
      </c>
      <c r="C408" s="1" t="n">
        <v>45744</v>
      </c>
      <c r="D408" t="inlineStr">
        <is>
          <t>SKÅNE LÄN</t>
        </is>
      </c>
      <c r="E408" t="inlineStr">
        <is>
          <t>LUND</t>
        </is>
      </c>
      <c r="G408" t="n">
        <v>7.7</v>
      </c>
      <c r="H408" t="n">
        <v>0</v>
      </c>
      <c r="I408" t="n">
        <v>1</v>
      </c>
      <c r="J408" t="n">
        <v>0</v>
      </c>
      <c r="K408" t="n">
        <v>0</v>
      </c>
      <c r="L408" t="n">
        <v>0</v>
      </c>
      <c r="M408" t="n">
        <v>0</v>
      </c>
      <c r="N408" t="n">
        <v>0</v>
      </c>
      <c r="O408" t="n">
        <v>0</v>
      </c>
      <c r="P408" t="n">
        <v>0</v>
      </c>
      <c r="Q408" t="n">
        <v>1</v>
      </c>
      <c r="R408" s="2" t="inlineStr">
        <is>
          <t>Strutbräken</t>
        </is>
      </c>
      <c r="S408">
        <f>HYPERLINK("https://klasma.github.io/Logging_1281/artfynd/A 4816-2025 artfynd.xlsx", "A 4816-2025")</f>
        <v/>
      </c>
      <c r="T408">
        <f>HYPERLINK("https://klasma.github.io/Logging_1281/kartor/A 4816-2025 karta.png", "A 4816-2025")</f>
        <v/>
      </c>
      <c r="V408">
        <f>HYPERLINK("https://klasma.github.io/Logging_1281/klagomål/A 4816-2025 FSC-klagomål.docx", "A 4816-2025")</f>
        <v/>
      </c>
      <c r="W408">
        <f>HYPERLINK("https://klasma.github.io/Logging_1281/klagomålsmail/A 4816-2025 FSC-klagomål mail.docx", "A 4816-2025")</f>
        <v/>
      </c>
      <c r="X408">
        <f>HYPERLINK("https://klasma.github.io/Logging_1281/tillsyn/A 4816-2025 tillsynsbegäran.docx", "A 4816-2025")</f>
        <v/>
      </c>
      <c r="Y408">
        <f>HYPERLINK("https://klasma.github.io/Logging_1281/tillsynsmail/A 4816-2025 tillsynsbegäran mail.docx", "A 4816-2025")</f>
        <v/>
      </c>
    </row>
    <row r="409" ht="15" customHeight="1">
      <c r="A409" t="inlineStr">
        <is>
          <t>A 4792-2025</t>
        </is>
      </c>
      <c r="B409" s="1" t="n">
        <v>45688</v>
      </c>
      <c r="C409" s="1" t="n">
        <v>45744</v>
      </c>
      <c r="D409" t="inlineStr">
        <is>
          <t>SKÅNE LÄN</t>
        </is>
      </c>
      <c r="E409" t="inlineStr">
        <is>
          <t>LUND</t>
        </is>
      </c>
      <c r="G409" t="n">
        <v>5.9</v>
      </c>
      <c r="H409" t="n">
        <v>0</v>
      </c>
      <c r="I409" t="n">
        <v>0</v>
      </c>
      <c r="J409" t="n">
        <v>1</v>
      </c>
      <c r="K409" t="n">
        <v>0</v>
      </c>
      <c r="L409" t="n">
        <v>0</v>
      </c>
      <c r="M409" t="n">
        <v>0</v>
      </c>
      <c r="N409" t="n">
        <v>0</v>
      </c>
      <c r="O409" t="n">
        <v>1</v>
      </c>
      <c r="P409" t="n">
        <v>0</v>
      </c>
      <c r="Q409" t="n">
        <v>1</v>
      </c>
      <c r="R409" s="2" t="inlineStr">
        <is>
          <t>Oxtungssvamp</t>
        </is>
      </c>
      <c r="S409">
        <f>HYPERLINK("https://klasma.github.io/Logging_1281/artfynd/A 4792-2025 artfynd.xlsx", "A 4792-2025")</f>
        <v/>
      </c>
      <c r="T409">
        <f>HYPERLINK("https://klasma.github.io/Logging_1281/kartor/A 4792-2025 karta.png", "A 4792-2025")</f>
        <v/>
      </c>
      <c r="V409">
        <f>HYPERLINK("https://klasma.github.io/Logging_1281/klagomål/A 4792-2025 FSC-klagomål.docx", "A 4792-2025")</f>
        <v/>
      </c>
      <c r="W409">
        <f>HYPERLINK("https://klasma.github.io/Logging_1281/klagomålsmail/A 4792-2025 FSC-klagomål mail.docx", "A 4792-2025")</f>
        <v/>
      </c>
      <c r="X409">
        <f>HYPERLINK("https://klasma.github.io/Logging_1281/tillsyn/A 4792-2025 tillsynsbegäran.docx", "A 4792-2025")</f>
        <v/>
      </c>
      <c r="Y409">
        <f>HYPERLINK("https://klasma.github.io/Logging_1281/tillsynsmail/A 4792-2025 tillsynsbegäran mail.docx", "A 4792-2025")</f>
        <v/>
      </c>
    </row>
    <row r="410" ht="15" customHeight="1">
      <c r="A410" t="inlineStr">
        <is>
          <t>A 7705-2025</t>
        </is>
      </c>
      <c r="B410" s="1" t="n">
        <v>45705</v>
      </c>
      <c r="C410" s="1" t="n">
        <v>45744</v>
      </c>
      <c r="D410" t="inlineStr">
        <is>
          <t>SKÅNE LÄN</t>
        </is>
      </c>
      <c r="E410" t="inlineStr">
        <is>
          <t>ÄNGELHOLM</t>
        </is>
      </c>
      <c r="G410" t="n">
        <v>7.1</v>
      </c>
      <c r="H410" t="n">
        <v>1</v>
      </c>
      <c r="I410" t="n">
        <v>0</v>
      </c>
      <c r="J410" t="n">
        <v>0</v>
      </c>
      <c r="K410" t="n">
        <v>0</v>
      </c>
      <c r="L410" t="n">
        <v>0</v>
      </c>
      <c r="M410" t="n">
        <v>0</v>
      </c>
      <c r="N410" t="n">
        <v>0</v>
      </c>
      <c r="O410" t="n">
        <v>0</v>
      </c>
      <c r="P410" t="n">
        <v>0</v>
      </c>
      <c r="Q410" t="n">
        <v>1</v>
      </c>
      <c r="R410" s="2" t="inlineStr">
        <is>
          <t>Revlummer</t>
        </is>
      </c>
      <c r="S410">
        <f>HYPERLINK("https://klasma.github.io/Logging_1292/artfynd/A 7705-2025 artfynd.xlsx", "A 7705-2025")</f>
        <v/>
      </c>
      <c r="T410">
        <f>HYPERLINK("https://klasma.github.io/Logging_1292/kartor/A 7705-2025 karta.png", "A 7705-2025")</f>
        <v/>
      </c>
      <c r="V410">
        <f>HYPERLINK("https://klasma.github.io/Logging_1292/klagomål/A 7705-2025 FSC-klagomål.docx", "A 7705-2025")</f>
        <v/>
      </c>
      <c r="W410">
        <f>HYPERLINK("https://klasma.github.io/Logging_1292/klagomålsmail/A 7705-2025 FSC-klagomål mail.docx", "A 7705-2025")</f>
        <v/>
      </c>
      <c r="X410">
        <f>HYPERLINK("https://klasma.github.io/Logging_1292/tillsyn/A 7705-2025 tillsynsbegäran.docx", "A 7705-2025")</f>
        <v/>
      </c>
      <c r="Y410">
        <f>HYPERLINK("https://klasma.github.io/Logging_1292/tillsynsmail/A 7705-2025 tillsynsbegäran mail.docx", "A 7705-2025")</f>
        <v/>
      </c>
    </row>
    <row r="411" ht="15" customHeight="1">
      <c r="A411" t="inlineStr">
        <is>
          <t>A 8065-2025</t>
        </is>
      </c>
      <c r="B411" s="1" t="n">
        <v>45707</v>
      </c>
      <c r="C411" s="1" t="n">
        <v>45744</v>
      </c>
      <c r="D411" t="inlineStr">
        <is>
          <t>SKÅNE LÄN</t>
        </is>
      </c>
      <c r="E411" t="inlineStr">
        <is>
          <t>BÅSTAD</t>
        </is>
      </c>
      <c r="G411" t="n">
        <v>3.3</v>
      </c>
      <c r="H411" t="n">
        <v>0</v>
      </c>
      <c r="I411" t="n">
        <v>0</v>
      </c>
      <c r="J411" t="n">
        <v>1</v>
      </c>
      <c r="K411" t="n">
        <v>0</v>
      </c>
      <c r="L411" t="n">
        <v>0</v>
      </c>
      <c r="M411" t="n">
        <v>0</v>
      </c>
      <c r="N411" t="n">
        <v>0</v>
      </c>
      <c r="O411" t="n">
        <v>1</v>
      </c>
      <c r="P411" t="n">
        <v>0</v>
      </c>
      <c r="Q411" t="n">
        <v>1</v>
      </c>
      <c r="R411" s="2" t="inlineStr">
        <is>
          <t>Svinrot</t>
        </is>
      </c>
      <c r="S411">
        <f>HYPERLINK("https://klasma.github.io/Logging_1278/artfynd/A 8065-2025 artfynd.xlsx", "A 8065-2025")</f>
        <v/>
      </c>
      <c r="T411">
        <f>HYPERLINK("https://klasma.github.io/Logging_1278/kartor/A 8065-2025 karta.png", "A 8065-2025")</f>
        <v/>
      </c>
      <c r="V411">
        <f>HYPERLINK("https://klasma.github.io/Logging_1278/klagomål/A 8065-2025 FSC-klagomål.docx", "A 8065-2025")</f>
        <v/>
      </c>
      <c r="W411">
        <f>HYPERLINK("https://klasma.github.io/Logging_1278/klagomålsmail/A 8065-2025 FSC-klagomål mail.docx", "A 8065-2025")</f>
        <v/>
      </c>
      <c r="X411">
        <f>HYPERLINK("https://klasma.github.io/Logging_1278/tillsyn/A 8065-2025 tillsynsbegäran.docx", "A 8065-2025")</f>
        <v/>
      </c>
      <c r="Y411">
        <f>HYPERLINK("https://klasma.github.io/Logging_1278/tillsynsmail/A 8065-2025 tillsynsbegäran mail.docx", "A 8065-2025")</f>
        <v/>
      </c>
    </row>
    <row r="412" ht="15" customHeight="1">
      <c r="A412" t="inlineStr">
        <is>
          <t>A 9289-2025</t>
        </is>
      </c>
      <c r="B412" s="1" t="n">
        <v>45714</v>
      </c>
      <c r="C412" s="1" t="n">
        <v>45744</v>
      </c>
      <c r="D412" t="inlineStr">
        <is>
          <t>SKÅNE LÄN</t>
        </is>
      </c>
      <c r="E412" t="inlineStr">
        <is>
          <t>HÄSSLEHOLM</t>
        </is>
      </c>
      <c r="G412" t="n">
        <v>18</v>
      </c>
      <c r="H412" t="n">
        <v>0</v>
      </c>
      <c r="I412" t="n">
        <v>1</v>
      </c>
      <c r="J412" t="n">
        <v>0</v>
      </c>
      <c r="K412" t="n">
        <v>0</v>
      </c>
      <c r="L412" t="n">
        <v>0</v>
      </c>
      <c r="M412" t="n">
        <v>0</v>
      </c>
      <c r="N412" t="n">
        <v>0</v>
      </c>
      <c r="O412" t="n">
        <v>0</v>
      </c>
      <c r="P412" t="n">
        <v>0</v>
      </c>
      <c r="Q412" t="n">
        <v>1</v>
      </c>
      <c r="R412" s="2" t="inlineStr">
        <is>
          <t>Tibast</t>
        </is>
      </c>
      <c r="S412">
        <f>HYPERLINK("https://klasma.github.io/Logging_1293/artfynd/A 9289-2025 artfynd.xlsx", "A 9289-2025")</f>
        <v/>
      </c>
      <c r="T412">
        <f>HYPERLINK("https://klasma.github.io/Logging_1293/kartor/A 9289-2025 karta.png", "A 9289-2025")</f>
        <v/>
      </c>
      <c r="V412">
        <f>HYPERLINK("https://klasma.github.io/Logging_1293/klagomål/A 9289-2025 FSC-klagomål.docx", "A 9289-2025")</f>
        <v/>
      </c>
      <c r="W412">
        <f>HYPERLINK("https://klasma.github.io/Logging_1293/klagomålsmail/A 9289-2025 FSC-klagomål mail.docx", "A 9289-2025")</f>
        <v/>
      </c>
      <c r="X412">
        <f>HYPERLINK("https://klasma.github.io/Logging_1293/tillsyn/A 9289-2025 tillsynsbegäran.docx", "A 9289-2025")</f>
        <v/>
      </c>
      <c r="Y412">
        <f>HYPERLINK("https://klasma.github.io/Logging_1293/tillsynsmail/A 9289-2025 tillsynsbegäran mail.docx", "A 9289-2025")</f>
        <v/>
      </c>
    </row>
    <row r="413" ht="15" customHeight="1">
      <c r="A413" t="inlineStr">
        <is>
          <t>A 10000-2025</t>
        </is>
      </c>
      <c r="B413" s="1" t="n">
        <v>45719</v>
      </c>
      <c r="C413" s="1" t="n">
        <v>45744</v>
      </c>
      <c r="D413" t="inlineStr">
        <is>
          <t>SKÅNE LÄN</t>
        </is>
      </c>
      <c r="E413" t="inlineStr">
        <is>
          <t>KLIPPAN</t>
        </is>
      </c>
      <c r="G413" t="n">
        <v>2.6</v>
      </c>
      <c r="H413" t="n">
        <v>0</v>
      </c>
      <c r="I413" t="n">
        <v>1</v>
      </c>
      <c r="J413" t="n">
        <v>0</v>
      </c>
      <c r="K413" t="n">
        <v>0</v>
      </c>
      <c r="L413" t="n">
        <v>0</v>
      </c>
      <c r="M413" t="n">
        <v>0</v>
      </c>
      <c r="N413" t="n">
        <v>0</v>
      </c>
      <c r="O413" t="n">
        <v>0</v>
      </c>
      <c r="P413" t="n">
        <v>0</v>
      </c>
      <c r="Q413" t="n">
        <v>1</v>
      </c>
      <c r="R413" s="2" t="inlineStr">
        <is>
          <t>Dvärghäxört</t>
        </is>
      </c>
      <c r="S413">
        <f>HYPERLINK("https://klasma.github.io/Logging_1276/artfynd/A 10000-2025 artfynd.xlsx", "A 10000-2025")</f>
        <v/>
      </c>
      <c r="T413">
        <f>HYPERLINK("https://klasma.github.io/Logging_1276/kartor/A 10000-2025 karta.png", "A 10000-2025")</f>
        <v/>
      </c>
      <c r="V413">
        <f>HYPERLINK("https://klasma.github.io/Logging_1276/klagomål/A 10000-2025 FSC-klagomål.docx", "A 10000-2025")</f>
        <v/>
      </c>
      <c r="W413">
        <f>HYPERLINK("https://klasma.github.io/Logging_1276/klagomålsmail/A 10000-2025 FSC-klagomål mail.docx", "A 10000-2025")</f>
        <v/>
      </c>
      <c r="X413">
        <f>HYPERLINK("https://klasma.github.io/Logging_1276/tillsyn/A 10000-2025 tillsynsbegäran.docx", "A 10000-2025")</f>
        <v/>
      </c>
      <c r="Y413">
        <f>HYPERLINK("https://klasma.github.io/Logging_1276/tillsynsmail/A 10000-2025 tillsynsbegäran mail.docx", "A 10000-2025")</f>
        <v/>
      </c>
    </row>
    <row r="414" ht="15" customHeight="1">
      <c r="A414" t="inlineStr">
        <is>
          <t>A 11720-2025</t>
        </is>
      </c>
      <c r="B414" s="1" t="n">
        <v>45727</v>
      </c>
      <c r="C414" s="1" t="n">
        <v>45744</v>
      </c>
      <c r="D414" t="inlineStr">
        <is>
          <t>SKÅNE LÄN</t>
        </is>
      </c>
      <c r="E414" t="inlineStr">
        <is>
          <t>KRISTIANSTAD</t>
        </is>
      </c>
      <c r="G414" t="n">
        <v>3.1</v>
      </c>
      <c r="H414" t="n">
        <v>0</v>
      </c>
      <c r="I414" t="n">
        <v>1</v>
      </c>
      <c r="J414" t="n">
        <v>0</v>
      </c>
      <c r="K414" t="n">
        <v>0</v>
      </c>
      <c r="L414" t="n">
        <v>0</v>
      </c>
      <c r="M414" t="n">
        <v>0</v>
      </c>
      <c r="N414" t="n">
        <v>0</v>
      </c>
      <c r="O414" t="n">
        <v>0</v>
      </c>
      <c r="P414" t="n">
        <v>0</v>
      </c>
      <c r="Q414" t="n">
        <v>1</v>
      </c>
      <c r="R414" s="2" t="inlineStr">
        <is>
          <t>Igelkottsröksvamp</t>
        </is>
      </c>
      <c r="S414">
        <f>HYPERLINK("https://klasma.github.io/Logging_1290/artfynd/A 11720-2025 artfynd.xlsx", "A 11720-2025")</f>
        <v/>
      </c>
      <c r="T414">
        <f>HYPERLINK("https://klasma.github.io/Logging_1290/kartor/A 11720-2025 karta.png", "A 11720-2025")</f>
        <v/>
      </c>
      <c r="V414">
        <f>HYPERLINK("https://klasma.github.io/Logging_1290/klagomål/A 11720-2025 FSC-klagomål.docx", "A 11720-2025")</f>
        <v/>
      </c>
      <c r="W414">
        <f>HYPERLINK("https://klasma.github.io/Logging_1290/klagomålsmail/A 11720-2025 FSC-klagomål mail.docx", "A 11720-2025")</f>
        <v/>
      </c>
      <c r="X414">
        <f>HYPERLINK("https://klasma.github.io/Logging_1290/tillsyn/A 11720-2025 tillsynsbegäran.docx", "A 11720-2025")</f>
        <v/>
      </c>
      <c r="Y414">
        <f>HYPERLINK("https://klasma.github.io/Logging_1290/tillsynsmail/A 11720-2025 tillsynsbegäran mail.docx", "A 11720-2025")</f>
        <v/>
      </c>
    </row>
    <row r="415" ht="15" customHeight="1">
      <c r="A415" t="inlineStr">
        <is>
          <t>A 12159-2025</t>
        </is>
      </c>
      <c r="B415" s="1" t="n">
        <v>45729</v>
      </c>
      <c r="C415" s="1" t="n">
        <v>45744</v>
      </c>
      <c r="D415" t="inlineStr">
        <is>
          <t>SKÅNE LÄN</t>
        </is>
      </c>
      <c r="E415" t="inlineStr">
        <is>
          <t>BROMÖLLA</t>
        </is>
      </c>
      <c r="G415" t="n">
        <v>13.2</v>
      </c>
      <c r="H415" t="n">
        <v>0</v>
      </c>
      <c r="I415" t="n">
        <v>0</v>
      </c>
      <c r="J415" t="n">
        <v>0</v>
      </c>
      <c r="K415" t="n">
        <v>0</v>
      </c>
      <c r="L415" t="n">
        <v>1</v>
      </c>
      <c r="M415" t="n">
        <v>0</v>
      </c>
      <c r="N415" t="n">
        <v>0</v>
      </c>
      <c r="O415" t="n">
        <v>1</v>
      </c>
      <c r="P415" t="n">
        <v>1</v>
      </c>
      <c r="Q415" t="n">
        <v>1</v>
      </c>
      <c r="R415" s="2" t="inlineStr">
        <is>
          <t>Ask</t>
        </is>
      </c>
      <c r="S415">
        <f>HYPERLINK("https://klasma.github.io/Logging_1272/artfynd/A 12159-2025 artfynd.xlsx", "A 12159-2025")</f>
        <v/>
      </c>
      <c r="T415">
        <f>HYPERLINK("https://klasma.github.io/Logging_1272/kartor/A 12159-2025 karta.png", "A 12159-2025")</f>
        <v/>
      </c>
      <c r="V415">
        <f>HYPERLINK("https://klasma.github.io/Logging_1272/klagomål/A 12159-2025 FSC-klagomål.docx", "A 12159-2025")</f>
        <v/>
      </c>
      <c r="W415">
        <f>HYPERLINK("https://klasma.github.io/Logging_1272/klagomålsmail/A 12159-2025 FSC-klagomål mail.docx", "A 12159-2025")</f>
        <v/>
      </c>
      <c r="X415">
        <f>HYPERLINK("https://klasma.github.io/Logging_1272/tillsyn/A 12159-2025 tillsynsbegäran.docx", "A 12159-2025")</f>
        <v/>
      </c>
      <c r="Y415">
        <f>HYPERLINK("https://klasma.github.io/Logging_1272/tillsynsmail/A 12159-2025 tillsynsbegäran mail.docx", "A 12159-2025")</f>
        <v/>
      </c>
    </row>
    <row r="416" ht="15" customHeight="1">
      <c r="A416" t="inlineStr">
        <is>
          <t>A 13182-2025</t>
        </is>
      </c>
      <c r="B416" s="1" t="n">
        <v>45735</v>
      </c>
      <c r="C416" s="1" t="n">
        <v>45744</v>
      </c>
      <c r="D416" t="inlineStr">
        <is>
          <t>SKÅNE LÄN</t>
        </is>
      </c>
      <c r="E416" t="inlineStr">
        <is>
          <t>LUND</t>
        </is>
      </c>
      <c r="G416" t="n">
        <v>1.2</v>
      </c>
      <c r="H416" t="n">
        <v>0</v>
      </c>
      <c r="I416" t="n">
        <v>0</v>
      </c>
      <c r="J416" t="n">
        <v>0</v>
      </c>
      <c r="K416" t="n">
        <v>0</v>
      </c>
      <c r="L416" t="n">
        <v>1</v>
      </c>
      <c r="M416" t="n">
        <v>0</v>
      </c>
      <c r="N416" t="n">
        <v>0</v>
      </c>
      <c r="O416" t="n">
        <v>1</v>
      </c>
      <c r="P416" t="n">
        <v>1</v>
      </c>
      <c r="Q416" t="n">
        <v>1</v>
      </c>
      <c r="R416" s="2" t="inlineStr">
        <is>
          <t>Klubbfibbla</t>
        </is>
      </c>
      <c r="S416">
        <f>HYPERLINK("https://klasma.github.io/Logging_1281/artfynd/A 13182-2025 artfynd.xlsx", "A 13182-2025")</f>
        <v/>
      </c>
      <c r="T416">
        <f>HYPERLINK("https://klasma.github.io/Logging_1281/kartor/A 13182-2025 karta.png", "A 13182-2025")</f>
        <v/>
      </c>
      <c r="V416">
        <f>HYPERLINK("https://klasma.github.io/Logging_1281/klagomål/A 13182-2025 FSC-klagomål.docx", "A 13182-2025")</f>
        <v/>
      </c>
      <c r="W416">
        <f>HYPERLINK("https://klasma.github.io/Logging_1281/klagomålsmail/A 13182-2025 FSC-klagomål mail.docx", "A 13182-2025")</f>
        <v/>
      </c>
      <c r="X416">
        <f>HYPERLINK("https://klasma.github.io/Logging_1281/tillsyn/A 13182-2025 tillsynsbegäran.docx", "A 13182-2025")</f>
        <v/>
      </c>
      <c r="Y416">
        <f>HYPERLINK("https://klasma.github.io/Logging_1281/tillsynsmail/A 13182-2025 tillsynsbegäran mail.docx", "A 13182-2025")</f>
        <v/>
      </c>
    </row>
    <row r="417" ht="15" customHeight="1">
      <c r="A417" t="inlineStr">
        <is>
          <t>A 18175-2019</t>
        </is>
      </c>
      <c r="B417" s="1" t="n">
        <v>43556</v>
      </c>
      <c r="C417" s="1" t="n">
        <v>45744</v>
      </c>
      <c r="D417" t="inlineStr">
        <is>
          <t>SKÅNE LÄN</t>
        </is>
      </c>
      <c r="E417" t="inlineStr">
        <is>
          <t>ÅSTORP</t>
        </is>
      </c>
      <c r="G417" t="n">
        <v>5.9</v>
      </c>
      <c r="H417" t="n">
        <v>0</v>
      </c>
      <c r="I417" t="n">
        <v>0</v>
      </c>
      <c r="J417" t="n">
        <v>0</v>
      </c>
      <c r="K417" t="n">
        <v>0</v>
      </c>
      <c r="L417" t="n">
        <v>0</v>
      </c>
      <c r="M417" t="n">
        <v>0</v>
      </c>
      <c r="N417" t="n">
        <v>0</v>
      </c>
      <c r="O417" t="n">
        <v>0</v>
      </c>
      <c r="P417" t="n">
        <v>0</v>
      </c>
      <c r="Q417" t="n">
        <v>0</v>
      </c>
      <c r="R417" s="2" t="inlineStr"/>
    </row>
    <row r="418" ht="15" customHeight="1">
      <c r="A418" t="inlineStr">
        <is>
          <t>A 18039-2019</t>
        </is>
      </c>
      <c r="B418" s="1" t="n">
        <v>43557</v>
      </c>
      <c r="C418" s="1" t="n">
        <v>45744</v>
      </c>
      <c r="D418" t="inlineStr">
        <is>
          <t>SKÅNE LÄN</t>
        </is>
      </c>
      <c r="E418" t="inlineStr">
        <is>
          <t>HÄSSLEHOLM</t>
        </is>
      </c>
      <c r="F418" t="inlineStr">
        <is>
          <t>Kommuner</t>
        </is>
      </c>
      <c r="G418" t="n">
        <v>4.5</v>
      </c>
      <c r="H418" t="n">
        <v>0</v>
      </c>
      <c r="I418" t="n">
        <v>0</v>
      </c>
      <c r="J418" t="n">
        <v>0</v>
      </c>
      <c r="K418" t="n">
        <v>0</v>
      </c>
      <c r="L418" t="n">
        <v>0</v>
      </c>
      <c r="M418" t="n">
        <v>0</v>
      </c>
      <c r="N418" t="n">
        <v>0</v>
      </c>
      <c r="O418" t="n">
        <v>0</v>
      </c>
      <c r="P418" t="n">
        <v>0</v>
      </c>
      <c r="Q418" t="n">
        <v>0</v>
      </c>
      <c r="R418" s="2" t="inlineStr"/>
    </row>
    <row r="419" ht="15" customHeight="1">
      <c r="A419" t="inlineStr">
        <is>
          <t>A 18260-2019</t>
        </is>
      </c>
      <c r="B419" s="1" t="n">
        <v>43557</v>
      </c>
      <c r="C419" s="1" t="n">
        <v>45744</v>
      </c>
      <c r="D419" t="inlineStr">
        <is>
          <t>SKÅNE LÄN</t>
        </is>
      </c>
      <c r="E419" t="inlineStr">
        <is>
          <t>KRISTIANSTAD</t>
        </is>
      </c>
      <c r="G419" t="n">
        <v>7</v>
      </c>
      <c r="H419" t="n">
        <v>0</v>
      </c>
      <c r="I419" t="n">
        <v>0</v>
      </c>
      <c r="J419" t="n">
        <v>0</v>
      </c>
      <c r="K419" t="n">
        <v>0</v>
      </c>
      <c r="L419" t="n">
        <v>0</v>
      </c>
      <c r="M419" t="n">
        <v>0</v>
      </c>
      <c r="N419" t="n">
        <v>0</v>
      </c>
      <c r="O419" t="n">
        <v>0</v>
      </c>
      <c r="P419" t="n">
        <v>0</v>
      </c>
      <c r="Q419" t="n">
        <v>0</v>
      </c>
      <c r="R419" s="2" t="inlineStr"/>
    </row>
    <row r="420" ht="15" customHeight="1">
      <c r="A420" t="inlineStr">
        <is>
          <t>A 18581-2019</t>
        </is>
      </c>
      <c r="B420" s="1" t="n">
        <v>43558</v>
      </c>
      <c r="C420" s="1" t="n">
        <v>45744</v>
      </c>
      <c r="D420" t="inlineStr">
        <is>
          <t>SKÅNE LÄN</t>
        </is>
      </c>
      <c r="E420" t="inlineStr">
        <is>
          <t>ÅSTORP</t>
        </is>
      </c>
      <c r="G420" t="n">
        <v>1.6</v>
      </c>
      <c r="H420" t="n">
        <v>0</v>
      </c>
      <c r="I420" t="n">
        <v>0</v>
      </c>
      <c r="J420" t="n">
        <v>0</v>
      </c>
      <c r="K420" t="n">
        <v>0</v>
      </c>
      <c r="L420" t="n">
        <v>0</v>
      </c>
      <c r="M420" t="n">
        <v>0</v>
      </c>
      <c r="N420" t="n">
        <v>0</v>
      </c>
      <c r="O420" t="n">
        <v>0</v>
      </c>
      <c r="P420" t="n">
        <v>0</v>
      </c>
      <c r="Q420" t="n">
        <v>0</v>
      </c>
      <c r="R420" s="2" t="inlineStr"/>
    </row>
    <row r="421" ht="15" customHeight="1">
      <c r="A421" t="inlineStr">
        <is>
          <t>A 18412-2019</t>
        </is>
      </c>
      <c r="B421" s="1" t="n">
        <v>43559</v>
      </c>
      <c r="C421" s="1" t="n">
        <v>45744</v>
      </c>
      <c r="D421" t="inlineStr">
        <is>
          <t>SKÅNE LÄN</t>
        </is>
      </c>
      <c r="E421" t="inlineStr">
        <is>
          <t>KRISTIANSTAD</t>
        </is>
      </c>
      <c r="G421" t="n">
        <v>2.5</v>
      </c>
      <c r="H421" t="n">
        <v>0</v>
      </c>
      <c r="I421" t="n">
        <v>0</v>
      </c>
      <c r="J421" t="n">
        <v>0</v>
      </c>
      <c r="K421" t="n">
        <v>0</v>
      </c>
      <c r="L421" t="n">
        <v>0</v>
      </c>
      <c r="M421" t="n">
        <v>0</v>
      </c>
      <c r="N421" t="n">
        <v>0</v>
      </c>
      <c r="O421" t="n">
        <v>0</v>
      </c>
      <c r="P421" t="n">
        <v>0</v>
      </c>
      <c r="Q421" t="n">
        <v>0</v>
      </c>
      <c r="R421" s="2" t="inlineStr"/>
    </row>
    <row r="422" ht="15" customHeight="1">
      <c r="A422" t="inlineStr">
        <is>
          <t>A 18475-2019</t>
        </is>
      </c>
      <c r="B422" s="1" t="n">
        <v>43559</v>
      </c>
      <c r="C422" s="1" t="n">
        <v>45744</v>
      </c>
      <c r="D422" t="inlineStr">
        <is>
          <t>SKÅNE LÄN</t>
        </is>
      </c>
      <c r="E422" t="inlineStr">
        <is>
          <t>OSBY</t>
        </is>
      </c>
      <c r="G422" t="n">
        <v>0.6</v>
      </c>
      <c r="H422" t="n">
        <v>0</v>
      </c>
      <c r="I422" t="n">
        <v>0</v>
      </c>
      <c r="J422" t="n">
        <v>0</v>
      </c>
      <c r="K422" t="n">
        <v>0</v>
      </c>
      <c r="L422" t="n">
        <v>0</v>
      </c>
      <c r="M422" t="n">
        <v>0</v>
      </c>
      <c r="N422" t="n">
        <v>0</v>
      </c>
      <c r="O422" t="n">
        <v>0</v>
      </c>
      <c r="P422" t="n">
        <v>0</v>
      </c>
      <c r="Q422" t="n">
        <v>0</v>
      </c>
      <c r="R422" s="2" t="inlineStr"/>
    </row>
    <row r="423" ht="15" customHeight="1">
      <c r="A423" t="inlineStr">
        <is>
          <t>A 18749-2019</t>
        </is>
      </c>
      <c r="B423" s="1" t="n">
        <v>43560</v>
      </c>
      <c r="C423" s="1" t="n">
        <v>45744</v>
      </c>
      <c r="D423" t="inlineStr">
        <is>
          <t>SKÅNE LÄN</t>
        </is>
      </c>
      <c r="E423" t="inlineStr">
        <is>
          <t>ÖSTRA GÖINGE</t>
        </is>
      </c>
      <c r="G423" t="n">
        <v>1.9</v>
      </c>
      <c r="H423" t="n">
        <v>0</v>
      </c>
      <c r="I423" t="n">
        <v>0</v>
      </c>
      <c r="J423" t="n">
        <v>0</v>
      </c>
      <c r="K423" t="n">
        <v>0</v>
      </c>
      <c r="L423" t="n">
        <v>0</v>
      </c>
      <c r="M423" t="n">
        <v>0</v>
      </c>
      <c r="N423" t="n">
        <v>0</v>
      </c>
      <c r="O423" t="n">
        <v>0</v>
      </c>
      <c r="P423" t="n">
        <v>0</v>
      </c>
      <c r="Q423" t="n">
        <v>0</v>
      </c>
      <c r="R423" s="2" t="inlineStr"/>
    </row>
    <row r="424" ht="15" customHeight="1">
      <c r="A424" t="inlineStr">
        <is>
          <t>A 18822-2019</t>
        </is>
      </c>
      <c r="B424" s="1" t="n">
        <v>43563</v>
      </c>
      <c r="C424" s="1" t="n">
        <v>45744</v>
      </c>
      <c r="D424" t="inlineStr">
        <is>
          <t>SKÅNE LÄN</t>
        </is>
      </c>
      <c r="E424" t="inlineStr">
        <is>
          <t>ÖRKELLJUNGA</t>
        </is>
      </c>
      <c r="G424" t="n">
        <v>0.9</v>
      </c>
      <c r="H424" t="n">
        <v>0</v>
      </c>
      <c r="I424" t="n">
        <v>0</v>
      </c>
      <c r="J424" t="n">
        <v>0</v>
      </c>
      <c r="K424" t="n">
        <v>0</v>
      </c>
      <c r="L424" t="n">
        <v>0</v>
      </c>
      <c r="M424" t="n">
        <v>0</v>
      </c>
      <c r="N424" t="n">
        <v>0</v>
      </c>
      <c r="O424" t="n">
        <v>0</v>
      </c>
      <c r="P424" t="n">
        <v>0</v>
      </c>
      <c r="Q424" t="n">
        <v>0</v>
      </c>
      <c r="R424" s="2" t="inlineStr"/>
    </row>
    <row r="425" ht="15" customHeight="1">
      <c r="A425" t="inlineStr">
        <is>
          <t>A 18984-2019</t>
        </is>
      </c>
      <c r="B425" s="1" t="n">
        <v>43563</v>
      </c>
      <c r="C425" s="1" t="n">
        <v>45744</v>
      </c>
      <c r="D425" t="inlineStr">
        <is>
          <t>SKÅNE LÄN</t>
        </is>
      </c>
      <c r="E425" t="inlineStr">
        <is>
          <t>HÄSSLEHOLM</t>
        </is>
      </c>
      <c r="F425" t="inlineStr">
        <is>
          <t>Kommuner</t>
        </is>
      </c>
      <c r="G425" t="n">
        <v>1</v>
      </c>
      <c r="H425" t="n">
        <v>0</v>
      </c>
      <c r="I425" t="n">
        <v>0</v>
      </c>
      <c r="J425" t="n">
        <v>0</v>
      </c>
      <c r="K425" t="n">
        <v>0</v>
      </c>
      <c r="L425" t="n">
        <v>0</v>
      </c>
      <c r="M425" t="n">
        <v>0</v>
      </c>
      <c r="N425" t="n">
        <v>0</v>
      </c>
      <c r="O425" t="n">
        <v>0</v>
      </c>
      <c r="P425" t="n">
        <v>0</v>
      </c>
      <c r="Q425" t="n">
        <v>0</v>
      </c>
      <c r="R425" s="2" t="inlineStr"/>
    </row>
    <row r="426" ht="15" customHeight="1">
      <c r="A426" t="inlineStr">
        <is>
          <t>A 18982-2019</t>
        </is>
      </c>
      <c r="B426" s="1" t="n">
        <v>43563</v>
      </c>
      <c r="C426" s="1" t="n">
        <v>45744</v>
      </c>
      <c r="D426" t="inlineStr">
        <is>
          <t>SKÅNE LÄN</t>
        </is>
      </c>
      <c r="E426" t="inlineStr">
        <is>
          <t>HÄSSLEHOLM</t>
        </is>
      </c>
      <c r="F426" t="inlineStr">
        <is>
          <t>Kommuner</t>
        </is>
      </c>
      <c r="G426" t="n">
        <v>1.8</v>
      </c>
      <c r="H426" t="n">
        <v>0</v>
      </c>
      <c r="I426" t="n">
        <v>0</v>
      </c>
      <c r="J426" t="n">
        <v>0</v>
      </c>
      <c r="K426" t="n">
        <v>0</v>
      </c>
      <c r="L426" t="n">
        <v>0</v>
      </c>
      <c r="M426" t="n">
        <v>0</v>
      </c>
      <c r="N426" t="n">
        <v>0</v>
      </c>
      <c r="O426" t="n">
        <v>0</v>
      </c>
      <c r="P426" t="n">
        <v>0</v>
      </c>
      <c r="Q426" t="n">
        <v>0</v>
      </c>
      <c r="R426" s="2" t="inlineStr"/>
    </row>
    <row r="427" ht="15" customHeight="1">
      <c r="A427" t="inlineStr">
        <is>
          <t>A 18896-2019</t>
        </is>
      </c>
      <c r="B427" s="1" t="n">
        <v>43563</v>
      </c>
      <c r="C427" s="1" t="n">
        <v>45744</v>
      </c>
      <c r="D427" t="inlineStr">
        <is>
          <t>SKÅNE LÄN</t>
        </is>
      </c>
      <c r="E427" t="inlineStr">
        <is>
          <t>OSBY</t>
        </is>
      </c>
      <c r="G427" t="n">
        <v>1.3</v>
      </c>
      <c r="H427" t="n">
        <v>0</v>
      </c>
      <c r="I427" t="n">
        <v>0</v>
      </c>
      <c r="J427" t="n">
        <v>0</v>
      </c>
      <c r="K427" t="n">
        <v>0</v>
      </c>
      <c r="L427" t="n">
        <v>0</v>
      </c>
      <c r="M427" t="n">
        <v>0</v>
      </c>
      <c r="N427" t="n">
        <v>0</v>
      </c>
      <c r="O427" t="n">
        <v>0</v>
      </c>
      <c r="P427" t="n">
        <v>0</v>
      </c>
      <c r="Q427" t="n">
        <v>0</v>
      </c>
      <c r="R427" s="2" t="inlineStr"/>
    </row>
    <row r="428" ht="15" customHeight="1">
      <c r="A428" t="inlineStr">
        <is>
          <t>A 18911-2019</t>
        </is>
      </c>
      <c r="B428" s="1" t="n">
        <v>43563</v>
      </c>
      <c r="C428" s="1" t="n">
        <v>45744</v>
      </c>
      <c r="D428" t="inlineStr">
        <is>
          <t>SKÅNE LÄN</t>
        </is>
      </c>
      <c r="E428" t="inlineStr">
        <is>
          <t>HÄSSLEHOLM</t>
        </is>
      </c>
      <c r="G428" t="n">
        <v>2.1</v>
      </c>
      <c r="H428" t="n">
        <v>0</v>
      </c>
      <c r="I428" t="n">
        <v>0</v>
      </c>
      <c r="J428" t="n">
        <v>0</v>
      </c>
      <c r="K428" t="n">
        <v>0</v>
      </c>
      <c r="L428" t="n">
        <v>0</v>
      </c>
      <c r="M428" t="n">
        <v>0</v>
      </c>
      <c r="N428" t="n">
        <v>0</v>
      </c>
      <c r="O428" t="n">
        <v>0</v>
      </c>
      <c r="P428" t="n">
        <v>0</v>
      </c>
      <c r="Q428" t="n">
        <v>0</v>
      </c>
      <c r="R428" s="2" t="inlineStr"/>
    </row>
    <row r="429" ht="15" customHeight="1">
      <c r="A429" t="inlineStr">
        <is>
          <t>A 18898-2019</t>
        </is>
      </c>
      <c r="B429" s="1" t="n">
        <v>43563</v>
      </c>
      <c r="C429" s="1" t="n">
        <v>45744</v>
      </c>
      <c r="D429" t="inlineStr">
        <is>
          <t>SKÅNE LÄN</t>
        </is>
      </c>
      <c r="E429" t="inlineStr">
        <is>
          <t>OSBY</t>
        </is>
      </c>
      <c r="G429" t="n">
        <v>5.2</v>
      </c>
      <c r="H429" t="n">
        <v>0</v>
      </c>
      <c r="I429" t="n">
        <v>0</v>
      </c>
      <c r="J429" t="n">
        <v>0</v>
      </c>
      <c r="K429" t="n">
        <v>0</v>
      </c>
      <c r="L429" t="n">
        <v>0</v>
      </c>
      <c r="M429" t="n">
        <v>0</v>
      </c>
      <c r="N429" t="n">
        <v>0</v>
      </c>
      <c r="O429" t="n">
        <v>0</v>
      </c>
      <c r="P429" t="n">
        <v>0</v>
      </c>
      <c r="Q429" t="n">
        <v>0</v>
      </c>
      <c r="R429" s="2" t="inlineStr"/>
    </row>
    <row r="430" ht="15" customHeight="1">
      <c r="A430" t="inlineStr">
        <is>
          <t>A 19078-2019</t>
        </is>
      </c>
      <c r="B430" s="1" t="n">
        <v>43564</v>
      </c>
      <c r="C430" s="1" t="n">
        <v>45744</v>
      </c>
      <c r="D430" t="inlineStr">
        <is>
          <t>SKÅNE LÄN</t>
        </is>
      </c>
      <c r="E430" t="inlineStr">
        <is>
          <t>BROMÖLLA</t>
        </is>
      </c>
      <c r="G430" t="n">
        <v>0.6</v>
      </c>
      <c r="H430" t="n">
        <v>0</v>
      </c>
      <c r="I430" t="n">
        <v>0</v>
      </c>
      <c r="J430" t="n">
        <v>0</v>
      </c>
      <c r="K430" t="n">
        <v>0</v>
      </c>
      <c r="L430" t="n">
        <v>0</v>
      </c>
      <c r="M430" t="n">
        <v>0</v>
      </c>
      <c r="N430" t="n">
        <v>0</v>
      </c>
      <c r="O430" t="n">
        <v>0</v>
      </c>
      <c r="P430" t="n">
        <v>0</v>
      </c>
      <c r="Q430" t="n">
        <v>0</v>
      </c>
      <c r="R430" s="2" t="inlineStr"/>
    </row>
    <row r="431" ht="15" customHeight="1">
      <c r="A431" t="inlineStr">
        <is>
          <t>A 19171-2019</t>
        </is>
      </c>
      <c r="B431" s="1" t="n">
        <v>43564</v>
      </c>
      <c r="C431" s="1" t="n">
        <v>45744</v>
      </c>
      <c r="D431" t="inlineStr">
        <is>
          <t>SKÅNE LÄN</t>
        </is>
      </c>
      <c r="E431" t="inlineStr">
        <is>
          <t>ÖSTRA GÖINGE</t>
        </is>
      </c>
      <c r="G431" t="n">
        <v>2.7</v>
      </c>
      <c r="H431" t="n">
        <v>0</v>
      </c>
      <c r="I431" t="n">
        <v>0</v>
      </c>
      <c r="J431" t="n">
        <v>0</v>
      </c>
      <c r="K431" t="n">
        <v>0</v>
      </c>
      <c r="L431" t="n">
        <v>0</v>
      </c>
      <c r="M431" t="n">
        <v>0</v>
      </c>
      <c r="N431" t="n">
        <v>0</v>
      </c>
      <c r="O431" t="n">
        <v>0</v>
      </c>
      <c r="P431" t="n">
        <v>0</v>
      </c>
      <c r="Q431" t="n">
        <v>0</v>
      </c>
      <c r="R431" s="2" t="inlineStr"/>
    </row>
    <row r="432" ht="15" customHeight="1">
      <c r="A432" t="inlineStr">
        <is>
          <t>A 19165-2019</t>
        </is>
      </c>
      <c r="B432" s="1" t="n">
        <v>43564</v>
      </c>
      <c r="C432" s="1" t="n">
        <v>45744</v>
      </c>
      <c r="D432" t="inlineStr">
        <is>
          <t>SKÅNE LÄN</t>
        </is>
      </c>
      <c r="E432" t="inlineStr">
        <is>
          <t>ÖSTRA GÖINGE</t>
        </is>
      </c>
      <c r="G432" t="n">
        <v>7.5</v>
      </c>
      <c r="H432" t="n">
        <v>0</v>
      </c>
      <c r="I432" t="n">
        <v>0</v>
      </c>
      <c r="J432" t="n">
        <v>0</v>
      </c>
      <c r="K432" t="n">
        <v>0</v>
      </c>
      <c r="L432" t="n">
        <v>0</v>
      </c>
      <c r="M432" t="n">
        <v>0</v>
      </c>
      <c r="N432" t="n">
        <v>0</v>
      </c>
      <c r="O432" t="n">
        <v>0</v>
      </c>
      <c r="P432" t="n">
        <v>0</v>
      </c>
      <c r="Q432" t="n">
        <v>0</v>
      </c>
      <c r="R432" s="2" t="inlineStr"/>
    </row>
    <row r="433" ht="15" customHeight="1">
      <c r="A433" t="inlineStr">
        <is>
          <t>A 19183-2019</t>
        </is>
      </c>
      <c r="B433" s="1" t="n">
        <v>43564</v>
      </c>
      <c r="C433" s="1" t="n">
        <v>45744</v>
      </c>
      <c r="D433" t="inlineStr">
        <is>
          <t>SKÅNE LÄN</t>
        </is>
      </c>
      <c r="E433" t="inlineStr">
        <is>
          <t>KRISTIANSTAD</t>
        </is>
      </c>
      <c r="G433" t="n">
        <v>0.8</v>
      </c>
      <c r="H433" t="n">
        <v>0</v>
      </c>
      <c r="I433" t="n">
        <v>0</v>
      </c>
      <c r="J433" t="n">
        <v>0</v>
      </c>
      <c r="K433" t="n">
        <v>0</v>
      </c>
      <c r="L433" t="n">
        <v>0</v>
      </c>
      <c r="M433" t="n">
        <v>0</v>
      </c>
      <c r="N433" t="n">
        <v>0</v>
      </c>
      <c r="O433" t="n">
        <v>0</v>
      </c>
      <c r="P433" t="n">
        <v>0</v>
      </c>
      <c r="Q433" t="n">
        <v>0</v>
      </c>
      <c r="R433" s="2" t="inlineStr"/>
    </row>
    <row r="434" ht="15" customHeight="1">
      <c r="A434" t="inlineStr">
        <is>
          <t>A 19176-2019</t>
        </is>
      </c>
      <c r="B434" s="1" t="n">
        <v>43564</v>
      </c>
      <c r="C434" s="1" t="n">
        <v>45744</v>
      </c>
      <c r="D434" t="inlineStr">
        <is>
          <t>SKÅNE LÄN</t>
        </is>
      </c>
      <c r="E434" t="inlineStr">
        <is>
          <t>ÖSTRA GÖINGE</t>
        </is>
      </c>
      <c r="G434" t="n">
        <v>3.9</v>
      </c>
      <c r="H434" t="n">
        <v>0</v>
      </c>
      <c r="I434" t="n">
        <v>0</v>
      </c>
      <c r="J434" t="n">
        <v>0</v>
      </c>
      <c r="K434" t="n">
        <v>0</v>
      </c>
      <c r="L434" t="n">
        <v>0</v>
      </c>
      <c r="M434" t="n">
        <v>0</v>
      </c>
      <c r="N434" t="n">
        <v>0</v>
      </c>
      <c r="O434" t="n">
        <v>0</v>
      </c>
      <c r="P434" t="n">
        <v>0</v>
      </c>
      <c r="Q434" t="n">
        <v>0</v>
      </c>
      <c r="R434" s="2" t="inlineStr"/>
    </row>
    <row r="435" ht="15" customHeight="1">
      <c r="A435" t="inlineStr">
        <is>
          <t>A 19327-2019</t>
        </is>
      </c>
      <c r="B435" s="1" t="n">
        <v>43565</v>
      </c>
      <c r="C435" s="1" t="n">
        <v>45744</v>
      </c>
      <c r="D435" t="inlineStr">
        <is>
          <t>SKÅNE LÄN</t>
        </is>
      </c>
      <c r="E435" t="inlineStr">
        <is>
          <t>KRISTIANSTAD</t>
        </is>
      </c>
      <c r="G435" t="n">
        <v>4</v>
      </c>
      <c r="H435" t="n">
        <v>0</v>
      </c>
      <c r="I435" t="n">
        <v>0</v>
      </c>
      <c r="J435" t="n">
        <v>0</v>
      </c>
      <c r="K435" t="n">
        <v>0</v>
      </c>
      <c r="L435" t="n">
        <v>0</v>
      </c>
      <c r="M435" t="n">
        <v>0</v>
      </c>
      <c r="N435" t="n">
        <v>0</v>
      </c>
      <c r="O435" t="n">
        <v>0</v>
      </c>
      <c r="P435" t="n">
        <v>0</v>
      </c>
      <c r="Q435" t="n">
        <v>0</v>
      </c>
      <c r="R435" s="2" t="inlineStr"/>
    </row>
    <row r="436" ht="15" customHeight="1">
      <c r="A436" t="inlineStr">
        <is>
          <t>A 19473-2019</t>
        </is>
      </c>
      <c r="B436" s="1" t="n">
        <v>43565</v>
      </c>
      <c r="C436" s="1" t="n">
        <v>45744</v>
      </c>
      <c r="D436" t="inlineStr">
        <is>
          <t>SKÅNE LÄN</t>
        </is>
      </c>
      <c r="E436" t="inlineStr">
        <is>
          <t>HÄSSLEHOLM</t>
        </is>
      </c>
      <c r="G436" t="n">
        <v>1.5</v>
      </c>
      <c r="H436" t="n">
        <v>0</v>
      </c>
      <c r="I436" t="n">
        <v>0</v>
      </c>
      <c r="J436" t="n">
        <v>0</v>
      </c>
      <c r="K436" t="n">
        <v>0</v>
      </c>
      <c r="L436" t="n">
        <v>0</v>
      </c>
      <c r="M436" t="n">
        <v>0</v>
      </c>
      <c r="N436" t="n">
        <v>0</v>
      </c>
      <c r="O436" t="n">
        <v>0</v>
      </c>
      <c r="P436" t="n">
        <v>0</v>
      </c>
      <c r="Q436" t="n">
        <v>0</v>
      </c>
      <c r="R436" s="2" t="inlineStr"/>
    </row>
    <row r="437" ht="15" customHeight="1">
      <c r="A437" t="inlineStr">
        <is>
          <t>A 19596-2019</t>
        </is>
      </c>
      <c r="B437" s="1" t="n">
        <v>43565</v>
      </c>
      <c r="C437" s="1" t="n">
        <v>45744</v>
      </c>
      <c r="D437" t="inlineStr">
        <is>
          <t>SKÅNE LÄN</t>
        </is>
      </c>
      <c r="E437" t="inlineStr">
        <is>
          <t>KRISTIANSTAD</t>
        </is>
      </c>
      <c r="G437" t="n">
        <v>4.9</v>
      </c>
      <c r="H437" t="n">
        <v>0</v>
      </c>
      <c r="I437" t="n">
        <v>0</v>
      </c>
      <c r="J437" t="n">
        <v>0</v>
      </c>
      <c r="K437" t="n">
        <v>0</v>
      </c>
      <c r="L437" t="n">
        <v>0</v>
      </c>
      <c r="M437" t="n">
        <v>0</v>
      </c>
      <c r="N437" t="n">
        <v>0</v>
      </c>
      <c r="O437" t="n">
        <v>0</v>
      </c>
      <c r="P437" t="n">
        <v>0</v>
      </c>
      <c r="Q437" t="n">
        <v>0</v>
      </c>
      <c r="R437" s="2" t="inlineStr"/>
    </row>
    <row r="438" ht="15" customHeight="1">
      <c r="A438" t="inlineStr">
        <is>
          <t>A 19334-2019</t>
        </is>
      </c>
      <c r="B438" s="1" t="n">
        <v>43565</v>
      </c>
      <c r="C438" s="1" t="n">
        <v>45744</v>
      </c>
      <c r="D438" t="inlineStr">
        <is>
          <t>SKÅNE LÄN</t>
        </is>
      </c>
      <c r="E438" t="inlineStr">
        <is>
          <t>KLIPPAN</t>
        </is>
      </c>
      <c r="G438" t="n">
        <v>0.9</v>
      </c>
      <c r="H438" t="n">
        <v>0</v>
      </c>
      <c r="I438" t="n">
        <v>0</v>
      </c>
      <c r="J438" t="n">
        <v>0</v>
      </c>
      <c r="K438" t="n">
        <v>0</v>
      </c>
      <c r="L438" t="n">
        <v>0</v>
      </c>
      <c r="M438" t="n">
        <v>0</v>
      </c>
      <c r="N438" t="n">
        <v>0</v>
      </c>
      <c r="O438" t="n">
        <v>0</v>
      </c>
      <c r="P438" t="n">
        <v>0</v>
      </c>
      <c r="Q438" t="n">
        <v>0</v>
      </c>
      <c r="R438" s="2" t="inlineStr"/>
    </row>
    <row r="439" ht="15" customHeight="1">
      <c r="A439" t="inlineStr">
        <is>
          <t>A 19508-2019</t>
        </is>
      </c>
      <c r="B439" s="1" t="n">
        <v>43565</v>
      </c>
      <c r="C439" s="1" t="n">
        <v>45744</v>
      </c>
      <c r="D439" t="inlineStr">
        <is>
          <t>SKÅNE LÄN</t>
        </is>
      </c>
      <c r="E439" t="inlineStr">
        <is>
          <t>KRISTIANSTAD</t>
        </is>
      </c>
      <c r="G439" t="n">
        <v>5.5</v>
      </c>
      <c r="H439" t="n">
        <v>0</v>
      </c>
      <c r="I439" t="n">
        <v>0</v>
      </c>
      <c r="J439" t="n">
        <v>0</v>
      </c>
      <c r="K439" t="n">
        <v>0</v>
      </c>
      <c r="L439" t="n">
        <v>0</v>
      </c>
      <c r="M439" t="n">
        <v>0</v>
      </c>
      <c r="N439" t="n">
        <v>0</v>
      </c>
      <c r="O439" t="n">
        <v>0</v>
      </c>
      <c r="P439" t="n">
        <v>0</v>
      </c>
      <c r="Q439" t="n">
        <v>0</v>
      </c>
      <c r="R439" s="2" t="inlineStr"/>
    </row>
    <row r="440" ht="15" customHeight="1">
      <c r="A440" t="inlineStr">
        <is>
          <t>A 19661-2019</t>
        </is>
      </c>
      <c r="B440" s="1" t="n">
        <v>43566</v>
      </c>
      <c r="C440" s="1" t="n">
        <v>45744</v>
      </c>
      <c r="D440" t="inlineStr">
        <is>
          <t>SKÅNE LÄN</t>
        </is>
      </c>
      <c r="E440" t="inlineStr">
        <is>
          <t>KRISTIANSTAD</t>
        </is>
      </c>
      <c r="G440" t="n">
        <v>2</v>
      </c>
      <c r="H440" t="n">
        <v>0</v>
      </c>
      <c r="I440" t="n">
        <v>0</v>
      </c>
      <c r="J440" t="n">
        <v>0</v>
      </c>
      <c r="K440" t="n">
        <v>0</v>
      </c>
      <c r="L440" t="n">
        <v>0</v>
      </c>
      <c r="M440" t="n">
        <v>0</v>
      </c>
      <c r="N440" t="n">
        <v>0</v>
      </c>
      <c r="O440" t="n">
        <v>0</v>
      </c>
      <c r="P440" t="n">
        <v>0</v>
      </c>
      <c r="Q440" t="n">
        <v>0</v>
      </c>
      <c r="R440" s="2" t="inlineStr"/>
    </row>
    <row r="441" ht="15" customHeight="1">
      <c r="A441" t="inlineStr">
        <is>
          <t>A 19664-2019</t>
        </is>
      </c>
      <c r="B441" s="1" t="n">
        <v>43566</v>
      </c>
      <c r="C441" s="1" t="n">
        <v>45744</v>
      </c>
      <c r="D441" t="inlineStr">
        <is>
          <t>SKÅNE LÄN</t>
        </is>
      </c>
      <c r="E441" t="inlineStr">
        <is>
          <t>KRISTIANSTAD</t>
        </is>
      </c>
      <c r="G441" t="n">
        <v>6.8</v>
      </c>
      <c r="H441" t="n">
        <v>0</v>
      </c>
      <c r="I441" t="n">
        <v>0</v>
      </c>
      <c r="J441" t="n">
        <v>0</v>
      </c>
      <c r="K441" t="n">
        <v>0</v>
      </c>
      <c r="L441" t="n">
        <v>0</v>
      </c>
      <c r="M441" t="n">
        <v>0</v>
      </c>
      <c r="N441" t="n">
        <v>0</v>
      </c>
      <c r="O441" t="n">
        <v>0</v>
      </c>
      <c r="P441" t="n">
        <v>0</v>
      </c>
      <c r="Q441" t="n">
        <v>0</v>
      </c>
      <c r="R441" s="2" t="inlineStr"/>
    </row>
    <row r="442" ht="15" customHeight="1">
      <c r="A442" t="inlineStr">
        <is>
          <t>A 19607-2019</t>
        </is>
      </c>
      <c r="B442" s="1" t="n">
        <v>43566</v>
      </c>
      <c r="C442" s="1" t="n">
        <v>45744</v>
      </c>
      <c r="D442" t="inlineStr">
        <is>
          <t>SKÅNE LÄN</t>
        </is>
      </c>
      <c r="E442" t="inlineStr">
        <is>
          <t>ÖRKELLJUNGA</t>
        </is>
      </c>
      <c r="G442" t="n">
        <v>6.2</v>
      </c>
      <c r="H442" t="n">
        <v>0</v>
      </c>
      <c r="I442" t="n">
        <v>0</v>
      </c>
      <c r="J442" t="n">
        <v>0</v>
      </c>
      <c r="K442" t="n">
        <v>0</v>
      </c>
      <c r="L442" t="n">
        <v>0</v>
      </c>
      <c r="M442" t="n">
        <v>0</v>
      </c>
      <c r="N442" t="n">
        <v>0</v>
      </c>
      <c r="O442" t="n">
        <v>0</v>
      </c>
      <c r="P442" t="n">
        <v>0</v>
      </c>
      <c r="Q442" t="n">
        <v>0</v>
      </c>
      <c r="R442" s="2" t="inlineStr"/>
    </row>
    <row r="443" ht="15" customHeight="1">
      <c r="A443" t="inlineStr">
        <is>
          <t>A 20239-2019</t>
        </is>
      </c>
      <c r="B443" s="1" t="n">
        <v>43567</v>
      </c>
      <c r="C443" s="1" t="n">
        <v>45744</v>
      </c>
      <c r="D443" t="inlineStr">
        <is>
          <t>SKÅNE LÄN</t>
        </is>
      </c>
      <c r="E443" t="inlineStr">
        <is>
          <t>OSBY</t>
        </is>
      </c>
      <c r="G443" t="n">
        <v>1.4</v>
      </c>
      <c r="H443" t="n">
        <v>0</v>
      </c>
      <c r="I443" t="n">
        <v>0</v>
      </c>
      <c r="J443" t="n">
        <v>0</v>
      </c>
      <c r="K443" t="n">
        <v>0</v>
      </c>
      <c r="L443" t="n">
        <v>0</v>
      </c>
      <c r="M443" t="n">
        <v>0</v>
      </c>
      <c r="N443" t="n">
        <v>0</v>
      </c>
      <c r="O443" t="n">
        <v>0</v>
      </c>
      <c r="P443" t="n">
        <v>0</v>
      </c>
      <c r="Q443" t="n">
        <v>0</v>
      </c>
      <c r="R443" s="2" t="inlineStr"/>
    </row>
    <row r="444" ht="15" customHeight="1">
      <c r="A444" t="inlineStr">
        <is>
          <t>A 19988-2019</t>
        </is>
      </c>
      <c r="B444" s="1" t="n">
        <v>43567</v>
      </c>
      <c r="C444" s="1" t="n">
        <v>45744</v>
      </c>
      <c r="D444" t="inlineStr">
        <is>
          <t>SKÅNE LÄN</t>
        </is>
      </c>
      <c r="E444" t="inlineStr">
        <is>
          <t>PERSTORP</t>
        </is>
      </c>
      <c r="F444" t="inlineStr">
        <is>
          <t>Övriga Aktiebolag</t>
        </is>
      </c>
      <c r="G444" t="n">
        <v>2.6</v>
      </c>
      <c r="H444" t="n">
        <v>0</v>
      </c>
      <c r="I444" t="n">
        <v>0</v>
      </c>
      <c r="J444" t="n">
        <v>0</v>
      </c>
      <c r="K444" t="n">
        <v>0</v>
      </c>
      <c r="L444" t="n">
        <v>0</v>
      </c>
      <c r="M444" t="n">
        <v>0</v>
      </c>
      <c r="N444" t="n">
        <v>0</v>
      </c>
      <c r="O444" t="n">
        <v>0</v>
      </c>
      <c r="P444" t="n">
        <v>0</v>
      </c>
      <c r="Q444" t="n">
        <v>0</v>
      </c>
      <c r="R444" s="2" t="inlineStr"/>
    </row>
    <row r="445" ht="15" customHeight="1">
      <c r="A445" t="inlineStr">
        <is>
          <t>A 19820-2019</t>
        </is>
      </c>
      <c r="B445" s="1" t="n">
        <v>43567</v>
      </c>
      <c r="C445" s="1" t="n">
        <v>45744</v>
      </c>
      <c r="D445" t="inlineStr">
        <is>
          <t>SKÅNE LÄN</t>
        </is>
      </c>
      <c r="E445" t="inlineStr">
        <is>
          <t>OSBY</t>
        </is>
      </c>
      <c r="G445" t="n">
        <v>2.4</v>
      </c>
      <c r="H445" t="n">
        <v>0</v>
      </c>
      <c r="I445" t="n">
        <v>0</v>
      </c>
      <c r="J445" t="n">
        <v>0</v>
      </c>
      <c r="K445" t="n">
        <v>0</v>
      </c>
      <c r="L445" t="n">
        <v>0</v>
      </c>
      <c r="M445" t="n">
        <v>0</v>
      </c>
      <c r="N445" t="n">
        <v>0</v>
      </c>
      <c r="O445" t="n">
        <v>0</v>
      </c>
      <c r="P445" t="n">
        <v>0</v>
      </c>
      <c r="Q445" t="n">
        <v>0</v>
      </c>
      <c r="R445" s="2" t="inlineStr"/>
    </row>
    <row r="446" ht="15" customHeight="1">
      <c r="A446" t="inlineStr">
        <is>
          <t>A 19973-2019</t>
        </is>
      </c>
      <c r="B446" s="1" t="n">
        <v>43567</v>
      </c>
      <c r="C446" s="1" t="n">
        <v>45744</v>
      </c>
      <c r="D446" t="inlineStr">
        <is>
          <t>SKÅNE LÄN</t>
        </is>
      </c>
      <c r="E446" t="inlineStr">
        <is>
          <t>PERSTORP</t>
        </is>
      </c>
      <c r="F446" t="inlineStr">
        <is>
          <t>Övriga Aktiebolag</t>
        </is>
      </c>
      <c r="G446" t="n">
        <v>2</v>
      </c>
      <c r="H446" t="n">
        <v>0</v>
      </c>
      <c r="I446" t="n">
        <v>0</v>
      </c>
      <c r="J446" t="n">
        <v>0</v>
      </c>
      <c r="K446" t="n">
        <v>0</v>
      </c>
      <c r="L446" t="n">
        <v>0</v>
      </c>
      <c r="M446" t="n">
        <v>0</v>
      </c>
      <c r="N446" t="n">
        <v>0</v>
      </c>
      <c r="O446" t="n">
        <v>0</v>
      </c>
      <c r="P446" t="n">
        <v>0</v>
      </c>
      <c r="Q446" t="n">
        <v>0</v>
      </c>
      <c r="R446" s="2" t="inlineStr"/>
    </row>
    <row r="447" ht="15" customHeight="1">
      <c r="A447" t="inlineStr">
        <is>
          <t>A 19972-2019</t>
        </is>
      </c>
      <c r="B447" s="1" t="n">
        <v>43567</v>
      </c>
      <c r="C447" s="1" t="n">
        <v>45744</v>
      </c>
      <c r="D447" t="inlineStr">
        <is>
          <t>SKÅNE LÄN</t>
        </is>
      </c>
      <c r="E447" t="inlineStr">
        <is>
          <t>KLIPPAN</t>
        </is>
      </c>
      <c r="F447" t="inlineStr">
        <is>
          <t>Övriga Aktiebolag</t>
        </is>
      </c>
      <c r="G447" t="n">
        <v>0.7</v>
      </c>
      <c r="H447" t="n">
        <v>0</v>
      </c>
      <c r="I447" t="n">
        <v>0</v>
      </c>
      <c r="J447" t="n">
        <v>0</v>
      </c>
      <c r="K447" t="n">
        <v>0</v>
      </c>
      <c r="L447" t="n">
        <v>0</v>
      </c>
      <c r="M447" t="n">
        <v>0</v>
      </c>
      <c r="N447" t="n">
        <v>0</v>
      </c>
      <c r="O447" t="n">
        <v>0</v>
      </c>
      <c r="P447" t="n">
        <v>0</v>
      </c>
      <c r="Q447" t="n">
        <v>0</v>
      </c>
      <c r="R447" s="2" t="inlineStr"/>
    </row>
    <row r="448" ht="15" customHeight="1">
      <c r="A448" t="inlineStr">
        <is>
          <t>A 20048-2019</t>
        </is>
      </c>
      <c r="B448" s="1" t="n">
        <v>43570</v>
      </c>
      <c r="C448" s="1" t="n">
        <v>45744</v>
      </c>
      <c r="D448" t="inlineStr">
        <is>
          <t>SKÅNE LÄN</t>
        </is>
      </c>
      <c r="E448" t="inlineStr">
        <is>
          <t>KLIPPAN</t>
        </is>
      </c>
      <c r="G448" t="n">
        <v>8.6</v>
      </c>
      <c r="H448" t="n">
        <v>0</v>
      </c>
      <c r="I448" t="n">
        <v>0</v>
      </c>
      <c r="J448" t="n">
        <v>0</v>
      </c>
      <c r="K448" t="n">
        <v>0</v>
      </c>
      <c r="L448" t="n">
        <v>0</v>
      </c>
      <c r="M448" t="n">
        <v>0</v>
      </c>
      <c r="N448" t="n">
        <v>0</v>
      </c>
      <c r="O448" t="n">
        <v>0</v>
      </c>
      <c r="P448" t="n">
        <v>0</v>
      </c>
      <c r="Q448" t="n">
        <v>0</v>
      </c>
      <c r="R448" s="2" t="inlineStr"/>
    </row>
    <row r="449" ht="15" customHeight="1">
      <c r="A449" t="inlineStr">
        <is>
          <t>A 19964-2019</t>
        </is>
      </c>
      <c r="B449" s="1" t="n">
        <v>43570</v>
      </c>
      <c r="C449" s="1" t="n">
        <v>45744</v>
      </c>
      <c r="D449" t="inlineStr">
        <is>
          <t>SKÅNE LÄN</t>
        </is>
      </c>
      <c r="E449" t="inlineStr">
        <is>
          <t>SJÖBO</t>
        </is>
      </c>
      <c r="G449" t="n">
        <v>0.1</v>
      </c>
      <c r="H449" t="n">
        <v>0</v>
      </c>
      <c r="I449" t="n">
        <v>0</v>
      </c>
      <c r="J449" t="n">
        <v>0</v>
      </c>
      <c r="K449" t="n">
        <v>0</v>
      </c>
      <c r="L449" t="n">
        <v>0</v>
      </c>
      <c r="M449" t="n">
        <v>0</v>
      </c>
      <c r="N449" t="n">
        <v>0</v>
      </c>
      <c r="O449" t="n">
        <v>0</v>
      </c>
      <c r="P449" t="n">
        <v>0</v>
      </c>
      <c r="Q449" t="n">
        <v>0</v>
      </c>
      <c r="R449" s="2" t="inlineStr"/>
    </row>
    <row r="450" ht="15" customHeight="1">
      <c r="A450" t="inlineStr">
        <is>
          <t>A 20082-2019</t>
        </is>
      </c>
      <c r="B450" s="1" t="n">
        <v>43570</v>
      </c>
      <c r="C450" s="1" t="n">
        <v>45744</v>
      </c>
      <c r="D450" t="inlineStr">
        <is>
          <t>SKÅNE LÄN</t>
        </is>
      </c>
      <c r="E450" t="inlineStr">
        <is>
          <t>OSBY</t>
        </is>
      </c>
      <c r="G450" t="n">
        <v>2.9</v>
      </c>
      <c r="H450" t="n">
        <v>0</v>
      </c>
      <c r="I450" t="n">
        <v>0</v>
      </c>
      <c r="J450" t="n">
        <v>0</v>
      </c>
      <c r="K450" t="n">
        <v>0</v>
      </c>
      <c r="L450" t="n">
        <v>0</v>
      </c>
      <c r="M450" t="n">
        <v>0</v>
      </c>
      <c r="N450" t="n">
        <v>0</v>
      </c>
      <c r="O450" t="n">
        <v>0</v>
      </c>
      <c r="P450" t="n">
        <v>0</v>
      </c>
      <c r="Q450" t="n">
        <v>0</v>
      </c>
      <c r="R450" s="2" t="inlineStr"/>
    </row>
    <row r="451" ht="15" customHeight="1">
      <c r="A451" t="inlineStr">
        <is>
          <t>A 20332-2019</t>
        </is>
      </c>
      <c r="B451" s="1" t="n">
        <v>43571</v>
      </c>
      <c r="C451" s="1" t="n">
        <v>45744</v>
      </c>
      <c r="D451" t="inlineStr">
        <is>
          <t>SKÅNE LÄN</t>
        </is>
      </c>
      <c r="E451" t="inlineStr">
        <is>
          <t>KRISTIANSTAD</t>
        </is>
      </c>
      <c r="G451" t="n">
        <v>2.5</v>
      </c>
      <c r="H451" t="n">
        <v>0</v>
      </c>
      <c r="I451" t="n">
        <v>0</v>
      </c>
      <c r="J451" t="n">
        <v>0</v>
      </c>
      <c r="K451" t="n">
        <v>0</v>
      </c>
      <c r="L451" t="n">
        <v>0</v>
      </c>
      <c r="M451" t="n">
        <v>0</v>
      </c>
      <c r="N451" t="n">
        <v>0</v>
      </c>
      <c r="O451" t="n">
        <v>0</v>
      </c>
      <c r="P451" t="n">
        <v>0</v>
      </c>
      <c r="Q451" t="n">
        <v>0</v>
      </c>
      <c r="R451" s="2" t="inlineStr"/>
    </row>
    <row r="452" ht="15" customHeight="1">
      <c r="A452" t="inlineStr">
        <is>
          <t>A 20515-2019</t>
        </is>
      </c>
      <c r="B452" s="1" t="n">
        <v>43572</v>
      </c>
      <c r="C452" s="1" t="n">
        <v>45744</v>
      </c>
      <c r="D452" t="inlineStr">
        <is>
          <t>SKÅNE LÄN</t>
        </is>
      </c>
      <c r="E452" t="inlineStr">
        <is>
          <t>OSBY</t>
        </is>
      </c>
      <c r="G452" t="n">
        <v>0.6</v>
      </c>
      <c r="H452" t="n">
        <v>0</v>
      </c>
      <c r="I452" t="n">
        <v>0</v>
      </c>
      <c r="J452" t="n">
        <v>0</v>
      </c>
      <c r="K452" t="n">
        <v>0</v>
      </c>
      <c r="L452" t="n">
        <v>0</v>
      </c>
      <c r="M452" t="n">
        <v>0</v>
      </c>
      <c r="N452" t="n">
        <v>0</v>
      </c>
      <c r="O452" t="n">
        <v>0</v>
      </c>
      <c r="P452" t="n">
        <v>0</v>
      </c>
      <c r="Q452" t="n">
        <v>0</v>
      </c>
      <c r="R452" s="2" t="inlineStr"/>
    </row>
    <row r="453" ht="15" customHeight="1">
      <c r="A453" t="inlineStr">
        <is>
          <t>A 20530-2019</t>
        </is>
      </c>
      <c r="B453" s="1" t="n">
        <v>43572</v>
      </c>
      <c r="C453" s="1" t="n">
        <v>45744</v>
      </c>
      <c r="D453" t="inlineStr">
        <is>
          <t>SKÅNE LÄN</t>
        </is>
      </c>
      <c r="E453" t="inlineStr">
        <is>
          <t>KRISTIANSTAD</t>
        </is>
      </c>
      <c r="G453" t="n">
        <v>1.3</v>
      </c>
      <c r="H453" t="n">
        <v>0</v>
      </c>
      <c r="I453" t="n">
        <v>0</v>
      </c>
      <c r="J453" t="n">
        <v>0</v>
      </c>
      <c r="K453" t="n">
        <v>0</v>
      </c>
      <c r="L453" t="n">
        <v>0</v>
      </c>
      <c r="M453" t="n">
        <v>0</v>
      </c>
      <c r="N453" t="n">
        <v>0</v>
      </c>
      <c r="O453" t="n">
        <v>0</v>
      </c>
      <c r="P453" t="n">
        <v>0</v>
      </c>
      <c r="Q453" t="n">
        <v>0</v>
      </c>
      <c r="R453" s="2" t="inlineStr"/>
    </row>
    <row r="454" ht="15" customHeight="1">
      <c r="A454" t="inlineStr">
        <is>
          <t>A 20555-2019</t>
        </is>
      </c>
      <c r="B454" s="1" t="n">
        <v>43572</v>
      </c>
      <c r="C454" s="1" t="n">
        <v>45744</v>
      </c>
      <c r="D454" t="inlineStr">
        <is>
          <t>SKÅNE LÄN</t>
        </is>
      </c>
      <c r="E454" t="inlineStr">
        <is>
          <t>OSBY</t>
        </is>
      </c>
      <c r="G454" t="n">
        <v>2.7</v>
      </c>
      <c r="H454" t="n">
        <v>0</v>
      </c>
      <c r="I454" t="n">
        <v>0</v>
      </c>
      <c r="J454" t="n">
        <v>0</v>
      </c>
      <c r="K454" t="n">
        <v>0</v>
      </c>
      <c r="L454" t="n">
        <v>0</v>
      </c>
      <c r="M454" t="n">
        <v>0</v>
      </c>
      <c r="N454" t="n">
        <v>0</v>
      </c>
      <c r="O454" t="n">
        <v>0</v>
      </c>
      <c r="P454" t="n">
        <v>0</v>
      </c>
      <c r="Q454" t="n">
        <v>0</v>
      </c>
      <c r="R454" s="2" t="inlineStr"/>
    </row>
    <row r="455" ht="15" customHeight="1">
      <c r="A455" t="inlineStr">
        <is>
          <t>A 20732-2019</t>
        </is>
      </c>
      <c r="B455" s="1" t="n">
        <v>43573</v>
      </c>
      <c r="C455" s="1" t="n">
        <v>45744</v>
      </c>
      <c r="D455" t="inlineStr">
        <is>
          <t>SKÅNE LÄN</t>
        </is>
      </c>
      <c r="E455" t="inlineStr">
        <is>
          <t>ÖSTRA GÖINGE</t>
        </is>
      </c>
      <c r="G455" t="n">
        <v>11.1</v>
      </c>
      <c r="H455" t="n">
        <v>0</v>
      </c>
      <c r="I455" t="n">
        <v>0</v>
      </c>
      <c r="J455" t="n">
        <v>0</v>
      </c>
      <c r="K455" t="n">
        <v>0</v>
      </c>
      <c r="L455" t="n">
        <v>0</v>
      </c>
      <c r="M455" t="n">
        <v>0</v>
      </c>
      <c r="N455" t="n">
        <v>0</v>
      </c>
      <c r="O455" t="n">
        <v>0</v>
      </c>
      <c r="P455" t="n">
        <v>0</v>
      </c>
      <c r="Q455" t="n">
        <v>0</v>
      </c>
      <c r="R455" s="2" t="inlineStr"/>
    </row>
    <row r="456" ht="15" customHeight="1">
      <c r="A456" t="inlineStr">
        <is>
          <t>A 20765-2019</t>
        </is>
      </c>
      <c r="B456" s="1" t="n">
        <v>43573</v>
      </c>
      <c r="C456" s="1" t="n">
        <v>45744</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20934-2019</t>
        </is>
      </c>
      <c r="B457" s="1" t="n">
        <v>43574</v>
      </c>
      <c r="C457" s="1" t="n">
        <v>45744</v>
      </c>
      <c r="D457" t="inlineStr">
        <is>
          <t>SKÅNE LÄN</t>
        </is>
      </c>
      <c r="E457" t="inlineStr">
        <is>
          <t>OSBY</t>
        </is>
      </c>
      <c r="G457" t="n">
        <v>8.1</v>
      </c>
      <c r="H457" t="n">
        <v>0</v>
      </c>
      <c r="I457" t="n">
        <v>0</v>
      </c>
      <c r="J457" t="n">
        <v>0</v>
      </c>
      <c r="K457" t="n">
        <v>0</v>
      </c>
      <c r="L457" t="n">
        <v>0</v>
      </c>
      <c r="M457" t="n">
        <v>0</v>
      </c>
      <c r="N457" t="n">
        <v>0</v>
      </c>
      <c r="O457" t="n">
        <v>0</v>
      </c>
      <c r="P457" t="n">
        <v>0</v>
      </c>
      <c r="Q457" t="n">
        <v>0</v>
      </c>
      <c r="R457" s="2" t="inlineStr"/>
    </row>
    <row r="458" ht="15" customHeight="1">
      <c r="A458" t="inlineStr">
        <is>
          <t>A 20980-2019</t>
        </is>
      </c>
      <c r="B458" s="1" t="n">
        <v>43574</v>
      </c>
      <c r="C458" s="1" t="n">
        <v>45744</v>
      </c>
      <c r="D458" t="inlineStr">
        <is>
          <t>SKÅNE LÄN</t>
        </is>
      </c>
      <c r="E458" t="inlineStr">
        <is>
          <t>OSBY</t>
        </is>
      </c>
      <c r="G458" t="n">
        <v>1.1</v>
      </c>
      <c r="H458" t="n">
        <v>0</v>
      </c>
      <c r="I458" t="n">
        <v>0</v>
      </c>
      <c r="J458" t="n">
        <v>0</v>
      </c>
      <c r="K458" t="n">
        <v>0</v>
      </c>
      <c r="L458" t="n">
        <v>0</v>
      </c>
      <c r="M458" t="n">
        <v>0</v>
      </c>
      <c r="N458" t="n">
        <v>0</v>
      </c>
      <c r="O458" t="n">
        <v>0</v>
      </c>
      <c r="P458" t="n">
        <v>0</v>
      </c>
      <c r="Q458" t="n">
        <v>0</v>
      </c>
      <c r="R458" s="2" t="inlineStr"/>
    </row>
    <row r="459" ht="15" customHeight="1">
      <c r="A459" t="inlineStr">
        <is>
          <t>A 20921-2019</t>
        </is>
      </c>
      <c r="B459" s="1" t="n">
        <v>43574</v>
      </c>
      <c r="C459" s="1" t="n">
        <v>45744</v>
      </c>
      <c r="D459" t="inlineStr">
        <is>
          <t>SKÅNE LÄN</t>
        </is>
      </c>
      <c r="E459" t="inlineStr">
        <is>
          <t>OSBY</t>
        </is>
      </c>
      <c r="G459" t="n">
        <v>1.7</v>
      </c>
      <c r="H459" t="n">
        <v>0</v>
      </c>
      <c r="I459" t="n">
        <v>0</v>
      </c>
      <c r="J459" t="n">
        <v>0</v>
      </c>
      <c r="K459" t="n">
        <v>0</v>
      </c>
      <c r="L459" t="n">
        <v>0</v>
      </c>
      <c r="M459" t="n">
        <v>0</v>
      </c>
      <c r="N459" t="n">
        <v>0</v>
      </c>
      <c r="O459" t="n">
        <v>0</v>
      </c>
      <c r="P459" t="n">
        <v>0</v>
      </c>
      <c r="Q459" t="n">
        <v>0</v>
      </c>
      <c r="R459" s="2" t="inlineStr"/>
    </row>
    <row r="460" ht="15" customHeight="1">
      <c r="A460" t="inlineStr">
        <is>
          <t>A 21589-2019</t>
        </is>
      </c>
      <c r="B460" s="1" t="n">
        <v>43580</v>
      </c>
      <c r="C460" s="1" t="n">
        <v>45744</v>
      </c>
      <c r="D460" t="inlineStr">
        <is>
          <t>SKÅNE LÄN</t>
        </is>
      </c>
      <c r="E460" t="inlineStr">
        <is>
          <t>SIMRISHAMN</t>
        </is>
      </c>
      <c r="G460" t="n">
        <v>0.9</v>
      </c>
      <c r="H460" t="n">
        <v>0</v>
      </c>
      <c r="I460" t="n">
        <v>0</v>
      </c>
      <c r="J460" t="n">
        <v>0</v>
      </c>
      <c r="K460" t="n">
        <v>0</v>
      </c>
      <c r="L460" t="n">
        <v>0</v>
      </c>
      <c r="M460" t="n">
        <v>0</v>
      </c>
      <c r="N460" t="n">
        <v>0</v>
      </c>
      <c r="O460" t="n">
        <v>0</v>
      </c>
      <c r="P460" t="n">
        <v>0</v>
      </c>
      <c r="Q460" t="n">
        <v>0</v>
      </c>
      <c r="R460" s="2" t="inlineStr"/>
    </row>
    <row r="461" ht="15" customHeight="1">
      <c r="A461" t="inlineStr">
        <is>
          <t>A 21558-2019</t>
        </is>
      </c>
      <c r="B461" s="1" t="n">
        <v>43580</v>
      </c>
      <c r="C461" s="1" t="n">
        <v>45744</v>
      </c>
      <c r="D461" t="inlineStr">
        <is>
          <t>SKÅNE LÄN</t>
        </is>
      </c>
      <c r="E461" t="inlineStr">
        <is>
          <t>ÖRKELLJUNGA</t>
        </is>
      </c>
      <c r="G461" t="n">
        <v>1.5</v>
      </c>
      <c r="H461" t="n">
        <v>0</v>
      </c>
      <c r="I461" t="n">
        <v>0</v>
      </c>
      <c r="J461" t="n">
        <v>0</v>
      </c>
      <c r="K461" t="n">
        <v>0</v>
      </c>
      <c r="L461" t="n">
        <v>0</v>
      </c>
      <c r="M461" t="n">
        <v>0</v>
      </c>
      <c r="N461" t="n">
        <v>0</v>
      </c>
      <c r="O461" t="n">
        <v>0</v>
      </c>
      <c r="P461" t="n">
        <v>0</v>
      </c>
      <c r="Q461" t="n">
        <v>0</v>
      </c>
      <c r="R461" s="2" t="inlineStr"/>
    </row>
    <row r="462" ht="15" customHeight="1">
      <c r="A462" t="inlineStr">
        <is>
          <t>A 21534-2019</t>
        </is>
      </c>
      <c r="B462" s="1" t="n">
        <v>43580</v>
      </c>
      <c r="C462" s="1" t="n">
        <v>45744</v>
      </c>
      <c r="D462" t="inlineStr">
        <is>
          <t>SKÅNE LÄN</t>
        </is>
      </c>
      <c r="E462" t="inlineStr">
        <is>
          <t>HÄSSLEHOLM</t>
        </is>
      </c>
      <c r="G462" t="n">
        <v>1.6</v>
      </c>
      <c r="H462" t="n">
        <v>0</v>
      </c>
      <c r="I462" t="n">
        <v>0</v>
      </c>
      <c r="J462" t="n">
        <v>0</v>
      </c>
      <c r="K462" t="n">
        <v>0</v>
      </c>
      <c r="L462" t="n">
        <v>0</v>
      </c>
      <c r="M462" t="n">
        <v>0</v>
      </c>
      <c r="N462" t="n">
        <v>0</v>
      </c>
      <c r="O462" t="n">
        <v>0</v>
      </c>
      <c r="P462" t="n">
        <v>0</v>
      </c>
      <c r="Q462" t="n">
        <v>0</v>
      </c>
      <c r="R462" s="2" t="inlineStr"/>
    </row>
    <row r="463" ht="15" customHeight="1">
      <c r="A463" t="inlineStr">
        <is>
          <t>A 21458-2019</t>
        </is>
      </c>
      <c r="B463" s="1" t="n">
        <v>43580</v>
      </c>
      <c r="C463" s="1" t="n">
        <v>45744</v>
      </c>
      <c r="D463" t="inlineStr">
        <is>
          <t>SKÅNE LÄN</t>
        </is>
      </c>
      <c r="E463" t="inlineStr">
        <is>
          <t>HÖRBY</t>
        </is>
      </c>
      <c r="G463" t="n">
        <v>1.3</v>
      </c>
      <c r="H463" t="n">
        <v>0</v>
      </c>
      <c r="I463" t="n">
        <v>0</v>
      </c>
      <c r="J463" t="n">
        <v>0</v>
      </c>
      <c r="K463" t="n">
        <v>0</v>
      </c>
      <c r="L463" t="n">
        <v>0</v>
      </c>
      <c r="M463" t="n">
        <v>0</v>
      </c>
      <c r="N463" t="n">
        <v>0</v>
      </c>
      <c r="O463" t="n">
        <v>0</v>
      </c>
      <c r="P463" t="n">
        <v>0</v>
      </c>
      <c r="Q463" t="n">
        <v>0</v>
      </c>
      <c r="R463" s="2" t="inlineStr"/>
    </row>
    <row r="464" ht="15" customHeight="1">
      <c r="A464" t="inlineStr">
        <is>
          <t>A 21422-2019</t>
        </is>
      </c>
      <c r="B464" s="1" t="n">
        <v>43580</v>
      </c>
      <c r="C464" s="1" t="n">
        <v>45744</v>
      </c>
      <c r="D464" t="inlineStr">
        <is>
          <t>SKÅNE LÄN</t>
        </is>
      </c>
      <c r="E464" t="inlineStr">
        <is>
          <t>PERSTORP</t>
        </is>
      </c>
      <c r="G464" t="n">
        <v>7.5</v>
      </c>
      <c r="H464" t="n">
        <v>0</v>
      </c>
      <c r="I464" t="n">
        <v>0</v>
      </c>
      <c r="J464" t="n">
        <v>0</v>
      </c>
      <c r="K464" t="n">
        <v>0</v>
      </c>
      <c r="L464" t="n">
        <v>0</v>
      </c>
      <c r="M464" t="n">
        <v>0</v>
      </c>
      <c r="N464" t="n">
        <v>0</v>
      </c>
      <c r="O464" t="n">
        <v>0</v>
      </c>
      <c r="P464" t="n">
        <v>0</v>
      </c>
      <c r="Q464" t="n">
        <v>0</v>
      </c>
      <c r="R464" s="2" t="inlineStr"/>
    </row>
    <row r="465" ht="15" customHeight="1">
      <c r="A465" t="inlineStr">
        <is>
          <t>A 21578-2019</t>
        </is>
      </c>
      <c r="B465" s="1" t="n">
        <v>43580</v>
      </c>
      <c r="C465" s="1" t="n">
        <v>45744</v>
      </c>
      <c r="D465" t="inlineStr">
        <is>
          <t>SKÅNE LÄN</t>
        </is>
      </c>
      <c r="E465" t="inlineStr">
        <is>
          <t>KRISTIANSTAD</t>
        </is>
      </c>
      <c r="G465" t="n">
        <v>4.7</v>
      </c>
      <c r="H465" t="n">
        <v>0</v>
      </c>
      <c r="I465" t="n">
        <v>0</v>
      </c>
      <c r="J465" t="n">
        <v>0</v>
      </c>
      <c r="K465" t="n">
        <v>0</v>
      </c>
      <c r="L465" t="n">
        <v>0</v>
      </c>
      <c r="M465" t="n">
        <v>0</v>
      </c>
      <c r="N465" t="n">
        <v>0</v>
      </c>
      <c r="O465" t="n">
        <v>0</v>
      </c>
      <c r="P465" t="n">
        <v>0</v>
      </c>
      <c r="Q465" t="n">
        <v>0</v>
      </c>
      <c r="R465" s="2" t="inlineStr"/>
    </row>
    <row r="466" ht="15" customHeight="1">
      <c r="A466" t="inlineStr">
        <is>
          <t>A 21535-2019</t>
        </is>
      </c>
      <c r="B466" s="1" t="n">
        <v>43580</v>
      </c>
      <c r="C466" s="1" t="n">
        <v>45744</v>
      </c>
      <c r="D466" t="inlineStr">
        <is>
          <t>SKÅNE LÄN</t>
        </is>
      </c>
      <c r="E466" t="inlineStr">
        <is>
          <t>HÄSSLEHOLM</t>
        </is>
      </c>
      <c r="G466" t="n">
        <v>1.1</v>
      </c>
      <c r="H466" t="n">
        <v>0</v>
      </c>
      <c r="I466" t="n">
        <v>0</v>
      </c>
      <c r="J466" t="n">
        <v>0</v>
      </c>
      <c r="K466" t="n">
        <v>0</v>
      </c>
      <c r="L466" t="n">
        <v>0</v>
      </c>
      <c r="M466" t="n">
        <v>0</v>
      </c>
      <c r="N466" t="n">
        <v>0</v>
      </c>
      <c r="O466" t="n">
        <v>0</v>
      </c>
      <c r="P466" t="n">
        <v>0</v>
      </c>
      <c r="Q466" t="n">
        <v>0</v>
      </c>
      <c r="R466" s="2" t="inlineStr"/>
    </row>
    <row r="467" ht="15" customHeight="1">
      <c r="A467" t="inlineStr">
        <is>
          <t>A 21637-2019</t>
        </is>
      </c>
      <c r="B467" s="1" t="n">
        <v>43581</v>
      </c>
      <c r="C467" s="1" t="n">
        <v>45744</v>
      </c>
      <c r="D467" t="inlineStr">
        <is>
          <t>SKÅNE LÄN</t>
        </is>
      </c>
      <c r="E467" t="inlineStr">
        <is>
          <t>OSBY</t>
        </is>
      </c>
      <c r="G467" t="n">
        <v>3.4</v>
      </c>
      <c r="H467" t="n">
        <v>0</v>
      </c>
      <c r="I467" t="n">
        <v>0</v>
      </c>
      <c r="J467" t="n">
        <v>0</v>
      </c>
      <c r="K467" t="n">
        <v>0</v>
      </c>
      <c r="L467" t="n">
        <v>0</v>
      </c>
      <c r="M467" t="n">
        <v>0</v>
      </c>
      <c r="N467" t="n">
        <v>0</v>
      </c>
      <c r="O467" t="n">
        <v>0</v>
      </c>
      <c r="P467" t="n">
        <v>0</v>
      </c>
      <c r="Q467" t="n">
        <v>0</v>
      </c>
      <c r="R467" s="2" t="inlineStr"/>
    </row>
    <row r="468" ht="15" customHeight="1">
      <c r="A468" t="inlineStr">
        <is>
          <t>A 21629-2019</t>
        </is>
      </c>
      <c r="B468" s="1" t="n">
        <v>43581</v>
      </c>
      <c r="C468" s="1" t="n">
        <v>45744</v>
      </c>
      <c r="D468" t="inlineStr">
        <is>
          <t>SKÅNE LÄN</t>
        </is>
      </c>
      <c r="E468" t="inlineStr">
        <is>
          <t>BROMÖLLA</t>
        </is>
      </c>
      <c r="G468" t="n">
        <v>5.9</v>
      </c>
      <c r="H468" t="n">
        <v>0</v>
      </c>
      <c r="I468" t="n">
        <v>0</v>
      </c>
      <c r="J468" t="n">
        <v>0</v>
      </c>
      <c r="K468" t="n">
        <v>0</v>
      </c>
      <c r="L468" t="n">
        <v>0</v>
      </c>
      <c r="M468" t="n">
        <v>0</v>
      </c>
      <c r="N468" t="n">
        <v>0</v>
      </c>
      <c r="O468" t="n">
        <v>0</v>
      </c>
      <c r="P468" t="n">
        <v>0</v>
      </c>
      <c r="Q468" t="n">
        <v>0</v>
      </c>
      <c r="R468" s="2" t="inlineStr"/>
    </row>
    <row r="469" ht="15" customHeight="1">
      <c r="A469" t="inlineStr">
        <is>
          <t>A 21901-2019</t>
        </is>
      </c>
      <c r="B469" s="1" t="n">
        <v>43584</v>
      </c>
      <c r="C469" s="1" t="n">
        <v>45744</v>
      </c>
      <c r="D469" t="inlineStr">
        <is>
          <t>SKÅNE LÄN</t>
        </is>
      </c>
      <c r="E469" t="inlineStr">
        <is>
          <t>PERSTORP</t>
        </is>
      </c>
      <c r="F469" t="inlineStr">
        <is>
          <t>Övriga Aktiebolag</t>
        </is>
      </c>
      <c r="G469" t="n">
        <v>2.9</v>
      </c>
      <c r="H469" t="n">
        <v>0</v>
      </c>
      <c r="I469" t="n">
        <v>0</v>
      </c>
      <c r="J469" t="n">
        <v>0</v>
      </c>
      <c r="K469" t="n">
        <v>0</v>
      </c>
      <c r="L469" t="n">
        <v>0</v>
      </c>
      <c r="M469" t="n">
        <v>0</v>
      </c>
      <c r="N469" t="n">
        <v>0</v>
      </c>
      <c r="O469" t="n">
        <v>0</v>
      </c>
      <c r="P469" t="n">
        <v>0</v>
      </c>
      <c r="Q469" t="n">
        <v>0</v>
      </c>
      <c r="R469" s="2" t="inlineStr"/>
    </row>
    <row r="470" ht="15" customHeight="1">
      <c r="A470" t="inlineStr">
        <is>
          <t>A 21927-2019</t>
        </is>
      </c>
      <c r="B470" s="1" t="n">
        <v>43584</v>
      </c>
      <c r="C470" s="1" t="n">
        <v>45744</v>
      </c>
      <c r="D470" t="inlineStr">
        <is>
          <t>SKÅNE LÄN</t>
        </is>
      </c>
      <c r="E470" t="inlineStr">
        <is>
          <t>KLIPPAN</t>
        </is>
      </c>
      <c r="G470" t="n">
        <v>1.8</v>
      </c>
      <c r="H470" t="n">
        <v>0</v>
      </c>
      <c r="I470" t="n">
        <v>0</v>
      </c>
      <c r="J470" t="n">
        <v>0</v>
      </c>
      <c r="K470" t="n">
        <v>0</v>
      </c>
      <c r="L470" t="n">
        <v>0</v>
      </c>
      <c r="M470" t="n">
        <v>0</v>
      </c>
      <c r="N470" t="n">
        <v>0</v>
      </c>
      <c r="O470" t="n">
        <v>0</v>
      </c>
      <c r="P470" t="n">
        <v>0</v>
      </c>
      <c r="Q470" t="n">
        <v>0</v>
      </c>
      <c r="R470" s="2" t="inlineStr"/>
    </row>
    <row r="471" ht="15" customHeight="1">
      <c r="A471" t="inlineStr">
        <is>
          <t>A 21982-2019</t>
        </is>
      </c>
      <c r="B471" s="1" t="n">
        <v>43584</v>
      </c>
      <c r="C471" s="1" t="n">
        <v>45744</v>
      </c>
      <c r="D471" t="inlineStr">
        <is>
          <t>SKÅNE LÄN</t>
        </is>
      </c>
      <c r="E471" t="inlineStr">
        <is>
          <t>KRISTIANSTAD</t>
        </is>
      </c>
      <c r="G471" t="n">
        <v>0.5</v>
      </c>
      <c r="H471" t="n">
        <v>0</v>
      </c>
      <c r="I471" t="n">
        <v>0</v>
      </c>
      <c r="J471" t="n">
        <v>0</v>
      </c>
      <c r="K471" t="n">
        <v>0</v>
      </c>
      <c r="L471" t="n">
        <v>0</v>
      </c>
      <c r="M471" t="n">
        <v>0</v>
      </c>
      <c r="N471" t="n">
        <v>0</v>
      </c>
      <c r="O471" t="n">
        <v>0</v>
      </c>
      <c r="P471" t="n">
        <v>0</v>
      </c>
      <c r="Q471" t="n">
        <v>0</v>
      </c>
      <c r="R471" s="2" t="inlineStr"/>
    </row>
    <row r="472" ht="15" customHeight="1">
      <c r="A472" t="inlineStr">
        <is>
          <t>A 21976-2019</t>
        </is>
      </c>
      <c r="B472" s="1" t="n">
        <v>43584</v>
      </c>
      <c r="C472" s="1" t="n">
        <v>45744</v>
      </c>
      <c r="D472" t="inlineStr">
        <is>
          <t>SKÅNE LÄN</t>
        </is>
      </c>
      <c r="E472" t="inlineStr">
        <is>
          <t>HÄSSLEHOLM</t>
        </is>
      </c>
      <c r="F472" t="inlineStr">
        <is>
          <t>Övriga Aktiebolag</t>
        </is>
      </c>
      <c r="G472" t="n">
        <v>1.9</v>
      </c>
      <c r="H472" t="n">
        <v>0</v>
      </c>
      <c r="I472" t="n">
        <v>0</v>
      </c>
      <c r="J472" t="n">
        <v>0</v>
      </c>
      <c r="K472" t="n">
        <v>0</v>
      </c>
      <c r="L472" t="n">
        <v>0</v>
      </c>
      <c r="M472" t="n">
        <v>0</v>
      </c>
      <c r="N472" t="n">
        <v>0</v>
      </c>
      <c r="O472" t="n">
        <v>0</v>
      </c>
      <c r="P472" t="n">
        <v>0</v>
      </c>
      <c r="Q472" t="n">
        <v>0</v>
      </c>
      <c r="R472" s="2" t="inlineStr"/>
    </row>
    <row r="473" ht="15" customHeight="1">
      <c r="A473" t="inlineStr">
        <is>
          <t>A 22066-2019</t>
        </is>
      </c>
      <c r="B473" s="1" t="n">
        <v>43584</v>
      </c>
      <c r="C473" s="1" t="n">
        <v>45744</v>
      </c>
      <c r="D473" t="inlineStr">
        <is>
          <t>SKÅNE LÄN</t>
        </is>
      </c>
      <c r="E473" t="inlineStr">
        <is>
          <t>OSBY</t>
        </is>
      </c>
      <c r="G473" t="n">
        <v>3</v>
      </c>
      <c r="H473" t="n">
        <v>0</v>
      </c>
      <c r="I473" t="n">
        <v>0</v>
      </c>
      <c r="J473" t="n">
        <v>0</v>
      </c>
      <c r="K473" t="n">
        <v>0</v>
      </c>
      <c r="L473" t="n">
        <v>0</v>
      </c>
      <c r="M473" t="n">
        <v>0</v>
      </c>
      <c r="N473" t="n">
        <v>0</v>
      </c>
      <c r="O473" t="n">
        <v>0</v>
      </c>
      <c r="P473" t="n">
        <v>0</v>
      </c>
      <c r="Q473" t="n">
        <v>0</v>
      </c>
      <c r="R473" s="2" t="inlineStr"/>
    </row>
    <row r="474" ht="15" customHeight="1">
      <c r="A474" t="inlineStr">
        <is>
          <t>A 22176-2019</t>
        </is>
      </c>
      <c r="B474" s="1" t="n">
        <v>43585</v>
      </c>
      <c r="C474" s="1" t="n">
        <v>45744</v>
      </c>
      <c r="D474" t="inlineStr">
        <is>
          <t>SKÅNE LÄN</t>
        </is>
      </c>
      <c r="E474" t="inlineStr">
        <is>
          <t>OSBY</t>
        </is>
      </c>
      <c r="G474" t="n">
        <v>7.3</v>
      </c>
      <c r="H474" t="n">
        <v>0</v>
      </c>
      <c r="I474" t="n">
        <v>0</v>
      </c>
      <c r="J474" t="n">
        <v>0</v>
      </c>
      <c r="K474" t="n">
        <v>0</v>
      </c>
      <c r="L474" t="n">
        <v>0</v>
      </c>
      <c r="M474" t="n">
        <v>0</v>
      </c>
      <c r="N474" t="n">
        <v>0</v>
      </c>
      <c r="O474" t="n">
        <v>0</v>
      </c>
      <c r="P474" t="n">
        <v>0</v>
      </c>
      <c r="Q474" t="n">
        <v>0</v>
      </c>
      <c r="R474" s="2" t="inlineStr"/>
    </row>
    <row r="475" ht="15" customHeight="1">
      <c r="A475" t="inlineStr">
        <is>
          <t>A 22177-2019</t>
        </is>
      </c>
      <c r="B475" s="1" t="n">
        <v>43585</v>
      </c>
      <c r="C475" s="1" t="n">
        <v>45744</v>
      </c>
      <c r="D475" t="inlineStr">
        <is>
          <t>SKÅNE LÄN</t>
        </is>
      </c>
      <c r="E475" t="inlineStr">
        <is>
          <t>OSBY</t>
        </is>
      </c>
      <c r="G475" t="n">
        <v>0.6</v>
      </c>
      <c r="H475" t="n">
        <v>0</v>
      </c>
      <c r="I475" t="n">
        <v>0</v>
      </c>
      <c r="J475" t="n">
        <v>0</v>
      </c>
      <c r="K475" t="n">
        <v>0</v>
      </c>
      <c r="L475" t="n">
        <v>0</v>
      </c>
      <c r="M475" t="n">
        <v>0</v>
      </c>
      <c r="N475" t="n">
        <v>0</v>
      </c>
      <c r="O475" t="n">
        <v>0</v>
      </c>
      <c r="P475" t="n">
        <v>0</v>
      </c>
      <c r="Q475" t="n">
        <v>0</v>
      </c>
      <c r="R475" s="2" t="inlineStr"/>
    </row>
    <row r="476" ht="15" customHeight="1">
      <c r="A476" t="inlineStr">
        <is>
          <t>A 22118-2019</t>
        </is>
      </c>
      <c r="B476" s="1" t="n">
        <v>43585</v>
      </c>
      <c r="C476" s="1" t="n">
        <v>45744</v>
      </c>
      <c r="D476" t="inlineStr">
        <is>
          <t>SKÅNE LÄN</t>
        </is>
      </c>
      <c r="E476" t="inlineStr">
        <is>
          <t>KLIPPAN</t>
        </is>
      </c>
      <c r="G476" t="n">
        <v>0.4</v>
      </c>
      <c r="H476" t="n">
        <v>0</v>
      </c>
      <c r="I476" t="n">
        <v>0</v>
      </c>
      <c r="J476" t="n">
        <v>0</v>
      </c>
      <c r="K476" t="n">
        <v>0</v>
      </c>
      <c r="L476" t="n">
        <v>0</v>
      </c>
      <c r="M476" t="n">
        <v>0</v>
      </c>
      <c r="N476" t="n">
        <v>0</v>
      </c>
      <c r="O476" t="n">
        <v>0</v>
      </c>
      <c r="P476" t="n">
        <v>0</v>
      </c>
      <c r="Q476" t="n">
        <v>0</v>
      </c>
      <c r="R476" s="2" t="inlineStr"/>
    </row>
    <row r="477" ht="15" customHeight="1">
      <c r="A477" t="inlineStr">
        <is>
          <t>A 22121-2019</t>
        </is>
      </c>
      <c r="B477" s="1" t="n">
        <v>43585</v>
      </c>
      <c r="C477" s="1" t="n">
        <v>45744</v>
      </c>
      <c r="D477" t="inlineStr">
        <is>
          <t>SKÅNE LÄN</t>
        </is>
      </c>
      <c r="E477" t="inlineStr">
        <is>
          <t>KLIPPAN</t>
        </is>
      </c>
      <c r="G477" t="n">
        <v>4.7</v>
      </c>
      <c r="H477" t="n">
        <v>0</v>
      </c>
      <c r="I477" t="n">
        <v>0</v>
      </c>
      <c r="J477" t="n">
        <v>0</v>
      </c>
      <c r="K477" t="n">
        <v>0</v>
      </c>
      <c r="L477" t="n">
        <v>0</v>
      </c>
      <c r="M477" t="n">
        <v>0</v>
      </c>
      <c r="N477" t="n">
        <v>0</v>
      </c>
      <c r="O477" t="n">
        <v>0</v>
      </c>
      <c r="P477" t="n">
        <v>0</v>
      </c>
      <c r="Q477" t="n">
        <v>0</v>
      </c>
      <c r="R477" s="2" t="inlineStr"/>
    </row>
    <row r="478" ht="15" customHeight="1">
      <c r="A478" t="inlineStr">
        <is>
          <t>A 22164-2019</t>
        </is>
      </c>
      <c r="B478" s="1" t="n">
        <v>43585</v>
      </c>
      <c r="C478" s="1" t="n">
        <v>45744</v>
      </c>
      <c r="D478" t="inlineStr">
        <is>
          <t>SKÅNE LÄN</t>
        </is>
      </c>
      <c r="E478" t="inlineStr">
        <is>
          <t>OSBY</t>
        </is>
      </c>
      <c r="G478" t="n">
        <v>1.3</v>
      </c>
      <c r="H478" t="n">
        <v>0</v>
      </c>
      <c r="I478" t="n">
        <v>0</v>
      </c>
      <c r="J478" t="n">
        <v>0</v>
      </c>
      <c r="K478" t="n">
        <v>0</v>
      </c>
      <c r="L478" t="n">
        <v>0</v>
      </c>
      <c r="M478" t="n">
        <v>0</v>
      </c>
      <c r="N478" t="n">
        <v>0</v>
      </c>
      <c r="O478" t="n">
        <v>0</v>
      </c>
      <c r="P478" t="n">
        <v>0</v>
      </c>
      <c r="Q478" t="n">
        <v>0</v>
      </c>
      <c r="R478" s="2" t="inlineStr"/>
    </row>
    <row r="479" ht="15" customHeight="1">
      <c r="A479" t="inlineStr">
        <is>
          <t>A 22353-2019</t>
        </is>
      </c>
      <c r="B479" s="1" t="n">
        <v>43585</v>
      </c>
      <c r="C479" s="1" t="n">
        <v>45744</v>
      </c>
      <c r="D479" t="inlineStr">
        <is>
          <t>SKÅNE LÄN</t>
        </is>
      </c>
      <c r="E479" t="inlineStr">
        <is>
          <t>SJÖBO</t>
        </is>
      </c>
      <c r="G479" t="n">
        <v>7.5</v>
      </c>
      <c r="H479" t="n">
        <v>0</v>
      </c>
      <c r="I479" t="n">
        <v>0</v>
      </c>
      <c r="J479" t="n">
        <v>0</v>
      </c>
      <c r="K479" t="n">
        <v>0</v>
      </c>
      <c r="L479" t="n">
        <v>0</v>
      </c>
      <c r="M479" t="n">
        <v>0</v>
      </c>
      <c r="N479" t="n">
        <v>0</v>
      </c>
      <c r="O479" t="n">
        <v>0</v>
      </c>
      <c r="P479" t="n">
        <v>0</v>
      </c>
      <c r="Q479" t="n">
        <v>0</v>
      </c>
      <c r="R479" s="2" t="inlineStr"/>
    </row>
    <row r="480" ht="15" customHeight="1">
      <c r="A480" t="inlineStr">
        <is>
          <t>A 22328-2019</t>
        </is>
      </c>
      <c r="B480" s="1" t="n">
        <v>43586</v>
      </c>
      <c r="C480" s="1" t="n">
        <v>45744</v>
      </c>
      <c r="D480" t="inlineStr">
        <is>
          <t>SKÅNE LÄN</t>
        </is>
      </c>
      <c r="E480" t="inlineStr">
        <is>
          <t>OSBY</t>
        </is>
      </c>
      <c r="F480" t="inlineStr">
        <is>
          <t>Naturvårdsverket</t>
        </is>
      </c>
      <c r="G480" t="n">
        <v>2.3</v>
      </c>
      <c r="H480" t="n">
        <v>0</v>
      </c>
      <c r="I480" t="n">
        <v>0</v>
      </c>
      <c r="J480" t="n">
        <v>0</v>
      </c>
      <c r="K480" t="n">
        <v>0</v>
      </c>
      <c r="L480" t="n">
        <v>0</v>
      </c>
      <c r="M480" t="n">
        <v>0</v>
      </c>
      <c r="N480" t="n">
        <v>0</v>
      </c>
      <c r="O480" t="n">
        <v>0</v>
      </c>
      <c r="P480" t="n">
        <v>0</v>
      </c>
      <c r="Q480" t="n">
        <v>0</v>
      </c>
      <c r="R480" s="2" t="inlineStr"/>
    </row>
    <row r="481" ht="15" customHeight="1">
      <c r="A481" t="inlineStr">
        <is>
          <t>A 22516-2019</t>
        </is>
      </c>
      <c r="B481" s="1" t="n">
        <v>43587</v>
      </c>
      <c r="C481" s="1" t="n">
        <v>45744</v>
      </c>
      <c r="D481" t="inlineStr">
        <is>
          <t>SKÅNE LÄN</t>
        </is>
      </c>
      <c r="E481" t="inlineStr">
        <is>
          <t>ÄNGELHOLM</t>
        </is>
      </c>
      <c r="G481" t="n">
        <v>3</v>
      </c>
      <c r="H481" t="n">
        <v>0</v>
      </c>
      <c r="I481" t="n">
        <v>0</v>
      </c>
      <c r="J481" t="n">
        <v>0</v>
      </c>
      <c r="K481" t="n">
        <v>0</v>
      </c>
      <c r="L481" t="n">
        <v>0</v>
      </c>
      <c r="M481" t="n">
        <v>0</v>
      </c>
      <c r="N481" t="n">
        <v>0</v>
      </c>
      <c r="O481" t="n">
        <v>0</v>
      </c>
      <c r="P481" t="n">
        <v>0</v>
      </c>
      <c r="Q481" t="n">
        <v>0</v>
      </c>
      <c r="R481" s="2" t="inlineStr"/>
    </row>
    <row r="482" ht="15" customHeight="1">
      <c r="A482" t="inlineStr">
        <is>
          <t>A 22919-2019</t>
        </is>
      </c>
      <c r="B482" s="1" t="n">
        <v>43587</v>
      </c>
      <c r="C482" s="1" t="n">
        <v>45744</v>
      </c>
      <c r="D482" t="inlineStr">
        <is>
          <t>SKÅNE LÄN</t>
        </is>
      </c>
      <c r="E482" t="inlineStr">
        <is>
          <t>HÖÖR</t>
        </is>
      </c>
      <c r="G482" t="n">
        <v>0.6</v>
      </c>
      <c r="H482" t="n">
        <v>0</v>
      </c>
      <c r="I482" t="n">
        <v>0</v>
      </c>
      <c r="J482" t="n">
        <v>0</v>
      </c>
      <c r="K482" t="n">
        <v>0</v>
      </c>
      <c r="L482" t="n">
        <v>0</v>
      </c>
      <c r="M482" t="n">
        <v>0</v>
      </c>
      <c r="N482" t="n">
        <v>0</v>
      </c>
      <c r="O482" t="n">
        <v>0</v>
      </c>
      <c r="P482" t="n">
        <v>0</v>
      </c>
      <c r="Q482" t="n">
        <v>0</v>
      </c>
      <c r="R482" s="2" t="inlineStr"/>
    </row>
    <row r="483" ht="15" customHeight="1">
      <c r="A483" t="inlineStr">
        <is>
          <t>A 22624-2019</t>
        </is>
      </c>
      <c r="B483" s="1" t="n">
        <v>43588</v>
      </c>
      <c r="C483" s="1" t="n">
        <v>45744</v>
      </c>
      <c r="D483" t="inlineStr">
        <is>
          <t>SKÅNE LÄN</t>
        </is>
      </c>
      <c r="E483" t="inlineStr">
        <is>
          <t>HÖRBY</t>
        </is>
      </c>
      <c r="G483" t="n">
        <v>1.9</v>
      </c>
      <c r="H483" t="n">
        <v>0</v>
      </c>
      <c r="I483" t="n">
        <v>0</v>
      </c>
      <c r="J483" t="n">
        <v>0</v>
      </c>
      <c r="K483" t="n">
        <v>0</v>
      </c>
      <c r="L483" t="n">
        <v>0</v>
      </c>
      <c r="M483" t="n">
        <v>0</v>
      </c>
      <c r="N483" t="n">
        <v>0</v>
      </c>
      <c r="O483" t="n">
        <v>0</v>
      </c>
      <c r="P483" t="n">
        <v>0</v>
      </c>
      <c r="Q483" t="n">
        <v>0</v>
      </c>
      <c r="R483" s="2" t="inlineStr"/>
    </row>
    <row r="484" ht="15" customHeight="1">
      <c r="A484" t="inlineStr">
        <is>
          <t>A 22638-2019</t>
        </is>
      </c>
      <c r="B484" s="1" t="n">
        <v>43588</v>
      </c>
      <c r="C484" s="1" t="n">
        <v>45744</v>
      </c>
      <c r="D484" t="inlineStr">
        <is>
          <t>SKÅNE LÄN</t>
        </is>
      </c>
      <c r="E484" t="inlineStr">
        <is>
          <t>OSBY</t>
        </is>
      </c>
      <c r="G484" t="n">
        <v>0.2</v>
      </c>
      <c r="H484" t="n">
        <v>0</v>
      </c>
      <c r="I484" t="n">
        <v>0</v>
      </c>
      <c r="J484" t="n">
        <v>0</v>
      </c>
      <c r="K484" t="n">
        <v>0</v>
      </c>
      <c r="L484" t="n">
        <v>0</v>
      </c>
      <c r="M484" t="n">
        <v>0</v>
      </c>
      <c r="N484" t="n">
        <v>0</v>
      </c>
      <c r="O484" t="n">
        <v>0</v>
      </c>
      <c r="P484" t="n">
        <v>0</v>
      </c>
      <c r="Q484" t="n">
        <v>0</v>
      </c>
      <c r="R484" s="2" t="inlineStr"/>
    </row>
    <row r="485" ht="15" customHeight="1">
      <c r="A485" t="inlineStr">
        <is>
          <t>A 23170-2019</t>
        </is>
      </c>
      <c r="B485" s="1" t="n">
        <v>43591</v>
      </c>
      <c r="C485" s="1" t="n">
        <v>45744</v>
      </c>
      <c r="D485" t="inlineStr">
        <is>
          <t>SKÅNE LÄN</t>
        </is>
      </c>
      <c r="E485" t="inlineStr">
        <is>
          <t>ÖSTRA GÖINGE</t>
        </is>
      </c>
      <c r="G485" t="n">
        <v>11.1</v>
      </c>
      <c r="H485" t="n">
        <v>0</v>
      </c>
      <c r="I485" t="n">
        <v>0</v>
      </c>
      <c r="J485" t="n">
        <v>0</v>
      </c>
      <c r="K485" t="n">
        <v>0</v>
      </c>
      <c r="L485" t="n">
        <v>0</v>
      </c>
      <c r="M485" t="n">
        <v>0</v>
      </c>
      <c r="N485" t="n">
        <v>0</v>
      </c>
      <c r="O485" t="n">
        <v>0</v>
      </c>
      <c r="P485" t="n">
        <v>0</v>
      </c>
      <c r="Q485" t="n">
        <v>0</v>
      </c>
      <c r="R485" s="2" t="inlineStr"/>
    </row>
    <row r="486" ht="15" customHeight="1">
      <c r="A486" t="inlineStr">
        <is>
          <t>A 23006-2019</t>
        </is>
      </c>
      <c r="B486" s="1" t="n">
        <v>43591</v>
      </c>
      <c r="C486" s="1" t="n">
        <v>45744</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23505-2019</t>
        </is>
      </c>
      <c r="B487" s="1" t="n">
        <v>43593</v>
      </c>
      <c r="C487" s="1" t="n">
        <v>45744</v>
      </c>
      <c r="D487" t="inlineStr">
        <is>
          <t>SKÅNE LÄN</t>
        </is>
      </c>
      <c r="E487" t="inlineStr">
        <is>
          <t>HÄSSLEHOLM</t>
        </is>
      </c>
      <c r="F487" t="inlineStr">
        <is>
          <t>Kyrkan</t>
        </is>
      </c>
      <c r="G487" t="n">
        <v>1.2</v>
      </c>
      <c r="H487" t="n">
        <v>0</v>
      </c>
      <c r="I487" t="n">
        <v>0</v>
      </c>
      <c r="J487" t="n">
        <v>0</v>
      </c>
      <c r="K487" t="n">
        <v>0</v>
      </c>
      <c r="L487" t="n">
        <v>0</v>
      </c>
      <c r="M487" t="n">
        <v>0</v>
      </c>
      <c r="N487" t="n">
        <v>0</v>
      </c>
      <c r="O487" t="n">
        <v>0</v>
      </c>
      <c r="P487" t="n">
        <v>0</v>
      </c>
      <c r="Q487" t="n">
        <v>0</v>
      </c>
      <c r="R487" s="2" t="inlineStr"/>
    </row>
    <row r="488" ht="15" customHeight="1">
      <c r="A488" t="inlineStr">
        <is>
          <t>A 23781-2019</t>
        </is>
      </c>
      <c r="B488" s="1" t="n">
        <v>43595</v>
      </c>
      <c r="C488" s="1" t="n">
        <v>45744</v>
      </c>
      <c r="D488" t="inlineStr">
        <is>
          <t>SKÅNE LÄN</t>
        </is>
      </c>
      <c r="E488" t="inlineStr">
        <is>
          <t>ÄNGELHOLM</t>
        </is>
      </c>
      <c r="G488" t="n">
        <v>2.1</v>
      </c>
      <c r="H488" t="n">
        <v>0</v>
      </c>
      <c r="I488" t="n">
        <v>0</v>
      </c>
      <c r="J488" t="n">
        <v>0</v>
      </c>
      <c r="K488" t="n">
        <v>0</v>
      </c>
      <c r="L488" t="n">
        <v>0</v>
      </c>
      <c r="M488" t="n">
        <v>0</v>
      </c>
      <c r="N488" t="n">
        <v>0</v>
      </c>
      <c r="O488" t="n">
        <v>0</v>
      </c>
      <c r="P488" t="n">
        <v>0</v>
      </c>
      <c r="Q488" t="n">
        <v>0</v>
      </c>
      <c r="R488" s="2" t="inlineStr"/>
    </row>
    <row r="489" ht="15" customHeight="1">
      <c r="A489" t="inlineStr">
        <is>
          <t>A 23837-2019</t>
        </is>
      </c>
      <c r="B489" s="1" t="n">
        <v>43595</v>
      </c>
      <c r="C489" s="1" t="n">
        <v>45744</v>
      </c>
      <c r="D489" t="inlineStr">
        <is>
          <t>SKÅNE LÄN</t>
        </is>
      </c>
      <c r="E489" t="inlineStr">
        <is>
          <t>ESLÖV</t>
        </is>
      </c>
      <c r="G489" t="n">
        <v>3.4</v>
      </c>
      <c r="H489" t="n">
        <v>0</v>
      </c>
      <c r="I489" t="n">
        <v>0</v>
      </c>
      <c r="J489" t="n">
        <v>0</v>
      </c>
      <c r="K489" t="n">
        <v>0</v>
      </c>
      <c r="L489" t="n">
        <v>0</v>
      </c>
      <c r="M489" t="n">
        <v>0</v>
      </c>
      <c r="N489" t="n">
        <v>0</v>
      </c>
      <c r="O489" t="n">
        <v>0</v>
      </c>
      <c r="P489" t="n">
        <v>0</v>
      </c>
      <c r="Q489" t="n">
        <v>0</v>
      </c>
      <c r="R489" s="2" t="inlineStr"/>
    </row>
    <row r="490" ht="15" customHeight="1">
      <c r="A490" t="inlineStr">
        <is>
          <t>A 24200-2019</t>
        </is>
      </c>
      <c r="B490" s="1" t="n">
        <v>43595</v>
      </c>
      <c r="C490" s="1" t="n">
        <v>45744</v>
      </c>
      <c r="D490" t="inlineStr">
        <is>
          <t>SKÅNE LÄN</t>
        </is>
      </c>
      <c r="E490" t="inlineStr">
        <is>
          <t>PERSTORP</t>
        </is>
      </c>
      <c r="G490" t="n">
        <v>0.7</v>
      </c>
      <c r="H490" t="n">
        <v>0</v>
      </c>
      <c r="I490" t="n">
        <v>0</v>
      </c>
      <c r="J490" t="n">
        <v>0</v>
      </c>
      <c r="K490" t="n">
        <v>0</v>
      </c>
      <c r="L490" t="n">
        <v>0</v>
      </c>
      <c r="M490" t="n">
        <v>0</v>
      </c>
      <c r="N490" t="n">
        <v>0</v>
      </c>
      <c r="O490" t="n">
        <v>0</v>
      </c>
      <c r="P490" t="n">
        <v>0</v>
      </c>
      <c r="Q490" t="n">
        <v>0</v>
      </c>
      <c r="R490" s="2" t="inlineStr"/>
    </row>
    <row r="491" ht="15" customHeight="1">
      <c r="A491" t="inlineStr">
        <is>
          <t>A 24095-2019</t>
        </is>
      </c>
      <c r="B491" s="1" t="n">
        <v>43598</v>
      </c>
      <c r="C491" s="1" t="n">
        <v>45744</v>
      </c>
      <c r="D491" t="inlineStr">
        <is>
          <t>SKÅNE LÄN</t>
        </is>
      </c>
      <c r="E491" t="inlineStr">
        <is>
          <t>ÄNGELHOLM</t>
        </is>
      </c>
      <c r="G491" t="n">
        <v>3.7</v>
      </c>
      <c r="H491" t="n">
        <v>0</v>
      </c>
      <c r="I491" t="n">
        <v>0</v>
      </c>
      <c r="J491" t="n">
        <v>0</v>
      </c>
      <c r="K491" t="n">
        <v>0</v>
      </c>
      <c r="L491" t="n">
        <v>0</v>
      </c>
      <c r="M491" t="n">
        <v>0</v>
      </c>
      <c r="N491" t="n">
        <v>0</v>
      </c>
      <c r="O491" t="n">
        <v>0</v>
      </c>
      <c r="P491" t="n">
        <v>0</v>
      </c>
      <c r="Q491" t="n">
        <v>0</v>
      </c>
      <c r="R491" s="2" t="inlineStr"/>
    </row>
    <row r="492" ht="15" customHeight="1">
      <c r="A492" t="inlineStr">
        <is>
          <t>A 24086-2019</t>
        </is>
      </c>
      <c r="B492" s="1" t="n">
        <v>43598</v>
      </c>
      <c r="C492" s="1" t="n">
        <v>45744</v>
      </c>
      <c r="D492" t="inlineStr">
        <is>
          <t>SKÅNE LÄN</t>
        </is>
      </c>
      <c r="E492" t="inlineStr">
        <is>
          <t>KRISTIANSTAD</t>
        </is>
      </c>
      <c r="G492" t="n">
        <v>1.2</v>
      </c>
      <c r="H492" t="n">
        <v>0</v>
      </c>
      <c r="I492" t="n">
        <v>0</v>
      </c>
      <c r="J492" t="n">
        <v>0</v>
      </c>
      <c r="K492" t="n">
        <v>0</v>
      </c>
      <c r="L492" t="n">
        <v>0</v>
      </c>
      <c r="M492" t="n">
        <v>0</v>
      </c>
      <c r="N492" t="n">
        <v>0</v>
      </c>
      <c r="O492" t="n">
        <v>0</v>
      </c>
      <c r="P492" t="n">
        <v>0</v>
      </c>
      <c r="Q492" t="n">
        <v>0</v>
      </c>
      <c r="R492" s="2" t="inlineStr"/>
    </row>
    <row r="493" ht="15" customHeight="1">
      <c r="A493" t="inlineStr">
        <is>
          <t>A 24291-2019</t>
        </is>
      </c>
      <c r="B493" s="1" t="n">
        <v>43598</v>
      </c>
      <c r="C493" s="1" t="n">
        <v>45744</v>
      </c>
      <c r="D493" t="inlineStr">
        <is>
          <t>SKÅNE LÄN</t>
        </is>
      </c>
      <c r="E493" t="inlineStr">
        <is>
          <t>PERSTORP</t>
        </is>
      </c>
      <c r="G493" t="n">
        <v>3.5</v>
      </c>
      <c r="H493" t="n">
        <v>0</v>
      </c>
      <c r="I493" t="n">
        <v>0</v>
      </c>
      <c r="J493" t="n">
        <v>0</v>
      </c>
      <c r="K493" t="n">
        <v>0</v>
      </c>
      <c r="L493" t="n">
        <v>0</v>
      </c>
      <c r="M493" t="n">
        <v>0</v>
      </c>
      <c r="N493" t="n">
        <v>0</v>
      </c>
      <c r="O493" t="n">
        <v>0</v>
      </c>
      <c r="P493" t="n">
        <v>0</v>
      </c>
      <c r="Q493" t="n">
        <v>0</v>
      </c>
      <c r="R493" s="2" t="inlineStr"/>
    </row>
    <row r="494" ht="15" customHeight="1">
      <c r="A494" t="inlineStr">
        <is>
          <t>A 24083-2019</t>
        </is>
      </c>
      <c r="B494" s="1" t="n">
        <v>43598</v>
      </c>
      <c r="C494" s="1" t="n">
        <v>45744</v>
      </c>
      <c r="D494" t="inlineStr">
        <is>
          <t>SKÅNE LÄN</t>
        </is>
      </c>
      <c r="E494" t="inlineStr">
        <is>
          <t>KRISTIANSTAD</t>
        </is>
      </c>
      <c r="G494" t="n">
        <v>0.6</v>
      </c>
      <c r="H494" t="n">
        <v>0</v>
      </c>
      <c r="I494" t="n">
        <v>0</v>
      </c>
      <c r="J494" t="n">
        <v>0</v>
      </c>
      <c r="K494" t="n">
        <v>0</v>
      </c>
      <c r="L494" t="n">
        <v>0</v>
      </c>
      <c r="M494" t="n">
        <v>0</v>
      </c>
      <c r="N494" t="n">
        <v>0</v>
      </c>
      <c r="O494" t="n">
        <v>0</v>
      </c>
      <c r="P494" t="n">
        <v>0</v>
      </c>
      <c r="Q494" t="n">
        <v>0</v>
      </c>
      <c r="R494" s="2" t="inlineStr"/>
    </row>
    <row r="495" ht="15" customHeight="1">
      <c r="A495" t="inlineStr">
        <is>
          <t>A 24187-2019</t>
        </is>
      </c>
      <c r="B495" s="1" t="n">
        <v>43599</v>
      </c>
      <c r="C495" s="1" t="n">
        <v>45744</v>
      </c>
      <c r="D495" t="inlineStr">
        <is>
          <t>SKÅNE LÄN</t>
        </is>
      </c>
      <c r="E495" t="inlineStr">
        <is>
          <t>HÄSSLEHOLM</t>
        </is>
      </c>
      <c r="G495" t="n">
        <v>2.3</v>
      </c>
      <c r="H495" t="n">
        <v>0</v>
      </c>
      <c r="I495" t="n">
        <v>0</v>
      </c>
      <c r="J495" t="n">
        <v>0</v>
      </c>
      <c r="K495" t="n">
        <v>0</v>
      </c>
      <c r="L495" t="n">
        <v>0</v>
      </c>
      <c r="M495" t="n">
        <v>0</v>
      </c>
      <c r="N495" t="n">
        <v>0</v>
      </c>
      <c r="O495" t="n">
        <v>0</v>
      </c>
      <c r="P495" t="n">
        <v>0</v>
      </c>
      <c r="Q495" t="n">
        <v>0</v>
      </c>
      <c r="R495" s="2" t="inlineStr"/>
    </row>
    <row r="496" ht="15" customHeight="1">
      <c r="A496" t="inlineStr">
        <is>
          <t>A 24941-2019</t>
        </is>
      </c>
      <c r="B496" s="1" t="n">
        <v>43599</v>
      </c>
      <c r="C496" s="1" t="n">
        <v>45744</v>
      </c>
      <c r="D496" t="inlineStr">
        <is>
          <t>SKÅNE LÄN</t>
        </is>
      </c>
      <c r="E496" t="inlineStr">
        <is>
          <t>ÖSTRA GÖINGE</t>
        </is>
      </c>
      <c r="G496" t="n">
        <v>3.5</v>
      </c>
      <c r="H496" t="n">
        <v>0</v>
      </c>
      <c r="I496" t="n">
        <v>0</v>
      </c>
      <c r="J496" t="n">
        <v>0</v>
      </c>
      <c r="K496" t="n">
        <v>0</v>
      </c>
      <c r="L496" t="n">
        <v>0</v>
      </c>
      <c r="M496" t="n">
        <v>0</v>
      </c>
      <c r="N496" t="n">
        <v>0</v>
      </c>
      <c r="O496" t="n">
        <v>0</v>
      </c>
      <c r="P496" t="n">
        <v>0</v>
      </c>
      <c r="Q496" t="n">
        <v>0</v>
      </c>
      <c r="R496" s="2" t="inlineStr"/>
    </row>
    <row r="497" ht="15" customHeight="1">
      <c r="A497" t="inlineStr">
        <is>
          <t>A 24686-2019</t>
        </is>
      </c>
      <c r="B497" s="1" t="n">
        <v>43601</v>
      </c>
      <c r="C497" s="1" t="n">
        <v>45744</v>
      </c>
      <c r="D497" t="inlineStr">
        <is>
          <t>SKÅNE LÄN</t>
        </is>
      </c>
      <c r="E497" t="inlineStr">
        <is>
          <t>HÄSSLEHOLM</t>
        </is>
      </c>
      <c r="G497" t="n">
        <v>1.9</v>
      </c>
      <c r="H497" t="n">
        <v>0</v>
      </c>
      <c r="I497" t="n">
        <v>0</v>
      </c>
      <c r="J497" t="n">
        <v>0</v>
      </c>
      <c r="K497" t="n">
        <v>0</v>
      </c>
      <c r="L497" t="n">
        <v>0</v>
      </c>
      <c r="M497" t="n">
        <v>0</v>
      </c>
      <c r="N497" t="n">
        <v>0</v>
      </c>
      <c r="O497" t="n">
        <v>0</v>
      </c>
      <c r="P497" t="n">
        <v>0</v>
      </c>
      <c r="Q497" t="n">
        <v>0</v>
      </c>
      <c r="R497" s="2" t="inlineStr"/>
    </row>
    <row r="498" ht="15" customHeight="1">
      <c r="A498" t="inlineStr">
        <is>
          <t>A 24818-2019</t>
        </is>
      </c>
      <c r="B498" s="1" t="n">
        <v>43602</v>
      </c>
      <c r="C498" s="1" t="n">
        <v>45744</v>
      </c>
      <c r="D498" t="inlineStr">
        <is>
          <t>SKÅNE LÄN</t>
        </is>
      </c>
      <c r="E498" t="inlineStr">
        <is>
          <t>SJÖBO</t>
        </is>
      </c>
      <c r="G498" t="n">
        <v>1.5</v>
      </c>
      <c r="H498" t="n">
        <v>0</v>
      </c>
      <c r="I498" t="n">
        <v>0</v>
      </c>
      <c r="J498" t="n">
        <v>0</v>
      </c>
      <c r="K498" t="n">
        <v>0</v>
      </c>
      <c r="L498" t="n">
        <v>0</v>
      </c>
      <c r="M498" t="n">
        <v>0</v>
      </c>
      <c r="N498" t="n">
        <v>0</v>
      </c>
      <c r="O498" t="n">
        <v>0</v>
      </c>
      <c r="P498" t="n">
        <v>0</v>
      </c>
      <c r="Q498" t="n">
        <v>0</v>
      </c>
      <c r="R498" s="2" t="inlineStr"/>
    </row>
    <row r="499" ht="15" customHeight="1">
      <c r="A499" t="inlineStr">
        <is>
          <t>A 24824-2019</t>
        </is>
      </c>
      <c r="B499" s="1" t="n">
        <v>43602</v>
      </c>
      <c r="C499" s="1" t="n">
        <v>45744</v>
      </c>
      <c r="D499" t="inlineStr">
        <is>
          <t>SKÅNE LÄN</t>
        </is>
      </c>
      <c r="E499" t="inlineStr">
        <is>
          <t>OSBY</t>
        </is>
      </c>
      <c r="G499" t="n">
        <v>0.8</v>
      </c>
      <c r="H499" t="n">
        <v>0</v>
      </c>
      <c r="I499" t="n">
        <v>0</v>
      </c>
      <c r="J499" t="n">
        <v>0</v>
      </c>
      <c r="K499" t="n">
        <v>0</v>
      </c>
      <c r="L499" t="n">
        <v>0</v>
      </c>
      <c r="M499" t="n">
        <v>0</v>
      </c>
      <c r="N499" t="n">
        <v>0</v>
      </c>
      <c r="O499" t="n">
        <v>0</v>
      </c>
      <c r="P499" t="n">
        <v>0</v>
      </c>
      <c r="Q499" t="n">
        <v>0</v>
      </c>
      <c r="R499" s="2" t="inlineStr"/>
    </row>
    <row r="500" ht="15" customHeight="1">
      <c r="A500" t="inlineStr">
        <is>
          <t>A 24809-2019</t>
        </is>
      </c>
      <c r="B500" s="1" t="n">
        <v>43602</v>
      </c>
      <c r="C500" s="1" t="n">
        <v>45744</v>
      </c>
      <c r="D500" t="inlineStr">
        <is>
          <t>SKÅNE LÄN</t>
        </is>
      </c>
      <c r="E500" t="inlineStr">
        <is>
          <t>SJÖBO</t>
        </is>
      </c>
      <c r="G500" t="n">
        <v>3.7</v>
      </c>
      <c r="H500" t="n">
        <v>0</v>
      </c>
      <c r="I500" t="n">
        <v>0</v>
      </c>
      <c r="J500" t="n">
        <v>0</v>
      </c>
      <c r="K500" t="n">
        <v>0</v>
      </c>
      <c r="L500" t="n">
        <v>0</v>
      </c>
      <c r="M500" t="n">
        <v>0</v>
      </c>
      <c r="N500" t="n">
        <v>0</v>
      </c>
      <c r="O500" t="n">
        <v>0</v>
      </c>
      <c r="P500" t="n">
        <v>0</v>
      </c>
      <c r="Q500" t="n">
        <v>0</v>
      </c>
      <c r="R500" s="2" t="inlineStr"/>
    </row>
    <row r="501" ht="15" customHeight="1">
      <c r="A501" t="inlineStr">
        <is>
          <t>A 25604-2019</t>
        </is>
      </c>
      <c r="B501" s="1" t="n">
        <v>43602</v>
      </c>
      <c r="C501" s="1" t="n">
        <v>45744</v>
      </c>
      <c r="D501" t="inlineStr">
        <is>
          <t>SKÅNE LÄN</t>
        </is>
      </c>
      <c r="E501" t="inlineStr">
        <is>
          <t>HÖÖR</t>
        </is>
      </c>
      <c r="G501" t="n">
        <v>1</v>
      </c>
      <c r="H501" t="n">
        <v>0</v>
      </c>
      <c r="I501" t="n">
        <v>0</v>
      </c>
      <c r="J501" t="n">
        <v>0</v>
      </c>
      <c r="K501" t="n">
        <v>0</v>
      </c>
      <c r="L501" t="n">
        <v>0</v>
      </c>
      <c r="M501" t="n">
        <v>0</v>
      </c>
      <c r="N501" t="n">
        <v>0</v>
      </c>
      <c r="O501" t="n">
        <v>0</v>
      </c>
      <c r="P501" t="n">
        <v>0</v>
      </c>
      <c r="Q501" t="n">
        <v>0</v>
      </c>
      <c r="R501" s="2" t="inlineStr"/>
    </row>
    <row r="502" ht="15" customHeight="1">
      <c r="A502" t="inlineStr">
        <is>
          <t>A 25286-2019</t>
        </is>
      </c>
      <c r="B502" s="1" t="n">
        <v>43605</v>
      </c>
      <c r="C502" s="1" t="n">
        <v>45744</v>
      </c>
      <c r="D502" t="inlineStr">
        <is>
          <t>SKÅNE LÄN</t>
        </is>
      </c>
      <c r="E502" t="inlineStr">
        <is>
          <t>HÄSSLEHOLM</t>
        </is>
      </c>
      <c r="G502" t="n">
        <v>1.3</v>
      </c>
      <c r="H502" t="n">
        <v>0</v>
      </c>
      <c r="I502" t="n">
        <v>0</v>
      </c>
      <c r="J502" t="n">
        <v>0</v>
      </c>
      <c r="K502" t="n">
        <v>0</v>
      </c>
      <c r="L502" t="n">
        <v>0</v>
      </c>
      <c r="M502" t="n">
        <v>0</v>
      </c>
      <c r="N502" t="n">
        <v>0</v>
      </c>
      <c r="O502" t="n">
        <v>0</v>
      </c>
      <c r="P502" t="n">
        <v>0</v>
      </c>
      <c r="Q502" t="n">
        <v>0</v>
      </c>
      <c r="R502" s="2" t="inlineStr"/>
    </row>
    <row r="503" ht="15" customHeight="1">
      <c r="A503" t="inlineStr">
        <is>
          <t>A 25285-2019</t>
        </is>
      </c>
      <c r="B503" s="1" t="n">
        <v>43605</v>
      </c>
      <c r="C503" s="1" t="n">
        <v>45744</v>
      </c>
      <c r="D503" t="inlineStr">
        <is>
          <t>SKÅNE LÄN</t>
        </is>
      </c>
      <c r="E503" t="inlineStr">
        <is>
          <t>HÄSSLEHOLM</t>
        </is>
      </c>
      <c r="G503" t="n">
        <v>25.8</v>
      </c>
      <c r="H503" t="n">
        <v>0</v>
      </c>
      <c r="I503" t="n">
        <v>0</v>
      </c>
      <c r="J503" t="n">
        <v>0</v>
      </c>
      <c r="K503" t="n">
        <v>0</v>
      </c>
      <c r="L503" t="n">
        <v>0</v>
      </c>
      <c r="M503" t="n">
        <v>0</v>
      </c>
      <c r="N503" t="n">
        <v>0</v>
      </c>
      <c r="O503" t="n">
        <v>0</v>
      </c>
      <c r="P503" t="n">
        <v>0</v>
      </c>
      <c r="Q503" t="n">
        <v>0</v>
      </c>
      <c r="R503" s="2" t="inlineStr"/>
    </row>
    <row r="504" ht="15" customHeight="1">
      <c r="A504" t="inlineStr">
        <is>
          <t>A 25866-2019</t>
        </is>
      </c>
      <c r="B504" s="1" t="n">
        <v>43605</v>
      </c>
      <c r="C504" s="1" t="n">
        <v>45744</v>
      </c>
      <c r="D504" t="inlineStr">
        <is>
          <t>SKÅNE LÄN</t>
        </is>
      </c>
      <c r="E504" t="inlineStr">
        <is>
          <t>LUND</t>
        </is>
      </c>
      <c r="G504" t="n">
        <v>0.7</v>
      </c>
      <c r="H504" t="n">
        <v>0</v>
      </c>
      <c r="I504" t="n">
        <v>0</v>
      </c>
      <c r="J504" t="n">
        <v>0</v>
      </c>
      <c r="K504" t="n">
        <v>0</v>
      </c>
      <c r="L504" t="n">
        <v>0</v>
      </c>
      <c r="M504" t="n">
        <v>0</v>
      </c>
      <c r="N504" t="n">
        <v>0</v>
      </c>
      <c r="O504" t="n">
        <v>0</v>
      </c>
      <c r="P504" t="n">
        <v>0</v>
      </c>
      <c r="Q504" t="n">
        <v>0</v>
      </c>
      <c r="R504" s="2" t="inlineStr"/>
    </row>
    <row r="505" ht="15" customHeight="1">
      <c r="A505" t="inlineStr">
        <is>
          <t>A 25501-2019</t>
        </is>
      </c>
      <c r="B505" s="1" t="n">
        <v>43606</v>
      </c>
      <c r="C505" s="1" t="n">
        <v>45744</v>
      </c>
      <c r="D505" t="inlineStr">
        <is>
          <t>SKÅNE LÄN</t>
        </is>
      </c>
      <c r="E505" t="inlineStr">
        <is>
          <t>ESLÖV</t>
        </is>
      </c>
      <c r="G505" t="n">
        <v>2.2</v>
      </c>
      <c r="H505" t="n">
        <v>0</v>
      </c>
      <c r="I505" t="n">
        <v>0</v>
      </c>
      <c r="J505" t="n">
        <v>0</v>
      </c>
      <c r="K505" t="n">
        <v>0</v>
      </c>
      <c r="L505" t="n">
        <v>0</v>
      </c>
      <c r="M505" t="n">
        <v>0</v>
      </c>
      <c r="N505" t="n">
        <v>0</v>
      </c>
      <c r="O505" t="n">
        <v>0</v>
      </c>
      <c r="P505" t="n">
        <v>0</v>
      </c>
      <c r="Q505" t="n">
        <v>0</v>
      </c>
      <c r="R505" s="2" t="inlineStr"/>
    </row>
    <row r="506" ht="15" customHeight="1">
      <c r="A506" t="inlineStr">
        <is>
          <t>A 26485-2019</t>
        </is>
      </c>
      <c r="B506" s="1" t="n">
        <v>43606</v>
      </c>
      <c r="C506" s="1" t="n">
        <v>45744</v>
      </c>
      <c r="D506" t="inlineStr">
        <is>
          <t>SKÅNE LÄN</t>
        </is>
      </c>
      <c r="E506" t="inlineStr">
        <is>
          <t>ÖSTRA GÖINGE</t>
        </is>
      </c>
      <c r="G506" t="n">
        <v>1</v>
      </c>
      <c r="H506" t="n">
        <v>0</v>
      </c>
      <c r="I506" t="n">
        <v>0</v>
      </c>
      <c r="J506" t="n">
        <v>0</v>
      </c>
      <c r="K506" t="n">
        <v>0</v>
      </c>
      <c r="L506" t="n">
        <v>0</v>
      </c>
      <c r="M506" t="n">
        <v>0</v>
      </c>
      <c r="N506" t="n">
        <v>0</v>
      </c>
      <c r="O506" t="n">
        <v>0</v>
      </c>
      <c r="P506" t="n">
        <v>0</v>
      </c>
      <c r="Q506" t="n">
        <v>0</v>
      </c>
      <c r="R506" s="2" t="inlineStr"/>
    </row>
    <row r="507" ht="15" customHeight="1">
      <c r="A507" t="inlineStr">
        <is>
          <t>A 26489-2019</t>
        </is>
      </c>
      <c r="B507" s="1" t="n">
        <v>43606</v>
      </c>
      <c r="C507" s="1" t="n">
        <v>45744</v>
      </c>
      <c r="D507" t="inlineStr">
        <is>
          <t>SKÅNE LÄN</t>
        </is>
      </c>
      <c r="E507" t="inlineStr">
        <is>
          <t>ÖSTRA GÖINGE</t>
        </is>
      </c>
      <c r="G507" t="n">
        <v>0.7</v>
      </c>
      <c r="H507" t="n">
        <v>0</v>
      </c>
      <c r="I507" t="n">
        <v>0</v>
      </c>
      <c r="J507" t="n">
        <v>0</v>
      </c>
      <c r="K507" t="n">
        <v>0</v>
      </c>
      <c r="L507" t="n">
        <v>0</v>
      </c>
      <c r="M507" t="n">
        <v>0</v>
      </c>
      <c r="N507" t="n">
        <v>0</v>
      </c>
      <c r="O507" t="n">
        <v>0</v>
      </c>
      <c r="P507" t="n">
        <v>0</v>
      </c>
      <c r="Q507" t="n">
        <v>0</v>
      </c>
      <c r="R507" s="2" t="inlineStr"/>
    </row>
    <row r="508" ht="15" customHeight="1">
      <c r="A508" t="inlineStr">
        <is>
          <t>A 26698-2019</t>
        </is>
      </c>
      <c r="B508" s="1" t="n">
        <v>43607</v>
      </c>
      <c r="C508" s="1" t="n">
        <v>45744</v>
      </c>
      <c r="D508" t="inlineStr">
        <is>
          <t>SKÅNE LÄN</t>
        </is>
      </c>
      <c r="E508" t="inlineStr">
        <is>
          <t>KRISTIANSTAD</t>
        </is>
      </c>
      <c r="G508" t="n">
        <v>1.6</v>
      </c>
      <c r="H508" t="n">
        <v>0</v>
      </c>
      <c r="I508" t="n">
        <v>0</v>
      </c>
      <c r="J508" t="n">
        <v>0</v>
      </c>
      <c r="K508" t="n">
        <v>0</v>
      </c>
      <c r="L508" t="n">
        <v>0</v>
      </c>
      <c r="M508" t="n">
        <v>0</v>
      </c>
      <c r="N508" t="n">
        <v>0</v>
      </c>
      <c r="O508" t="n">
        <v>0</v>
      </c>
      <c r="P508" t="n">
        <v>0</v>
      </c>
      <c r="Q508" t="n">
        <v>0</v>
      </c>
      <c r="R508" s="2" t="inlineStr"/>
    </row>
    <row r="509" ht="15" customHeight="1">
      <c r="A509" t="inlineStr">
        <is>
          <t>A 25627-2019</t>
        </is>
      </c>
      <c r="B509" s="1" t="n">
        <v>43607</v>
      </c>
      <c r="C509" s="1" t="n">
        <v>45744</v>
      </c>
      <c r="D509" t="inlineStr">
        <is>
          <t>SKÅNE LÄN</t>
        </is>
      </c>
      <c r="E509" t="inlineStr">
        <is>
          <t>PERSTORP</t>
        </is>
      </c>
      <c r="G509" t="n">
        <v>2.7</v>
      </c>
      <c r="H509" t="n">
        <v>0</v>
      </c>
      <c r="I509" t="n">
        <v>0</v>
      </c>
      <c r="J509" t="n">
        <v>0</v>
      </c>
      <c r="K509" t="n">
        <v>0</v>
      </c>
      <c r="L509" t="n">
        <v>0</v>
      </c>
      <c r="M509" t="n">
        <v>0</v>
      </c>
      <c r="N509" t="n">
        <v>0</v>
      </c>
      <c r="O509" t="n">
        <v>0</v>
      </c>
      <c r="P509" t="n">
        <v>0</v>
      </c>
      <c r="Q509" t="n">
        <v>0</v>
      </c>
      <c r="R509" s="2" t="inlineStr"/>
    </row>
    <row r="510" ht="15" customHeight="1">
      <c r="A510" t="inlineStr">
        <is>
          <t>A 25690-2019</t>
        </is>
      </c>
      <c r="B510" s="1" t="n">
        <v>43607</v>
      </c>
      <c r="C510" s="1" t="n">
        <v>45744</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26100-2019</t>
        </is>
      </c>
      <c r="B511" s="1" t="n">
        <v>43609</v>
      </c>
      <c r="C511" s="1" t="n">
        <v>45744</v>
      </c>
      <c r="D511" t="inlineStr">
        <is>
          <t>SKÅNE LÄN</t>
        </is>
      </c>
      <c r="E511" t="inlineStr">
        <is>
          <t>OSBY</t>
        </is>
      </c>
      <c r="G511" t="n">
        <v>0.7</v>
      </c>
      <c r="H511" t="n">
        <v>0</v>
      </c>
      <c r="I511" t="n">
        <v>0</v>
      </c>
      <c r="J511" t="n">
        <v>0</v>
      </c>
      <c r="K511" t="n">
        <v>0</v>
      </c>
      <c r="L511" t="n">
        <v>0</v>
      </c>
      <c r="M511" t="n">
        <v>0</v>
      </c>
      <c r="N511" t="n">
        <v>0</v>
      </c>
      <c r="O511" t="n">
        <v>0</v>
      </c>
      <c r="P511" t="n">
        <v>0</v>
      </c>
      <c r="Q511" t="n">
        <v>0</v>
      </c>
      <c r="R511" s="2" t="inlineStr"/>
    </row>
    <row r="512" ht="15" customHeight="1">
      <c r="A512" t="inlineStr">
        <is>
          <t>A 26916-2019</t>
        </is>
      </c>
      <c r="B512" s="1" t="n">
        <v>43609</v>
      </c>
      <c r="C512" s="1" t="n">
        <v>45744</v>
      </c>
      <c r="D512" t="inlineStr">
        <is>
          <t>SKÅNE LÄN</t>
        </is>
      </c>
      <c r="E512" t="inlineStr">
        <is>
          <t>TOMELILLA</t>
        </is>
      </c>
      <c r="G512" t="n">
        <v>2.6</v>
      </c>
      <c r="H512" t="n">
        <v>0</v>
      </c>
      <c r="I512" t="n">
        <v>0</v>
      </c>
      <c r="J512" t="n">
        <v>0</v>
      </c>
      <c r="K512" t="n">
        <v>0</v>
      </c>
      <c r="L512" t="n">
        <v>0</v>
      </c>
      <c r="M512" t="n">
        <v>0</v>
      </c>
      <c r="N512" t="n">
        <v>0</v>
      </c>
      <c r="O512" t="n">
        <v>0</v>
      </c>
      <c r="P512" t="n">
        <v>0</v>
      </c>
      <c r="Q512" t="n">
        <v>0</v>
      </c>
      <c r="R512" s="2" t="inlineStr"/>
    </row>
    <row r="513" ht="15" customHeight="1">
      <c r="A513" t="inlineStr">
        <is>
          <t>A 26036-2019</t>
        </is>
      </c>
      <c r="B513" s="1" t="n">
        <v>43609</v>
      </c>
      <c r="C513" s="1" t="n">
        <v>45744</v>
      </c>
      <c r="D513" t="inlineStr">
        <is>
          <t>SKÅNE LÄN</t>
        </is>
      </c>
      <c r="E513" t="inlineStr">
        <is>
          <t>HÄSSLEHOLM</t>
        </is>
      </c>
      <c r="G513" t="n">
        <v>3.6</v>
      </c>
      <c r="H513" t="n">
        <v>0</v>
      </c>
      <c r="I513" t="n">
        <v>0</v>
      </c>
      <c r="J513" t="n">
        <v>0</v>
      </c>
      <c r="K513" t="n">
        <v>0</v>
      </c>
      <c r="L513" t="n">
        <v>0</v>
      </c>
      <c r="M513" t="n">
        <v>0</v>
      </c>
      <c r="N513" t="n">
        <v>0</v>
      </c>
      <c r="O513" t="n">
        <v>0</v>
      </c>
      <c r="P513" t="n">
        <v>0</v>
      </c>
      <c r="Q513" t="n">
        <v>0</v>
      </c>
      <c r="R513" s="2" t="inlineStr"/>
    </row>
    <row r="514" ht="15" customHeight="1">
      <c r="A514" t="inlineStr">
        <is>
          <t>A 26037-2019</t>
        </is>
      </c>
      <c r="B514" s="1" t="n">
        <v>43609</v>
      </c>
      <c r="C514" s="1" t="n">
        <v>45744</v>
      </c>
      <c r="D514" t="inlineStr">
        <is>
          <t>SKÅNE LÄN</t>
        </is>
      </c>
      <c r="E514" t="inlineStr">
        <is>
          <t>HÄSSLEHOLM</t>
        </is>
      </c>
      <c r="G514" t="n">
        <v>4.4</v>
      </c>
      <c r="H514" t="n">
        <v>0</v>
      </c>
      <c r="I514" t="n">
        <v>0</v>
      </c>
      <c r="J514" t="n">
        <v>0</v>
      </c>
      <c r="K514" t="n">
        <v>0</v>
      </c>
      <c r="L514" t="n">
        <v>0</v>
      </c>
      <c r="M514" t="n">
        <v>0</v>
      </c>
      <c r="N514" t="n">
        <v>0</v>
      </c>
      <c r="O514" t="n">
        <v>0</v>
      </c>
      <c r="P514" t="n">
        <v>0</v>
      </c>
      <c r="Q514" t="n">
        <v>0</v>
      </c>
      <c r="R514" s="2" t="inlineStr"/>
    </row>
    <row r="515" ht="15" customHeight="1">
      <c r="A515" t="inlineStr">
        <is>
          <t>A 26268-2019</t>
        </is>
      </c>
      <c r="B515" s="1" t="n">
        <v>43611</v>
      </c>
      <c r="C515" s="1" t="n">
        <v>45744</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26325-2019</t>
        </is>
      </c>
      <c r="B516" s="1" t="n">
        <v>43612</v>
      </c>
      <c r="C516" s="1" t="n">
        <v>45744</v>
      </c>
      <c r="D516" t="inlineStr">
        <is>
          <t>SKÅNE LÄN</t>
        </is>
      </c>
      <c r="E516" t="inlineStr">
        <is>
          <t>HÄSSLEHOLM</t>
        </is>
      </c>
      <c r="G516" t="n">
        <v>1.3</v>
      </c>
      <c r="H516" t="n">
        <v>0</v>
      </c>
      <c r="I516" t="n">
        <v>0</v>
      </c>
      <c r="J516" t="n">
        <v>0</v>
      </c>
      <c r="K516" t="n">
        <v>0</v>
      </c>
      <c r="L516" t="n">
        <v>0</v>
      </c>
      <c r="M516" t="n">
        <v>0</v>
      </c>
      <c r="N516" t="n">
        <v>0</v>
      </c>
      <c r="O516" t="n">
        <v>0</v>
      </c>
      <c r="P516" t="n">
        <v>0</v>
      </c>
      <c r="Q516" t="n">
        <v>0</v>
      </c>
      <c r="R516" s="2" t="inlineStr"/>
    </row>
    <row r="517" ht="15" customHeight="1">
      <c r="A517" t="inlineStr">
        <is>
          <t>A 28138-2019</t>
        </is>
      </c>
      <c r="B517" s="1" t="n">
        <v>43612</v>
      </c>
      <c r="C517" s="1" t="n">
        <v>45744</v>
      </c>
      <c r="D517" t="inlineStr">
        <is>
          <t>SKÅNE LÄN</t>
        </is>
      </c>
      <c r="E517" t="inlineStr">
        <is>
          <t>BJUV</t>
        </is>
      </c>
      <c r="G517" t="n">
        <v>4.3</v>
      </c>
      <c r="H517" t="n">
        <v>0</v>
      </c>
      <c r="I517" t="n">
        <v>0</v>
      </c>
      <c r="J517" t="n">
        <v>0</v>
      </c>
      <c r="K517" t="n">
        <v>0</v>
      </c>
      <c r="L517" t="n">
        <v>0</v>
      </c>
      <c r="M517" t="n">
        <v>0</v>
      </c>
      <c r="N517" t="n">
        <v>0</v>
      </c>
      <c r="O517" t="n">
        <v>0</v>
      </c>
      <c r="P517" t="n">
        <v>0</v>
      </c>
      <c r="Q517" t="n">
        <v>0</v>
      </c>
      <c r="R517" s="2" t="inlineStr"/>
    </row>
    <row r="518" ht="15" customHeight="1">
      <c r="A518" t="inlineStr">
        <is>
          <t>A 28064-2019</t>
        </is>
      </c>
      <c r="B518" s="1" t="n">
        <v>43612</v>
      </c>
      <c r="C518" s="1" t="n">
        <v>45744</v>
      </c>
      <c r="D518" t="inlineStr">
        <is>
          <t>SKÅNE LÄN</t>
        </is>
      </c>
      <c r="E518" t="inlineStr">
        <is>
          <t>SJÖBO</t>
        </is>
      </c>
      <c r="G518" t="n">
        <v>2.1</v>
      </c>
      <c r="H518" t="n">
        <v>0</v>
      </c>
      <c r="I518" t="n">
        <v>0</v>
      </c>
      <c r="J518" t="n">
        <v>0</v>
      </c>
      <c r="K518" t="n">
        <v>0</v>
      </c>
      <c r="L518" t="n">
        <v>0</v>
      </c>
      <c r="M518" t="n">
        <v>0</v>
      </c>
      <c r="N518" t="n">
        <v>0</v>
      </c>
      <c r="O518" t="n">
        <v>0</v>
      </c>
      <c r="P518" t="n">
        <v>0</v>
      </c>
      <c r="Q518" t="n">
        <v>0</v>
      </c>
      <c r="R518" s="2" t="inlineStr"/>
    </row>
    <row r="519" ht="15" customHeight="1">
      <c r="A519" t="inlineStr">
        <is>
          <t>A 28131-2019</t>
        </is>
      </c>
      <c r="B519" s="1" t="n">
        <v>43612</v>
      </c>
      <c r="C519" s="1" t="n">
        <v>45744</v>
      </c>
      <c r="D519" t="inlineStr">
        <is>
          <t>SKÅNE LÄN</t>
        </is>
      </c>
      <c r="E519" t="inlineStr">
        <is>
          <t>BJUV</t>
        </is>
      </c>
      <c r="G519" t="n">
        <v>2.1</v>
      </c>
      <c r="H519" t="n">
        <v>0</v>
      </c>
      <c r="I519" t="n">
        <v>0</v>
      </c>
      <c r="J519" t="n">
        <v>0</v>
      </c>
      <c r="K519" t="n">
        <v>0</v>
      </c>
      <c r="L519" t="n">
        <v>0</v>
      </c>
      <c r="M519" t="n">
        <v>0</v>
      </c>
      <c r="N519" t="n">
        <v>0</v>
      </c>
      <c r="O519" t="n">
        <v>0</v>
      </c>
      <c r="P519" t="n">
        <v>0</v>
      </c>
      <c r="Q519" t="n">
        <v>0</v>
      </c>
      <c r="R519" s="2" t="inlineStr"/>
    </row>
    <row r="520" ht="15" customHeight="1">
      <c r="A520" t="inlineStr">
        <is>
          <t>A 26828-2019</t>
        </is>
      </c>
      <c r="B520" s="1" t="n">
        <v>43613</v>
      </c>
      <c r="C520" s="1" t="n">
        <v>45744</v>
      </c>
      <c r="D520" t="inlineStr">
        <is>
          <t>SKÅNE LÄN</t>
        </is>
      </c>
      <c r="E520" t="inlineStr">
        <is>
          <t>ÖSTRA GÖINGE</t>
        </is>
      </c>
      <c r="G520" t="n">
        <v>3.2</v>
      </c>
      <c r="H520" t="n">
        <v>0</v>
      </c>
      <c r="I520" t="n">
        <v>0</v>
      </c>
      <c r="J520" t="n">
        <v>0</v>
      </c>
      <c r="K520" t="n">
        <v>0</v>
      </c>
      <c r="L520" t="n">
        <v>0</v>
      </c>
      <c r="M520" t="n">
        <v>0</v>
      </c>
      <c r="N520" t="n">
        <v>0</v>
      </c>
      <c r="O520" t="n">
        <v>0</v>
      </c>
      <c r="P520" t="n">
        <v>0</v>
      </c>
      <c r="Q520" t="n">
        <v>0</v>
      </c>
      <c r="R520" s="2" t="inlineStr"/>
    </row>
    <row r="521" ht="15" customHeight="1">
      <c r="A521" t="inlineStr">
        <is>
          <t>A 26701-2019</t>
        </is>
      </c>
      <c r="B521" s="1" t="n">
        <v>43613</v>
      </c>
      <c r="C521" s="1" t="n">
        <v>45744</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26788-2019</t>
        </is>
      </c>
      <c r="B522" s="1" t="n">
        <v>43613</v>
      </c>
      <c r="C522" s="1" t="n">
        <v>45744</v>
      </c>
      <c r="D522" t="inlineStr">
        <is>
          <t>SKÅNE LÄN</t>
        </is>
      </c>
      <c r="E522" t="inlineStr">
        <is>
          <t>BROMÖLLA</t>
        </is>
      </c>
      <c r="G522" t="n">
        <v>7.2</v>
      </c>
      <c r="H522" t="n">
        <v>0</v>
      </c>
      <c r="I522" t="n">
        <v>0</v>
      </c>
      <c r="J522" t="n">
        <v>0</v>
      </c>
      <c r="K522" t="n">
        <v>0</v>
      </c>
      <c r="L522" t="n">
        <v>0</v>
      </c>
      <c r="M522" t="n">
        <v>0</v>
      </c>
      <c r="N522" t="n">
        <v>0</v>
      </c>
      <c r="O522" t="n">
        <v>0</v>
      </c>
      <c r="P522" t="n">
        <v>0</v>
      </c>
      <c r="Q522" t="n">
        <v>0</v>
      </c>
      <c r="R522" s="2" t="inlineStr"/>
    </row>
    <row r="523" ht="15" customHeight="1">
      <c r="A523" t="inlineStr">
        <is>
          <t>A 26938-2019</t>
        </is>
      </c>
      <c r="B523" s="1" t="n">
        <v>43613</v>
      </c>
      <c r="C523" s="1" t="n">
        <v>45744</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26940-2019</t>
        </is>
      </c>
      <c r="B524" s="1" t="n">
        <v>43613</v>
      </c>
      <c r="C524" s="1" t="n">
        <v>45744</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26939-2019</t>
        </is>
      </c>
      <c r="B525" s="1" t="n">
        <v>43613</v>
      </c>
      <c r="C525" s="1" t="n">
        <v>45744</v>
      </c>
      <c r="D525" t="inlineStr">
        <is>
          <t>SKÅNE LÄN</t>
        </is>
      </c>
      <c r="E525" t="inlineStr">
        <is>
          <t>HÄSSLEHOLM</t>
        </is>
      </c>
      <c r="G525" t="n">
        <v>1.7</v>
      </c>
      <c r="H525" t="n">
        <v>0</v>
      </c>
      <c r="I525" t="n">
        <v>0</v>
      </c>
      <c r="J525" t="n">
        <v>0</v>
      </c>
      <c r="K525" t="n">
        <v>0</v>
      </c>
      <c r="L525" t="n">
        <v>0</v>
      </c>
      <c r="M525" t="n">
        <v>0</v>
      </c>
      <c r="N525" t="n">
        <v>0</v>
      </c>
      <c r="O525" t="n">
        <v>0</v>
      </c>
      <c r="P525" t="n">
        <v>0</v>
      </c>
      <c r="Q525" t="n">
        <v>0</v>
      </c>
      <c r="R525" s="2" t="inlineStr"/>
    </row>
    <row r="526" ht="15" customHeight="1">
      <c r="A526" t="inlineStr">
        <is>
          <t>A 26661-2019</t>
        </is>
      </c>
      <c r="B526" s="1" t="n">
        <v>43613</v>
      </c>
      <c r="C526" s="1" t="n">
        <v>45744</v>
      </c>
      <c r="D526" t="inlineStr">
        <is>
          <t>SKÅNE LÄN</t>
        </is>
      </c>
      <c r="E526" t="inlineStr">
        <is>
          <t>TOMELILLA</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28620-2019</t>
        </is>
      </c>
      <c r="B527" s="1" t="n">
        <v>43613</v>
      </c>
      <c r="C527" s="1" t="n">
        <v>45744</v>
      </c>
      <c r="D527" t="inlineStr">
        <is>
          <t>SKÅNE LÄN</t>
        </is>
      </c>
      <c r="E527" t="inlineStr">
        <is>
          <t>HÄSSLEHOLM</t>
        </is>
      </c>
      <c r="G527" t="n">
        <v>2.8</v>
      </c>
      <c r="H527" t="n">
        <v>0</v>
      </c>
      <c r="I527" t="n">
        <v>0</v>
      </c>
      <c r="J527" t="n">
        <v>0</v>
      </c>
      <c r="K527" t="n">
        <v>0</v>
      </c>
      <c r="L527" t="n">
        <v>0</v>
      </c>
      <c r="M527" t="n">
        <v>0</v>
      </c>
      <c r="N527" t="n">
        <v>0</v>
      </c>
      <c r="O527" t="n">
        <v>0</v>
      </c>
      <c r="P527" t="n">
        <v>0</v>
      </c>
      <c r="Q527" t="n">
        <v>0</v>
      </c>
      <c r="R527" s="2" t="inlineStr"/>
    </row>
    <row r="528" ht="15" customHeight="1">
      <c r="A528" t="inlineStr">
        <is>
          <t>A 26832-2019</t>
        </is>
      </c>
      <c r="B528" s="1" t="n">
        <v>43613</v>
      </c>
      <c r="C528" s="1" t="n">
        <v>45744</v>
      </c>
      <c r="D528" t="inlineStr">
        <is>
          <t>SKÅNE LÄN</t>
        </is>
      </c>
      <c r="E528" t="inlineStr">
        <is>
          <t>ÖSTRA GÖINGE</t>
        </is>
      </c>
      <c r="G528" t="n">
        <v>4</v>
      </c>
      <c r="H528" t="n">
        <v>0</v>
      </c>
      <c r="I528" t="n">
        <v>0</v>
      </c>
      <c r="J528" t="n">
        <v>0</v>
      </c>
      <c r="K528" t="n">
        <v>0</v>
      </c>
      <c r="L528" t="n">
        <v>0</v>
      </c>
      <c r="M528" t="n">
        <v>0</v>
      </c>
      <c r="N528" t="n">
        <v>0</v>
      </c>
      <c r="O528" t="n">
        <v>0</v>
      </c>
      <c r="P528" t="n">
        <v>0</v>
      </c>
      <c r="Q528" t="n">
        <v>0</v>
      </c>
      <c r="R528" s="2" t="inlineStr"/>
    </row>
    <row r="529" ht="15" customHeight="1">
      <c r="A529" t="inlineStr">
        <is>
          <t>A 26650-2019</t>
        </is>
      </c>
      <c r="B529" s="1" t="n">
        <v>43613</v>
      </c>
      <c r="C529" s="1" t="n">
        <v>45744</v>
      </c>
      <c r="D529" t="inlineStr">
        <is>
          <t>SKÅNE LÄN</t>
        </is>
      </c>
      <c r="E529" t="inlineStr">
        <is>
          <t>SIMRISHAMN</t>
        </is>
      </c>
      <c r="F529" t="inlineStr">
        <is>
          <t>Övriga Aktiebolag</t>
        </is>
      </c>
      <c r="G529" t="n">
        <v>3.5</v>
      </c>
      <c r="H529" t="n">
        <v>0</v>
      </c>
      <c r="I529" t="n">
        <v>0</v>
      </c>
      <c r="J529" t="n">
        <v>0</v>
      </c>
      <c r="K529" t="n">
        <v>0</v>
      </c>
      <c r="L529" t="n">
        <v>0</v>
      </c>
      <c r="M529" t="n">
        <v>0</v>
      </c>
      <c r="N529" t="n">
        <v>0</v>
      </c>
      <c r="O529" t="n">
        <v>0</v>
      </c>
      <c r="P529" t="n">
        <v>0</v>
      </c>
      <c r="Q529" t="n">
        <v>0</v>
      </c>
      <c r="R529" s="2" t="inlineStr"/>
    </row>
    <row r="530" ht="15" customHeight="1">
      <c r="A530" t="inlineStr">
        <is>
          <t>A 27059-2019</t>
        </is>
      </c>
      <c r="B530" s="1" t="n">
        <v>43614</v>
      </c>
      <c r="C530" s="1" t="n">
        <v>45744</v>
      </c>
      <c r="D530" t="inlineStr">
        <is>
          <t>SKÅNE LÄN</t>
        </is>
      </c>
      <c r="E530" t="inlineStr">
        <is>
          <t>ÄNGELHOLM</t>
        </is>
      </c>
      <c r="G530" t="n">
        <v>2.9</v>
      </c>
      <c r="H530" t="n">
        <v>0</v>
      </c>
      <c r="I530" t="n">
        <v>0</v>
      </c>
      <c r="J530" t="n">
        <v>0</v>
      </c>
      <c r="K530" t="n">
        <v>0</v>
      </c>
      <c r="L530" t="n">
        <v>0</v>
      </c>
      <c r="M530" t="n">
        <v>0</v>
      </c>
      <c r="N530" t="n">
        <v>0</v>
      </c>
      <c r="O530" t="n">
        <v>0</v>
      </c>
      <c r="P530" t="n">
        <v>0</v>
      </c>
      <c r="Q530" t="n">
        <v>0</v>
      </c>
      <c r="R530" s="2" t="inlineStr"/>
    </row>
    <row r="531" ht="15" customHeight="1">
      <c r="A531" t="inlineStr">
        <is>
          <t>A 28655-2019</t>
        </is>
      </c>
      <c r="B531" s="1" t="n">
        <v>43614</v>
      </c>
      <c r="C531" s="1" t="n">
        <v>45744</v>
      </c>
      <c r="D531" t="inlineStr">
        <is>
          <t>SKÅNE LÄN</t>
        </is>
      </c>
      <c r="E531" t="inlineStr">
        <is>
          <t>TOMELILLA</t>
        </is>
      </c>
      <c r="G531" t="n">
        <v>0.8</v>
      </c>
      <c r="H531" t="n">
        <v>0</v>
      </c>
      <c r="I531" t="n">
        <v>0</v>
      </c>
      <c r="J531" t="n">
        <v>0</v>
      </c>
      <c r="K531" t="n">
        <v>0</v>
      </c>
      <c r="L531" t="n">
        <v>0</v>
      </c>
      <c r="M531" t="n">
        <v>0</v>
      </c>
      <c r="N531" t="n">
        <v>0</v>
      </c>
      <c r="O531" t="n">
        <v>0</v>
      </c>
      <c r="P531" t="n">
        <v>0</v>
      </c>
      <c r="Q531" t="n">
        <v>0</v>
      </c>
      <c r="R531" s="2" t="inlineStr"/>
    </row>
    <row r="532" ht="15" customHeight="1">
      <c r="A532" t="inlineStr">
        <is>
          <t>A 27370-2019</t>
        </is>
      </c>
      <c r="B532" s="1" t="n">
        <v>43616</v>
      </c>
      <c r="C532" s="1" t="n">
        <v>45744</v>
      </c>
      <c r="D532" t="inlineStr">
        <is>
          <t>SKÅNE LÄN</t>
        </is>
      </c>
      <c r="E532" t="inlineStr">
        <is>
          <t>OSBY</t>
        </is>
      </c>
      <c r="G532" t="n">
        <v>1.1</v>
      </c>
      <c r="H532" t="n">
        <v>0</v>
      </c>
      <c r="I532" t="n">
        <v>0</v>
      </c>
      <c r="J532" t="n">
        <v>0</v>
      </c>
      <c r="K532" t="n">
        <v>0</v>
      </c>
      <c r="L532" t="n">
        <v>0</v>
      </c>
      <c r="M532" t="n">
        <v>0</v>
      </c>
      <c r="N532" t="n">
        <v>0</v>
      </c>
      <c r="O532" t="n">
        <v>0</v>
      </c>
      <c r="P532" t="n">
        <v>0</v>
      </c>
      <c r="Q532" t="n">
        <v>0</v>
      </c>
      <c r="R532" s="2" t="inlineStr"/>
    </row>
    <row r="533" ht="15" customHeight="1">
      <c r="A533" t="inlineStr">
        <is>
          <t>A 27672-2019</t>
        </is>
      </c>
      <c r="B533" s="1" t="n">
        <v>43619</v>
      </c>
      <c r="C533" s="1" t="n">
        <v>45744</v>
      </c>
      <c r="D533" t="inlineStr">
        <is>
          <t>SKÅNE LÄN</t>
        </is>
      </c>
      <c r="E533" t="inlineStr">
        <is>
          <t>ESLÖV</t>
        </is>
      </c>
      <c r="G533" t="n">
        <v>1</v>
      </c>
      <c r="H533" t="n">
        <v>0</v>
      </c>
      <c r="I533" t="n">
        <v>0</v>
      </c>
      <c r="J533" t="n">
        <v>0</v>
      </c>
      <c r="K533" t="n">
        <v>0</v>
      </c>
      <c r="L533" t="n">
        <v>0</v>
      </c>
      <c r="M533" t="n">
        <v>0</v>
      </c>
      <c r="N533" t="n">
        <v>0</v>
      </c>
      <c r="O533" t="n">
        <v>0</v>
      </c>
      <c r="P533" t="n">
        <v>0</v>
      </c>
      <c r="Q533" t="n">
        <v>0</v>
      </c>
      <c r="R533" s="2" t="inlineStr"/>
    </row>
    <row r="534" ht="15" customHeight="1">
      <c r="A534" t="inlineStr">
        <is>
          <t>A 27705-2019</t>
        </is>
      </c>
      <c r="B534" s="1" t="n">
        <v>43619</v>
      </c>
      <c r="C534" s="1" t="n">
        <v>45744</v>
      </c>
      <c r="D534" t="inlineStr">
        <is>
          <t>SKÅNE LÄN</t>
        </is>
      </c>
      <c r="E534" t="inlineStr">
        <is>
          <t>ÖRKELLJUNGA</t>
        </is>
      </c>
      <c r="G534" t="n">
        <v>3.9</v>
      </c>
      <c r="H534" t="n">
        <v>0</v>
      </c>
      <c r="I534" t="n">
        <v>0</v>
      </c>
      <c r="J534" t="n">
        <v>0</v>
      </c>
      <c r="K534" t="n">
        <v>0</v>
      </c>
      <c r="L534" t="n">
        <v>0</v>
      </c>
      <c r="M534" t="n">
        <v>0</v>
      </c>
      <c r="N534" t="n">
        <v>0</v>
      </c>
      <c r="O534" t="n">
        <v>0</v>
      </c>
      <c r="P534" t="n">
        <v>0</v>
      </c>
      <c r="Q534" t="n">
        <v>0</v>
      </c>
      <c r="R534" s="2" t="inlineStr"/>
    </row>
    <row r="535" ht="15" customHeight="1">
      <c r="A535" t="inlineStr">
        <is>
          <t>A 27649-2019</t>
        </is>
      </c>
      <c r="B535" s="1" t="n">
        <v>43619</v>
      </c>
      <c r="C535" s="1" t="n">
        <v>45744</v>
      </c>
      <c r="D535" t="inlineStr">
        <is>
          <t>SKÅNE LÄN</t>
        </is>
      </c>
      <c r="E535" t="inlineStr">
        <is>
          <t>OSBY</t>
        </is>
      </c>
      <c r="G535" t="n">
        <v>1.4</v>
      </c>
      <c r="H535" t="n">
        <v>0</v>
      </c>
      <c r="I535" t="n">
        <v>0</v>
      </c>
      <c r="J535" t="n">
        <v>0</v>
      </c>
      <c r="K535" t="n">
        <v>0</v>
      </c>
      <c r="L535" t="n">
        <v>0</v>
      </c>
      <c r="M535" t="n">
        <v>0</v>
      </c>
      <c r="N535" t="n">
        <v>0</v>
      </c>
      <c r="O535" t="n">
        <v>0</v>
      </c>
      <c r="P535" t="n">
        <v>0</v>
      </c>
      <c r="Q535" t="n">
        <v>0</v>
      </c>
      <c r="R535" s="2" t="inlineStr"/>
    </row>
    <row r="536" ht="15" customHeight="1">
      <c r="A536" t="inlineStr">
        <is>
          <t>A 27624-2019</t>
        </is>
      </c>
      <c r="B536" s="1" t="n">
        <v>43619</v>
      </c>
      <c r="C536" s="1" t="n">
        <v>45744</v>
      </c>
      <c r="D536" t="inlineStr">
        <is>
          <t>SKÅNE LÄN</t>
        </is>
      </c>
      <c r="E536" t="inlineStr">
        <is>
          <t>HÄSSLEHOLM</t>
        </is>
      </c>
      <c r="F536" t="inlineStr">
        <is>
          <t>Kyrkan</t>
        </is>
      </c>
      <c r="G536" t="n">
        <v>5.3</v>
      </c>
      <c r="H536" t="n">
        <v>0</v>
      </c>
      <c r="I536" t="n">
        <v>0</v>
      </c>
      <c r="J536" t="n">
        <v>0</v>
      </c>
      <c r="K536" t="n">
        <v>0</v>
      </c>
      <c r="L536" t="n">
        <v>0</v>
      </c>
      <c r="M536" t="n">
        <v>0</v>
      </c>
      <c r="N536" t="n">
        <v>0</v>
      </c>
      <c r="O536" t="n">
        <v>0</v>
      </c>
      <c r="P536" t="n">
        <v>0</v>
      </c>
      <c r="Q536" t="n">
        <v>0</v>
      </c>
      <c r="R536" s="2" t="inlineStr"/>
    </row>
    <row r="537" ht="15" customHeight="1">
      <c r="A537" t="inlineStr">
        <is>
          <t>A 27824-2019</t>
        </is>
      </c>
      <c r="B537" s="1" t="n">
        <v>43620</v>
      </c>
      <c r="C537" s="1" t="n">
        <v>45744</v>
      </c>
      <c r="D537" t="inlineStr">
        <is>
          <t>SKÅNE LÄN</t>
        </is>
      </c>
      <c r="E537" t="inlineStr">
        <is>
          <t>HÄSSLEHOLM</t>
        </is>
      </c>
      <c r="G537" t="n">
        <v>0.6</v>
      </c>
      <c r="H537" t="n">
        <v>0</v>
      </c>
      <c r="I537" t="n">
        <v>0</v>
      </c>
      <c r="J537" t="n">
        <v>0</v>
      </c>
      <c r="K537" t="n">
        <v>0</v>
      </c>
      <c r="L537" t="n">
        <v>0</v>
      </c>
      <c r="M537" t="n">
        <v>0</v>
      </c>
      <c r="N537" t="n">
        <v>0</v>
      </c>
      <c r="O537" t="n">
        <v>0</v>
      </c>
      <c r="P537" t="n">
        <v>0</v>
      </c>
      <c r="Q537" t="n">
        <v>0</v>
      </c>
      <c r="R537" s="2" t="inlineStr"/>
    </row>
    <row r="538" ht="15" customHeight="1">
      <c r="A538" t="inlineStr">
        <is>
          <t>A 27818-2019</t>
        </is>
      </c>
      <c r="B538" s="1" t="n">
        <v>43620</v>
      </c>
      <c r="C538" s="1" t="n">
        <v>45744</v>
      </c>
      <c r="D538" t="inlineStr">
        <is>
          <t>SKÅNE LÄN</t>
        </is>
      </c>
      <c r="E538" t="inlineStr">
        <is>
          <t>HÖÖR</t>
        </is>
      </c>
      <c r="G538" t="n">
        <v>1</v>
      </c>
      <c r="H538" t="n">
        <v>0</v>
      </c>
      <c r="I538" t="n">
        <v>0</v>
      </c>
      <c r="J538" t="n">
        <v>0</v>
      </c>
      <c r="K538" t="n">
        <v>0</v>
      </c>
      <c r="L538" t="n">
        <v>0</v>
      </c>
      <c r="M538" t="n">
        <v>0</v>
      </c>
      <c r="N538" t="n">
        <v>0</v>
      </c>
      <c r="O538" t="n">
        <v>0</v>
      </c>
      <c r="P538" t="n">
        <v>0</v>
      </c>
      <c r="Q538" t="n">
        <v>0</v>
      </c>
      <c r="R538" s="2" t="inlineStr"/>
    </row>
    <row r="539" ht="15" customHeight="1">
      <c r="A539" t="inlineStr">
        <is>
          <t>A 28105-2019</t>
        </is>
      </c>
      <c r="B539" s="1" t="n">
        <v>43621</v>
      </c>
      <c r="C539" s="1" t="n">
        <v>45744</v>
      </c>
      <c r="D539" t="inlineStr">
        <is>
          <t>SKÅNE LÄN</t>
        </is>
      </c>
      <c r="E539" t="inlineStr">
        <is>
          <t>HÄSSLEHOLM</t>
        </is>
      </c>
      <c r="G539" t="n">
        <v>3.3</v>
      </c>
      <c r="H539" t="n">
        <v>0</v>
      </c>
      <c r="I539" t="n">
        <v>0</v>
      </c>
      <c r="J539" t="n">
        <v>0</v>
      </c>
      <c r="K539" t="n">
        <v>0</v>
      </c>
      <c r="L539" t="n">
        <v>0</v>
      </c>
      <c r="M539" t="n">
        <v>0</v>
      </c>
      <c r="N539" t="n">
        <v>0</v>
      </c>
      <c r="O539" t="n">
        <v>0</v>
      </c>
      <c r="P539" t="n">
        <v>0</v>
      </c>
      <c r="Q539" t="n">
        <v>0</v>
      </c>
      <c r="R539" s="2" t="inlineStr"/>
    </row>
    <row r="540" ht="15" customHeight="1">
      <c r="A540" t="inlineStr">
        <is>
          <t>A 28159-2019</t>
        </is>
      </c>
      <c r="B540" s="1" t="n">
        <v>43621</v>
      </c>
      <c r="C540" s="1" t="n">
        <v>45744</v>
      </c>
      <c r="D540" t="inlineStr">
        <is>
          <t>SKÅNE LÄN</t>
        </is>
      </c>
      <c r="E540" t="inlineStr">
        <is>
          <t>ÖSTRA GÖINGE</t>
        </is>
      </c>
      <c r="G540" t="n">
        <v>1.3</v>
      </c>
      <c r="H540" t="n">
        <v>0</v>
      </c>
      <c r="I540" t="n">
        <v>0</v>
      </c>
      <c r="J540" t="n">
        <v>0</v>
      </c>
      <c r="K540" t="n">
        <v>0</v>
      </c>
      <c r="L540" t="n">
        <v>0</v>
      </c>
      <c r="M540" t="n">
        <v>0</v>
      </c>
      <c r="N540" t="n">
        <v>0</v>
      </c>
      <c r="O540" t="n">
        <v>0</v>
      </c>
      <c r="P540" t="n">
        <v>0</v>
      </c>
      <c r="Q540" t="n">
        <v>0</v>
      </c>
      <c r="R540" s="2" t="inlineStr"/>
    </row>
    <row r="541" ht="15" customHeight="1">
      <c r="A541" t="inlineStr">
        <is>
          <t>A 28161-2019</t>
        </is>
      </c>
      <c r="B541" s="1" t="n">
        <v>43621</v>
      </c>
      <c r="C541" s="1" t="n">
        <v>45744</v>
      </c>
      <c r="D541" t="inlineStr">
        <is>
          <t>SKÅNE LÄN</t>
        </is>
      </c>
      <c r="E541" t="inlineStr">
        <is>
          <t>OSBY</t>
        </is>
      </c>
      <c r="G541" t="n">
        <v>0</v>
      </c>
      <c r="H541" t="n">
        <v>0</v>
      </c>
      <c r="I541" t="n">
        <v>0</v>
      </c>
      <c r="J541" t="n">
        <v>0</v>
      </c>
      <c r="K541" t="n">
        <v>0</v>
      </c>
      <c r="L541" t="n">
        <v>0</v>
      </c>
      <c r="M541" t="n">
        <v>0</v>
      </c>
      <c r="N541" t="n">
        <v>0</v>
      </c>
      <c r="O541" t="n">
        <v>0</v>
      </c>
      <c r="P541" t="n">
        <v>0</v>
      </c>
      <c r="Q541" t="n">
        <v>0</v>
      </c>
      <c r="R541" s="2" t="inlineStr"/>
    </row>
    <row r="542" ht="15" customHeight="1">
      <c r="A542" t="inlineStr">
        <is>
          <t>A 28111-2019</t>
        </is>
      </c>
      <c r="B542" s="1" t="n">
        <v>43621</v>
      </c>
      <c r="C542" s="1" t="n">
        <v>45744</v>
      </c>
      <c r="D542" t="inlineStr">
        <is>
          <t>SKÅNE LÄN</t>
        </is>
      </c>
      <c r="E542" t="inlineStr">
        <is>
          <t>HÄSSLEHOLM</t>
        </is>
      </c>
      <c r="G542" t="n">
        <v>1.7</v>
      </c>
      <c r="H542" t="n">
        <v>0</v>
      </c>
      <c r="I542" t="n">
        <v>0</v>
      </c>
      <c r="J542" t="n">
        <v>0</v>
      </c>
      <c r="K542" t="n">
        <v>0</v>
      </c>
      <c r="L542" t="n">
        <v>0</v>
      </c>
      <c r="M542" t="n">
        <v>0</v>
      </c>
      <c r="N542" t="n">
        <v>0</v>
      </c>
      <c r="O542" t="n">
        <v>0</v>
      </c>
      <c r="P542" t="n">
        <v>0</v>
      </c>
      <c r="Q542" t="n">
        <v>0</v>
      </c>
      <c r="R542" s="2" t="inlineStr"/>
    </row>
    <row r="543" ht="15" customHeight="1">
      <c r="A543" t="inlineStr">
        <is>
          <t>A 28371-2019</t>
        </is>
      </c>
      <c r="B543" s="1" t="n">
        <v>43622</v>
      </c>
      <c r="C543" s="1" t="n">
        <v>45744</v>
      </c>
      <c r="D543" t="inlineStr">
        <is>
          <t>SKÅNE LÄN</t>
        </is>
      </c>
      <c r="E543" t="inlineStr">
        <is>
          <t>SVALÖV</t>
        </is>
      </c>
      <c r="G543" t="n">
        <v>0.7</v>
      </c>
      <c r="H543" t="n">
        <v>0</v>
      </c>
      <c r="I543" t="n">
        <v>0</v>
      </c>
      <c r="J543" t="n">
        <v>0</v>
      </c>
      <c r="K543" t="n">
        <v>0</v>
      </c>
      <c r="L543" t="n">
        <v>0</v>
      </c>
      <c r="M543" t="n">
        <v>0</v>
      </c>
      <c r="N543" t="n">
        <v>0</v>
      </c>
      <c r="O543" t="n">
        <v>0</v>
      </c>
      <c r="P543" t="n">
        <v>0</v>
      </c>
      <c r="Q543" t="n">
        <v>0</v>
      </c>
      <c r="R543" s="2" t="inlineStr"/>
    </row>
    <row r="544" ht="15" customHeight="1">
      <c r="A544" t="inlineStr">
        <is>
          <t>A 29230-2019</t>
        </is>
      </c>
      <c r="B544" s="1" t="n">
        <v>43623</v>
      </c>
      <c r="C544" s="1" t="n">
        <v>45744</v>
      </c>
      <c r="D544" t="inlineStr">
        <is>
          <t>SKÅNE LÄN</t>
        </is>
      </c>
      <c r="E544" t="inlineStr">
        <is>
          <t>HÖÖR</t>
        </is>
      </c>
      <c r="G544" t="n">
        <v>2</v>
      </c>
      <c r="H544" t="n">
        <v>0</v>
      </c>
      <c r="I544" t="n">
        <v>0</v>
      </c>
      <c r="J544" t="n">
        <v>0</v>
      </c>
      <c r="K544" t="n">
        <v>0</v>
      </c>
      <c r="L544" t="n">
        <v>0</v>
      </c>
      <c r="M544" t="n">
        <v>0</v>
      </c>
      <c r="N544" t="n">
        <v>0</v>
      </c>
      <c r="O544" t="n">
        <v>0</v>
      </c>
      <c r="P544" t="n">
        <v>0</v>
      </c>
      <c r="Q544" t="n">
        <v>0</v>
      </c>
      <c r="R544" s="2" t="inlineStr"/>
    </row>
    <row r="545" ht="15" customHeight="1">
      <c r="A545" t="inlineStr">
        <is>
          <t>A 28410-2019</t>
        </is>
      </c>
      <c r="B545" s="1" t="n">
        <v>43626</v>
      </c>
      <c r="C545" s="1" t="n">
        <v>45744</v>
      </c>
      <c r="D545" t="inlineStr">
        <is>
          <t>SKÅNE LÄN</t>
        </is>
      </c>
      <c r="E545" t="inlineStr">
        <is>
          <t>HÄSSLEHOLM</t>
        </is>
      </c>
      <c r="G545" t="n">
        <v>2.5</v>
      </c>
      <c r="H545" t="n">
        <v>0</v>
      </c>
      <c r="I545" t="n">
        <v>0</v>
      </c>
      <c r="J545" t="n">
        <v>0</v>
      </c>
      <c r="K545" t="n">
        <v>0</v>
      </c>
      <c r="L545" t="n">
        <v>0</v>
      </c>
      <c r="M545" t="n">
        <v>0</v>
      </c>
      <c r="N545" t="n">
        <v>0</v>
      </c>
      <c r="O545" t="n">
        <v>0</v>
      </c>
      <c r="P545" t="n">
        <v>0</v>
      </c>
      <c r="Q545" t="n">
        <v>0</v>
      </c>
      <c r="R545" s="2" t="inlineStr"/>
    </row>
    <row r="546" ht="15" customHeight="1">
      <c r="A546" t="inlineStr">
        <is>
          <t>A 28413-2019</t>
        </is>
      </c>
      <c r="B546" s="1" t="n">
        <v>43626</v>
      </c>
      <c r="C546" s="1" t="n">
        <v>45744</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28996-2019</t>
        </is>
      </c>
      <c r="B547" s="1" t="n">
        <v>43628</v>
      </c>
      <c r="C547" s="1" t="n">
        <v>45744</v>
      </c>
      <c r="D547" t="inlineStr">
        <is>
          <t>SKÅNE LÄN</t>
        </is>
      </c>
      <c r="E547" t="inlineStr">
        <is>
          <t>SVALÖV</t>
        </is>
      </c>
      <c r="G547" t="n">
        <v>5.3</v>
      </c>
      <c r="H547" t="n">
        <v>0</v>
      </c>
      <c r="I547" t="n">
        <v>0</v>
      </c>
      <c r="J547" t="n">
        <v>0</v>
      </c>
      <c r="K547" t="n">
        <v>0</v>
      </c>
      <c r="L547" t="n">
        <v>0</v>
      </c>
      <c r="M547" t="n">
        <v>0</v>
      </c>
      <c r="N547" t="n">
        <v>0</v>
      </c>
      <c r="O547" t="n">
        <v>0</v>
      </c>
      <c r="P547" t="n">
        <v>0</v>
      </c>
      <c r="Q547" t="n">
        <v>0</v>
      </c>
      <c r="R547" s="2" t="inlineStr"/>
    </row>
    <row r="548" ht="15" customHeight="1">
      <c r="A548" t="inlineStr">
        <is>
          <t>A 29138-2019</t>
        </is>
      </c>
      <c r="B548" s="1" t="n">
        <v>43628</v>
      </c>
      <c r="C548" s="1" t="n">
        <v>45744</v>
      </c>
      <c r="D548" t="inlineStr">
        <is>
          <t>SKÅNE LÄN</t>
        </is>
      </c>
      <c r="E548" t="inlineStr">
        <is>
          <t>KLIPPAN</t>
        </is>
      </c>
      <c r="G548" t="n">
        <v>0.6</v>
      </c>
      <c r="H548" t="n">
        <v>0</v>
      </c>
      <c r="I548" t="n">
        <v>0</v>
      </c>
      <c r="J548" t="n">
        <v>0</v>
      </c>
      <c r="K548" t="n">
        <v>0</v>
      </c>
      <c r="L548" t="n">
        <v>0</v>
      </c>
      <c r="M548" t="n">
        <v>0</v>
      </c>
      <c r="N548" t="n">
        <v>0</v>
      </c>
      <c r="O548" t="n">
        <v>0</v>
      </c>
      <c r="P548" t="n">
        <v>0</v>
      </c>
      <c r="Q548" t="n">
        <v>0</v>
      </c>
      <c r="R548" s="2" t="inlineStr"/>
    </row>
    <row r="549" ht="15" customHeight="1">
      <c r="A549" t="inlineStr">
        <is>
          <t>A 29042-2019</t>
        </is>
      </c>
      <c r="B549" s="1" t="n">
        <v>43628</v>
      </c>
      <c r="C549" s="1" t="n">
        <v>45744</v>
      </c>
      <c r="D549" t="inlineStr">
        <is>
          <t>SKÅNE LÄN</t>
        </is>
      </c>
      <c r="E549" t="inlineStr">
        <is>
          <t>HÄSSLEHOLM</t>
        </is>
      </c>
      <c r="G549" t="n">
        <v>2.6</v>
      </c>
      <c r="H549" t="n">
        <v>0</v>
      </c>
      <c r="I549" t="n">
        <v>0</v>
      </c>
      <c r="J549" t="n">
        <v>0</v>
      </c>
      <c r="K549" t="n">
        <v>0</v>
      </c>
      <c r="L549" t="n">
        <v>0</v>
      </c>
      <c r="M549" t="n">
        <v>0</v>
      </c>
      <c r="N549" t="n">
        <v>0</v>
      </c>
      <c r="O549" t="n">
        <v>0</v>
      </c>
      <c r="P549" t="n">
        <v>0</v>
      </c>
      <c r="Q549" t="n">
        <v>0</v>
      </c>
      <c r="R549" s="2" t="inlineStr"/>
    </row>
    <row r="550" ht="15" customHeight="1">
      <c r="A550" t="inlineStr">
        <is>
          <t>A 29139-2019</t>
        </is>
      </c>
      <c r="B550" s="1" t="n">
        <v>43628</v>
      </c>
      <c r="C550" s="1" t="n">
        <v>45744</v>
      </c>
      <c r="D550" t="inlineStr">
        <is>
          <t>SKÅNE LÄN</t>
        </is>
      </c>
      <c r="E550" t="inlineStr">
        <is>
          <t>KLIPPAN</t>
        </is>
      </c>
      <c r="G550" t="n">
        <v>0.7</v>
      </c>
      <c r="H550" t="n">
        <v>0</v>
      </c>
      <c r="I550" t="n">
        <v>0</v>
      </c>
      <c r="J550" t="n">
        <v>0</v>
      </c>
      <c r="K550" t="n">
        <v>0</v>
      </c>
      <c r="L550" t="n">
        <v>0</v>
      </c>
      <c r="M550" t="n">
        <v>0</v>
      </c>
      <c r="N550" t="n">
        <v>0</v>
      </c>
      <c r="O550" t="n">
        <v>0</v>
      </c>
      <c r="P550" t="n">
        <v>0</v>
      </c>
      <c r="Q550" t="n">
        <v>0</v>
      </c>
      <c r="R550" s="2" t="inlineStr"/>
    </row>
    <row r="551" ht="15" customHeight="1">
      <c r="A551" t="inlineStr">
        <is>
          <t>A 29007-2019</t>
        </is>
      </c>
      <c r="B551" s="1" t="n">
        <v>43628</v>
      </c>
      <c r="C551" s="1" t="n">
        <v>45744</v>
      </c>
      <c r="D551" t="inlineStr">
        <is>
          <t>SKÅNE LÄN</t>
        </is>
      </c>
      <c r="E551" t="inlineStr">
        <is>
          <t>BÅSTAD</t>
        </is>
      </c>
      <c r="G551" t="n">
        <v>2.4</v>
      </c>
      <c r="H551" t="n">
        <v>0</v>
      </c>
      <c r="I551" t="n">
        <v>0</v>
      </c>
      <c r="J551" t="n">
        <v>0</v>
      </c>
      <c r="K551" t="n">
        <v>0</v>
      </c>
      <c r="L551" t="n">
        <v>0</v>
      </c>
      <c r="M551" t="n">
        <v>0</v>
      </c>
      <c r="N551" t="n">
        <v>0</v>
      </c>
      <c r="O551" t="n">
        <v>0</v>
      </c>
      <c r="P551" t="n">
        <v>0</v>
      </c>
      <c r="Q551" t="n">
        <v>0</v>
      </c>
      <c r="R551" s="2" t="inlineStr"/>
    </row>
    <row r="552" ht="15" customHeight="1">
      <c r="A552" t="inlineStr">
        <is>
          <t>A 29943-2019</t>
        </is>
      </c>
      <c r="B552" s="1" t="n">
        <v>43629</v>
      </c>
      <c r="C552" s="1" t="n">
        <v>45744</v>
      </c>
      <c r="D552" t="inlineStr">
        <is>
          <t>SKÅNE LÄN</t>
        </is>
      </c>
      <c r="E552" t="inlineStr">
        <is>
          <t>ÖRKELLJUNGA</t>
        </is>
      </c>
      <c r="G552" t="n">
        <v>2.4</v>
      </c>
      <c r="H552" t="n">
        <v>0</v>
      </c>
      <c r="I552" t="n">
        <v>0</v>
      </c>
      <c r="J552" t="n">
        <v>0</v>
      </c>
      <c r="K552" t="n">
        <v>0</v>
      </c>
      <c r="L552" t="n">
        <v>0</v>
      </c>
      <c r="M552" t="n">
        <v>0</v>
      </c>
      <c r="N552" t="n">
        <v>0</v>
      </c>
      <c r="O552" t="n">
        <v>0</v>
      </c>
      <c r="P552" t="n">
        <v>0</v>
      </c>
      <c r="Q552" t="n">
        <v>0</v>
      </c>
      <c r="R552" s="2" t="inlineStr"/>
    </row>
    <row r="553" ht="15" customHeight="1">
      <c r="A553" t="inlineStr">
        <is>
          <t>A 29305-2019</t>
        </is>
      </c>
      <c r="B553" s="1" t="n">
        <v>43629</v>
      </c>
      <c r="C553" s="1" t="n">
        <v>45744</v>
      </c>
      <c r="D553" t="inlineStr">
        <is>
          <t>SKÅNE LÄN</t>
        </is>
      </c>
      <c r="E553" t="inlineStr">
        <is>
          <t>ESLÖV</t>
        </is>
      </c>
      <c r="G553" t="n">
        <v>1.7</v>
      </c>
      <c r="H553" t="n">
        <v>0</v>
      </c>
      <c r="I553" t="n">
        <v>0</v>
      </c>
      <c r="J553" t="n">
        <v>0</v>
      </c>
      <c r="K553" t="n">
        <v>0</v>
      </c>
      <c r="L553" t="n">
        <v>0</v>
      </c>
      <c r="M553" t="n">
        <v>0</v>
      </c>
      <c r="N553" t="n">
        <v>0</v>
      </c>
      <c r="O553" t="n">
        <v>0</v>
      </c>
      <c r="P553" t="n">
        <v>0</v>
      </c>
      <c r="Q553" t="n">
        <v>0</v>
      </c>
      <c r="R553" s="2" t="inlineStr"/>
    </row>
    <row r="554" ht="15" customHeight="1">
      <c r="A554" t="inlineStr">
        <is>
          <t>A 29534-2019</t>
        </is>
      </c>
      <c r="B554" s="1" t="n">
        <v>43630</v>
      </c>
      <c r="C554" s="1" t="n">
        <v>45744</v>
      </c>
      <c r="D554" t="inlineStr">
        <is>
          <t>SKÅNE LÄN</t>
        </is>
      </c>
      <c r="E554" t="inlineStr">
        <is>
          <t>LUND</t>
        </is>
      </c>
      <c r="G554" t="n">
        <v>1.8</v>
      </c>
      <c r="H554" t="n">
        <v>0</v>
      </c>
      <c r="I554" t="n">
        <v>0</v>
      </c>
      <c r="J554" t="n">
        <v>0</v>
      </c>
      <c r="K554" t="n">
        <v>0</v>
      </c>
      <c r="L554" t="n">
        <v>0</v>
      </c>
      <c r="M554" t="n">
        <v>0</v>
      </c>
      <c r="N554" t="n">
        <v>0</v>
      </c>
      <c r="O554" t="n">
        <v>0</v>
      </c>
      <c r="P554" t="n">
        <v>0</v>
      </c>
      <c r="Q554" t="n">
        <v>0</v>
      </c>
      <c r="R554" s="2" t="inlineStr"/>
    </row>
    <row r="555" ht="15" customHeight="1">
      <c r="A555" t="inlineStr">
        <is>
          <t>A 29577-2019</t>
        </is>
      </c>
      <c r="B555" s="1" t="n">
        <v>43630</v>
      </c>
      <c r="C555" s="1" t="n">
        <v>45744</v>
      </c>
      <c r="D555" t="inlineStr">
        <is>
          <t>SKÅNE LÄN</t>
        </is>
      </c>
      <c r="E555" t="inlineStr">
        <is>
          <t>TOMELILLA</t>
        </is>
      </c>
      <c r="G555" t="n">
        <v>1.4</v>
      </c>
      <c r="H555" t="n">
        <v>0</v>
      </c>
      <c r="I555" t="n">
        <v>0</v>
      </c>
      <c r="J555" t="n">
        <v>0</v>
      </c>
      <c r="K555" t="n">
        <v>0</v>
      </c>
      <c r="L555" t="n">
        <v>0</v>
      </c>
      <c r="M555" t="n">
        <v>0</v>
      </c>
      <c r="N555" t="n">
        <v>0</v>
      </c>
      <c r="O555" t="n">
        <v>0</v>
      </c>
      <c r="P555" t="n">
        <v>0</v>
      </c>
      <c r="Q555" t="n">
        <v>0</v>
      </c>
      <c r="R555" s="2" t="inlineStr"/>
    </row>
    <row r="556" ht="15" customHeight="1">
      <c r="A556" t="inlineStr">
        <is>
          <t>A 29766-2019</t>
        </is>
      </c>
      <c r="B556" s="1" t="n">
        <v>43632</v>
      </c>
      <c r="C556" s="1" t="n">
        <v>45744</v>
      </c>
      <c r="D556" t="inlineStr">
        <is>
          <t>SKÅNE LÄN</t>
        </is>
      </c>
      <c r="E556" t="inlineStr">
        <is>
          <t>HÄSSLEHOLM</t>
        </is>
      </c>
      <c r="G556" t="n">
        <v>4.9</v>
      </c>
      <c r="H556" t="n">
        <v>0</v>
      </c>
      <c r="I556" t="n">
        <v>0</v>
      </c>
      <c r="J556" t="n">
        <v>0</v>
      </c>
      <c r="K556" t="n">
        <v>0</v>
      </c>
      <c r="L556" t="n">
        <v>0</v>
      </c>
      <c r="M556" t="n">
        <v>0</v>
      </c>
      <c r="N556" t="n">
        <v>0</v>
      </c>
      <c r="O556" t="n">
        <v>0</v>
      </c>
      <c r="P556" t="n">
        <v>0</v>
      </c>
      <c r="Q556" t="n">
        <v>0</v>
      </c>
      <c r="R556" s="2" t="inlineStr"/>
    </row>
    <row r="557" ht="15" customHeight="1">
      <c r="A557" t="inlineStr">
        <is>
          <t>A 29849-2019</t>
        </is>
      </c>
      <c r="B557" s="1" t="n">
        <v>43633</v>
      </c>
      <c r="C557" s="1" t="n">
        <v>45744</v>
      </c>
      <c r="D557" t="inlineStr">
        <is>
          <t>SKÅNE LÄN</t>
        </is>
      </c>
      <c r="E557" t="inlineStr">
        <is>
          <t>ÖRKELLJUNGA</t>
        </is>
      </c>
      <c r="G557" t="n">
        <v>0.8</v>
      </c>
      <c r="H557" t="n">
        <v>0</v>
      </c>
      <c r="I557" t="n">
        <v>0</v>
      </c>
      <c r="J557" t="n">
        <v>0</v>
      </c>
      <c r="K557" t="n">
        <v>0</v>
      </c>
      <c r="L557" t="n">
        <v>0</v>
      </c>
      <c r="M557" t="n">
        <v>0</v>
      </c>
      <c r="N557" t="n">
        <v>0</v>
      </c>
      <c r="O557" t="n">
        <v>0</v>
      </c>
      <c r="P557" t="n">
        <v>0</v>
      </c>
      <c r="Q557" t="n">
        <v>0</v>
      </c>
      <c r="R557" s="2" t="inlineStr"/>
    </row>
    <row r="558" ht="15" customHeight="1">
      <c r="A558" t="inlineStr">
        <is>
          <t>A 30059-2019</t>
        </is>
      </c>
      <c r="B558" s="1" t="n">
        <v>43633</v>
      </c>
      <c r="C558" s="1" t="n">
        <v>45744</v>
      </c>
      <c r="D558" t="inlineStr">
        <is>
          <t>SKÅNE LÄN</t>
        </is>
      </c>
      <c r="E558" t="inlineStr">
        <is>
          <t>HÄSSLEHOLM</t>
        </is>
      </c>
      <c r="G558" t="n">
        <v>3.5</v>
      </c>
      <c r="H558" t="n">
        <v>0</v>
      </c>
      <c r="I558" t="n">
        <v>0</v>
      </c>
      <c r="J558" t="n">
        <v>0</v>
      </c>
      <c r="K558" t="n">
        <v>0</v>
      </c>
      <c r="L558" t="n">
        <v>0</v>
      </c>
      <c r="M558" t="n">
        <v>0</v>
      </c>
      <c r="N558" t="n">
        <v>0</v>
      </c>
      <c r="O558" t="n">
        <v>0</v>
      </c>
      <c r="P558" t="n">
        <v>0</v>
      </c>
      <c r="Q558" t="n">
        <v>0</v>
      </c>
      <c r="R558" s="2" t="inlineStr"/>
    </row>
    <row r="559" ht="15" customHeight="1">
      <c r="A559" t="inlineStr">
        <is>
          <t>A 30292-2019</t>
        </is>
      </c>
      <c r="B559" s="1" t="n">
        <v>43633</v>
      </c>
      <c r="C559" s="1" t="n">
        <v>45744</v>
      </c>
      <c r="D559" t="inlineStr">
        <is>
          <t>SKÅNE LÄN</t>
        </is>
      </c>
      <c r="E559" t="inlineStr">
        <is>
          <t>ESLÖV</t>
        </is>
      </c>
      <c r="G559" t="n">
        <v>3.1</v>
      </c>
      <c r="H559" t="n">
        <v>0</v>
      </c>
      <c r="I559" t="n">
        <v>0</v>
      </c>
      <c r="J559" t="n">
        <v>0</v>
      </c>
      <c r="K559" t="n">
        <v>0</v>
      </c>
      <c r="L559" t="n">
        <v>0</v>
      </c>
      <c r="M559" t="n">
        <v>0</v>
      </c>
      <c r="N559" t="n">
        <v>0</v>
      </c>
      <c r="O559" t="n">
        <v>0</v>
      </c>
      <c r="P559" t="n">
        <v>0</v>
      </c>
      <c r="Q559" t="n">
        <v>0</v>
      </c>
      <c r="R559" s="2" t="inlineStr"/>
    </row>
    <row r="560" ht="15" customHeight="1">
      <c r="A560" t="inlineStr">
        <is>
          <t>A 29799-2019</t>
        </is>
      </c>
      <c r="B560" s="1" t="n">
        <v>43633</v>
      </c>
      <c r="C560" s="1" t="n">
        <v>45744</v>
      </c>
      <c r="D560" t="inlineStr">
        <is>
          <t>SKÅNE LÄN</t>
        </is>
      </c>
      <c r="E560" t="inlineStr">
        <is>
          <t>TOMELILLA</t>
        </is>
      </c>
      <c r="G560" t="n">
        <v>0.9</v>
      </c>
      <c r="H560" t="n">
        <v>0</v>
      </c>
      <c r="I560" t="n">
        <v>0</v>
      </c>
      <c r="J560" t="n">
        <v>0</v>
      </c>
      <c r="K560" t="n">
        <v>0</v>
      </c>
      <c r="L560" t="n">
        <v>0</v>
      </c>
      <c r="M560" t="n">
        <v>0</v>
      </c>
      <c r="N560" t="n">
        <v>0</v>
      </c>
      <c r="O560" t="n">
        <v>0</v>
      </c>
      <c r="P560" t="n">
        <v>0</v>
      </c>
      <c r="Q560" t="n">
        <v>0</v>
      </c>
      <c r="R560" s="2" t="inlineStr"/>
    </row>
    <row r="561" ht="15" customHeight="1">
      <c r="A561" t="inlineStr">
        <is>
          <t>A 30268-2019</t>
        </is>
      </c>
      <c r="B561" s="1" t="n">
        <v>43634</v>
      </c>
      <c r="C561" s="1" t="n">
        <v>45744</v>
      </c>
      <c r="D561" t="inlineStr">
        <is>
          <t>SKÅNE LÄN</t>
        </is>
      </c>
      <c r="E561" t="inlineStr">
        <is>
          <t>HÖRBY</t>
        </is>
      </c>
      <c r="G561" t="n">
        <v>0.9</v>
      </c>
      <c r="H561" t="n">
        <v>0</v>
      </c>
      <c r="I561" t="n">
        <v>0</v>
      </c>
      <c r="J561" t="n">
        <v>0</v>
      </c>
      <c r="K561" t="n">
        <v>0</v>
      </c>
      <c r="L561" t="n">
        <v>0</v>
      </c>
      <c r="M561" t="n">
        <v>0</v>
      </c>
      <c r="N561" t="n">
        <v>0</v>
      </c>
      <c r="O561" t="n">
        <v>0</v>
      </c>
      <c r="P561" t="n">
        <v>0</v>
      </c>
      <c r="Q561" t="n">
        <v>0</v>
      </c>
      <c r="R561" s="2" t="inlineStr"/>
    </row>
    <row r="562" ht="15" customHeight="1">
      <c r="A562" t="inlineStr">
        <is>
          <t>A 31177-2019</t>
        </is>
      </c>
      <c r="B562" s="1" t="n">
        <v>43640</v>
      </c>
      <c r="C562" s="1" t="n">
        <v>45744</v>
      </c>
      <c r="D562" t="inlineStr">
        <is>
          <t>SKÅNE LÄN</t>
        </is>
      </c>
      <c r="E562" t="inlineStr">
        <is>
          <t>HÖÖR</t>
        </is>
      </c>
      <c r="G562" t="n">
        <v>8.6</v>
      </c>
      <c r="H562" t="n">
        <v>0</v>
      </c>
      <c r="I562" t="n">
        <v>0</v>
      </c>
      <c r="J562" t="n">
        <v>0</v>
      </c>
      <c r="K562" t="n">
        <v>0</v>
      </c>
      <c r="L562" t="n">
        <v>0</v>
      </c>
      <c r="M562" t="n">
        <v>0</v>
      </c>
      <c r="N562" t="n">
        <v>0</v>
      </c>
      <c r="O562" t="n">
        <v>0</v>
      </c>
      <c r="P562" t="n">
        <v>0</v>
      </c>
      <c r="Q562" t="n">
        <v>0</v>
      </c>
      <c r="R562" s="2" t="inlineStr"/>
    </row>
    <row r="563" ht="15" customHeight="1">
      <c r="A563" t="inlineStr">
        <is>
          <t>A 31433-2019</t>
        </is>
      </c>
      <c r="B563" s="1" t="n">
        <v>43641</v>
      </c>
      <c r="C563" s="1" t="n">
        <v>45744</v>
      </c>
      <c r="D563" t="inlineStr">
        <is>
          <t>SKÅNE LÄN</t>
        </is>
      </c>
      <c r="E563" t="inlineStr">
        <is>
          <t>ÖRKELLJUNGA</t>
        </is>
      </c>
      <c r="G563" t="n">
        <v>1.1</v>
      </c>
      <c r="H563" t="n">
        <v>0</v>
      </c>
      <c r="I563" t="n">
        <v>0</v>
      </c>
      <c r="J563" t="n">
        <v>0</v>
      </c>
      <c r="K563" t="n">
        <v>0</v>
      </c>
      <c r="L563" t="n">
        <v>0</v>
      </c>
      <c r="M563" t="n">
        <v>0</v>
      </c>
      <c r="N563" t="n">
        <v>0</v>
      </c>
      <c r="O563" t="n">
        <v>0</v>
      </c>
      <c r="P563" t="n">
        <v>0</v>
      </c>
      <c r="Q563" t="n">
        <v>0</v>
      </c>
      <c r="R563" s="2" t="inlineStr"/>
    </row>
    <row r="564" ht="15" customHeight="1">
      <c r="A564" t="inlineStr">
        <is>
          <t>A 31784-2019</t>
        </is>
      </c>
      <c r="B564" s="1" t="n">
        <v>43641</v>
      </c>
      <c r="C564" s="1" t="n">
        <v>45744</v>
      </c>
      <c r="D564" t="inlineStr">
        <is>
          <t>SKÅNE LÄN</t>
        </is>
      </c>
      <c r="E564" t="inlineStr">
        <is>
          <t>ÖRKELLJUNGA</t>
        </is>
      </c>
      <c r="G564" t="n">
        <v>2</v>
      </c>
      <c r="H564" t="n">
        <v>0</v>
      </c>
      <c r="I564" t="n">
        <v>0</v>
      </c>
      <c r="J564" t="n">
        <v>0</v>
      </c>
      <c r="K564" t="n">
        <v>0</v>
      </c>
      <c r="L564" t="n">
        <v>0</v>
      </c>
      <c r="M564" t="n">
        <v>0</v>
      </c>
      <c r="N564" t="n">
        <v>0</v>
      </c>
      <c r="O564" t="n">
        <v>0</v>
      </c>
      <c r="P564" t="n">
        <v>0</v>
      </c>
      <c r="Q564" t="n">
        <v>0</v>
      </c>
      <c r="R564" s="2" t="inlineStr"/>
    </row>
    <row r="565" ht="15" customHeight="1">
      <c r="A565" t="inlineStr">
        <is>
          <t>A 31619-2019</t>
        </is>
      </c>
      <c r="B565" s="1" t="n">
        <v>43642</v>
      </c>
      <c r="C565" s="1" t="n">
        <v>45744</v>
      </c>
      <c r="D565" t="inlineStr">
        <is>
          <t>SKÅNE LÄN</t>
        </is>
      </c>
      <c r="E565" t="inlineStr">
        <is>
          <t>OSBY</t>
        </is>
      </c>
      <c r="G565" t="n">
        <v>1</v>
      </c>
      <c r="H565" t="n">
        <v>0</v>
      </c>
      <c r="I565" t="n">
        <v>0</v>
      </c>
      <c r="J565" t="n">
        <v>0</v>
      </c>
      <c r="K565" t="n">
        <v>0</v>
      </c>
      <c r="L565" t="n">
        <v>0</v>
      </c>
      <c r="M565" t="n">
        <v>0</v>
      </c>
      <c r="N565" t="n">
        <v>0</v>
      </c>
      <c r="O565" t="n">
        <v>0</v>
      </c>
      <c r="P565" t="n">
        <v>0</v>
      </c>
      <c r="Q565" t="n">
        <v>0</v>
      </c>
      <c r="R565" s="2" t="inlineStr"/>
    </row>
    <row r="566" ht="15" customHeight="1">
      <c r="A566" t="inlineStr">
        <is>
          <t>A 31803-2019</t>
        </is>
      </c>
      <c r="B566" s="1" t="n">
        <v>43642</v>
      </c>
      <c r="C566" s="1" t="n">
        <v>45744</v>
      </c>
      <c r="D566" t="inlineStr">
        <is>
          <t>SKÅNE LÄN</t>
        </is>
      </c>
      <c r="E566" t="inlineStr">
        <is>
          <t>OSBY</t>
        </is>
      </c>
      <c r="G566" t="n">
        <v>2</v>
      </c>
      <c r="H566" t="n">
        <v>0</v>
      </c>
      <c r="I566" t="n">
        <v>0</v>
      </c>
      <c r="J566" t="n">
        <v>0</v>
      </c>
      <c r="K566" t="n">
        <v>0</v>
      </c>
      <c r="L566" t="n">
        <v>0</v>
      </c>
      <c r="M566" t="n">
        <v>0</v>
      </c>
      <c r="N566" t="n">
        <v>0</v>
      </c>
      <c r="O566" t="n">
        <v>0</v>
      </c>
      <c r="P566" t="n">
        <v>0</v>
      </c>
      <c r="Q566" t="n">
        <v>0</v>
      </c>
      <c r="R566" s="2" t="inlineStr"/>
    </row>
    <row r="567" ht="15" customHeight="1">
      <c r="A567" t="inlineStr">
        <is>
          <t>A 31760-2019</t>
        </is>
      </c>
      <c r="B567" s="1" t="n">
        <v>43642</v>
      </c>
      <c r="C567" s="1" t="n">
        <v>45744</v>
      </c>
      <c r="D567" t="inlineStr">
        <is>
          <t>SKÅNE LÄN</t>
        </is>
      </c>
      <c r="E567" t="inlineStr">
        <is>
          <t>HÄSSLEHOLM</t>
        </is>
      </c>
      <c r="G567" t="n">
        <v>3.3</v>
      </c>
      <c r="H567" t="n">
        <v>0</v>
      </c>
      <c r="I567" t="n">
        <v>0</v>
      </c>
      <c r="J567" t="n">
        <v>0</v>
      </c>
      <c r="K567" t="n">
        <v>0</v>
      </c>
      <c r="L567" t="n">
        <v>0</v>
      </c>
      <c r="M567" t="n">
        <v>0</v>
      </c>
      <c r="N567" t="n">
        <v>0</v>
      </c>
      <c r="O567" t="n">
        <v>0</v>
      </c>
      <c r="P567" t="n">
        <v>0</v>
      </c>
      <c r="Q567" t="n">
        <v>0</v>
      </c>
      <c r="R567" s="2" t="inlineStr"/>
    </row>
    <row r="568" ht="15" customHeight="1">
      <c r="A568" t="inlineStr">
        <is>
          <t>A 31790-2019</t>
        </is>
      </c>
      <c r="B568" s="1" t="n">
        <v>43642</v>
      </c>
      <c r="C568" s="1" t="n">
        <v>45744</v>
      </c>
      <c r="D568" t="inlineStr">
        <is>
          <t>SKÅNE LÄN</t>
        </is>
      </c>
      <c r="E568" t="inlineStr">
        <is>
          <t>OSBY</t>
        </is>
      </c>
      <c r="G568" t="n">
        <v>0.8</v>
      </c>
      <c r="H568" t="n">
        <v>0</v>
      </c>
      <c r="I568" t="n">
        <v>0</v>
      </c>
      <c r="J568" t="n">
        <v>0</v>
      </c>
      <c r="K568" t="n">
        <v>0</v>
      </c>
      <c r="L568" t="n">
        <v>0</v>
      </c>
      <c r="M568" t="n">
        <v>0</v>
      </c>
      <c r="N568" t="n">
        <v>0</v>
      </c>
      <c r="O568" t="n">
        <v>0</v>
      </c>
      <c r="P568" t="n">
        <v>0</v>
      </c>
      <c r="Q568" t="n">
        <v>0</v>
      </c>
      <c r="R568" s="2" t="inlineStr"/>
    </row>
    <row r="569" ht="15" customHeight="1">
      <c r="A569" t="inlineStr">
        <is>
          <t>A 31795-2019</t>
        </is>
      </c>
      <c r="B569" s="1" t="n">
        <v>43642</v>
      </c>
      <c r="C569" s="1" t="n">
        <v>45744</v>
      </c>
      <c r="D569" t="inlineStr">
        <is>
          <t>SKÅNE LÄN</t>
        </is>
      </c>
      <c r="E569" t="inlineStr">
        <is>
          <t>OSBY</t>
        </is>
      </c>
      <c r="G569" t="n">
        <v>1.6</v>
      </c>
      <c r="H569" t="n">
        <v>0</v>
      </c>
      <c r="I569" t="n">
        <v>0</v>
      </c>
      <c r="J569" t="n">
        <v>0</v>
      </c>
      <c r="K569" t="n">
        <v>0</v>
      </c>
      <c r="L569" t="n">
        <v>0</v>
      </c>
      <c r="M569" t="n">
        <v>0</v>
      </c>
      <c r="N569" t="n">
        <v>0</v>
      </c>
      <c r="O569" t="n">
        <v>0</v>
      </c>
      <c r="P569" t="n">
        <v>0</v>
      </c>
      <c r="Q569" t="n">
        <v>0</v>
      </c>
      <c r="R569" s="2" t="inlineStr"/>
    </row>
    <row r="570" ht="15" customHeight="1">
      <c r="A570" t="inlineStr">
        <is>
          <t>A 31951-2019</t>
        </is>
      </c>
      <c r="B570" s="1" t="n">
        <v>43642</v>
      </c>
      <c r="C570" s="1" t="n">
        <v>45744</v>
      </c>
      <c r="D570" t="inlineStr">
        <is>
          <t>SKÅNE LÄN</t>
        </is>
      </c>
      <c r="E570" t="inlineStr">
        <is>
          <t>SVEDALA</t>
        </is>
      </c>
      <c r="G570" t="n">
        <v>1.4</v>
      </c>
      <c r="H570" t="n">
        <v>0</v>
      </c>
      <c r="I570" t="n">
        <v>0</v>
      </c>
      <c r="J570" t="n">
        <v>0</v>
      </c>
      <c r="K570" t="n">
        <v>0</v>
      </c>
      <c r="L570" t="n">
        <v>0</v>
      </c>
      <c r="M570" t="n">
        <v>0</v>
      </c>
      <c r="N570" t="n">
        <v>0</v>
      </c>
      <c r="O570" t="n">
        <v>0</v>
      </c>
      <c r="P570" t="n">
        <v>0</v>
      </c>
      <c r="Q570" t="n">
        <v>0</v>
      </c>
      <c r="R570" s="2" t="inlineStr"/>
    </row>
    <row r="571" ht="15" customHeight="1">
      <c r="A571" t="inlineStr">
        <is>
          <t>A 31936-2019</t>
        </is>
      </c>
      <c r="B571" s="1" t="n">
        <v>43642</v>
      </c>
      <c r="C571" s="1" t="n">
        <v>45744</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31669-2019</t>
        </is>
      </c>
      <c r="B572" s="1" t="n">
        <v>43642</v>
      </c>
      <c r="C572" s="1" t="n">
        <v>45744</v>
      </c>
      <c r="D572" t="inlineStr">
        <is>
          <t>SKÅNE LÄN</t>
        </is>
      </c>
      <c r="E572" t="inlineStr">
        <is>
          <t>KLIPPAN</t>
        </is>
      </c>
      <c r="G572" t="n">
        <v>0.6</v>
      </c>
      <c r="H572" t="n">
        <v>0</v>
      </c>
      <c r="I572" t="n">
        <v>0</v>
      </c>
      <c r="J572" t="n">
        <v>0</v>
      </c>
      <c r="K572" t="n">
        <v>0</v>
      </c>
      <c r="L572" t="n">
        <v>0</v>
      </c>
      <c r="M572" t="n">
        <v>0</v>
      </c>
      <c r="N572" t="n">
        <v>0</v>
      </c>
      <c r="O572" t="n">
        <v>0</v>
      </c>
      <c r="P572" t="n">
        <v>0</v>
      </c>
      <c r="Q572" t="n">
        <v>0</v>
      </c>
      <c r="R572" s="2" t="inlineStr"/>
    </row>
    <row r="573" ht="15" customHeight="1">
      <c r="A573" t="inlineStr">
        <is>
          <t>A 31948-2019</t>
        </is>
      </c>
      <c r="B573" s="1" t="n">
        <v>43642</v>
      </c>
      <c r="C573" s="1" t="n">
        <v>45744</v>
      </c>
      <c r="D573" t="inlineStr">
        <is>
          <t>SKÅNE LÄN</t>
        </is>
      </c>
      <c r="E573" t="inlineStr">
        <is>
          <t>SVEDALA</t>
        </is>
      </c>
      <c r="G573" t="n">
        <v>1.3</v>
      </c>
      <c r="H573" t="n">
        <v>0</v>
      </c>
      <c r="I573" t="n">
        <v>0</v>
      </c>
      <c r="J573" t="n">
        <v>0</v>
      </c>
      <c r="K573" t="n">
        <v>0</v>
      </c>
      <c r="L573" t="n">
        <v>0</v>
      </c>
      <c r="M573" t="n">
        <v>0</v>
      </c>
      <c r="N573" t="n">
        <v>0</v>
      </c>
      <c r="O573" t="n">
        <v>0</v>
      </c>
      <c r="P573" t="n">
        <v>0</v>
      </c>
      <c r="Q573" t="n">
        <v>0</v>
      </c>
      <c r="R573" s="2" t="inlineStr"/>
    </row>
    <row r="574" ht="15" customHeight="1">
      <c r="A574" t="inlineStr">
        <is>
          <t>A 33285-2019</t>
        </is>
      </c>
      <c r="B574" s="1" t="n">
        <v>43644</v>
      </c>
      <c r="C574" s="1" t="n">
        <v>45744</v>
      </c>
      <c r="D574" t="inlineStr">
        <is>
          <t>SKÅNE LÄN</t>
        </is>
      </c>
      <c r="E574" t="inlineStr">
        <is>
          <t>KLIPPAN</t>
        </is>
      </c>
      <c r="F574" t="inlineStr">
        <is>
          <t>Övriga Aktiebolag</t>
        </is>
      </c>
      <c r="G574" t="n">
        <v>0.6</v>
      </c>
      <c r="H574" t="n">
        <v>0</v>
      </c>
      <c r="I574" t="n">
        <v>0</v>
      </c>
      <c r="J574" t="n">
        <v>0</v>
      </c>
      <c r="K574" t="n">
        <v>0</v>
      </c>
      <c r="L574" t="n">
        <v>0</v>
      </c>
      <c r="M574" t="n">
        <v>0</v>
      </c>
      <c r="N574" t="n">
        <v>0</v>
      </c>
      <c r="O574" t="n">
        <v>0</v>
      </c>
      <c r="P574" t="n">
        <v>0</v>
      </c>
      <c r="Q574" t="n">
        <v>0</v>
      </c>
      <c r="R574" s="2" t="inlineStr"/>
    </row>
    <row r="575" ht="15" customHeight="1">
      <c r="A575" t="inlineStr">
        <is>
          <t>A 33290-2019</t>
        </is>
      </c>
      <c r="B575" s="1" t="n">
        <v>43644</v>
      </c>
      <c r="C575" s="1" t="n">
        <v>45744</v>
      </c>
      <c r="D575" t="inlineStr">
        <is>
          <t>SKÅNE LÄN</t>
        </is>
      </c>
      <c r="E575" t="inlineStr">
        <is>
          <t>PERSTORP</t>
        </is>
      </c>
      <c r="F575" t="inlineStr">
        <is>
          <t>Övriga Aktiebolag</t>
        </is>
      </c>
      <c r="G575" t="n">
        <v>1.9</v>
      </c>
      <c r="H575" t="n">
        <v>0</v>
      </c>
      <c r="I575" t="n">
        <v>0</v>
      </c>
      <c r="J575" t="n">
        <v>0</v>
      </c>
      <c r="K575" t="n">
        <v>0</v>
      </c>
      <c r="L575" t="n">
        <v>0</v>
      </c>
      <c r="M575" t="n">
        <v>0</v>
      </c>
      <c r="N575" t="n">
        <v>0</v>
      </c>
      <c r="O575" t="n">
        <v>0</v>
      </c>
      <c r="P575" t="n">
        <v>0</v>
      </c>
      <c r="Q575" t="n">
        <v>0</v>
      </c>
      <c r="R575" s="2" t="inlineStr"/>
    </row>
    <row r="576" ht="15" customHeight="1">
      <c r="A576" t="inlineStr">
        <is>
          <t>A 33252-2019</t>
        </is>
      </c>
      <c r="B576" s="1" t="n">
        <v>43644</v>
      </c>
      <c r="C576" s="1" t="n">
        <v>45744</v>
      </c>
      <c r="D576" t="inlineStr">
        <is>
          <t>SKÅNE LÄN</t>
        </is>
      </c>
      <c r="E576" t="inlineStr">
        <is>
          <t>PERSTORP</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33240-2019</t>
        </is>
      </c>
      <c r="B577" s="1" t="n">
        <v>43644</v>
      </c>
      <c r="C577" s="1" t="n">
        <v>45744</v>
      </c>
      <c r="D577" t="inlineStr">
        <is>
          <t>SKÅNE LÄN</t>
        </is>
      </c>
      <c r="E577" t="inlineStr">
        <is>
          <t>SVEDALA</t>
        </is>
      </c>
      <c r="G577" t="n">
        <v>1.2</v>
      </c>
      <c r="H577" t="n">
        <v>0</v>
      </c>
      <c r="I577" t="n">
        <v>0</v>
      </c>
      <c r="J577" t="n">
        <v>0</v>
      </c>
      <c r="K577" t="n">
        <v>0</v>
      </c>
      <c r="L577" t="n">
        <v>0</v>
      </c>
      <c r="M577" t="n">
        <v>0</v>
      </c>
      <c r="N577" t="n">
        <v>0</v>
      </c>
      <c r="O577" t="n">
        <v>0</v>
      </c>
      <c r="P577" t="n">
        <v>0</v>
      </c>
      <c r="Q577" t="n">
        <v>0</v>
      </c>
      <c r="R577" s="2" t="inlineStr"/>
    </row>
    <row r="578" ht="15" customHeight="1">
      <c r="A578" t="inlineStr">
        <is>
          <t>A 32352-2019</t>
        </is>
      </c>
      <c r="B578" s="1" t="n">
        <v>43644</v>
      </c>
      <c r="C578" s="1" t="n">
        <v>45744</v>
      </c>
      <c r="D578" t="inlineStr">
        <is>
          <t>SKÅNE LÄN</t>
        </is>
      </c>
      <c r="E578" t="inlineStr">
        <is>
          <t>OSBY</t>
        </is>
      </c>
      <c r="G578" t="n">
        <v>0.5</v>
      </c>
      <c r="H578" t="n">
        <v>0</v>
      </c>
      <c r="I578" t="n">
        <v>0</v>
      </c>
      <c r="J578" t="n">
        <v>0</v>
      </c>
      <c r="K578" t="n">
        <v>0</v>
      </c>
      <c r="L578" t="n">
        <v>0</v>
      </c>
      <c r="M578" t="n">
        <v>0</v>
      </c>
      <c r="N578" t="n">
        <v>0</v>
      </c>
      <c r="O578" t="n">
        <v>0</v>
      </c>
      <c r="P578" t="n">
        <v>0</v>
      </c>
      <c r="Q578" t="n">
        <v>0</v>
      </c>
      <c r="R578" s="2" t="inlineStr"/>
    </row>
    <row r="579" ht="15" customHeight="1">
      <c r="A579" t="inlineStr">
        <is>
          <t>A 32620-2019</t>
        </is>
      </c>
      <c r="B579" s="1" t="n">
        <v>43647</v>
      </c>
      <c r="C579" s="1" t="n">
        <v>45744</v>
      </c>
      <c r="D579" t="inlineStr">
        <is>
          <t>SKÅNE LÄN</t>
        </is>
      </c>
      <c r="E579" t="inlineStr">
        <is>
          <t>ÖRKELLJUNGA</t>
        </is>
      </c>
      <c r="G579" t="n">
        <v>2.3</v>
      </c>
      <c r="H579" t="n">
        <v>0</v>
      </c>
      <c r="I579" t="n">
        <v>0</v>
      </c>
      <c r="J579" t="n">
        <v>0</v>
      </c>
      <c r="K579" t="n">
        <v>0</v>
      </c>
      <c r="L579" t="n">
        <v>0</v>
      </c>
      <c r="M579" t="n">
        <v>0</v>
      </c>
      <c r="N579" t="n">
        <v>0</v>
      </c>
      <c r="O579" t="n">
        <v>0</v>
      </c>
      <c r="P579" t="n">
        <v>0</v>
      </c>
      <c r="Q579" t="n">
        <v>0</v>
      </c>
      <c r="R579" s="2" t="inlineStr"/>
    </row>
    <row r="580" ht="15" customHeight="1">
      <c r="A580" t="inlineStr">
        <is>
          <t>A 32624-2019</t>
        </is>
      </c>
      <c r="B580" s="1" t="n">
        <v>43647</v>
      </c>
      <c r="C580" s="1" t="n">
        <v>45744</v>
      </c>
      <c r="D580" t="inlineStr">
        <is>
          <t>SKÅNE LÄN</t>
        </is>
      </c>
      <c r="E580" t="inlineStr">
        <is>
          <t>ÖRKELLJUNGA</t>
        </is>
      </c>
      <c r="G580" t="n">
        <v>0.6</v>
      </c>
      <c r="H580" t="n">
        <v>0</v>
      </c>
      <c r="I580" t="n">
        <v>0</v>
      </c>
      <c r="J580" t="n">
        <v>0</v>
      </c>
      <c r="K580" t="n">
        <v>0</v>
      </c>
      <c r="L580" t="n">
        <v>0</v>
      </c>
      <c r="M580" t="n">
        <v>0</v>
      </c>
      <c r="N580" t="n">
        <v>0</v>
      </c>
      <c r="O580" t="n">
        <v>0</v>
      </c>
      <c r="P580" t="n">
        <v>0</v>
      </c>
      <c r="Q580" t="n">
        <v>0</v>
      </c>
      <c r="R580" s="2" t="inlineStr"/>
    </row>
    <row r="581" ht="15" customHeight="1">
      <c r="A581" t="inlineStr">
        <is>
          <t>A 32714-2019</t>
        </is>
      </c>
      <c r="B581" s="1" t="n">
        <v>43647</v>
      </c>
      <c r="C581" s="1" t="n">
        <v>45744</v>
      </c>
      <c r="D581" t="inlineStr">
        <is>
          <t>SKÅNE LÄN</t>
        </is>
      </c>
      <c r="E581" t="inlineStr">
        <is>
          <t>HÄSSLEHOLM</t>
        </is>
      </c>
      <c r="G581" t="n">
        <v>8.4</v>
      </c>
      <c r="H581" t="n">
        <v>0</v>
      </c>
      <c r="I581" t="n">
        <v>0</v>
      </c>
      <c r="J581" t="n">
        <v>0</v>
      </c>
      <c r="K581" t="n">
        <v>0</v>
      </c>
      <c r="L581" t="n">
        <v>0</v>
      </c>
      <c r="M581" t="n">
        <v>0</v>
      </c>
      <c r="N581" t="n">
        <v>0</v>
      </c>
      <c r="O581" t="n">
        <v>0</v>
      </c>
      <c r="P581" t="n">
        <v>0</v>
      </c>
      <c r="Q581" t="n">
        <v>0</v>
      </c>
      <c r="R581" s="2" t="inlineStr"/>
    </row>
    <row r="582" ht="15" customHeight="1">
      <c r="A582" t="inlineStr">
        <is>
          <t>A 32841-2019</t>
        </is>
      </c>
      <c r="B582" s="1" t="n">
        <v>43648</v>
      </c>
      <c r="C582" s="1" t="n">
        <v>45744</v>
      </c>
      <c r="D582" t="inlineStr">
        <is>
          <t>SKÅNE LÄN</t>
        </is>
      </c>
      <c r="E582" t="inlineStr">
        <is>
          <t>KRISTIANSTAD</t>
        </is>
      </c>
      <c r="G582" t="n">
        <v>0.9</v>
      </c>
      <c r="H582" t="n">
        <v>0</v>
      </c>
      <c r="I582" t="n">
        <v>0</v>
      </c>
      <c r="J582" t="n">
        <v>0</v>
      </c>
      <c r="K582" t="n">
        <v>0</v>
      </c>
      <c r="L582" t="n">
        <v>0</v>
      </c>
      <c r="M582" t="n">
        <v>0</v>
      </c>
      <c r="N582" t="n">
        <v>0</v>
      </c>
      <c r="O582" t="n">
        <v>0</v>
      </c>
      <c r="P582" t="n">
        <v>0</v>
      </c>
      <c r="Q582" t="n">
        <v>0</v>
      </c>
      <c r="R582" s="2" t="inlineStr"/>
    </row>
    <row r="583" ht="15" customHeight="1">
      <c r="A583" t="inlineStr">
        <is>
          <t>A 32790-2019</t>
        </is>
      </c>
      <c r="B583" s="1" t="n">
        <v>43648</v>
      </c>
      <c r="C583" s="1" t="n">
        <v>45744</v>
      </c>
      <c r="D583" t="inlineStr">
        <is>
          <t>SKÅNE LÄN</t>
        </is>
      </c>
      <c r="E583" t="inlineStr">
        <is>
          <t>KRISTIANSTAD</t>
        </is>
      </c>
      <c r="G583" t="n">
        <v>11.4</v>
      </c>
      <c r="H583" t="n">
        <v>0</v>
      </c>
      <c r="I583" t="n">
        <v>0</v>
      </c>
      <c r="J583" t="n">
        <v>0</v>
      </c>
      <c r="K583" t="n">
        <v>0</v>
      </c>
      <c r="L583" t="n">
        <v>0</v>
      </c>
      <c r="M583" t="n">
        <v>0</v>
      </c>
      <c r="N583" t="n">
        <v>0</v>
      </c>
      <c r="O583" t="n">
        <v>0</v>
      </c>
      <c r="P583" t="n">
        <v>0</v>
      </c>
      <c r="Q583" t="n">
        <v>0</v>
      </c>
      <c r="R583" s="2" t="inlineStr"/>
    </row>
    <row r="584" ht="15" customHeight="1">
      <c r="A584" t="inlineStr">
        <is>
          <t>A 32827-2019</t>
        </is>
      </c>
      <c r="B584" s="1" t="n">
        <v>43648</v>
      </c>
      <c r="C584" s="1" t="n">
        <v>45744</v>
      </c>
      <c r="D584" t="inlineStr">
        <is>
          <t>SKÅNE LÄN</t>
        </is>
      </c>
      <c r="E584" t="inlineStr">
        <is>
          <t>BROMÖLLA</t>
        </is>
      </c>
      <c r="G584" t="n">
        <v>3</v>
      </c>
      <c r="H584" t="n">
        <v>0</v>
      </c>
      <c r="I584" t="n">
        <v>0</v>
      </c>
      <c r="J584" t="n">
        <v>0</v>
      </c>
      <c r="K584" t="n">
        <v>0</v>
      </c>
      <c r="L584" t="n">
        <v>0</v>
      </c>
      <c r="M584" t="n">
        <v>0</v>
      </c>
      <c r="N584" t="n">
        <v>0</v>
      </c>
      <c r="O584" t="n">
        <v>0</v>
      </c>
      <c r="P584" t="n">
        <v>0</v>
      </c>
      <c r="Q584" t="n">
        <v>0</v>
      </c>
      <c r="R584" s="2" t="inlineStr"/>
    </row>
    <row r="585" ht="15" customHeight="1">
      <c r="A585" t="inlineStr">
        <is>
          <t>A 32839-2019</t>
        </is>
      </c>
      <c r="B585" s="1" t="n">
        <v>43648</v>
      </c>
      <c r="C585" s="1" t="n">
        <v>45744</v>
      </c>
      <c r="D585" t="inlineStr">
        <is>
          <t>SKÅNE LÄN</t>
        </is>
      </c>
      <c r="E585" t="inlineStr">
        <is>
          <t>KRISTIANSTAD</t>
        </is>
      </c>
      <c r="G585" t="n">
        <v>3.9</v>
      </c>
      <c r="H585" t="n">
        <v>0</v>
      </c>
      <c r="I585" t="n">
        <v>0</v>
      </c>
      <c r="J585" t="n">
        <v>0</v>
      </c>
      <c r="K585" t="n">
        <v>0</v>
      </c>
      <c r="L585" t="n">
        <v>0</v>
      </c>
      <c r="M585" t="n">
        <v>0</v>
      </c>
      <c r="N585" t="n">
        <v>0</v>
      </c>
      <c r="O585" t="n">
        <v>0</v>
      </c>
      <c r="P585" t="n">
        <v>0</v>
      </c>
      <c r="Q585" t="n">
        <v>0</v>
      </c>
      <c r="R585" s="2" t="inlineStr"/>
    </row>
    <row r="586" ht="15" customHeight="1">
      <c r="A586" t="inlineStr">
        <is>
          <t>A 34714-2019</t>
        </is>
      </c>
      <c r="B586" s="1" t="n">
        <v>43648</v>
      </c>
      <c r="C586" s="1" t="n">
        <v>45744</v>
      </c>
      <c r="D586" t="inlineStr">
        <is>
          <t>SKÅNE LÄN</t>
        </is>
      </c>
      <c r="E586" t="inlineStr">
        <is>
          <t>HÄSSLEHOLM</t>
        </is>
      </c>
      <c r="F586" t="inlineStr">
        <is>
          <t>Övriga Aktiebolag</t>
        </is>
      </c>
      <c r="G586" t="n">
        <v>1.5</v>
      </c>
      <c r="H586" t="n">
        <v>0</v>
      </c>
      <c r="I586" t="n">
        <v>0</v>
      </c>
      <c r="J586" t="n">
        <v>0</v>
      </c>
      <c r="K586" t="n">
        <v>0</v>
      </c>
      <c r="L586" t="n">
        <v>0</v>
      </c>
      <c r="M586" t="n">
        <v>0</v>
      </c>
      <c r="N586" t="n">
        <v>0</v>
      </c>
      <c r="O586" t="n">
        <v>0</v>
      </c>
      <c r="P586" t="n">
        <v>0</v>
      </c>
      <c r="Q586" t="n">
        <v>0</v>
      </c>
      <c r="R586" s="2" t="inlineStr"/>
    </row>
    <row r="587" ht="15" customHeight="1">
      <c r="A587" t="inlineStr">
        <is>
          <t>A 34711-2019</t>
        </is>
      </c>
      <c r="B587" s="1" t="n">
        <v>43648</v>
      </c>
      <c r="C587" s="1" t="n">
        <v>45744</v>
      </c>
      <c r="D587" t="inlineStr">
        <is>
          <t>SKÅNE LÄN</t>
        </is>
      </c>
      <c r="E587" t="inlineStr">
        <is>
          <t>HÄSSLEHOLM</t>
        </is>
      </c>
      <c r="F587" t="inlineStr">
        <is>
          <t>Övriga Aktiebolag</t>
        </is>
      </c>
      <c r="G587" t="n">
        <v>1.6</v>
      </c>
      <c r="H587" t="n">
        <v>0</v>
      </c>
      <c r="I587" t="n">
        <v>0</v>
      </c>
      <c r="J587" t="n">
        <v>0</v>
      </c>
      <c r="K587" t="n">
        <v>0</v>
      </c>
      <c r="L587" t="n">
        <v>0</v>
      </c>
      <c r="M587" t="n">
        <v>0</v>
      </c>
      <c r="N587" t="n">
        <v>0</v>
      </c>
      <c r="O587" t="n">
        <v>0</v>
      </c>
      <c r="P587" t="n">
        <v>0</v>
      </c>
      <c r="Q587" t="n">
        <v>0</v>
      </c>
      <c r="R587" s="2" t="inlineStr"/>
    </row>
    <row r="588" ht="15" customHeight="1">
      <c r="A588" t="inlineStr">
        <is>
          <t>A 32999-2019</t>
        </is>
      </c>
      <c r="B588" s="1" t="n">
        <v>43649</v>
      </c>
      <c r="C588" s="1" t="n">
        <v>45744</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33125-2019</t>
        </is>
      </c>
      <c r="B589" s="1" t="n">
        <v>43649</v>
      </c>
      <c r="C589" s="1" t="n">
        <v>45744</v>
      </c>
      <c r="D589" t="inlineStr">
        <is>
          <t>SKÅNE LÄN</t>
        </is>
      </c>
      <c r="E589" t="inlineStr">
        <is>
          <t>OSBY</t>
        </is>
      </c>
      <c r="G589" t="n">
        <v>3.2</v>
      </c>
      <c r="H589" t="n">
        <v>0</v>
      </c>
      <c r="I589" t="n">
        <v>0</v>
      </c>
      <c r="J589" t="n">
        <v>0</v>
      </c>
      <c r="K589" t="n">
        <v>0</v>
      </c>
      <c r="L589" t="n">
        <v>0</v>
      </c>
      <c r="M589" t="n">
        <v>0</v>
      </c>
      <c r="N589" t="n">
        <v>0</v>
      </c>
      <c r="O589" t="n">
        <v>0</v>
      </c>
      <c r="P589" t="n">
        <v>0</v>
      </c>
      <c r="Q589" t="n">
        <v>0</v>
      </c>
      <c r="R589" s="2" t="inlineStr"/>
    </row>
    <row r="590" ht="15" customHeight="1">
      <c r="A590" t="inlineStr">
        <is>
          <t>A 33170-2019</t>
        </is>
      </c>
      <c r="B590" s="1" t="n">
        <v>43649</v>
      </c>
      <c r="C590" s="1" t="n">
        <v>45744</v>
      </c>
      <c r="D590" t="inlineStr">
        <is>
          <t>SKÅNE LÄN</t>
        </is>
      </c>
      <c r="E590" t="inlineStr">
        <is>
          <t>OSBY</t>
        </is>
      </c>
      <c r="G590" t="n">
        <v>1</v>
      </c>
      <c r="H590" t="n">
        <v>0</v>
      </c>
      <c r="I590" t="n">
        <v>0</v>
      </c>
      <c r="J590" t="n">
        <v>0</v>
      </c>
      <c r="K590" t="n">
        <v>0</v>
      </c>
      <c r="L590" t="n">
        <v>0</v>
      </c>
      <c r="M590" t="n">
        <v>0</v>
      </c>
      <c r="N590" t="n">
        <v>0</v>
      </c>
      <c r="O590" t="n">
        <v>0</v>
      </c>
      <c r="P590" t="n">
        <v>0</v>
      </c>
      <c r="Q590" t="n">
        <v>0</v>
      </c>
      <c r="R590" s="2" t="inlineStr"/>
    </row>
    <row r="591" ht="15" customHeight="1">
      <c r="A591" t="inlineStr">
        <is>
          <t>A 32998-2019</t>
        </is>
      </c>
      <c r="B591" s="1" t="n">
        <v>43649</v>
      </c>
      <c r="C591" s="1" t="n">
        <v>45744</v>
      </c>
      <c r="D591" t="inlineStr">
        <is>
          <t>SKÅNE LÄN</t>
        </is>
      </c>
      <c r="E591" t="inlineStr">
        <is>
          <t>HÄSSLEHOLM</t>
        </is>
      </c>
      <c r="G591" t="n">
        <v>3.7</v>
      </c>
      <c r="H591" t="n">
        <v>0</v>
      </c>
      <c r="I591" t="n">
        <v>0</v>
      </c>
      <c r="J591" t="n">
        <v>0</v>
      </c>
      <c r="K591" t="n">
        <v>0</v>
      </c>
      <c r="L591" t="n">
        <v>0</v>
      </c>
      <c r="M591" t="n">
        <v>0</v>
      </c>
      <c r="N591" t="n">
        <v>0</v>
      </c>
      <c r="O591" t="n">
        <v>0</v>
      </c>
      <c r="P591" t="n">
        <v>0</v>
      </c>
      <c r="Q591" t="n">
        <v>0</v>
      </c>
      <c r="R591" s="2" t="inlineStr"/>
    </row>
    <row r="592" ht="15" customHeight="1">
      <c r="A592" t="inlineStr">
        <is>
          <t>A 33258-2019</t>
        </is>
      </c>
      <c r="B592" s="1" t="n">
        <v>43650</v>
      </c>
      <c r="C592" s="1" t="n">
        <v>45744</v>
      </c>
      <c r="D592" t="inlineStr">
        <is>
          <t>SKÅNE LÄN</t>
        </is>
      </c>
      <c r="E592" t="inlineStr">
        <is>
          <t>HÄSSLEHOLM</t>
        </is>
      </c>
      <c r="G592" t="n">
        <v>2</v>
      </c>
      <c r="H592" t="n">
        <v>0</v>
      </c>
      <c r="I592" t="n">
        <v>0</v>
      </c>
      <c r="J592" t="n">
        <v>0</v>
      </c>
      <c r="K592" t="n">
        <v>0</v>
      </c>
      <c r="L592" t="n">
        <v>0</v>
      </c>
      <c r="M592" t="n">
        <v>0</v>
      </c>
      <c r="N592" t="n">
        <v>0</v>
      </c>
      <c r="O592" t="n">
        <v>0</v>
      </c>
      <c r="P592" t="n">
        <v>0</v>
      </c>
      <c r="Q592" t="n">
        <v>0</v>
      </c>
      <c r="R592" s="2" t="inlineStr"/>
    </row>
    <row r="593" ht="15" customHeight="1">
      <c r="A593" t="inlineStr">
        <is>
          <t>A 33344-2019</t>
        </is>
      </c>
      <c r="B593" s="1" t="n">
        <v>43650</v>
      </c>
      <c r="C593" s="1" t="n">
        <v>45744</v>
      </c>
      <c r="D593" t="inlineStr">
        <is>
          <t>SKÅNE LÄN</t>
        </is>
      </c>
      <c r="E593" t="inlineStr">
        <is>
          <t>HÄSSLEHOLM</t>
        </is>
      </c>
      <c r="G593" t="n">
        <v>0.4</v>
      </c>
      <c r="H593" t="n">
        <v>0</v>
      </c>
      <c r="I593" t="n">
        <v>0</v>
      </c>
      <c r="J593" t="n">
        <v>0</v>
      </c>
      <c r="K593" t="n">
        <v>0</v>
      </c>
      <c r="L593" t="n">
        <v>0</v>
      </c>
      <c r="M593" t="n">
        <v>0</v>
      </c>
      <c r="N593" t="n">
        <v>0</v>
      </c>
      <c r="O593" t="n">
        <v>0</v>
      </c>
      <c r="P593" t="n">
        <v>0</v>
      </c>
      <c r="Q593" t="n">
        <v>0</v>
      </c>
      <c r="R593" s="2" t="inlineStr"/>
    </row>
    <row r="594" ht="15" customHeight="1">
      <c r="A594" t="inlineStr">
        <is>
          <t>A 33693-2019</t>
        </is>
      </c>
      <c r="B594" s="1" t="n">
        <v>43651</v>
      </c>
      <c r="C594" s="1" t="n">
        <v>45744</v>
      </c>
      <c r="D594" t="inlineStr">
        <is>
          <t>SKÅNE LÄN</t>
        </is>
      </c>
      <c r="E594" t="inlineStr">
        <is>
          <t>HÄSSLEHOLM</t>
        </is>
      </c>
      <c r="G594" t="n">
        <v>1.1</v>
      </c>
      <c r="H594" t="n">
        <v>0</v>
      </c>
      <c r="I594" t="n">
        <v>0</v>
      </c>
      <c r="J594" t="n">
        <v>0</v>
      </c>
      <c r="K594" t="n">
        <v>0</v>
      </c>
      <c r="L594" t="n">
        <v>0</v>
      </c>
      <c r="M594" t="n">
        <v>0</v>
      </c>
      <c r="N594" t="n">
        <v>0</v>
      </c>
      <c r="O594" t="n">
        <v>0</v>
      </c>
      <c r="P594" t="n">
        <v>0</v>
      </c>
      <c r="Q594" t="n">
        <v>0</v>
      </c>
      <c r="R594" s="2" t="inlineStr"/>
    </row>
    <row r="595" ht="15" customHeight="1">
      <c r="A595" t="inlineStr">
        <is>
          <t>A 33522-2019</t>
        </is>
      </c>
      <c r="B595" s="1" t="n">
        <v>43651</v>
      </c>
      <c r="C595" s="1" t="n">
        <v>45744</v>
      </c>
      <c r="D595" t="inlineStr">
        <is>
          <t>SKÅNE LÄN</t>
        </is>
      </c>
      <c r="E595" t="inlineStr">
        <is>
          <t>HÄSSLEHOLM</t>
        </is>
      </c>
      <c r="G595" t="n">
        <v>0.7</v>
      </c>
      <c r="H595" t="n">
        <v>0</v>
      </c>
      <c r="I595" t="n">
        <v>0</v>
      </c>
      <c r="J595" t="n">
        <v>0</v>
      </c>
      <c r="K595" t="n">
        <v>0</v>
      </c>
      <c r="L595" t="n">
        <v>0</v>
      </c>
      <c r="M595" t="n">
        <v>0</v>
      </c>
      <c r="N595" t="n">
        <v>0</v>
      </c>
      <c r="O595" t="n">
        <v>0</v>
      </c>
      <c r="P595" t="n">
        <v>0</v>
      </c>
      <c r="Q595" t="n">
        <v>0</v>
      </c>
      <c r="R595" s="2" t="inlineStr"/>
    </row>
    <row r="596" ht="15" customHeight="1">
      <c r="A596" t="inlineStr">
        <is>
          <t>A 33691-2019</t>
        </is>
      </c>
      <c r="B596" s="1" t="n">
        <v>43651</v>
      </c>
      <c r="C596" s="1" t="n">
        <v>45744</v>
      </c>
      <c r="D596" t="inlineStr">
        <is>
          <t>SKÅNE LÄN</t>
        </is>
      </c>
      <c r="E596" t="inlineStr">
        <is>
          <t>HÄSSLEHOLM</t>
        </is>
      </c>
      <c r="G596" t="n">
        <v>8</v>
      </c>
      <c r="H596" t="n">
        <v>0</v>
      </c>
      <c r="I596" t="n">
        <v>0</v>
      </c>
      <c r="J596" t="n">
        <v>0</v>
      </c>
      <c r="K596" t="n">
        <v>0</v>
      </c>
      <c r="L596" t="n">
        <v>0</v>
      </c>
      <c r="M596" t="n">
        <v>0</v>
      </c>
      <c r="N596" t="n">
        <v>0</v>
      </c>
      <c r="O596" t="n">
        <v>0</v>
      </c>
      <c r="P596" t="n">
        <v>0</v>
      </c>
      <c r="Q596" t="n">
        <v>0</v>
      </c>
      <c r="R596" s="2" t="inlineStr"/>
    </row>
    <row r="597" ht="15" customHeight="1">
      <c r="A597" t="inlineStr">
        <is>
          <t>A 33526-2019</t>
        </is>
      </c>
      <c r="B597" s="1" t="n">
        <v>43651</v>
      </c>
      <c r="C597" s="1" t="n">
        <v>45744</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35367-2019</t>
        </is>
      </c>
      <c r="B598" s="1" t="n">
        <v>43651</v>
      </c>
      <c r="C598" s="1" t="n">
        <v>45744</v>
      </c>
      <c r="D598" t="inlineStr">
        <is>
          <t>SKÅNE LÄN</t>
        </is>
      </c>
      <c r="E598" t="inlineStr">
        <is>
          <t>YSTAD</t>
        </is>
      </c>
      <c r="G598" t="n">
        <v>2.6</v>
      </c>
      <c r="H598" t="n">
        <v>0</v>
      </c>
      <c r="I598" t="n">
        <v>0</v>
      </c>
      <c r="J598" t="n">
        <v>0</v>
      </c>
      <c r="K598" t="n">
        <v>0</v>
      </c>
      <c r="L598" t="n">
        <v>0</v>
      </c>
      <c r="M598" t="n">
        <v>0</v>
      </c>
      <c r="N598" t="n">
        <v>0</v>
      </c>
      <c r="O598" t="n">
        <v>0</v>
      </c>
      <c r="P598" t="n">
        <v>0</v>
      </c>
      <c r="Q598" t="n">
        <v>0</v>
      </c>
      <c r="R598" s="2" t="inlineStr"/>
    </row>
    <row r="599" ht="15" customHeight="1">
      <c r="A599" t="inlineStr">
        <is>
          <t>A 35437-2019</t>
        </is>
      </c>
      <c r="B599" s="1" t="n">
        <v>43651</v>
      </c>
      <c r="C599" s="1" t="n">
        <v>45744</v>
      </c>
      <c r="D599" t="inlineStr">
        <is>
          <t>SKÅNE LÄN</t>
        </is>
      </c>
      <c r="E599" t="inlineStr">
        <is>
          <t>ESLÖV</t>
        </is>
      </c>
      <c r="G599" t="n">
        <v>11.1</v>
      </c>
      <c r="H599" t="n">
        <v>0</v>
      </c>
      <c r="I599" t="n">
        <v>0</v>
      </c>
      <c r="J599" t="n">
        <v>0</v>
      </c>
      <c r="K599" t="n">
        <v>0</v>
      </c>
      <c r="L599" t="n">
        <v>0</v>
      </c>
      <c r="M599" t="n">
        <v>0</v>
      </c>
      <c r="N599" t="n">
        <v>0</v>
      </c>
      <c r="O599" t="n">
        <v>0</v>
      </c>
      <c r="P599" t="n">
        <v>0</v>
      </c>
      <c r="Q599" t="n">
        <v>0</v>
      </c>
      <c r="R599" s="2" t="inlineStr"/>
    </row>
    <row r="600" ht="15" customHeight="1">
      <c r="A600" t="inlineStr">
        <is>
          <t>A 35427-2019</t>
        </is>
      </c>
      <c r="B600" s="1" t="n">
        <v>43651</v>
      </c>
      <c r="C600" s="1" t="n">
        <v>45744</v>
      </c>
      <c r="D600" t="inlineStr">
        <is>
          <t>SKÅNE LÄN</t>
        </is>
      </c>
      <c r="E600" t="inlineStr">
        <is>
          <t>ESLÖV</t>
        </is>
      </c>
      <c r="G600" t="n">
        <v>6.4</v>
      </c>
      <c r="H600" t="n">
        <v>0</v>
      </c>
      <c r="I600" t="n">
        <v>0</v>
      </c>
      <c r="J600" t="n">
        <v>0</v>
      </c>
      <c r="K600" t="n">
        <v>0</v>
      </c>
      <c r="L600" t="n">
        <v>0</v>
      </c>
      <c r="M600" t="n">
        <v>0</v>
      </c>
      <c r="N600" t="n">
        <v>0</v>
      </c>
      <c r="O600" t="n">
        <v>0</v>
      </c>
      <c r="P600" t="n">
        <v>0</v>
      </c>
      <c r="Q600" t="n">
        <v>0</v>
      </c>
      <c r="R600" s="2" t="inlineStr"/>
    </row>
    <row r="601" ht="15" customHeight="1">
      <c r="A601" t="inlineStr">
        <is>
          <t>A 35430-2019</t>
        </is>
      </c>
      <c r="B601" s="1" t="n">
        <v>43651</v>
      </c>
      <c r="C601" s="1" t="n">
        <v>45744</v>
      </c>
      <c r="D601" t="inlineStr">
        <is>
          <t>SKÅNE LÄN</t>
        </is>
      </c>
      <c r="E601" t="inlineStr">
        <is>
          <t>ESLÖV</t>
        </is>
      </c>
      <c r="G601" t="n">
        <v>3</v>
      </c>
      <c r="H601" t="n">
        <v>0</v>
      </c>
      <c r="I601" t="n">
        <v>0</v>
      </c>
      <c r="J601" t="n">
        <v>0</v>
      </c>
      <c r="K601" t="n">
        <v>0</v>
      </c>
      <c r="L601" t="n">
        <v>0</v>
      </c>
      <c r="M601" t="n">
        <v>0</v>
      </c>
      <c r="N601" t="n">
        <v>0</v>
      </c>
      <c r="O601" t="n">
        <v>0</v>
      </c>
      <c r="P601" t="n">
        <v>0</v>
      </c>
      <c r="Q601" t="n">
        <v>0</v>
      </c>
      <c r="R601" s="2" t="inlineStr"/>
    </row>
    <row r="602" ht="15" customHeight="1">
      <c r="A602" t="inlineStr">
        <is>
          <t>A 33891-2019</t>
        </is>
      </c>
      <c r="B602" s="1" t="n">
        <v>43653</v>
      </c>
      <c r="C602" s="1" t="n">
        <v>45744</v>
      </c>
      <c r="D602" t="inlineStr">
        <is>
          <t>SKÅNE LÄN</t>
        </is>
      </c>
      <c r="E602" t="inlineStr">
        <is>
          <t>KLIPPAN</t>
        </is>
      </c>
      <c r="G602" t="n">
        <v>1.3</v>
      </c>
      <c r="H602" t="n">
        <v>0</v>
      </c>
      <c r="I602" t="n">
        <v>0</v>
      </c>
      <c r="J602" t="n">
        <v>0</v>
      </c>
      <c r="K602" t="n">
        <v>0</v>
      </c>
      <c r="L602" t="n">
        <v>0</v>
      </c>
      <c r="M602" t="n">
        <v>0</v>
      </c>
      <c r="N602" t="n">
        <v>0</v>
      </c>
      <c r="O602" t="n">
        <v>0</v>
      </c>
      <c r="P602" t="n">
        <v>0</v>
      </c>
      <c r="Q602" t="n">
        <v>0</v>
      </c>
      <c r="R602" s="2" t="inlineStr"/>
    </row>
    <row r="603" ht="15" customHeight="1">
      <c r="A603" t="inlineStr">
        <is>
          <t>A 33892-2019</t>
        </is>
      </c>
      <c r="B603" s="1" t="n">
        <v>43653</v>
      </c>
      <c r="C603" s="1" t="n">
        <v>45744</v>
      </c>
      <c r="D603" t="inlineStr">
        <is>
          <t>SKÅNE LÄN</t>
        </is>
      </c>
      <c r="E603" t="inlineStr">
        <is>
          <t>KLIPPAN</t>
        </is>
      </c>
      <c r="G603" t="n">
        <v>0.6</v>
      </c>
      <c r="H603" t="n">
        <v>0</v>
      </c>
      <c r="I603" t="n">
        <v>0</v>
      </c>
      <c r="J603" t="n">
        <v>0</v>
      </c>
      <c r="K603" t="n">
        <v>0</v>
      </c>
      <c r="L603" t="n">
        <v>0</v>
      </c>
      <c r="M603" t="n">
        <v>0</v>
      </c>
      <c r="N603" t="n">
        <v>0</v>
      </c>
      <c r="O603" t="n">
        <v>0</v>
      </c>
      <c r="P603" t="n">
        <v>0</v>
      </c>
      <c r="Q603" t="n">
        <v>0</v>
      </c>
      <c r="R603" s="2" t="inlineStr"/>
    </row>
    <row r="604" ht="15" customHeight="1">
      <c r="A604" t="inlineStr">
        <is>
          <t>A 34073-2019</t>
        </is>
      </c>
      <c r="B604" s="1" t="n">
        <v>43654</v>
      </c>
      <c r="C604" s="1" t="n">
        <v>45744</v>
      </c>
      <c r="D604" t="inlineStr">
        <is>
          <t>SKÅNE LÄN</t>
        </is>
      </c>
      <c r="E604" t="inlineStr">
        <is>
          <t>HÄSSLEHOLM</t>
        </is>
      </c>
      <c r="G604" t="n">
        <v>1.1</v>
      </c>
      <c r="H604" t="n">
        <v>0</v>
      </c>
      <c r="I604" t="n">
        <v>0</v>
      </c>
      <c r="J604" t="n">
        <v>0</v>
      </c>
      <c r="K604" t="n">
        <v>0</v>
      </c>
      <c r="L604" t="n">
        <v>0</v>
      </c>
      <c r="M604" t="n">
        <v>0</v>
      </c>
      <c r="N604" t="n">
        <v>0</v>
      </c>
      <c r="O604" t="n">
        <v>0</v>
      </c>
      <c r="P604" t="n">
        <v>0</v>
      </c>
      <c r="Q604" t="n">
        <v>0</v>
      </c>
      <c r="R604" s="2" t="inlineStr"/>
    </row>
    <row r="605" ht="15" customHeight="1">
      <c r="A605" t="inlineStr">
        <is>
          <t>A 34140-2019</t>
        </is>
      </c>
      <c r="B605" s="1" t="n">
        <v>43654</v>
      </c>
      <c r="C605" s="1" t="n">
        <v>45744</v>
      </c>
      <c r="D605" t="inlineStr">
        <is>
          <t>SKÅNE LÄN</t>
        </is>
      </c>
      <c r="E605" t="inlineStr">
        <is>
          <t>HÄSSLEHOLM</t>
        </is>
      </c>
      <c r="G605" t="n">
        <v>2.8</v>
      </c>
      <c r="H605" t="n">
        <v>0</v>
      </c>
      <c r="I605" t="n">
        <v>0</v>
      </c>
      <c r="J605" t="n">
        <v>0</v>
      </c>
      <c r="K605" t="n">
        <v>0</v>
      </c>
      <c r="L605" t="n">
        <v>0</v>
      </c>
      <c r="M605" t="n">
        <v>0</v>
      </c>
      <c r="N605" t="n">
        <v>0</v>
      </c>
      <c r="O605" t="n">
        <v>0</v>
      </c>
      <c r="P605" t="n">
        <v>0</v>
      </c>
      <c r="Q605" t="n">
        <v>0</v>
      </c>
      <c r="R605" s="2" t="inlineStr"/>
    </row>
    <row r="606" ht="15" customHeight="1">
      <c r="A606" t="inlineStr">
        <is>
          <t>A 34069-2019</t>
        </is>
      </c>
      <c r="B606" s="1" t="n">
        <v>43654</v>
      </c>
      <c r="C606" s="1" t="n">
        <v>45744</v>
      </c>
      <c r="D606" t="inlineStr">
        <is>
          <t>SKÅNE LÄN</t>
        </is>
      </c>
      <c r="E606" t="inlineStr">
        <is>
          <t>HÄSSLEHOLM</t>
        </is>
      </c>
      <c r="G606" t="n">
        <v>3.3</v>
      </c>
      <c r="H606" t="n">
        <v>0</v>
      </c>
      <c r="I606" t="n">
        <v>0</v>
      </c>
      <c r="J606" t="n">
        <v>0</v>
      </c>
      <c r="K606" t="n">
        <v>0</v>
      </c>
      <c r="L606" t="n">
        <v>0</v>
      </c>
      <c r="M606" t="n">
        <v>0</v>
      </c>
      <c r="N606" t="n">
        <v>0</v>
      </c>
      <c r="O606" t="n">
        <v>0</v>
      </c>
      <c r="P606" t="n">
        <v>0</v>
      </c>
      <c r="Q606" t="n">
        <v>0</v>
      </c>
      <c r="R606" s="2" t="inlineStr"/>
    </row>
    <row r="607" ht="15" customHeight="1">
      <c r="A607" t="inlineStr">
        <is>
          <t>A 34072-2019</t>
        </is>
      </c>
      <c r="B607" s="1" t="n">
        <v>43654</v>
      </c>
      <c r="C607" s="1" t="n">
        <v>45744</v>
      </c>
      <c r="D607" t="inlineStr">
        <is>
          <t>SKÅNE LÄN</t>
        </is>
      </c>
      <c r="E607" t="inlineStr">
        <is>
          <t>HÄSSLEHOLM</t>
        </is>
      </c>
      <c r="G607" t="n">
        <v>4</v>
      </c>
      <c r="H607" t="n">
        <v>0</v>
      </c>
      <c r="I607" t="n">
        <v>0</v>
      </c>
      <c r="J607" t="n">
        <v>0</v>
      </c>
      <c r="K607" t="n">
        <v>0</v>
      </c>
      <c r="L607" t="n">
        <v>0</v>
      </c>
      <c r="M607" t="n">
        <v>0</v>
      </c>
      <c r="N607" t="n">
        <v>0</v>
      </c>
      <c r="O607" t="n">
        <v>0</v>
      </c>
      <c r="P607" t="n">
        <v>0</v>
      </c>
      <c r="Q607" t="n">
        <v>0</v>
      </c>
      <c r="R607" s="2" t="inlineStr"/>
    </row>
    <row r="608" ht="15" customHeight="1">
      <c r="A608" t="inlineStr">
        <is>
          <t>A 34406-2019</t>
        </is>
      </c>
      <c r="B608" s="1" t="n">
        <v>43656</v>
      </c>
      <c r="C608" s="1" t="n">
        <v>45744</v>
      </c>
      <c r="D608" t="inlineStr">
        <is>
          <t>SKÅNE LÄN</t>
        </is>
      </c>
      <c r="E608" t="inlineStr">
        <is>
          <t>ÖSTRA GÖINGE</t>
        </is>
      </c>
      <c r="G608" t="n">
        <v>0.9</v>
      </c>
      <c r="H608" t="n">
        <v>0</v>
      </c>
      <c r="I608" t="n">
        <v>0</v>
      </c>
      <c r="J608" t="n">
        <v>0</v>
      </c>
      <c r="K608" t="n">
        <v>0</v>
      </c>
      <c r="L608" t="n">
        <v>0</v>
      </c>
      <c r="M608" t="n">
        <v>0</v>
      </c>
      <c r="N608" t="n">
        <v>0</v>
      </c>
      <c r="O608" t="n">
        <v>0</v>
      </c>
      <c r="P608" t="n">
        <v>0</v>
      </c>
      <c r="Q608" t="n">
        <v>0</v>
      </c>
      <c r="R608" s="2" t="inlineStr"/>
    </row>
    <row r="609" ht="15" customHeight="1">
      <c r="A609" t="inlineStr">
        <is>
          <t>A 34452-2019</t>
        </is>
      </c>
      <c r="B609" s="1" t="n">
        <v>43656</v>
      </c>
      <c r="C609" s="1" t="n">
        <v>45744</v>
      </c>
      <c r="D609" t="inlineStr">
        <is>
          <t>SKÅNE LÄN</t>
        </is>
      </c>
      <c r="E609" t="inlineStr">
        <is>
          <t>PERSTORP</t>
        </is>
      </c>
      <c r="G609" t="n">
        <v>0.5</v>
      </c>
      <c r="H609" t="n">
        <v>0</v>
      </c>
      <c r="I609" t="n">
        <v>0</v>
      </c>
      <c r="J609" t="n">
        <v>0</v>
      </c>
      <c r="K609" t="n">
        <v>0</v>
      </c>
      <c r="L609" t="n">
        <v>0</v>
      </c>
      <c r="M609" t="n">
        <v>0</v>
      </c>
      <c r="N609" t="n">
        <v>0</v>
      </c>
      <c r="O609" t="n">
        <v>0</v>
      </c>
      <c r="P609" t="n">
        <v>0</v>
      </c>
      <c r="Q609" t="n">
        <v>0</v>
      </c>
      <c r="R609" s="2" t="inlineStr"/>
    </row>
    <row r="610" ht="15" customHeight="1">
      <c r="A610" t="inlineStr">
        <is>
          <t>A 34467-2019</t>
        </is>
      </c>
      <c r="B610" s="1" t="n">
        <v>43656</v>
      </c>
      <c r="C610" s="1" t="n">
        <v>45744</v>
      </c>
      <c r="D610" t="inlineStr">
        <is>
          <t>SKÅNE LÄN</t>
        </is>
      </c>
      <c r="E610" t="inlineStr">
        <is>
          <t>BROMÖLLA</t>
        </is>
      </c>
      <c r="G610" t="n">
        <v>3.9</v>
      </c>
      <c r="H610" t="n">
        <v>0</v>
      </c>
      <c r="I610" t="n">
        <v>0</v>
      </c>
      <c r="J610" t="n">
        <v>0</v>
      </c>
      <c r="K610" t="n">
        <v>0</v>
      </c>
      <c r="L610" t="n">
        <v>0</v>
      </c>
      <c r="M610" t="n">
        <v>0</v>
      </c>
      <c r="N610" t="n">
        <v>0</v>
      </c>
      <c r="O610" t="n">
        <v>0</v>
      </c>
      <c r="P610" t="n">
        <v>0</v>
      </c>
      <c r="Q610" t="n">
        <v>0</v>
      </c>
      <c r="R610" s="2" t="inlineStr"/>
    </row>
    <row r="611" ht="15" customHeight="1">
      <c r="A611" t="inlineStr">
        <is>
          <t>A 34400-2019</t>
        </is>
      </c>
      <c r="B611" s="1" t="n">
        <v>43656</v>
      </c>
      <c r="C611" s="1" t="n">
        <v>45744</v>
      </c>
      <c r="D611" t="inlineStr">
        <is>
          <t>SKÅNE LÄN</t>
        </is>
      </c>
      <c r="E611" t="inlineStr">
        <is>
          <t>ÖSTRA GÖINGE</t>
        </is>
      </c>
      <c r="G611" t="n">
        <v>0.7</v>
      </c>
      <c r="H611" t="n">
        <v>0</v>
      </c>
      <c r="I611" t="n">
        <v>0</v>
      </c>
      <c r="J611" t="n">
        <v>0</v>
      </c>
      <c r="K611" t="n">
        <v>0</v>
      </c>
      <c r="L611" t="n">
        <v>0</v>
      </c>
      <c r="M611" t="n">
        <v>0</v>
      </c>
      <c r="N611" t="n">
        <v>0</v>
      </c>
      <c r="O611" t="n">
        <v>0</v>
      </c>
      <c r="P611" t="n">
        <v>0</v>
      </c>
      <c r="Q611" t="n">
        <v>0</v>
      </c>
      <c r="R611" s="2" t="inlineStr"/>
    </row>
    <row r="612" ht="15" customHeight="1">
      <c r="A612" t="inlineStr">
        <is>
          <t>A 35252-2019</t>
        </is>
      </c>
      <c r="B612" s="1" t="n">
        <v>43656</v>
      </c>
      <c r="C612" s="1" t="n">
        <v>45744</v>
      </c>
      <c r="D612" t="inlineStr">
        <is>
          <t>SKÅNE LÄN</t>
        </is>
      </c>
      <c r="E612" t="inlineStr">
        <is>
          <t>KLIPPAN</t>
        </is>
      </c>
      <c r="F612" t="inlineStr">
        <is>
          <t>Övriga Aktiebolag</t>
        </is>
      </c>
      <c r="G612" t="n">
        <v>0.8</v>
      </c>
      <c r="H612" t="n">
        <v>0</v>
      </c>
      <c r="I612" t="n">
        <v>0</v>
      </c>
      <c r="J612" t="n">
        <v>0</v>
      </c>
      <c r="K612" t="n">
        <v>0</v>
      </c>
      <c r="L612" t="n">
        <v>0</v>
      </c>
      <c r="M612" t="n">
        <v>0</v>
      </c>
      <c r="N612" t="n">
        <v>0</v>
      </c>
      <c r="O612" t="n">
        <v>0</v>
      </c>
      <c r="P612" t="n">
        <v>0</v>
      </c>
      <c r="Q612" t="n">
        <v>0</v>
      </c>
      <c r="R612" s="2" t="inlineStr"/>
    </row>
    <row r="613" ht="15" customHeight="1">
      <c r="A613" t="inlineStr">
        <is>
          <t>A 34450-2019</t>
        </is>
      </c>
      <c r="B613" s="1" t="n">
        <v>43656</v>
      </c>
      <c r="C613" s="1" t="n">
        <v>45744</v>
      </c>
      <c r="D613" t="inlineStr">
        <is>
          <t>SKÅNE LÄN</t>
        </is>
      </c>
      <c r="E613" t="inlineStr">
        <is>
          <t>PERSTORP</t>
        </is>
      </c>
      <c r="G613" t="n">
        <v>0.9</v>
      </c>
      <c r="H613" t="n">
        <v>0</v>
      </c>
      <c r="I613" t="n">
        <v>0</v>
      </c>
      <c r="J613" t="n">
        <v>0</v>
      </c>
      <c r="K613" t="n">
        <v>0</v>
      </c>
      <c r="L613" t="n">
        <v>0</v>
      </c>
      <c r="M613" t="n">
        <v>0</v>
      </c>
      <c r="N613" t="n">
        <v>0</v>
      </c>
      <c r="O613" t="n">
        <v>0</v>
      </c>
      <c r="P613" t="n">
        <v>0</v>
      </c>
      <c r="Q613" t="n">
        <v>0</v>
      </c>
      <c r="R613" s="2" t="inlineStr"/>
    </row>
    <row r="614" ht="15" customHeight="1">
      <c r="A614" t="inlineStr">
        <is>
          <t>A 34836-2019</t>
        </is>
      </c>
      <c r="B614" s="1" t="n">
        <v>43658</v>
      </c>
      <c r="C614" s="1" t="n">
        <v>45744</v>
      </c>
      <c r="D614" t="inlineStr">
        <is>
          <t>SKÅNE LÄN</t>
        </is>
      </c>
      <c r="E614" t="inlineStr">
        <is>
          <t>ÖSTRA GÖINGE</t>
        </is>
      </c>
      <c r="G614" t="n">
        <v>1.1</v>
      </c>
      <c r="H614" t="n">
        <v>0</v>
      </c>
      <c r="I614" t="n">
        <v>0</v>
      </c>
      <c r="J614" t="n">
        <v>0</v>
      </c>
      <c r="K614" t="n">
        <v>0</v>
      </c>
      <c r="L614" t="n">
        <v>0</v>
      </c>
      <c r="M614" t="n">
        <v>0</v>
      </c>
      <c r="N614" t="n">
        <v>0</v>
      </c>
      <c r="O614" t="n">
        <v>0</v>
      </c>
      <c r="P614" t="n">
        <v>0</v>
      </c>
      <c r="Q614" t="n">
        <v>0</v>
      </c>
      <c r="R614" s="2" t="inlineStr"/>
    </row>
    <row r="615" ht="15" customHeight="1">
      <c r="A615" t="inlineStr">
        <is>
          <t>A 34858-2019</t>
        </is>
      </c>
      <c r="B615" s="1" t="n">
        <v>43658</v>
      </c>
      <c r="C615" s="1" t="n">
        <v>45744</v>
      </c>
      <c r="D615" t="inlineStr">
        <is>
          <t>SKÅNE LÄN</t>
        </is>
      </c>
      <c r="E615" t="inlineStr">
        <is>
          <t>ÖSTRA GÖINGE</t>
        </is>
      </c>
      <c r="G615" t="n">
        <v>1.8</v>
      </c>
      <c r="H615" t="n">
        <v>0</v>
      </c>
      <c r="I615" t="n">
        <v>0</v>
      </c>
      <c r="J615" t="n">
        <v>0</v>
      </c>
      <c r="K615" t="n">
        <v>0</v>
      </c>
      <c r="L615" t="n">
        <v>0</v>
      </c>
      <c r="M615" t="n">
        <v>0</v>
      </c>
      <c r="N615" t="n">
        <v>0</v>
      </c>
      <c r="O615" t="n">
        <v>0</v>
      </c>
      <c r="P615" t="n">
        <v>0</v>
      </c>
      <c r="Q615" t="n">
        <v>0</v>
      </c>
      <c r="R615" s="2" t="inlineStr"/>
    </row>
    <row r="616" ht="15" customHeight="1">
      <c r="A616" t="inlineStr">
        <is>
          <t>A 34862-2019</t>
        </is>
      </c>
      <c r="B616" s="1" t="n">
        <v>43658</v>
      </c>
      <c r="C616" s="1" t="n">
        <v>45744</v>
      </c>
      <c r="D616" t="inlineStr">
        <is>
          <t>SKÅNE LÄN</t>
        </is>
      </c>
      <c r="E616" t="inlineStr">
        <is>
          <t>ÖSTRA GÖINGE</t>
        </is>
      </c>
      <c r="G616" t="n">
        <v>2.4</v>
      </c>
      <c r="H616" t="n">
        <v>0</v>
      </c>
      <c r="I616" t="n">
        <v>0</v>
      </c>
      <c r="J616" t="n">
        <v>0</v>
      </c>
      <c r="K616" t="n">
        <v>0</v>
      </c>
      <c r="L616" t="n">
        <v>0</v>
      </c>
      <c r="M616" t="n">
        <v>0</v>
      </c>
      <c r="N616" t="n">
        <v>0</v>
      </c>
      <c r="O616" t="n">
        <v>0</v>
      </c>
      <c r="P616" t="n">
        <v>0</v>
      </c>
      <c r="Q616" t="n">
        <v>0</v>
      </c>
      <c r="R616" s="2" t="inlineStr"/>
    </row>
    <row r="617" ht="15" customHeight="1">
      <c r="A617" t="inlineStr">
        <is>
          <t>A 34884-2019</t>
        </is>
      </c>
      <c r="B617" s="1" t="n">
        <v>43658</v>
      </c>
      <c r="C617" s="1" t="n">
        <v>45744</v>
      </c>
      <c r="D617" t="inlineStr">
        <is>
          <t>SKÅNE LÄN</t>
        </is>
      </c>
      <c r="E617" t="inlineStr">
        <is>
          <t>ÖSTRA GÖINGE</t>
        </is>
      </c>
      <c r="G617" t="n">
        <v>1.5</v>
      </c>
      <c r="H617" t="n">
        <v>0</v>
      </c>
      <c r="I617" t="n">
        <v>0</v>
      </c>
      <c r="J617" t="n">
        <v>0</v>
      </c>
      <c r="K617" t="n">
        <v>0</v>
      </c>
      <c r="L617" t="n">
        <v>0</v>
      </c>
      <c r="M617" t="n">
        <v>0</v>
      </c>
      <c r="N617" t="n">
        <v>0</v>
      </c>
      <c r="O617" t="n">
        <v>0</v>
      </c>
      <c r="P617" t="n">
        <v>0</v>
      </c>
      <c r="Q617" t="n">
        <v>0</v>
      </c>
      <c r="R617" s="2" t="inlineStr"/>
    </row>
    <row r="618" ht="15" customHeight="1">
      <c r="A618" t="inlineStr">
        <is>
          <t>A 34827-2019</t>
        </is>
      </c>
      <c r="B618" s="1" t="n">
        <v>43658</v>
      </c>
      <c r="C618" s="1" t="n">
        <v>45744</v>
      </c>
      <c r="D618" t="inlineStr">
        <is>
          <t>SKÅNE LÄN</t>
        </is>
      </c>
      <c r="E618" t="inlineStr">
        <is>
          <t>ÖSTRA GÖINGE</t>
        </is>
      </c>
      <c r="G618" t="n">
        <v>0.5</v>
      </c>
      <c r="H618" t="n">
        <v>0</v>
      </c>
      <c r="I618" t="n">
        <v>0</v>
      </c>
      <c r="J618" t="n">
        <v>0</v>
      </c>
      <c r="K618" t="n">
        <v>0</v>
      </c>
      <c r="L618" t="n">
        <v>0</v>
      </c>
      <c r="M618" t="n">
        <v>0</v>
      </c>
      <c r="N618" t="n">
        <v>0</v>
      </c>
      <c r="O618" t="n">
        <v>0</v>
      </c>
      <c r="P618" t="n">
        <v>0</v>
      </c>
      <c r="Q618" t="n">
        <v>0</v>
      </c>
      <c r="R618" s="2" t="inlineStr"/>
    </row>
    <row r="619" ht="15" customHeight="1">
      <c r="A619" t="inlineStr">
        <is>
          <t>A 36240-2019</t>
        </is>
      </c>
      <c r="B619" s="1" t="n">
        <v>43659</v>
      </c>
      <c r="C619" s="1" t="n">
        <v>45744</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36238-2019</t>
        </is>
      </c>
      <c r="B620" s="1" t="n">
        <v>43659</v>
      </c>
      <c r="C620" s="1" t="n">
        <v>45744</v>
      </c>
      <c r="D620" t="inlineStr">
        <is>
          <t>SKÅNE LÄN</t>
        </is>
      </c>
      <c r="E620" t="inlineStr">
        <is>
          <t>HÄSSLEHOLM</t>
        </is>
      </c>
      <c r="G620" t="n">
        <v>2.2</v>
      </c>
      <c r="H620" t="n">
        <v>0</v>
      </c>
      <c r="I620" t="n">
        <v>0</v>
      </c>
      <c r="J620" t="n">
        <v>0</v>
      </c>
      <c r="K620" t="n">
        <v>0</v>
      </c>
      <c r="L620" t="n">
        <v>0</v>
      </c>
      <c r="M620" t="n">
        <v>0</v>
      </c>
      <c r="N620" t="n">
        <v>0</v>
      </c>
      <c r="O620" t="n">
        <v>0</v>
      </c>
      <c r="P620" t="n">
        <v>0</v>
      </c>
      <c r="Q620" t="n">
        <v>0</v>
      </c>
      <c r="R620" s="2" t="inlineStr"/>
    </row>
    <row r="621" ht="15" customHeight="1">
      <c r="A621" t="inlineStr">
        <is>
          <t>A 36243-2019</t>
        </is>
      </c>
      <c r="B621" s="1" t="n">
        <v>43660</v>
      </c>
      <c r="C621" s="1" t="n">
        <v>45744</v>
      </c>
      <c r="D621" t="inlineStr">
        <is>
          <t>SKÅNE LÄN</t>
        </is>
      </c>
      <c r="E621" t="inlineStr">
        <is>
          <t>ÖRKELLJUNGA</t>
        </is>
      </c>
      <c r="G621" t="n">
        <v>2.5</v>
      </c>
      <c r="H621" t="n">
        <v>0</v>
      </c>
      <c r="I621" t="n">
        <v>0</v>
      </c>
      <c r="J621" t="n">
        <v>0</v>
      </c>
      <c r="K621" t="n">
        <v>0</v>
      </c>
      <c r="L621" t="n">
        <v>0</v>
      </c>
      <c r="M621" t="n">
        <v>0</v>
      </c>
      <c r="N621" t="n">
        <v>0</v>
      </c>
      <c r="O621" t="n">
        <v>0</v>
      </c>
      <c r="P621" t="n">
        <v>0</v>
      </c>
      <c r="Q621" t="n">
        <v>0</v>
      </c>
      <c r="R621" s="2" t="inlineStr"/>
    </row>
    <row r="622" ht="15" customHeight="1">
      <c r="A622" t="inlineStr">
        <is>
          <t>A 35343-2019</t>
        </is>
      </c>
      <c r="B622" s="1" t="n">
        <v>43663</v>
      </c>
      <c r="C622" s="1" t="n">
        <v>45744</v>
      </c>
      <c r="D622" t="inlineStr">
        <is>
          <t>SKÅNE LÄN</t>
        </is>
      </c>
      <c r="E622" t="inlineStr">
        <is>
          <t>OSBY</t>
        </is>
      </c>
      <c r="G622" t="n">
        <v>0.3</v>
      </c>
      <c r="H622" t="n">
        <v>0</v>
      </c>
      <c r="I622" t="n">
        <v>0</v>
      </c>
      <c r="J622" t="n">
        <v>0</v>
      </c>
      <c r="K622" t="n">
        <v>0</v>
      </c>
      <c r="L622" t="n">
        <v>0</v>
      </c>
      <c r="M622" t="n">
        <v>0</v>
      </c>
      <c r="N622" t="n">
        <v>0</v>
      </c>
      <c r="O622" t="n">
        <v>0</v>
      </c>
      <c r="P622" t="n">
        <v>0</v>
      </c>
      <c r="Q622" t="n">
        <v>0</v>
      </c>
      <c r="R622" s="2" t="inlineStr"/>
    </row>
    <row r="623" ht="15" customHeight="1">
      <c r="A623" t="inlineStr">
        <is>
          <t>A 36156-2019</t>
        </is>
      </c>
      <c r="B623" s="1" t="n">
        <v>43668</v>
      </c>
      <c r="C623" s="1" t="n">
        <v>45744</v>
      </c>
      <c r="D623" t="inlineStr">
        <is>
          <t>SKÅNE LÄN</t>
        </is>
      </c>
      <c r="E623" t="inlineStr">
        <is>
          <t>KRISTIANSTAD</t>
        </is>
      </c>
      <c r="G623" t="n">
        <v>12.6</v>
      </c>
      <c r="H623" t="n">
        <v>0</v>
      </c>
      <c r="I623" t="n">
        <v>0</v>
      </c>
      <c r="J623" t="n">
        <v>0</v>
      </c>
      <c r="K623" t="n">
        <v>0</v>
      </c>
      <c r="L623" t="n">
        <v>0</v>
      </c>
      <c r="M623" t="n">
        <v>0</v>
      </c>
      <c r="N623" t="n">
        <v>0</v>
      </c>
      <c r="O623" t="n">
        <v>0</v>
      </c>
      <c r="P623" t="n">
        <v>0</v>
      </c>
      <c r="Q623" t="n">
        <v>0</v>
      </c>
      <c r="R623" s="2" t="inlineStr"/>
    </row>
    <row r="624" ht="15" customHeight="1">
      <c r="A624" t="inlineStr">
        <is>
          <t>A 36553-2019</t>
        </is>
      </c>
      <c r="B624" s="1" t="n">
        <v>43668</v>
      </c>
      <c r="C624" s="1" t="n">
        <v>45744</v>
      </c>
      <c r="D624" t="inlineStr">
        <is>
          <t>SKÅNE LÄN</t>
        </is>
      </c>
      <c r="E624" t="inlineStr">
        <is>
          <t>HÄSSLEHOLM</t>
        </is>
      </c>
      <c r="G624" t="n">
        <v>2.6</v>
      </c>
      <c r="H624" t="n">
        <v>0</v>
      </c>
      <c r="I624" t="n">
        <v>0</v>
      </c>
      <c r="J624" t="n">
        <v>0</v>
      </c>
      <c r="K624" t="n">
        <v>0</v>
      </c>
      <c r="L624" t="n">
        <v>0</v>
      </c>
      <c r="M624" t="n">
        <v>0</v>
      </c>
      <c r="N624" t="n">
        <v>0</v>
      </c>
      <c r="O624" t="n">
        <v>0</v>
      </c>
      <c r="P624" t="n">
        <v>0</v>
      </c>
      <c r="Q624" t="n">
        <v>0</v>
      </c>
      <c r="R624" s="2" t="inlineStr"/>
    </row>
    <row r="625" ht="15" customHeight="1">
      <c r="A625" t="inlineStr">
        <is>
          <t>A 36550-2019</t>
        </is>
      </c>
      <c r="B625" s="1" t="n">
        <v>43668</v>
      </c>
      <c r="C625" s="1" t="n">
        <v>45744</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36148-2019</t>
        </is>
      </c>
      <c r="B626" s="1" t="n">
        <v>43668</v>
      </c>
      <c r="C626" s="1" t="n">
        <v>45744</v>
      </c>
      <c r="D626" t="inlineStr">
        <is>
          <t>SKÅNE LÄN</t>
        </is>
      </c>
      <c r="E626" t="inlineStr">
        <is>
          <t>BROMÖLLA</t>
        </is>
      </c>
      <c r="G626" t="n">
        <v>4.2</v>
      </c>
      <c r="H626" t="n">
        <v>0</v>
      </c>
      <c r="I626" t="n">
        <v>0</v>
      </c>
      <c r="J626" t="n">
        <v>0</v>
      </c>
      <c r="K626" t="n">
        <v>0</v>
      </c>
      <c r="L626" t="n">
        <v>0</v>
      </c>
      <c r="M626" t="n">
        <v>0</v>
      </c>
      <c r="N626" t="n">
        <v>0</v>
      </c>
      <c r="O626" t="n">
        <v>0</v>
      </c>
      <c r="P626" t="n">
        <v>0</v>
      </c>
      <c r="Q626" t="n">
        <v>0</v>
      </c>
      <c r="R626" s="2" t="inlineStr"/>
    </row>
    <row r="627" ht="15" customHeight="1">
      <c r="A627" t="inlineStr">
        <is>
          <t>A 36288-2019</t>
        </is>
      </c>
      <c r="B627" s="1" t="n">
        <v>43669</v>
      </c>
      <c r="C627" s="1" t="n">
        <v>45744</v>
      </c>
      <c r="D627" t="inlineStr">
        <is>
          <t>SKÅNE LÄN</t>
        </is>
      </c>
      <c r="E627" t="inlineStr">
        <is>
          <t>KRISTIANSTAD</t>
        </is>
      </c>
      <c r="G627" t="n">
        <v>3.1</v>
      </c>
      <c r="H627" t="n">
        <v>0</v>
      </c>
      <c r="I627" t="n">
        <v>0</v>
      </c>
      <c r="J627" t="n">
        <v>0</v>
      </c>
      <c r="K627" t="n">
        <v>0</v>
      </c>
      <c r="L627" t="n">
        <v>0</v>
      </c>
      <c r="M627" t="n">
        <v>0</v>
      </c>
      <c r="N627" t="n">
        <v>0</v>
      </c>
      <c r="O627" t="n">
        <v>0</v>
      </c>
      <c r="P627" t="n">
        <v>0</v>
      </c>
      <c r="Q627" t="n">
        <v>0</v>
      </c>
      <c r="R627" s="2" t="inlineStr"/>
    </row>
    <row r="628" ht="15" customHeight="1">
      <c r="A628" t="inlineStr">
        <is>
          <t>A 36362-2019</t>
        </is>
      </c>
      <c r="B628" s="1" t="n">
        <v>43670</v>
      </c>
      <c r="C628" s="1" t="n">
        <v>45744</v>
      </c>
      <c r="D628" t="inlineStr">
        <is>
          <t>SKÅNE LÄN</t>
        </is>
      </c>
      <c r="E628" t="inlineStr">
        <is>
          <t>KRISTIANSTAD</t>
        </is>
      </c>
      <c r="G628" t="n">
        <v>3.3</v>
      </c>
      <c r="H628" t="n">
        <v>0</v>
      </c>
      <c r="I628" t="n">
        <v>0</v>
      </c>
      <c r="J628" t="n">
        <v>0</v>
      </c>
      <c r="K628" t="n">
        <v>0</v>
      </c>
      <c r="L628" t="n">
        <v>0</v>
      </c>
      <c r="M628" t="n">
        <v>0</v>
      </c>
      <c r="N628" t="n">
        <v>0</v>
      </c>
      <c r="O628" t="n">
        <v>0</v>
      </c>
      <c r="P628" t="n">
        <v>0</v>
      </c>
      <c r="Q628" t="n">
        <v>0</v>
      </c>
      <c r="R628" s="2" t="inlineStr"/>
    </row>
    <row r="629" ht="15" customHeight="1">
      <c r="A629" t="inlineStr">
        <is>
          <t>A 36585-2019</t>
        </is>
      </c>
      <c r="B629" s="1" t="n">
        <v>43671</v>
      </c>
      <c r="C629" s="1" t="n">
        <v>45744</v>
      </c>
      <c r="D629" t="inlineStr">
        <is>
          <t>SKÅNE LÄN</t>
        </is>
      </c>
      <c r="E629" t="inlineStr">
        <is>
          <t>ÖSTRA GÖINGE</t>
        </is>
      </c>
      <c r="G629" t="n">
        <v>3.4</v>
      </c>
      <c r="H629" t="n">
        <v>0</v>
      </c>
      <c r="I629" t="n">
        <v>0</v>
      </c>
      <c r="J629" t="n">
        <v>0</v>
      </c>
      <c r="K629" t="n">
        <v>0</v>
      </c>
      <c r="L629" t="n">
        <v>0</v>
      </c>
      <c r="M629" t="n">
        <v>0</v>
      </c>
      <c r="N629" t="n">
        <v>0</v>
      </c>
      <c r="O629" t="n">
        <v>0</v>
      </c>
      <c r="P629" t="n">
        <v>0</v>
      </c>
      <c r="Q629" t="n">
        <v>0</v>
      </c>
      <c r="R629" s="2" t="inlineStr"/>
    </row>
    <row r="630" ht="15" customHeight="1">
      <c r="A630" t="inlineStr">
        <is>
          <t>A 37189-2019</t>
        </is>
      </c>
      <c r="B630" s="1" t="n">
        <v>43676</v>
      </c>
      <c r="C630" s="1" t="n">
        <v>45744</v>
      </c>
      <c r="D630" t="inlineStr">
        <is>
          <t>SKÅNE LÄN</t>
        </is>
      </c>
      <c r="E630" t="inlineStr">
        <is>
          <t>BJUV</t>
        </is>
      </c>
      <c r="G630" t="n">
        <v>7.4</v>
      </c>
      <c r="H630" t="n">
        <v>0</v>
      </c>
      <c r="I630" t="n">
        <v>0</v>
      </c>
      <c r="J630" t="n">
        <v>0</v>
      </c>
      <c r="K630" t="n">
        <v>0</v>
      </c>
      <c r="L630" t="n">
        <v>0</v>
      </c>
      <c r="M630" t="n">
        <v>0</v>
      </c>
      <c r="N630" t="n">
        <v>0</v>
      </c>
      <c r="O630" t="n">
        <v>0</v>
      </c>
      <c r="P630" t="n">
        <v>0</v>
      </c>
      <c r="Q630" t="n">
        <v>0</v>
      </c>
      <c r="R630" s="2" t="inlineStr"/>
    </row>
    <row r="631" ht="15" customHeight="1">
      <c r="A631" t="inlineStr">
        <is>
          <t>A 37176-2019</t>
        </is>
      </c>
      <c r="B631" s="1" t="n">
        <v>43677</v>
      </c>
      <c r="C631" s="1" t="n">
        <v>45744</v>
      </c>
      <c r="D631" t="inlineStr">
        <is>
          <t>SKÅNE LÄN</t>
        </is>
      </c>
      <c r="E631" t="inlineStr">
        <is>
          <t>HÖÖR</t>
        </is>
      </c>
      <c r="G631" t="n">
        <v>1.7</v>
      </c>
      <c r="H631" t="n">
        <v>0</v>
      </c>
      <c r="I631" t="n">
        <v>0</v>
      </c>
      <c r="J631" t="n">
        <v>0</v>
      </c>
      <c r="K631" t="n">
        <v>0</v>
      </c>
      <c r="L631" t="n">
        <v>0</v>
      </c>
      <c r="M631" t="n">
        <v>0</v>
      </c>
      <c r="N631" t="n">
        <v>0</v>
      </c>
      <c r="O631" t="n">
        <v>0</v>
      </c>
      <c r="P631" t="n">
        <v>0</v>
      </c>
      <c r="Q631" t="n">
        <v>0</v>
      </c>
      <c r="R631" s="2" t="inlineStr"/>
    </row>
    <row r="632" ht="15" customHeight="1">
      <c r="A632" t="inlineStr">
        <is>
          <t>A 37540-2019</t>
        </is>
      </c>
      <c r="B632" s="1" t="n">
        <v>43678</v>
      </c>
      <c r="C632" s="1" t="n">
        <v>45744</v>
      </c>
      <c r="D632" t="inlineStr">
        <is>
          <t>SKÅNE LÄN</t>
        </is>
      </c>
      <c r="E632" t="inlineStr">
        <is>
          <t>HÄSSLEHOLM</t>
        </is>
      </c>
      <c r="G632" t="n">
        <v>7.9</v>
      </c>
      <c r="H632" t="n">
        <v>0</v>
      </c>
      <c r="I632" t="n">
        <v>0</v>
      </c>
      <c r="J632" t="n">
        <v>0</v>
      </c>
      <c r="K632" t="n">
        <v>0</v>
      </c>
      <c r="L632" t="n">
        <v>0</v>
      </c>
      <c r="M632" t="n">
        <v>0</v>
      </c>
      <c r="N632" t="n">
        <v>0</v>
      </c>
      <c r="O632" t="n">
        <v>0</v>
      </c>
      <c r="P632" t="n">
        <v>0</v>
      </c>
      <c r="Q632" t="n">
        <v>0</v>
      </c>
      <c r="R632" s="2" t="inlineStr"/>
    </row>
    <row r="633" ht="15" customHeight="1">
      <c r="A633" t="inlineStr">
        <is>
          <t>A 37487-2019</t>
        </is>
      </c>
      <c r="B633" s="1" t="n">
        <v>43679</v>
      </c>
      <c r="C633" s="1" t="n">
        <v>45744</v>
      </c>
      <c r="D633" t="inlineStr">
        <is>
          <t>SKÅNE LÄN</t>
        </is>
      </c>
      <c r="E633" t="inlineStr">
        <is>
          <t>BROMÖLLA</t>
        </is>
      </c>
      <c r="G633" t="n">
        <v>1.2</v>
      </c>
      <c r="H633" t="n">
        <v>0</v>
      </c>
      <c r="I633" t="n">
        <v>0</v>
      </c>
      <c r="J633" t="n">
        <v>0</v>
      </c>
      <c r="K633" t="n">
        <v>0</v>
      </c>
      <c r="L633" t="n">
        <v>0</v>
      </c>
      <c r="M633" t="n">
        <v>0</v>
      </c>
      <c r="N633" t="n">
        <v>0</v>
      </c>
      <c r="O633" t="n">
        <v>0</v>
      </c>
      <c r="P633" t="n">
        <v>0</v>
      </c>
      <c r="Q633" t="n">
        <v>0</v>
      </c>
      <c r="R633" s="2" t="inlineStr"/>
    </row>
    <row r="634" ht="15" customHeight="1">
      <c r="A634" t="inlineStr">
        <is>
          <t>A 37489-2019</t>
        </is>
      </c>
      <c r="B634" s="1" t="n">
        <v>43679</v>
      </c>
      <c r="C634" s="1" t="n">
        <v>45744</v>
      </c>
      <c r="D634" t="inlineStr">
        <is>
          <t>SKÅNE LÄN</t>
        </is>
      </c>
      <c r="E634" t="inlineStr">
        <is>
          <t>ÖSTRA GÖINGE</t>
        </is>
      </c>
      <c r="G634" t="n">
        <v>0.9</v>
      </c>
      <c r="H634" t="n">
        <v>0</v>
      </c>
      <c r="I634" t="n">
        <v>0</v>
      </c>
      <c r="J634" t="n">
        <v>0</v>
      </c>
      <c r="K634" t="n">
        <v>0</v>
      </c>
      <c r="L634" t="n">
        <v>0</v>
      </c>
      <c r="M634" t="n">
        <v>0</v>
      </c>
      <c r="N634" t="n">
        <v>0</v>
      </c>
      <c r="O634" t="n">
        <v>0</v>
      </c>
      <c r="P634" t="n">
        <v>0</v>
      </c>
      <c r="Q634" t="n">
        <v>0</v>
      </c>
      <c r="R634" s="2" t="inlineStr"/>
    </row>
    <row r="635" ht="15" customHeight="1">
      <c r="A635" t="inlineStr">
        <is>
          <t>A 37668-2019</t>
        </is>
      </c>
      <c r="B635" s="1" t="n">
        <v>43679</v>
      </c>
      <c r="C635" s="1" t="n">
        <v>45744</v>
      </c>
      <c r="D635" t="inlineStr">
        <is>
          <t>SKÅNE LÄN</t>
        </is>
      </c>
      <c r="E635" t="inlineStr">
        <is>
          <t>ÖSTRA GÖINGE</t>
        </is>
      </c>
      <c r="G635" t="n">
        <v>5</v>
      </c>
      <c r="H635" t="n">
        <v>0</v>
      </c>
      <c r="I635" t="n">
        <v>0</v>
      </c>
      <c r="J635" t="n">
        <v>0</v>
      </c>
      <c r="K635" t="n">
        <v>0</v>
      </c>
      <c r="L635" t="n">
        <v>0</v>
      </c>
      <c r="M635" t="n">
        <v>0</v>
      </c>
      <c r="N635" t="n">
        <v>0</v>
      </c>
      <c r="O635" t="n">
        <v>0</v>
      </c>
      <c r="P635" t="n">
        <v>0</v>
      </c>
      <c r="Q635" t="n">
        <v>0</v>
      </c>
      <c r="R635" s="2" t="inlineStr"/>
    </row>
    <row r="636" ht="15" customHeight="1">
      <c r="A636" t="inlineStr">
        <is>
          <t>A 37633-2019</t>
        </is>
      </c>
      <c r="B636" s="1" t="n">
        <v>43679</v>
      </c>
      <c r="C636" s="1" t="n">
        <v>45744</v>
      </c>
      <c r="D636" t="inlineStr">
        <is>
          <t>SKÅNE LÄN</t>
        </is>
      </c>
      <c r="E636" t="inlineStr">
        <is>
          <t>HÖÖR</t>
        </is>
      </c>
      <c r="G636" t="n">
        <v>0.9</v>
      </c>
      <c r="H636" t="n">
        <v>0</v>
      </c>
      <c r="I636" t="n">
        <v>0</v>
      </c>
      <c r="J636" t="n">
        <v>0</v>
      </c>
      <c r="K636" t="n">
        <v>0</v>
      </c>
      <c r="L636" t="n">
        <v>0</v>
      </c>
      <c r="M636" t="n">
        <v>0</v>
      </c>
      <c r="N636" t="n">
        <v>0</v>
      </c>
      <c r="O636" t="n">
        <v>0</v>
      </c>
      <c r="P636" t="n">
        <v>0</v>
      </c>
      <c r="Q636" t="n">
        <v>0</v>
      </c>
      <c r="R636" s="2" t="inlineStr"/>
    </row>
    <row r="637" ht="15" customHeight="1">
      <c r="A637" t="inlineStr">
        <is>
          <t>A 37598-2019</t>
        </is>
      </c>
      <c r="B637" s="1" t="n">
        <v>43680</v>
      </c>
      <c r="C637" s="1" t="n">
        <v>45744</v>
      </c>
      <c r="D637" t="inlineStr">
        <is>
          <t>SKÅNE LÄN</t>
        </is>
      </c>
      <c r="E637" t="inlineStr">
        <is>
          <t>OSBY</t>
        </is>
      </c>
      <c r="F637" t="inlineStr">
        <is>
          <t>Kyrkan</t>
        </is>
      </c>
      <c r="G637" t="n">
        <v>4.1</v>
      </c>
      <c r="H637" t="n">
        <v>0</v>
      </c>
      <c r="I637" t="n">
        <v>0</v>
      </c>
      <c r="J637" t="n">
        <v>0</v>
      </c>
      <c r="K637" t="n">
        <v>0</v>
      </c>
      <c r="L637" t="n">
        <v>0</v>
      </c>
      <c r="M637" t="n">
        <v>0</v>
      </c>
      <c r="N637" t="n">
        <v>0</v>
      </c>
      <c r="O637" t="n">
        <v>0</v>
      </c>
      <c r="P637" t="n">
        <v>0</v>
      </c>
      <c r="Q637" t="n">
        <v>0</v>
      </c>
      <c r="R637" s="2" t="inlineStr"/>
    </row>
    <row r="638" ht="15" customHeight="1">
      <c r="A638" t="inlineStr">
        <is>
          <t>A 37595-2019</t>
        </is>
      </c>
      <c r="B638" s="1" t="n">
        <v>43680</v>
      </c>
      <c r="C638" s="1" t="n">
        <v>45744</v>
      </c>
      <c r="D638" t="inlineStr">
        <is>
          <t>SKÅNE LÄN</t>
        </is>
      </c>
      <c r="E638" t="inlineStr">
        <is>
          <t>OSBY</t>
        </is>
      </c>
      <c r="F638" t="inlineStr">
        <is>
          <t>Kyrkan</t>
        </is>
      </c>
      <c r="G638" t="n">
        <v>14.2</v>
      </c>
      <c r="H638" t="n">
        <v>0</v>
      </c>
      <c r="I638" t="n">
        <v>0</v>
      </c>
      <c r="J638" t="n">
        <v>0</v>
      </c>
      <c r="K638" t="n">
        <v>0</v>
      </c>
      <c r="L638" t="n">
        <v>0</v>
      </c>
      <c r="M638" t="n">
        <v>0</v>
      </c>
      <c r="N638" t="n">
        <v>0</v>
      </c>
      <c r="O638" t="n">
        <v>0</v>
      </c>
      <c r="P638" t="n">
        <v>0</v>
      </c>
      <c r="Q638" t="n">
        <v>0</v>
      </c>
      <c r="R638" s="2" t="inlineStr"/>
    </row>
    <row r="639" ht="15" customHeight="1">
      <c r="A639" t="inlineStr">
        <is>
          <t>A 37761-2019</t>
        </is>
      </c>
      <c r="B639" s="1" t="n">
        <v>43682</v>
      </c>
      <c r="C639" s="1" t="n">
        <v>45744</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37836-2019</t>
        </is>
      </c>
      <c r="B640" s="1" t="n">
        <v>43682</v>
      </c>
      <c r="C640" s="1" t="n">
        <v>45744</v>
      </c>
      <c r="D640" t="inlineStr">
        <is>
          <t>SKÅNE LÄN</t>
        </is>
      </c>
      <c r="E640" t="inlineStr">
        <is>
          <t>KRISTIANSTAD</t>
        </is>
      </c>
      <c r="G640" t="n">
        <v>1.7</v>
      </c>
      <c r="H640" t="n">
        <v>0</v>
      </c>
      <c r="I640" t="n">
        <v>0</v>
      </c>
      <c r="J640" t="n">
        <v>0</v>
      </c>
      <c r="K640" t="n">
        <v>0</v>
      </c>
      <c r="L640" t="n">
        <v>0</v>
      </c>
      <c r="M640" t="n">
        <v>0</v>
      </c>
      <c r="N640" t="n">
        <v>0</v>
      </c>
      <c r="O640" t="n">
        <v>0</v>
      </c>
      <c r="P640" t="n">
        <v>0</v>
      </c>
      <c r="Q640" t="n">
        <v>0</v>
      </c>
      <c r="R640" s="2" t="inlineStr"/>
    </row>
    <row r="641" ht="15" customHeight="1">
      <c r="A641" t="inlineStr">
        <is>
          <t>A 37765-2019</t>
        </is>
      </c>
      <c r="B641" s="1" t="n">
        <v>43682</v>
      </c>
      <c r="C641" s="1" t="n">
        <v>45744</v>
      </c>
      <c r="D641" t="inlineStr">
        <is>
          <t>SKÅNE LÄN</t>
        </is>
      </c>
      <c r="E641" t="inlineStr">
        <is>
          <t>HÄSSLEHOLM</t>
        </is>
      </c>
      <c r="G641" t="n">
        <v>0.7</v>
      </c>
      <c r="H641" t="n">
        <v>0</v>
      </c>
      <c r="I641" t="n">
        <v>0</v>
      </c>
      <c r="J641" t="n">
        <v>0</v>
      </c>
      <c r="K641" t="n">
        <v>0</v>
      </c>
      <c r="L641" t="n">
        <v>0</v>
      </c>
      <c r="M641" t="n">
        <v>0</v>
      </c>
      <c r="N641" t="n">
        <v>0</v>
      </c>
      <c r="O641" t="n">
        <v>0</v>
      </c>
      <c r="P641" t="n">
        <v>0</v>
      </c>
      <c r="Q641" t="n">
        <v>0</v>
      </c>
      <c r="R641" s="2" t="inlineStr"/>
    </row>
    <row r="642" ht="15" customHeight="1">
      <c r="A642" t="inlineStr">
        <is>
          <t>A 37871-2019</t>
        </is>
      </c>
      <c r="B642" s="1" t="n">
        <v>43682</v>
      </c>
      <c r="C642" s="1" t="n">
        <v>45744</v>
      </c>
      <c r="D642" t="inlineStr">
        <is>
          <t>SKÅNE LÄN</t>
        </is>
      </c>
      <c r="E642" t="inlineStr">
        <is>
          <t>KRISTIANSTAD</t>
        </is>
      </c>
      <c r="G642" t="n">
        <v>3.5</v>
      </c>
      <c r="H642" t="n">
        <v>0</v>
      </c>
      <c r="I642" t="n">
        <v>0</v>
      </c>
      <c r="J642" t="n">
        <v>0</v>
      </c>
      <c r="K642" t="n">
        <v>0</v>
      </c>
      <c r="L642" t="n">
        <v>0</v>
      </c>
      <c r="M642" t="n">
        <v>0</v>
      </c>
      <c r="N642" t="n">
        <v>0</v>
      </c>
      <c r="O642" t="n">
        <v>0</v>
      </c>
      <c r="P642" t="n">
        <v>0</v>
      </c>
      <c r="Q642" t="n">
        <v>0</v>
      </c>
      <c r="R642" s="2" t="inlineStr"/>
    </row>
    <row r="643" ht="15" customHeight="1">
      <c r="A643" t="inlineStr">
        <is>
          <t>A 38450-2019</t>
        </is>
      </c>
      <c r="B643" s="1" t="n">
        <v>43683</v>
      </c>
      <c r="C643" s="1" t="n">
        <v>45744</v>
      </c>
      <c r="D643" t="inlineStr">
        <is>
          <t>SKÅNE LÄN</t>
        </is>
      </c>
      <c r="E643" t="inlineStr">
        <is>
          <t>ÅSTORP</t>
        </is>
      </c>
      <c r="G643" t="n">
        <v>0.9</v>
      </c>
      <c r="H643" t="n">
        <v>0</v>
      </c>
      <c r="I643" t="n">
        <v>0</v>
      </c>
      <c r="J643" t="n">
        <v>0</v>
      </c>
      <c r="K643" t="n">
        <v>0</v>
      </c>
      <c r="L643" t="n">
        <v>0</v>
      </c>
      <c r="M643" t="n">
        <v>0</v>
      </c>
      <c r="N643" t="n">
        <v>0</v>
      </c>
      <c r="O643" t="n">
        <v>0</v>
      </c>
      <c r="P643" t="n">
        <v>0</v>
      </c>
      <c r="Q643" t="n">
        <v>0</v>
      </c>
      <c r="R643" s="2" t="inlineStr"/>
    </row>
    <row r="644" ht="15" customHeight="1">
      <c r="A644" t="inlineStr">
        <is>
          <t>A 38634-2019</t>
        </is>
      </c>
      <c r="B644" s="1" t="n">
        <v>43686</v>
      </c>
      <c r="C644" s="1" t="n">
        <v>45744</v>
      </c>
      <c r="D644" t="inlineStr">
        <is>
          <t>SKÅNE LÄN</t>
        </is>
      </c>
      <c r="E644" t="inlineStr">
        <is>
          <t>ÖSTRA GÖINGE</t>
        </is>
      </c>
      <c r="G644" t="n">
        <v>1.2</v>
      </c>
      <c r="H644" t="n">
        <v>0</v>
      </c>
      <c r="I644" t="n">
        <v>0</v>
      </c>
      <c r="J644" t="n">
        <v>0</v>
      </c>
      <c r="K644" t="n">
        <v>0</v>
      </c>
      <c r="L644" t="n">
        <v>0</v>
      </c>
      <c r="M644" t="n">
        <v>0</v>
      </c>
      <c r="N644" t="n">
        <v>0</v>
      </c>
      <c r="O644" t="n">
        <v>0</v>
      </c>
      <c r="P644" t="n">
        <v>0</v>
      </c>
      <c r="Q644" t="n">
        <v>0</v>
      </c>
      <c r="R644" s="2" t="inlineStr"/>
    </row>
    <row r="645" ht="15" customHeight="1">
      <c r="A645" t="inlineStr">
        <is>
          <t>A 38616-2019</t>
        </is>
      </c>
      <c r="B645" s="1" t="n">
        <v>43686</v>
      </c>
      <c r="C645" s="1" t="n">
        <v>45744</v>
      </c>
      <c r="D645" t="inlineStr">
        <is>
          <t>SKÅNE LÄN</t>
        </is>
      </c>
      <c r="E645" t="inlineStr">
        <is>
          <t>ÖSTRA GÖINGE</t>
        </is>
      </c>
      <c r="G645" t="n">
        <v>2</v>
      </c>
      <c r="H645" t="n">
        <v>0</v>
      </c>
      <c r="I645" t="n">
        <v>0</v>
      </c>
      <c r="J645" t="n">
        <v>0</v>
      </c>
      <c r="K645" t="n">
        <v>0</v>
      </c>
      <c r="L645" t="n">
        <v>0</v>
      </c>
      <c r="M645" t="n">
        <v>0</v>
      </c>
      <c r="N645" t="n">
        <v>0</v>
      </c>
      <c r="O645" t="n">
        <v>0</v>
      </c>
      <c r="P645" t="n">
        <v>0</v>
      </c>
      <c r="Q645" t="n">
        <v>0</v>
      </c>
      <c r="R645" s="2" t="inlineStr"/>
    </row>
    <row r="646" ht="15" customHeight="1">
      <c r="A646" t="inlineStr">
        <is>
          <t>A 38673-2019</t>
        </is>
      </c>
      <c r="B646" s="1" t="n">
        <v>43686</v>
      </c>
      <c r="C646" s="1" t="n">
        <v>45744</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39212-2019</t>
        </is>
      </c>
      <c r="B647" s="1" t="n">
        <v>43686</v>
      </c>
      <c r="C647" s="1" t="n">
        <v>45744</v>
      </c>
      <c r="D647" t="inlineStr">
        <is>
          <t>SKÅNE LÄN</t>
        </is>
      </c>
      <c r="E647" t="inlineStr">
        <is>
          <t>TOMELILLA</t>
        </is>
      </c>
      <c r="G647" t="n">
        <v>1.8</v>
      </c>
      <c r="H647" t="n">
        <v>0</v>
      </c>
      <c r="I647" t="n">
        <v>0</v>
      </c>
      <c r="J647" t="n">
        <v>0</v>
      </c>
      <c r="K647" t="n">
        <v>0</v>
      </c>
      <c r="L647" t="n">
        <v>0</v>
      </c>
      <c r="M647" t="n">
        <v>0</v>
      </c>
      <c r="N647" t="n">
        <v>0</v>
      </c>
      <c r="O647" t="n">
        <v>0</v>
      </c>
      <c r="P647" t="n">
        <v>0</v>
      </c>
      <c r="Q647" t="n">
        <v>0</v>
      </c>
      <c r="R647" s="2" t="inlineStr"/>
    </row>
    <row r="648" ht="15" customHeight="1">
      <c r="A648" t="inlineStr">
        <is>
          <t>A 38805-2019</t>
        </is>
      </c>
      <c r="B648" s="1" t="n">
        <v>43688</v>
      </c>
      <c r="C648" s="1" t="n">
        <v>45744</v>
      </c>
      <c r="D648" t="inlineStr">
        <is>
          <t>SKÅNE LÄN</t>
        </is>
      </c>
      <c r="E648" t="inlineStr">
        <is>
          <t>HÄSSLEHOLM</t>
        </is>
      </c>
      <c r="G648" t="n">
        <v>0.4</v>
      </c>
      <c r="H648" t="n">
        <v>0</v>
      </c>
      <c r="I648" t="n">
        <v>0</v>
      </c>
      <c r="J648" t="n">
        <v>0</v>
      </c>
      <c r="K648" t="n">
        <v>0</v>
      </c>
      <c r="L648" t="n">
        <v>0</v>
      </c>
      <c r="M648" t="n">
        <v>0</v>
      </c>
      <c r="N648" t="n">
        <v>0</v>
      </c>
      <c r="O648" t="n">
        <v>0</v>
      </c>
      <c r="P648" t="n">
        <v>0</v>
      </c>
      <c r="Q648" t="n">
        <v>0</v>
      </c>
      <c r="R648" s="2" t="inlineStr"/>
    </row>
    <row r="649" ht="15" customHeight="1">
      <c r="A649" t="inlineStr">
        <is>
          <t>A 38806-2019</t>
        </is>
      </c>
      <c r="B649" s="1" t="n">
        <v>43688</v>
      </c>
      <c r="C649" s="1" t="n">
        <v>45744</v>
      </c>
      <c r="D649" t="inlineStr">
        <is>
          <t>SKÅNE LÄN</t>
        </is>
      </c>
      <c r="E649" t="inlineStr">
        <is>
          <t>HÄSSLEHOLM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38808-2019</t>
        </is>
      </c>
      <c r="B650" s="1" t="n">
        <v>43688</v>
      </c>
      <c r="C650" s="1" t="n">
        <v>45744</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38817-2019</t>
        </is>
      </c>
      <c r="B651" s="1" t="n">
        <v>43689</v>
      </c>
      <c r="C651" s="1" t="n">
        <v>45744</v>
      </c>
      <c r="D651" t="inlineStr">
        <is>
          <t>SKÅNE LÄN</t>
        </is>
      </c>
      <c r="E651" t="inlineStr">
        <is>
          <t>OSBY</t>
        </is>
      </c>
      <c r="G651" t="n">
        <v>0.9</v>
      </c>
      <c r="H651" t="n">
        <v>0</v>
      </c>
      <c r="I651" t="n">
        <v>0</v>
      </c>
      <c r="J651" t="n">
        <v>0</v>
      </c>
      <c r="K651" t="n">
        <v>0</v>
      </c>
      <c r="L651" t="n">
        <v>0</v>
      </c>
      <c r="M651" t="n">
        <v>0</v>
      </c>
      <c r="N651" t="n">
        <v>0</v>
      </c>
      <c r="O651" t="n">
        <v>0</v>
      </c>
      <c r="P651" t="n">
        <v>0</v>
      </c>
      <c r="Q651" t="n">
        <v>0</v>
      </c>
      <c r="R651" s="2" t="inlineStr"/>
    </row>
    <row r="652" ht="15" customHeight="1">
      <c r="A652" t="inlineStr">
        <is>
          <t>A 39817-2019</t>
        </is>
      </c>
      <c r="B652" s="1" t="n">
        <v>43689</v>
      </c>
      <c r="C652" s="1" t="n">
        <v>45744</v>
      </c>
      <c r="D652" t="inlineStr">
        <is>
          <t>SKÅNE LÄN</t>
        </is>
      </c>
      <c r="E652" t="inlineStr">
        <is>
          <t>ESLÖV</t>
        </is>
      </c>
      <c r="G652" t="n">
        <v>1.5</v>
      </c>
      <c r="H652" t="n">
        <v>0</v>
      </c>
      <c r="I652" t="n">
        <v>0</v>
      </c>
      <c r="J652" t="n">
        <v>0</v>
      </c>
      <c r="K652" t="n">
        <v>0</v>
      </c>
      <c r="L652" t="n">
        <v>0</v>
      </c>
      <c r="M652" t="n">
        <v>0</v>
      </c>
      <c r="N652" t="n">
        <v>0</v>
      </c>
      <c r="O652" t="n">
        <v>0</v>
      </c>
      <c r="P652" t="n">
        <v>0</v>
      </c>
      <c r="Q652" t="n">
        <v>0</v>
      </c>
      <c r="R652" s="2" t="inlineStr"/>
    </row>
    <row r="653" ht="15" customHeight="1">
      <c r="A653" t="inlineStr">
        <is>
          <t>A 39830-2019</t>
        </is>
      </c>
      <c r="B653" s="1" t="n">
        <v>43689</v>
      </c>
      <c r="C653" s="1" t="n">
        <v>45744</v>
      </c>
      <c r="D653" t="inlineStr">
        <is>
          <t>SKÅNE LÄN</t>
        </is>
      </c>
      <c r="E653" t="inlineStr">
        <is>
          <t>YSTAD</t>
        </is>
      </c>
      <c r="G653" t="n">
        <v>0.8</v>
      </c>
      <c r="H653" t="n">
        <v>0</v>
      </c>
      <c r="I653" t="n">
        <v>0</v>
      </c>
      <c r="J653" t="n">
        <v>0</v>
      </c>
      <c r="K653" t="n">
        <v>0</v>
      </c>
      <c r="L653" t="n">
        <v>0</v>
      </c>
      <c r="M653" t="n">
        <v>0</v>
      </c>
      <c r="N653" t="n">
        <v>0</v>
      </c>
      <c r="O653" t="n">
        <v>0</v>
      </c>
      <c r="P653" t="n">
        <v>0</v>
      </c>
      <c r="Q653" t="n">
        <v>0</v>
      </c>
      <c r="R653" s="2" t="inlineStr"/>
    </row>
    <row r="654" ht="15" customHeight="1">
      <c r="A654" t="inlineStr">
        <is>
          <t>A 39780-2019</t>
        </is>
      </c>
      <c r="B654" s="1" t="n">
        <v>43689</v>
      </c>
      <c r="C654" s="1" t="n">
        <v>45744</v>
      </c>
      <c r="D654" t="inlineStr">
        <is>
          <t>SKÅNE LÄN</t>
        </is>
      </c>
      <c r="E654" t="inlineStr">
        <is>
          <t>SJÖBO</t>
        </is>
      </c>
      <c r="G654" t="n">
        <v>2.5</v>
      </c>
      <c r="H654" t="n">
        <v>0</v>
      </c>
      <c r="I654" t="n">
        <v>0</v>
      </c>
      <c r="J654" t="n">
        <v>0</v>
      </c>
      <c r="K654" t="n">
        <v>0</v>
      </c>
      <c r="L654" t="n">
        <v>0</v>
      </c>
      <c r="M654" t="n">
        <v>0</v>
      </c>
      <c r="N654" t="n">
        <v>0</v>
      </c>
      <c r="O654" t="n">
        <v>0</v>
      </c>
      <c r="P654" t="n">
        <v>0</v>
      </c>
      <c r="Q654" t="n">
        <v>0</v>
      </c>
      <c r="R654" s="2" t="inlineStr"/>
    </row>
    <row r="655" ht="15" customHeight="1">
      <c r="A655" t="inlineStr">
        <is>
          <t>A 39790-2019</t>
        </is>
      </c>
      <c r="B655" s="1" t="n">
        <v>43689</v>
      </c>
      <c r="C655" s="1" t="n">
        <v>45744</v>
      </c>
      <c r="D655" t="inlineStr">
        <is>
          <t>SKÅNE LÄN</t>
        </is>
      </c>
      <c r="E655" t="inlineStr">
        <is>
          <t>KRISTIANSTAD</t>
        </is>
      </c>
      <c r="G655" t="n">
        <v>2.9</v>
      </c>
      <c r="H655" t="n">
        <v>0</v>
      </c>
      <c r="I655" t="n">
        <v>0</v>
      </c>
      <c r="J655" t="n">
        <v>0</v>
      </c>
      <c r="K655" t="n">
        <v>0</v>
      </c>
      <c r="L655" t="n">
        <v>0</v>
      </c>
      <c r="M655" t="n">
        <v>0</v>
      </c>
      <c r="N655" t="n">
        <v>0</v>
      </c>
      <c r="O655" t="n">
        <v>0</v>
      </c>
      <c r="P655" t="n">
        <v>0</v>
      </c>
      <c r="Q655" t="n">
        <v>0</v>
      </c>
      <c r="R655" s="2" t="inlineStr"/>
    </row>
    <row r="656" ht="15" customHeight="1">
      <c r="A656" t="inlineStr">
        <is>
          <t>A 39502-2019</t>
        </is>
      </c>
      <c r="B656" s="1" t="n">
        <v>43691</v>
      </c>
      <c r="C656" s="1" t="n">
        <v>45744</v>
      </c>
      <c r="D656" t="inlineStr">
        <is>
          <t>SKÅNE LÄN</t>
        </is>
      </c>
      <c r="E656" t="inlineStr">
        <is>
          <t>HÄSSLEHOLM</t>
        </is>
      </c>
      <c r="G656" t="n">
        <v>3.8</v>
      </c>
      <c r="H656" t="n">
        <v>0</v>
      </c>
      <c r="I656" t="n">
        <v>0</v>
      </c>
      <c r="J656" t="n">
        <v>0</v>
      </c>
      <c r="K656" t="n">
        <v>0</v>
      </c>
      <c r="L656" t="n">
        <v>0</v>
      </c>
      <c r="M656" t="n">
        <v>0</v>
      </c>
      <c r="N656" t="n">
        <v>0</v>
      </c>
      <c r="O656" t="n">
        <v>0</v>
      </c>
      <c r="P656" t="n">
        <v>0</v>
      </c>
      <c r="Q656" t="n">
        <v>0</v>
      </c>
      <c r="R656" s="2" t="inlineStr"/>
    </row>
    <row r="657" ht="15" customHeight="1">
      <c r="A657" t="inlineStr">
        <is>
          <t>A 39507-2019</t>
        </is>
      </c>
      <c r="B657" s="1" t="n">
        <v>43691</v>
      </c>
      <c r="C657" s="1" t="n">
        <v>45744</v>
      </c>
      <c r="D657" t="inlineStr">
        <is>
          <t>SKÅNE LÄN</t>
        </is>
      </c>
      <c r="E657" t="inlineStr">
        <is>
          <t>HÄSSLEHOLM</t>
        </is>
      </c>
      <c r="G657" t="n">
        <v>5.7</v>
      </c>
      <c r="H657" t="n">
        <v>0</v>
      </c>
      <c r="I657" t="n">
        <v>0</v>
      </c>
      <c r="J657" t="n">
        <v>0</v>
      </c>
      <c r="K657" t="n">
        <v>0</v>
      </c>
      <c r="L657" t="n">
        <v>0</v>
      </c>
      <c r="M657" t="n">
        <v>0</v>
      </c>
      <c r="N657" t="n">
        <v>0</v>
      </c>
      <c r="O657" t="n">
        <v>0</v>
      </c>
      <c r="P657" t="n">
        <v>0</v>
      </c>
      <c r="Q657" t="n">
        <v>0</v>
      </c>
      <c r="R657" s="2" t="inlineStr"/>
    </row>
    <row r="658" ht="15" customHeight="1">
      <c r="A658" t="inlineStr">
        <is>
          <t>A 40192-2019</t>
        </is>
      </c>
      <c r="B658" s="1" t="n">
        <v>43691</v>
      </c>
      <c r="C658" s="1" t="n">
        <v>45744</v>
      </c>
      <c r="D658" t="inlineStr">
        <is>
          <t>SKÅNE LÄN</t>
        </is>
      </c>
      <c r="E658" t="inlineStr">
        <is>
          <t>KLIPPAN</t>
        </is>
      </c>
      <c r="G658" t="n">
        <v>2.8</v>
      </c>
      <c r="H658" t="n">
        <v>0</v>
      </c>
      <c r="I658" t="n">
        <v>0</v>
      </c>
      <c r="J658" t="n">
        <v>0</v>
      </c>
      <c r="K658" t="n">
        <v>0</v>
      </c>
      <c r="L658" t="n">
        <v>0</v>
      </c>
      <c r="M658" t="n">
        <v>0</v>
      </c>
      <c r="N658" t="n">
        <v>0</v>
      </c>
      <c r="O658" t="n">
        <v>0</v>
      </c>
      <c r="P658" t="n">
        <v>0</v>
      </c>
      <c r="Q658" t="n">
        <v>0</v>
      </c>
      <c r="R658" s="2" t="inlineStr"/>
    </row>
    <row r="659" ht="15" customHeight="1">
      <c r="A659" t="inlineStr">
        <is>
          <t>A 39884-2019</t>
        </is>
      </c>
      <c r="B659" s="1" t="n">
        <v>43692</v>
      </c>
      <c r="C659" s="1" t="n">
        <v>45744</v>
      </c>
      <c r="D659" t="inlineStr">
        <is>
          <t>SKÅNE LÄN</t>
        </is>
      </c>
      <c r="E659" t="inlineStr">
        <is>
          <t>TOMELILLA</t>
        </is>
      </c>
      <c r="F659" t="inlineStr">
        <is>
          <t>Övriga Aktiebolag</t>
        </is>
      </c>
      <c r="G659" t="n">
        <v>5.8</v>
      </c>
      <c r="H659" t="n">
        <v>0</v>
      </c>
      <c r="I659" t="n">
        <v>0</v>
      </c>
      <c r="J659" t="n">
        <v>0</v>
      </c>
      <c r="K659" t="n">
        <v>0</v>
      </c>
      <c r="L659" t="n">
        <v>0</v>
      </c>
      <c r="M659" t="n">
        <v>0</v>
      </c>
      <c r="N659" t="n">
        <v>0</v>
      </c>
      <c r="O659" t="n">
        <v>0</v>
      </c>
      <c r="P659" t="n">
        <v>0</v>
      </c>
      <c r="Q659" t="n">
        <v>0</v>
      </c>
      <c r="R659" s="2" t="inlineStr"/>
    </row>
    <row r="660" ht="15" customHeight="1">
      <c r="A660" t="inlineStr">
        <is>
          <t>A 40847-2019</t>
        </is>
      </c>
      <c r="B660" s="1" t="n">
        <v>43692</v>
      </c>
      <c r="C660" s="1" t="n">
        <v>45744</v>
      </c>
      <c r="D660" t="inlineStr">
        <is>
          <t>SKÅNE LÄN</t>
        </is>
      </c>
      <c r="E660" t="inlineStr">
        <is>
          <t>KRISTIANSTAD</t>
        </is>
      </c>
      <c r="G660" t="n">
        <v>1.2</v>
      </c>
      <c r="H660" t="n">
        <v>0</v>
      </c>
      <c r="I660" t="n">
        <v>0</v>
      </c>
      <c r="J660" t="n">
        <v>0</v>
      </c>
      <c r="K660" t="n">
        <v>0</v>
      </c>
      <c r="L660" t="n">
        <v>0</v>
      </c>
      <c r="M660" t="n">
        <v>0</v>
      </c>
      <c r="N660" t="n">
        <v>0</v>
      </c>
      <c r="O660" t="n">
        <v>0</v>
      </c>
      <c r="P660" t="n">
        <v>0</v>
      </c>
      <c r="Q660" t="n">
        <v>0</v>
      </c>
      <c r="R660" s="2" t="inlineStr"/>
    </row>
    <row r="661" ht="15" customHeight="1">
      <c r="A661" t="inlineStr">
        <is>
          <t>A 41164-2019</t>
        </is>
      </c>
      <c r="B661" s="1" t="n">
        <v>43693</v>
      </c>
      <c r="C661" s="1" t="n">
        <v>45744</v>
      </c>
      <c r="D661" t="inlineStr">
        <is>
          <t>SKÅNE LÄN</t>
        </is>
      </c>
      <c r="E661" t="inlineStr">
        <is>
          <t>KRISTIANSTAD</t>
        </is>
      </c>
      <c r="G661" t="n">
        <v>6.1</v>
      </c>
      <c r="H661" t="n">
        <v>0</v>
      </c>
      <c r="I661" t="n">
        <v>0</v>
      </c>
      <c r="J661" t="n">
        <v>0</v>
      </c>
      <c r="K661" t="n">
        <v>0</v>
      </c>
      <c r="L661" t="n">
        <v>0</v>
      </c>
      <c r="M661" t="n">
        <v>0</v>
      </c>
      <c r="N661" t="n">
        <v>0</v>
      </c>
      <c r="O661" t="n">
        <v>0</v>
      </c>
      <c r="P661" t="n">
        <v>0</v>
      </c>
      <c r="Q661" t="n">
        <v>0</v>
      </c>
      <c r="R661" s="2" t="inlineStr"/>
    </row>
    <row r="662" ht="15" customHeight="1">
      <c r="A662" t="inlineStr">
        <is>
          <t>A 40887-2019</t>
        </is>
      </c>
      <c r="B662" s="1" t="n">
        <v>43693</v>
      </c>
      <c r="C662" s="1" t="n">
        <v>45744</v>
      </c>
      <c r="D662" t="inlineStr">
        <is>
          <t>SKÅNE LÄN</t>
        </is>
      </c>
      <c r="E662" t="inlineStr">
        <is>
          <t>HÖÖR</t>
        </is>
      </c>
      <c r="G662" t="n">
        <v>1.4</v>
      </c>
      <c r="H662" t="n">
        <v>0</v>
      </c>
      <c r="I662" t="n">
        <v>0</v>
      </c>
      <c r="J662" t="n">
        <v>0</v>
      </c>
      <c r="K662" t="n">
        <v>0</v>
      </c>
      <c r="L662" t="n">
        <v>0</v>
      </c>
      <c r="M662" t="n">
        <v>0</v>
      </c>
      <c r="N662" t="n">
        <v>0</v>
      </c>
      <c r="O662" t="n">
        <v>0</v>
      </c>
      <c r="P662" t="n">
        <v>0</v>
      </c>
      <c r="Q662" t="n">
        <v>0</v>
      </c>
      <c r="R662" s="2" t="inlineStr"/>
    </row>
    <row r="663" ht="15" customHeight="1">
      <c r="A663" t="inlineStr">
        <is>
          <t>A 40262-2019</t>
        </is>
      </c>
      <c r="B663" s="1" t="n">
        <v>43695</v>
      </c>
      <c r="C663" s="1" t="n">
        <v>45744</v>
      </c>
      <c r="D663" t="inlineStr">
        <is>
          <t>SKÅNE LÄN</t>
        </is>
      </c>
      <c r="E663" t="inlineStr">
        <is>
          <t>HÄSSLEHOLM</t>
        </is>
      </c>
      <c r="G663" t="n">
        <v>1.3</v>
      </c>
      <c r="H663" t="n">
        <v>0</v>
      </c>
      <c r="I663" t="n">
        <v>0</v>
      </c>
      <c r="J663" t="n">
        <v>0</v>
      </c>
      <c r="K663" t="n">
        <v>0</v>
      </c>
      <c r="L663" t="n">
        <v>0</v>
      </c>
      <c r="M663" t="n">
        <v>0</v>
      </c>
      <c r="N663" t="n">
        <v>0</v>
      </c>
      <c r="O663" t="n">
        <v>0</v>
      </c>
      <c r="P663" t="n">
        <v>0</v>
      </c>
      <c r="Q663" t="n">
        <v>0</v>
      </c>
      <c r="R663" s="2" t="inlineStr"/>
    </row>
    <row r="664" ht="15" customHeight="1">
      <c r="A664" t="inlineStr">
        <is>
          <t>A 40271-2019</t>
        </is>
      </c>
      <c r="B664" s="1" t="n">
        <v>43695</v>
      </c>
      <c r="C664" s="1" t="n">
        <v>45744</v>
      </c>
      <c r="D664" t="inlineStr">
        <is>
          <t>SKÅNE LÄN</t>
        </is>
      </c>
      <c r="E664" t="inlineStr">
        <is>
          <t>KLIPPAN</t>
        </is>
      </c>
      <c r="G664" t="n">
        <v>1</v>
      </c>
      <c r="H664" t="n">
        <v>0</v>
      </c>
      <c r="I664" t="n">
        <v>0</v>
      </c>
      <c r="J664" t="n">
        <v>0</v>
      </c>
      <c r="K664" t="n">
        <v>0</v>
      </c>
      <c r="L664" t="n">
        <v>0</v>
      </c>
      <c r="M664" t="n">
        <v>0</v>
      </c>
      <c r="N664" t="n">
        <v>0</v>
      </c>
      <c r="O664" t="n">
        <v>0</v>
      </c>
      <c r="P664" t="n">
        <v>0</v>
      </c>
      <c r="Q664" t="n">
        <v>0</v>
      </c>
      <c r="R664" s="2" t="inlineStr"/>
    </row>
    <row r="665" ht="15" customHeight="1">
      <c r="A665" t="inlineStr">
        <is>
          <t>A 40274-2019</t>
        </is>
      </c>
      <c r="B665" s="1" t="n">
        <v>43696</v>
      </c>
      <c r="C665" s="1" t="n">
        <v>45744</v>
      </c>
      <c r="D665" t="inlineStr">
        <is>
          <t>SKÅNE LÄN</t>
        </is>
      </c>
      <c r="E665" t="inlineStr">
        <is>
          <t>ÖSTRA GÖINGE</t>
        </is>
      </c>
      <c r="G665" t="n">
        <v>0.4</v>
      </c>
      <c r="H665" t="n">
        <v>0</v>
      </c>
      <c r="I665" t="n">
        <v>0</v>
      </c>
      <c r="J665" t="n">
        <v>0</v>
      </c>
      <c r="K665" t="n">
        <v>0</v>
      </c>
      <c r="L665" t="n">
        <v>0</v>
      </c>
      <c r="M665" t="n">
        <v>0</v>
      </c>
      <c r="N665" t="n">
        <v>0</v>
      </c>
      <c r="O665" t="n">
        <v>0</v>
      </c>
      <c r="P665" t="n">
        <v>0</v>
      </c>
      <c r="Q665" t="n">
        <v>0</v>
      </c>
      <c r="R665" s="2" t="inlineStr"/>
    </row>
    <row r="666" ht="15" customHeight="1">
      <c r="A666" t="inlineStr">
        <is>
          <t>A 40277-2019</t>
        </is>
      </c>
      <c r="B666" s="1" t="n">
        <v>43696</v>
      </c>
      <c r="C666" s="1" t="n">
        <v>45744</v>
      </c>
      <c r="D666" t="inlineStr">
        <is>
          <t>SKÅNE LÄN</t>
        </is>
      </c>
      <c r="E666" t="inlineStr">
        <is>
          <t>ÖSTRA GÖINGE</t>
        </is>
      </c>
      <c r="G666" t="n">
        <v>1.4</v>
      </c>
      <c r="H666" t="n">
        <v>0</v>
      </c>
      <c r="I666" t="n">
        <v>0</v>
      </c>
      <c r="J666" t="n">
        <v>0</v>
      </c>
      <c r="K666" t="n">
        <v>0</v>
      </c>
      <c r="L666" t="n">
        <v>0</v>
      </c>
      <c r="M666" t="n">
        <v>0</v>
      </c>
      <c r="N666" t="n">
        <v>0</v>
      </c>
      <c r="O666" t="n">
        <v>0</v>
      </c>
      <c r="P666" t="n">
        <v>0</v>
      </c>
      <c r="Q666" t="n">
        <v>0</v>
      </c>
      <c r="R666" s="2" t="inlineStr"/>
    </row>
    <row r="667" ht="15" customHeight="1">
      <c r="A667" t="inlineStr">
        <is>
          <t>A 41485-2019</t>
        </is>
      </c>
      <c r="B667" s="1" t="n">
        <v>43696</v>
      </c>
      <c r="C667" s="1" t="n">
        <v>45744</v>
      </c>
      <c r="D667" t="inlineStr">
        <is>
          <t>SKÅNE LÄN</t>
        </is>
      </c>
      <c r="E667" t="inlineStr">
        <is>
          <t>HÄSSLEHOLM</t>
        </is>
      </c>
      <c r="G667" t="n">
        <v>1.7</v>
      </c>
      <c r="H667" t="n">
        <v>0</v>
      </c>
      <c r="I667" t="n">
        <v>0</v>
      </c>
      <c r="J667" t="n">
        <v>0</v>
      </c>
      <c r="K667" t="n">
        <v>0</v>
      </c>
      <c r="L667" t="n">
        <v>0</v>
      </c>
      <c r="M667" t="n">
        <v>0</v>
      </c>
      <c r="N667" t="n">
        <v>0</v>
      </c>
      <c r="O667" t="n">
        <v>0</v>
      </c>
      <c r="P667" t="n">
        <v>0</v>
      </c>
      <c r="Q667" t="n">
        <v>0</v>
      </c>
      <c r="R667" s="2" t="inlineStr"/>
    </row>
    <row r="668" ht="15" customHeight="1">
      <c r="A668" t="inlineStr">
        <is>
          <t>A 40752-2019</t>
        </is>
      </c>
      <c r="B668" s="1" t="n">
        <v>43697</v>
      </c>
      <c r="C668" s="1" t="n">
        <v>45744</v>
      </c>
      <c r="D668" t="inlineStr">
        <is>
          <t>SKÅNE LÄN</t>
        </is>
      </c>
      <c r="E668" t="inlineStr">
        <is>
          <t>SVALÖV</t>
        </is>
      </c>
      <c r="G668" t="n">
        <v>5.3</v>
      </c>
      <c r="H668" t="n">
        <v>0</v>
      </c>
      <c r="I668" t="n">
        <v>0</v>
      </c>
      <c r="J668" t="n">
        <v>0</v>
      </c>
      <c r="K668" t="n">
        <v>0</v>
      </c>
      <c r="L668" t="n">
        <v>0</v>
      </c>
      <c r="M668" t="n">
        <v>0</v>
      </c>
      <c r="N668" t="n">
        <v>0</v>
      </c>
      <c r="O668" t="n">
        <v>0</v>
      </c>
      <c r="P668" t="n">
        <v>0</v>
      </c>
      <c r="Q668" t="n">
        <v>0</v>
      </c>
      <c r="R668" s="2" t="inlineStr"/>
    </row>
    <row r="669" ht="15" customHeight="1">
      <c r="A669" t="inlineStr">
        <is>
          <t>A 41068-2019</t>
        </is>
      </c>
      <c r="B669" s="1" t="n">
        <v>43698</v>
      </c>
      <c r="C669" s="1" t="n">
        <v>45744</v>
      </c>
      <c r="D669" t="inlineStr">
        <is>
          <t>SKÅNE LÄN</t>
        </is>
      </c>
      <c r="E669" t="inlineStr">
        <is>
          <t>HÄSSLEHOLM</t>
        </is>
      </c>
      <c r="G669" t="n">
        <v>3.7</v>
      </c>
      <c r="H669" t="n">
        <v>0</v>
      </c>
      <c r="I669" t="n">
        <v>0</v>
      </c>
      <c r="J669" t="n">
        <v>0</v>
      </c>
      <c r="K669" t="n">
        <v>0</v>
      </c>
      <c r="L669" t="n">
        <v>0</v>
      </c>
      <c r="M669" t="n">
        <v>0</v>
      </c>
      <c r="N669" t="n">
        <v>0</v>
      </c>
      <c r="O669" t="n">
        <v>0</v>
      </c>
      <c r="P669" t="n">
        <v>0</v>
      </c>
      <c r="Q669" t="n">
        <v>0</v>
      </c>
      <c r="R669" s="2" t="inlineStr"/>
    </row>
    <row r="670" ht="15" customHeight="1">
      <c r="A670" t="inlineStr">
        <is>
          <t>A 41197-2019</t>
        </is>
      </c>
      <c r="B670" s="1" t="n">
        <v>43698</v>
      </c>
      <c r="C670" s="1" t="n">
        <v>45744</v>
      </c>
      <c r="D670" t="inlineStr">
        <is>
          <t>SKÅNE LÄN</t>
        </is>
      </c>
      <c r="E670" t="inlineStr">
        <is>
          <t>OSBY</t>
        </is>
      </c>
      <c r="G670" t="n">
        <v>3.2</v>
      </c>
      <c r="H670" t="n">
        <v>0</v>
      </c>
      <c r="I670" t="n">
        <v>0</v>
      </c>
      <c r="J670" t="n">
        <v>0</v>
      </c>
      <c r="K670" t="n">
        <v>0</v>
      </c>
      <c r="L670" t="n">
        <v>0</v>
      </c>
      <c r="M670" t="n">
        <v>0</v>
      </c>
      <c r="N670" t="n">
        <v>0</v>
      </c>
      <c r="O670" t="n">
        <v>0</v>
      </c>
      <c r="P670" t="n">
        <v>0</v>
      </c>
      <c r="Q670" t="n">
        <v>0</v>
      </c>
      <c r="R670" s="2" t="inlineStr"/>
    </row>
    <row r="671" ht="15" customHeight="1">
      <c r="A671" t="inlineStr">
        <is>
          <t>A 41353-2019</t>
        </is>
      </c>
      <c r="B671" s="1" t="n">
        <v>43698</v>
      </c>
      <c r="C671" s="1" t="n">
        <v>45744</v>
      </c>
      <c r="D671" t="inlineStr">
        <is>
          <t>SKÅNE LÄN</t>
        </is>
      </c>
      <c r="E671" t="inlineStr">
        <is>
          <t>ÖSTRA GÖINGE</t>
        </is>
      </c>
      <c r="G671" t="n">
        <v>5.7</v>
      </c>
      <c r="H671" t="n">
        <v>0</v>
      </c>
      <c r="I671" t="n">
        <v>0</v>
      </c>
      <c r="J671" t="n">
        <v>0</v>
      </c>
      <c r="K671" t="n">
        <v>0</v>
      </c>
      <c r="L671" t="n">
        <v>0</v>
      </c>
      <c r="M671" t="n">
        <v>0</v>
      </c>
      <c r="N671" t="n">
        <v>0</v>
      </c>
      <c r="O671" t="n">
        <v>0</v>
      </c>
      <c r="P671" t="n">
        <v>0</v>
      </c>
      <c r="Q671" t="n">
        <v>0</v>
      </c>
      <c r="R671" s="2" t="inlineStr"/>
    </row>
    <row r="672" ht="15" customHeight="1">
      <c r="A672" t="inlineStr">
        <is>
          <t>A 41439-2019</t>
        </is>
      </c>
      <c r="B672" s="1" t="n">
        <v>43698</v>
      </c>
      <c r="C672" s="1" t="n">
        <v>45744</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41580-2019</t>
        </is>
      </c>
      <c r="B673" s="1" t="n">
        <v>43699</v>
      </c>
      <c r="C673" s="1" t="n">
        <v>45744</v>
      </c>
      <c r="D673" t="inlineStr">
        <is>
          <t>SKÅNE LÄN</t>
        </is>
      </c>
      <c r="E673" t="inlineStr">
        <is>
          <t>ÖRKELLJUNGA</t>
        </is>
      </c>
      <c r="G673" t="n">
        <v>5.7</v>
      </c>
      <c r="H673" t="n">
        <v>0</v>
      </c>
      <c r="I673" t="n">
        <v>0</v>
      </c>
      <c r="J673" t="n">
        <v>0</v>
      </c>
      <c r="K673" t="n">
        <v>0</v>
      </c>
      <c r="L673" t="n">
        <v>0</v>
      </c>
      <c r="M673" t="n">
        <v>0</v>
      </c>
      <c r="N673" t="n">
        <v>0</v>
      </c>
      <c r="O673" t="n">
        <v>0</v>
      </c>
      <c r="P673" t="n">
        <v>0</v>
      </c>
      <c r="Q673" t="n">
        <v>0</v>
      </c>
      <c r="R673" s="2" t="inlineStr"/>
    </row>
    <row r="674" ht="15" customHeight="1">
      <c r="A674" t="inlineStr">
        <is>
          <t>A 41878-2019</t>
        </is>
      </c>
      <c r="B674" s="1" t="n">
        <v>43700</v>
      </c>
      <c r="C674" s="1" t="n">
        <v>45744</v>
      </c>
      <c r="D674" t="inlineStr">
        <is>
          <t>SKÅNE LÄN</t>
        </is>
      </c>
      <c r="E674" t="inlineStr">
        <is>
          <t>KRISTIANSTAD</t>
        </is>
      </c>
      <c r="G674" t="n">
        <v>1.2</v>
      </c>
      <c r="H674" t="n">
        <v>0</v>
      </c>
      <c r="I674" t="n">
        <v>0</v>
      </c>
      <c r="J674" t="n">
        <v>0</v>
      </c>
      <c r="K674" t="n">
        <v>0</v>
      </c>
      <c r="L674" t="n">
        <v>0</v>
      </c>
      <c r="M674" t="n">
        <v>0</v>
      </c>
      <c r="N674" t="n">
        <v>0</v>
      </c>
      <c r="O674" t="n">
        <v>0</v>
      </c>
      <c r="P674" t="n">
        <v>0</v>
      </c>
      <c r="Q674" t="n">
        <v>0</v>
      </c>
      <c r="R674" s="2" t="inlineStr"/>
    </row>
    <row r="675" ht="15" customHeight="1">
      <c r="A675" t="inlineStr">
        <is>
          <t>A 42518-2019</t>
        </is>
      </c>
      <c r="B675" s="1" t="n">
        <v>43700</v>
      </c>
      <c r="C675" s="1" t="n">
        <v>45744</v>
      </c>
      <c r="D675" t="inlineStr">
        <is>
          <t>SKÅNE LÄN</t>
        </is>
      </c>
      <c r="E675" t="inlineStr">
        <is>
          <t>ESLÖV</t>
        </is>
      </c>
      <c r="G675" t="n">
        <v>5.8</v>
      </c>
      <c r="H675" t="n">
        <v>0</v>
      </c>
      <c r="I675" t="n">
        <v>0</v>
      </c>
      <c r="J675" t="n">
        <v>0</v>
      </c>
      <c r="K675" t="n">
        <v>0</v>
      </c>
      <c r="L675" t="n">
        <v>0</v>
      </c>
      <c r="M675" t="n">
        <v>0</v>
      </c>
      <c r="N675" t="n">
        <v>0</v>
      </c>
      <c r="O675" t="n">
        <v>0</v>
      </c>
      <c r="P675" t="n">
        <v>0</v>
      </c>
      <c r="Q675" t="n">
        <v>0</v>
      </c>
      <c r="R675" s="2" t="inlineStr"/>
    </row>
    <row r="676" ht="15" customHeight="1">
      <c r="A676" t="inlineStr">
        <is>
          <t>A 42548-2019</t>
        </is>
      </c>
      <c r="B676" s="1" t="n">
        <v>43700</v>
      </c>
      <c r="C676" s="1" t="n">
        <v>45744</v>
      </c>
      <c r="D676" t="inlineStr">
        <is>
          <t>SKÅNE LÄN</t>
        </is>
      </c>
      <c r="E676" t="inlineStr">
        <is>
          <t>KLIPPAN</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42554-2019</t>
        </is>
      </c>
      <c r="B677" s="1" t="n">
        <v>43700</v>
      </c>
      <c r="C677" s="1" t="n">
        <v>45744</v>
      </c>
      <c r="D677" t="inlineStr">
        <is>
          <t>SKÅNE LÄN</t>
        </is>
      </c>
      <c r="E677" t="inlineStr">
        <is>
          <t>KLIPPAN</t>
        </is>
      </c>
      <c r="F677" t="inlineStr">
        <is>
          <t>Övriga Aktiebolag</t>
        </is>
      </c>
      <c r="G677" t="n">
        <v>2.8</v>
      </c>
      <c r="H677" t="n">
        <v>0</v>
      </c>
      <c r="I677" t="n">
        <v>0</v>
      </c>
      <c r="J677" t="n">
        <v>0</v>
      </c>
      <c r="K677" t="n">
        <v>0</v>
      </c>
      <c r="L677" t="n">
        <v>0</v>
      </c>
      <c r="M677" t="n">
        <v>0</v>
      </c>
      <c r="N677" t="n">
        <v>0</v>
      </c>
      <c r="O677" t="n">
        <v>0</v>
      </c>
      <c r="P677" t="n">
        <v>0</v>
      </c>
      <c r="Q677" t="n">
        <v>0</v>
      </c>
      <c r="R677" s="2" t="inlineStr"/>
    </row>
    <row r="678" ht="15" customHeight="1">
      <c r="A678" t="inlineStr">
        <is>
          <t>A 42544-2019</t>
        </is>
      </c>
      <c r="B678" s="1" t="n">
        <v>43700</v>
      </c>
      <c r="C678" s="1" t="n">
        <v>45744</v>
      </c>
      <c r="D678" t="inlineStr">
        <is>
          <t>SKÅNE LÄN</t>
        </is>
      </c>
      <c r="E678" t="inlineStr">
        <is>
          <t>KLIPPAN</t>
        </is>
      </c>
      <c r="F678" t="inlineStr">
        <is>
          <t>Övriga Aktiebolag</t>
        </is>
      </c>
      <c r="G678" t="n">
        <v>4.9</v>
      </c>
      <c r="H678" t="n">
        <v>0</v>
      </c>
      <c r="I678" t="n">
        <v>0</v>
      </c>
      <c r="J678" t="n">
        <v>0</v>
      </c>
      <c r="K678" t="n">
        <v>0</v>
      </c>
      <c r="L678" t="n">
        <v>0</v>
      </c>
      <c r="M678" t="n">
        <v>0</v>
      </c>
      <c r="N678" t="n">
        <v>0</v>
      </c>
      <c r="O678" t="n">
        <v>0</v>
      </c>
      <c r="P678" t="n">
        <v>0</v>
      </c>
      <c r="Q678" t="n">
        <v>0</v>
      </c>
      <c r="R678" s="2" t="inlineStr"/>
    </row>
    <row r="679" ht="15" customHeight="1">
      <c r="A679" t="inlineStr">
        <is>
          <t>A 42534-2019</t>
        </is>
      </c>
      <c r="B679" s="1" t="n">
        <v>43700</v>
      </c>
      <c r="C679" s="1" t="n">
        <v>45744</v>
      </c>
      <c r="D679" t="inlineStr">
        <is>
          <t>SKÅNE LÄN</t>
        </is>
      </c>
      <c r="E679" t="inlineStr">
        <is>
          <t>KLIPPAN</t>
        </is>
      </c>
      <c r="F679" t="inlineStr">
        <is>
          <t>Övriga Aktiebolag</t>
        </is>
      </c>
      <c r="G679" t="n">
        <v>1.8</v>
      </c>
      <c r="H679" t="n">
        <v>0</v>
      </c>
      <c r="I679" t="n">
        <v>0</v>
      </c>
      <c r="J679" t="n">
        <v>0</v>
      </c>
      <c r="K679" t="n">
        <v>0</v>
      </c>
      <c r="L679" t="n">
        <v>0</v>
      </c>
      <c r="M679" t="n">
        <v>0</v>
      </c>
      <c r="N679" t="n">
        <v>0</v>
      </c>
      <c r="O679" t="n">
        <v>0</v>
      </c>
      <c r="P679" t="n">
        <v>0</v>
      </c>
      <c r="Q679" t="n">
        <v>0</v>
      </c>
      <c r="R679" s="2" t="inlineStr"/>
    </row>
    <row r="680" ht="15" customHeight="1">
      <c r="A680" t="inlineStr">
        <is>
          <t>A 42557-2019</t>
        </is>
      </c>
      <c r="B680" s="1" t="n">
        <v>43700</v>
      </c>
      <c r="C680" s="1" t="n">
        <v>45744</v>
      </c>
      <c r="D680" t="inlineStr">
        <is>
          <t>SKÅNE LÄN</t>
        </is>
      </c>
      <c r="E680" t="inlineStr">
        <is>
          <t>KLIPPAN</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42696-2019</t>
        </is>
      </c>
      <c r="B681" s="1" t="n">
        <v>43704</v>
      </c>
      <c r="C681" s="1" t="n">
        <v>45744</v>
      </c>
      <c r="D681" t="inlineStr">
        <is>
          <t>SKÅNE LÄN</t>
        </is>
      </c>
      <c r="E681" t="inlineStr">
        <is>
          <t>OSBY</t>
        </is>
      </c>
      <c r="G681" t="n">
        <v>0.7</v>
      </c>
      <c r="H681" t="n">
        <v>0</v>
      </c>
      <c r="I681" t="n">
        <v>0</v>
      </c>
      <c r="J681" t="n">
        <v>0</v>
      </c>
      <c r="K681" t="n">
        <v>0</v>
      </c>
      <c r="L681" t="n">
        <v>0</v>
      </c>
      <c r="M681" t="n">
        <v>0</v>
      </c>
      <c r="N681" t="n">
        <v>0</v>
      </c>
      <c r="O681" t="n">
        <v>0</v>
      </c>
      <c r="P681" t="n">
        <v>0</v>
      </c>
      <c r="Q681" t="n">
        <v>0</v>
      </c>
      <c r="R681" s="2" t="inlineStr"/>
    </row>
    <row r="682" ht="15" customHeight="1">
      <c r="A682" t="inlineStr">
        <is>
          <t>A 42742-2019</t>
        </is>
      </c>
      <c r="B682" s="1" t="n">
        <v>43704</v>
      </c>
      <c r="C682" s="1" t="n">
        <v>45744</v>
      </c>
      <c r="D682" t="inlineStr">
        <is>
          <t>SKÅNE LÄN</t>
        </is>
      </c>
      <c r="E682" t="inlineStr">
        <is>
          <t>OSBY</t>
        </is>
      </c>
      <c r="G682" t="n">
        <v>1.2</v>
      </c>
      <c r="H682" t="n">
        <v>0</v>
      </c>
      <c r="I682" t="n">
        <v>0</v>
      </c>
      <c r="J682" t="n">
        <v>0</v>
      </c>
      <c r="K682" t="n">
        <v>0</v>
      </c>
      <c r="L682" t="n">
        <v>0</v>
      </c>
      <c r="M682" t="n">
        <v>0</v>
      </c>
      <c r="N682" t="n">
        <v>0</v>
      </c>
      <c r="O682" t="n">
        <v>0</v>
      </c>
      <c r="P682" t="n">
        <v>0</v>
      </c>
      <c r="Q682" t="n">
        <v>0</v>
      </c>
      <c r="R682" s="2" t="inlineStr"/>
    </row>
    <row r="683" ht="15" customHeight="1">
      <c r="A683" t="inlineStr">
        <is>
          <t>A 42552-2019</t>
        </is>
      </c>
      <c r="B683" s="1" t="n">
        <v>43704</v>
      </c>
      <c r="C683" s="1" t="n">
        <v>45744</v>
      </c>
      <c r="D683" t="inlineStr">
        <is>
          <t>SKÅNE LÄN</t>
        </is>
      </c>
      <c r="E683" t="inlineStr">
        <is>
          <t>OSBY</t>
        </is>
      </c>
      <c r="G683" t="n">
        <v>2.7</v>
      </c>
      <c r="H683" t="n">
        <v>0</v>
      </c>
      <c r="I683" t="n">
        <v>0</v>
      </c>
      <c r="J683" t="n">
        <v>0</v>
      </c>
      <c r="K683" t="n">
        <v>0</v>
      </c>
      <c r="L683" t="n">
        <v>0</v>
      </c>
      <c r="M683" t="n">
        <v>0</v>
      </c>
      <c r="N683" t="n">
        <v>0</v>
      </c>
      <c r="O683" t="n">
        <v>0</v>
      </c>
      <c r="P683" t="n">
        <v>0</v>
      </c>
      <c r="Q683" t="n">
        <v>0</v>
      </c>
      <c r="R683" s="2" t="inlineStr"/>
    </row>
    <row r="684" ht="15" customHeight="1">
      <c r="A684" t="inlineStr">
        <is>
          <t>A 42674-2019</t>
        </is>
      </c>
      <c r="B684" s="1" t="n">
        <v>43704</v>
      </c>
      <c r="C684" s="1" t="n">
        <v>45744</v>
      </c>
      <c r="D684" t="inlineStr">
        <is>
          <t>SKÅNE LÄN</t>
        </is>
      </c>
      <c r="E684" t="inlineStr">
        <is>
          <t>OSBY</t>
        </is>
      </c>
      <c r="G684" t="n">
        <v>1</v>
      </c>
      <c r="H684" t="n">
        <v>0</v>
      </c>
      <c r="I684" t="n">
        <v>0</v>
      </c>
      <c r="J684" t="n">
        <v>0</v>
      </c>
      <c r="K684" t="n">
        <v>0</v>
      </c>
      <c r="L684" t="n">
        <v>0</v>
      </c>
      <c r="M684" t="n">
        <v>0</v>
      </c>
      <c r="N684" t="n">
        <v>0</v>
      </c>
      <c r="O684" t="n">
        <v>0</v>
      </c>
      <c r="P684" t="n">
        <v>0</v>
      </c>
      <c r="Q684" t="n">
        <v>0</v>
      </c>
      <c r="R684" s="2" t="inlineStr"/>
    </row>
    <row r="685" ht="15" customHeight="1">
      <c r="A685" t="inlineStr">
        <is>
          <t>A 43674-2019</t>
        </is>
      </c>
      <c r="B685" s="1" t="n">
        <v>43704</v>
      </c>
      <c r="C685" s="1" t="n">
        <v>45744</v>
      </c>
      <c r="D685" t="inlineStr">
        <is>
          <t>SKÅNE LÄN</t>
        </is>
      </c>
      <c r="E685" t="inlineStr">
        <is>
          <t>HÄSSLEHOLM</t>
        </is>
      </c>
      <c r="G685" t="n">
        <v>5.3</v>
      </c>
      <c r="H685" t="n">
        <v>0</v>
      </c>
      <c r="I685" t="n">
        <v>0</v>
      </c>
      <c r="J685" t="n">
        <v>0</v>
      </c>
      <c r="K685" t="n">
        <v>0</v>
      </c>
      <c r="L685" t="n">
        <v>0</v>
      </c>
      <c r="M685" t="n">
        <v>0</v>
      </c>
      <c r="N685" t="n">
        <v>0</v>
      </c>
      <c r="O685" t="n">
        <v>0</v>
      </c>
      <c r="P685" t="n">
        <v>0</v>
      </c>
      <c r="Q685" t="n">
        <v>0</v>
      </c>
      <c r="R685" s="2" t="inlineStr"/>
    </row>
    <row r="686" ht="15" customHeight="1">
      <c r="A686" t="inlineStr">
        <is>
          <t>A 43133-2019</t>
        </is>
      </c>
      <c r="B686" s="1" t="n">
        <v>43705</v>
      </c>
      <c r="C686" s="1" t="n">
        <v>45744</v>
      </c>
      <c r="D686" t="inlineStr">
        <is>
          <t>SKÅNE LÄN</t>
        </is>
      </c>
      <c r="E686" t="inlineStr">
        <is>
          <t>SVALÖV</t>
        </is>
      </c>
      <c r="G686" t="n">
        <v>1.5</v>
      </c>
      <c r="H686" t="n">
        <v>0</v>
      </c>
      <c r="I686" t="n">
        <v>0</v>
      </c>
      <c r="J686" t="n">
        <v>0</v>
      </c>
      <c r="K686" t="n">
        <v>0</v>
      </c>
      <c r="L686" t="n">
        <v>0</v>
      </c>
      <c r="M686" t="n">
        <v>0</v>
      </c>
      <c r="N686" t="n">
        <v>0</v>
      </c>
      <c r="O686" t="n">
        <v>0</v>
      </c>
      <c r="P686" t="n">
        <v>0</v>
      </c>
      <c r="Q686" t="n">
        <v>0</v>
      </c>
      <c r="R686" s="2" t="inlineStr"/>
    </row>
    <row r="687" ht="15" customHeight="1">
      <c r="A687" t="inlineStr">
        <is>
          <t>A 44449-2019</t>
        </is>
      </c>
      <c r="B687" s="1" t="n">
        <v>43705</v>
      </c>
      <c r="C687" s="1" t="n">
        <v>45744</v>
      </c>
      <c r="D687" t="inlineStr">
        <is>
          <t>SKÅNE LÄN</t>
        </is>
      </c>
      <c r="E687" t="inlineStr">
        <is>
          <t>ÖSTRA GÖINGE</t>
        </is>
      </c>
      <c r="G687" t="n">
        <v>1.3</v>
      </c>
      <c r="H687" t="n">
        <v>0</v>
      </c>
      <c r="I687" t="n">
        <v>0</v>
      </c>
      <c r="J687" t="n">
        <v>0</v>
      </c>
      <c r="K687" t="n">
        <v>0</v>
      </c>
      <c r="L687" t="n">
        <v>0</v>
      </c>
      <c r="M687" t="n">
        <v>0</v>
      </c>
      <c r="N687" t="n">
        <v>0</v>
      </c>
      <c r="O687" t="n">
        <v>0</v>
      </c>
      <c r="P687" t="n">
        <v>0</v>
      </c>
      <c r="Q687" t="n">
        <v>0</v>
      </c>
      <c r="R687" s="2" t="inlineStr"/>
    </row>
    <row r="688" ht="15" customHeight="1">
      <c r="A688" t="inlineStr">
        <is>
          <t>A 43405-2019</t>
        </is>
      </c>
      <c r="B688" s="1" t="n">
        <v>43706</v>
      </c>
      <c r="C688" s="1" t="n">
        <v>45744</v>
      </c>
      <c r="D688" t="inlineStr">
        <is>
          <t>SKÅNE LÄN</t>
        </is>
      </c>
      <c r="E688" t="inlineStr">
        <is>
          <t>ÄNGELHOLM</t>
        </is>
      </c>
      <c r="G688" t="n">
        <v>0.5</v>
      </c>
      <c r="H688" t="n">
        <v>0</v>
      </c>
      <c r="I688" t="n">
        <v>0</v>
      </c>
      <c r="J688" t="n">
        <v>0</v>
      </c>
      <c r="K688" t="n">
        <v>0</v>
      </c>
      <c r="L688" t="n">
        <v>0</v>
      </c>
      <c r="M688" t="n">
        <v>0</v>
      </c>
      <c r="N688" t="n">
        <v>0</v>
      </c>
      <c r="O688" t="n">
        <v>0</v>
      </c>
      <c r="P688" t="n">
        <v>0</v>
      </c>
      <c r="Q688" t="n">
        <v>0</v>
      </c>
      <c r="R688" s="2" t="inlineStr"/>
    </row>
    <row r="689" ht="15" customHeight="1">
      <c r="A689" t="inlineStr">
        <is>
          <t>A 43547-2019</t>
        </is>
      </c>
      <c r="B689" s="1" t="n">
        <v>43706</v>
      </c>
      <c r="C689" s="1" t="n">
        <v>45744</v>
      </c>
      <c r="D689" t="inlineStr">
        <is>
          <t>SKÅNE LÄN</t>
        </is>
      </c>
      <c r="E689" t="inlineStr">
        <is>
          <t>HÄSSLEHOLM</t>
        </is>
      </c>
      <c r="G689" t="n">
        <v>1.7</v>
      </c>
      <c r="H689" t="n">
        <v>0</v>
      </c>
      <c r="I689" t="n">
        <v>0</v>
      </c>
      <c r="J689" t="n">
        <v>0</v>
      </c>
      <c r="K689" t="n">
        <v>0</v>
      </c>
      <c r="L689" t="n">
        <v>0</v>
      </c>
      <c r="M689" t="n">
        <v>0</v>
      </c>
      <c r="N689" t="n">
        <v>0</v>
      </c>
      <c r="O689" t="n">
        <v>0</v>
      </c>
      <c r="P689" t="n">
        <v>0</v>
      </c>
      <c r="Q689" t="n">
        <v>0</v>
      </c>
      <c r="R689" s="2" t="inlineStr"/>
    </row>
    <row r="690" ht="15" customHeight="1">
      <c r="A690" t="inlineStr">
        <is>
          <t>A 43555-2019</t>
        </is>
      </c>
      <c r="B690" s="1" t="n">
        <v>43706</v>
      </c>
      <c r="C690" s="1" t="n">
        <v>45744</v>
      </c>
      <c r="D690" t="inlineStr">
        <is>
          <t>SKÅNE LÄN</t>
        </is>
      </c>
      <c r="E690" t="inlineStr">
        <is>
          <t>OSBY</t>
        </is>
      </c>
      <c r="G690" t="n">
        <v>1</v>
      </c>
      <c r="H690" t="n">
        <v>0</v>
      </c>
      <c r="I690" t="n">
        <v>0</v>
      </c>
      <c r="J690" t="n">
        <v>0</v>
      </c>
      <c r="K690" t="n">
        <v>0</v>
      </c>
      <c r="L690" t="n">
        <v>0</v>
      </c>
      <c r="M690" t="n">
        <v>0</v>
      </c>
      <c r="N690" t="n">
        <v>0</v>
      </c>
      <c r="O690" t="n">
        <v>0</v>
      </c>
      <c r="P690" t="n">
        <v>0</v>
      </c>
      <c r="Q690" t="n">
        <v>0</v>
      </c>
      <c r="R690" s="2" t="inlineStr"/>
    </row>
    <row r="691" ht="15" customHeight="1">
      <c r="A691" t="inlineStr">
        <is>
          <t>A 44456-2019</t>
        </is>
      </c>
      <c r="B691" s="1" t="n">
        <v>43706</v>
      </c>
      <c r="C691" s="1" t="n">
        <v>45744</v>
      </c>
      <c r="D691" t="inlineStr">
        <is>
          <t>SKÅNE LÄN</t>
        </is>
      </c>
      <c r="E691" t="inlineStr">
        <is>
          <t>KLIPPAN</t>
        </is>
      </c>
      <c r="G691" t="n">
        <v>1.1</v>
      </c>
      <c r="H691" t="n">
        <v>0</v>
      </c>
      <c r="I691" t="n">
        <v>0</v>
      </c>
      <c r="J691" t="n">
        <v>0</v>
      </c>
      <c r="K691" t="n">
        <v>0</v>
      </c>
      <c r="L691" t="n">
        <v>0</v>
      </c>
      <c r="M691" t="n">
        <v>0</v>
      </c>
      <c r="N691" t="n">
        <v>0</v>
      </c>
      <c r="O691" t="n">
        <v>0</v>
      </c>
      <c r="P691" t="n">
        <v>0</v>
      </c>
      <c r="Q691" t="n">
        <v>0</v>
      </c>
      <c r="R691" s="2" t="inlineStr"/>
    </row>
    <row r="692" ht="15" customHeight="1">
      <c r="A692" t="inlineStr">
        <is>
          <t>A 44573-2019</t>
        </is>
      </c>
      <c r="B692" s="1" t="n">
        <v>43706</v>
      </c>
      <c r="C692" s="1" t="n">
        <v>45744</v>
      </c>
      <c r="D692" t="inlineStr">
        <is>
          <t>SKÅNE LÄN</t>
        </is>
      </c>
      <c r="E692" t="inlineStr">
        <is>
          <t>ÖRKELLJUNGA</t>
        </is>
      </c>
      <c r="G692" t="n">
        <v>2.6</v>
      </c>
      <c r="H692" t="n">
        <v>0</v>
      </c>
      <c r="I692" t="n">
        <v>0</v>
      </c>
      <c r="J692" t="n">
        <v>0</v>
      </c>
      <c r="K692" t="n">
        <v>0</v>
      </c>
      <c r="L692" t="n">
        <v>0</v>
      </c>
      <c r="M692" t="n">
        <v>0</v>
      </c>
      <c r="N692" t="n">
        <v>0</v>
      </c>
      <c r="O692" t="n">
        <v>0</v>
      </c>
      <c r="P692" t="n">
        <v>0</v>
      </c>
      <c r="Q692" t="n">
        <v>0</v>
      </c>
      <c r="R692" s="2" t="inlineStr"/>
    </row>
    <row r="693" ht="15" customHeight="1">
      <c r="A693" t="inlineStr">
        <is>
          <t>A 43407-2019</t>
        </is>
      </c>
      <c r="B693" s="1" t="n">
        <v>43706</v>
      </c>
      <c r="C693" s="1" t="n">
        <v>45744</v>
      </c>
      <c r="D693" t="inlineStr">
        <is>
          <t>SKÅNE LÄN</t>
        </is>
      </c>
      <c r="E693" t="inlineStr">
        <is>
          <t>ÄNGELHOLM</t>
        </is>
      </c>
      <c r="G693" t="n">
        <v>0.6</v>
      </c>
      <c r="H693" t="n">
        <v>0</v>
      </c>
      <c r="I693" t="n">
        <v>0</v>
      </c>
      <c r="J693" t="n">
        <v>0</v>
      </c>
      <c r="K693" t="n">
        <v>0</v>
      </c>
      <c r="L693" t="n">
        <v>0</v>
      </c>
      <c r="M693" t="n">
        <v>0</v>
      </c>
      <c r="N693" t="n">
        <v>0</v>
      </c>
      <c r="O693" t="n">
        <v>0</v>
      </c>
      <c r="P693" t="n">
        <v>0</v>
      </c>
      <c r="Q693" t="n">
        <v>0</v>
      </c>
      <c r="R693" s="2" t="inlineStr"/>
    </row>
    <row r="694" ht="15" customHeight="1">
      <c r="A694" t="inlineStr">
        <is>
          <t>A 44783-2019</t>
        </is>
      </c>
      <c r="B694" s="1" t="n">
        <v>43707</v>
      </c>
      <c r="C694" s="1" t="n">
        <v>45744</v>
      </c>
      <c r="D694" t="inlineStr">
        <is>
          <t>SKÅNE LÄN</t>
        </is>
      </c>
      <c r="E694" t="inlineStr">
        <is>
          <t>LUND</t>
        </is>
      </c>
      <c r="G694" t="n">
        <v>1</v>
      </c>
      <c r="H694" t="n">
        <v>0</v>
      </c>
      <c r="I694" t="n">
        <v>0</v>
      </c>
      <c r="J694" t="n">
        <v>0</v>
      </c>
      <c r="K694" t="n">
        <v>0</v>
      </c>
      <c r="L694" t="n">
        <v>0</v>
      </c>
      <c r="M694" t="n">
        <v>0</v>
      </c>
      <c r="N694" t="n">
        <v>0</v>
      </c>
      <c r="O694" t="n">
        <v>0</v>
      </c>
      <c r="P694" t="n">
        <v>0</v>
      </c>
      <c r="Q694" t="n">
        <v>0</v>
      </c>
      <c r="R694" s="2" t="inlineStr"/>
    </row>
    <row r="695" ht="15" customHeight="1">
      <c r="A695" t="inlineStr">
        <is>
          <t>A 45090-2019</t>
        </is>
      </c>
      <c r="B695" s="1" t="n">
        <v>43707</v>
      </c>
      <c r="C695" s="1" t="n">
        <v>45744</v>
      </c>
      <c r="D695" t="inlineStr">
        <is>
          <t>SKÅNE LÄN</t>
        </is>
      </c>
      <c r="E695" t="inlineStr">
        <is>
          <t>ESLÖV</t>
        </is>
      </c>
      <c r="G695" t="n">
        <v>7</v>
      </c>
      <c r="H695" t="n">
        <v>0</v>
      </c>
      <c r="I695" t="n">
        <v>0</v>
      </c>
      <c r="J695" t="n">
        <v>0</v>
      </c>
      <c r="K695" t="n">
        <v>0</v>
      </c>
      <c r="L695" t="n">
        <v>0</v>
      </c>
      <c r="M695" t="n">
        <v>0</v>
      </c>
      <c r="N695" t="n">
        <v>0</v>
      </c>
      <c r="O695" t="n">
        <v>0</v>
      </c>
      <c r="P695" t="n">
        <v>0</v>
      </c>
      <c r="Q695" t="n">
        <v>0</v>
      </c>
      <c r="R695" s="2" t="inlineStr"/>
    </row>
    <row r="696" ht="15" customHeight="1">
      <c r="A696" t="inlineStr">
        <is>
          <t>A 44032-2019</t>
        </is>
      </c>
      <c r="B696" s="1" t="n">
        <v>43710</v>
      </c>
      <c r="C696" s="1" t="n">
        <v>45744</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44255-2019</t>
        </is>
      </c>
      <c r="B697" s="1" t="n">
        <v>43710</v>
      </c>
      <c r="C697" s="1" t="n">
        <v>45744</v>
      </c>
      <c r="D697" t="inlineStr">
        <is>
          <t>SKÅNE LÄN</t>
        </is>
      </c>
      <c r="E697" t="inlineStr">
        <is>
          <t>HÄSSLEHOLM</t>
        </is>
      </c>
      <c r="G697" t="n">
        <v>4.3</v>
      </c>
      <c r="H697" t="n">
        <v>0</v>
      </c>
      <c r="I697" t="n">
        <v>0</v>
      </c>
      <c r="J697" t="n">
        <v>0</v>
      </c>
      <c r="K697" t="n">
        <v>0</v>
      </c>
      <c r="L697" t="n">
        <v>0</v>
      </c>
      <c r="M697" t="n">
        <v>0</v>
      </c>
      <c r="N697" t="n">
        <v>0</v>
      </c>
      <c r="O697" t="n">
        <v>0</v>
      </c>
      <c r="P697" t="n">
        <v>0</v>
      </c>
      <c r="Q697" t="n">
        <v>0</v>
      </c>
      <c r="R697" s="2" t="inlineStr"/>
    </row>
    <row r="698" ht="15" customHeight="1">
      <c r="A698" t="inlineStr">
        <is>
          <t>A 44256-2019</t>
        </is>
      </c>
      <c r="B698" s="1" t="n">
        <v>43710</v>
      </c>
      <c r="C698" s="1" t="n">
        <v>45744</v>
      </c>
      <c r="D698" t="inlineStr">
        <is>
          <t>SKÅNE LÄN</t>
        </is>
      </c>
      <c r="E698" t="inlineStr">
        <is>
          <t>HÄSSLEHOLM</t>
        </is>
      </c>
      <c r="G698" t="n">
        <v>5.3</v>
      </c>
      <c r="H698" t="n">
        <v>0</v>
      </c>
      <c r="I698" t="n">
        <v>0</v>
      </c>
      <c r="J698" t="n">
        <v>0</v>
      </c>
      <c r="K698" t="n">
        <v>0</v>
      </c>
      <c r="L698" t="n">
        <v>0</v>
      </c>
      <c r="M698" t="n">
        <v>0</v>
      </c>
      <c r="N698" t="n">
        <v>0</v>
      </c>
      <c r="O698" t="n">
        <v>0</v>
      </c>
      <c r="P698" t="n">
        <v>0</v>
      </c>
      <c r="Q698" t="n">
        <v>0</v>
      </c>
      <c r="R698" s="2" t="inlineStr"/>
    </row>
    <row r="699" ht="15" customHeight="1">
      <c r="A699" t="inlineStr">
        <is>
          <t>A 45435-2019</t>
        </is>
      </c>
      <c r="B699" s="1" t="n">
        <v>43710</v>
      </c>
      <c r="C699" s="1" t="n">
        <v>45744</v>
      </c>
      <c r="D699" t="inlineStr">
        <is>
          <t>SKÅNE LÄN</t>
        </is>
      </c>
      <c r="E699" t="inlineStr">
        <is>
          <t>ÖSTRA GÖINGE</t>
        </is>
      </c>
      <c r="G699" t="n">
        <v>1.5</v>
      </c>
      <c r="H699" t="n">
        <v>0</v>
      </c>
      <c r="I699" t="n">
        <v>0</v>
      </c>
      <c r="J699" t="n">
        <v>0</v>
      </c>
      <c r="K699" t="n">
        <v>0</v>
      </c>
      <c r="L699" t="n">
        <v>0</v>
      </c>
      <c r="M699" t="n">
        <v>0</v>
      </c>
      <c r="N699" t="n">
        <v>0</v>
      </c>
      <c r="O699" t="n">
        <v>0</v>
      </c>
      <c r="P699" t="n">
        <v>0</v>
      </c>
      <c r="Q699" t="n">
        <v>0</v>
      </c>
      <c r="R699" s="2" t="inlineStr"/>
    </row>
    <row r="700" ht="15" customHeight="1">
      <c r="A700" t="inlineStr">
        <is>
          <t>A 44373-2019</t>
        </is>
      </c>
      <c r="B700" s="1" t="n">
        <v>43711</v>
      </c>
      <c r="C700" s="1" t="n">
        <v>45744</v>
      </c>
      <c r="D700" t="inlineStr">
        <is>
          <t>SKÅNE LÄN</t>
        </is>
      </c>
      <c r="E700" t="inlineStr">
        <is>
          <t>OSBY</t>
        </is>
      </c>
      <c r="F700" t="inlineStr">
        <is>
          <t>Sveaskog</t>
        </is>
      </c>
      <c r="G700" t="n">
        <v>5.1</v>
      </c>
      <c r="H700" t="n">
        <v>0</v>
      </c>
      <c r="I700" t="n">
        <v>0</v>
      </c>
      <c r="J700" t="n">
        <v>0</v>
      </c>
      <c r="K700" t="n">
        <v>0</v>
      </c>
      <c r="L700" t="n">
        <v>0</v>
      </c>
      <c r="M700" t="n">
        <v>0</v>
      </c>
      <c r="N700" t="n">
        <v>0</v>
      </c>
      <c r="O700" t="n">
        <v>0</v>
      </c>
      <c r="P700" t="n">
        <v>0</v>
      </c>
      <c r="Q700" t="n">
        <v>0</v>
      </c>
      <c r="R700" s="2" t="inlineStr"/>
    </row>
    <row r="701" ht="15" customHeight="1">
      <c r="A701" t="inlineStr">
        <is>
          <t>A 44534-2019</t>
        </is>
      </c>
      <c r="B701" s="1" t="n">
        <v>43711</v>
      </c>
      <c r="C701" s="1" t="n">
        <v>45744</v>
      </c>
      <c r="D701" t="inlineStr">
        <is>
          <t>SKÅNE LÄN</t>
        </is>
      </c>
      <c r="E701" t="inlineStr">
        <is>
          <t>OSBY</t>
        </is>
      </c>
      <c r="G701" t="n">
        <v>0.4</v>
      </c>
      <c r="H701" t="n">
        <v>0</v>
      </c>
      <c r="I701" t="n">
        <v>0</v>
      </c>
      <c r="J701" t="n">
        <v>0</v>
      </c>
      <c r="K701" t="n">
        <v>0</v>
      </c>
      <c r="L701" t="n">
        <v>0</v>
      </c>
      <c r="M701" t="n">
        <v>0</v>
      </c>
      <c r="N701" t="n">
        <v>0</v>
      </c>
      <c r="O701" t="n">
        <v>0</v>
      </c>
      <c r="P701" t="n">
        <v>0</v>
      </c>
      <c r="Q701" t="n">
        <v>0</v>
      </c>
      <c r="R701" s="2" t="inlineStr"/>
    </row>
    <row r="702" ht="15" customHeight="1">
      <c r="A702" t="inlineStr">
        <is>
          <t>A 44368-2019</t>
        </is>
      </c>
      <c r="B702" s="1" t="n">
        <v>43711</v>
      </c>
      <c r="C702" s="1" t="n">
        <v>45744</v>
      </c>
      <c r="D702" t="inlineStr">
        <is>
          <t>SKÅNE LÄN</t>
        </is>
      </c>
      <c r="E702" t="inlineStr">
        <is>
          <t>OSBY</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44546-2019</t>
        </is>
      </c>
      <c r="B703" s="1" t="n">
        <v>43711</v>
      </c>
      <c r="C703" s="1" t="n">
        <v>45744</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44543-2019</t>
        </is>
      </c>
      <c r="B704" s="1" t="n">
        <v>43711</v>
      </c>
      <c r="C704" s="1" t="n">
        <v>45744</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45811-2019</t>
        </is>
      </c>
      <c r="B705" s="1" t="n">
        <v>43711</v>
      </c>
      <c r="C705" s="1" t="n">
        <v>45744</v>
      </c>
      <c r="D705" t="inlineStr">
        <is>
          <t>SKÅNE LÄN</t>
        </is>
      </c>
      <c r="E705" t="inlineStr">
        <is>
          <t>HÄSSLEHOLM</t>
        </is>
      </c>
      <c r="G705" t="n">
        <v>2.4</v>
      </c>
      <c r="H705" t="n">
        <v>0</v>
      </c>
      <c r="I705" t="n">
        <v>0</v>
      </c>
      <c r="J705" t="n">
        <v>0</v>
      </c>
      <c r="K705" t="n">
        <v>0</v>
      </c>
      <c r="L705" t="n">
        <v>0</v>
      </c>
      <c r="M705" t="n">
        <v>0</v>
      </c>
      <c r="N705" t="n">
        <v>0</v>
      </c>
      <c r="O705" t="n">
        <v>0</v>
      </c>
      <c r="P705" t="n">
        <v>0</v>
      </c>
      <c r="Q705" t="n">
        <v>0</v>
      </c>
      <c r="R705" s="2" t="inlineStr"/>
    </row>
    <row r="706" ht="15" customHeight="1">
      <c r="A706" t="inlineStr">
        <is>
          <t>A 44346-2019</t>
        </is>
      </c>
      <c r="B706" s="1" t="n">
        <v>43711</v>
      </c>
      <c r="C706" s="1" t="n">
        <v>45744</v>
      </c>
      <c r="D706" t="inlineStr">
        <is>
          <t>SKÅNE LÄN</t>
        </is>
      </c>
      <c r="E706" t="inlineStr">
        <is>
          <t>OSBY</t>
        </is>
      </c>
      <c r="G706" t="n">
        <v>0.8</v>
      </c>
      <c r="H706" t="n">
        <v>0</v>
      </c>
      <c r="I706" t="n">
        <v>0</v>
      </c>
      <c r="J706" t="n">
        <v>0</v>
      </c>
      <c r="K706" t="n">
        <v>0</v>
      </c>
      <c r="L706" t="n">
        <v>0</v>
      </c>
      <c r="M706" t="n">
        <v>0</v>
      </c>
      <c r="N706" t="n">
        <v>0</v>
      </c>
      <c r="O706" t="n">
        <v>0</v>
      </c>
      <c r="P706" t="n">
        <v>0</v>
      </c>
      <c r="Q706" t="n">
        <v>0</v>
      </c>
      <c r="R706" s="2" t="inlineStr"/>
    </row>
    <row r="707" ht="15" customHeight="1">
      <c r="A707" t="inlineStr">
        <is>
          <t>A 44532-2019</t>
        </is>
      </c>
      <c r="B707" s="1" t="n">
        <v>43711</v>
      </c>
      <c r="C707" s="1" t="n">
        <v>45744</v>
      </c>
      <c r="D707" t="inlineStr">
        <is>
          <t>SKÅNE LÄN</t>
        </is>
      </c>
      <c r="E707" t="inlineStr">
        <is>
          <t>OSBY</t>
        </is>
      </c>
      <c r="G707" t="n">
        <v>0.5</v>
      </c>
      <c r="H707" t="n">
        <v>0</v>
      </c>
      <c r="I707" t="n">
        <v>0</v>
      </c>
      <c r="J707" t="n">
        <v>0</v>
      </c>
      <c r="K707" t="n">
        <v>0</v>
      </c>
      <c r="L707" t="n">
        <v>0</v>
      </c>
      <c r="M707" t="n">
        <v>0</v>
      </c>
      <c r="N707" t="n">
        <v>0</v>
      </c>
      <c r="O707" t="n">
        <v>0</v>
      </c>
      <c r="P707" t="n">
        <v>0</v>
      </c>
      <c r="Q707" t="n">
        <v>0</v>
      </c>
      <c r="R707" s="2" t="inlineStr"/>
    </row>
    <row r="708" ht="15" customHeight="1">
      <c r="A708" t="inlineStr">
        <is>
          <t>A 45843-2019</t>
        </is>
      </c>
      <c r="B708" s="1" t="n">
        <v>43711</v>
      </c>
      <c r="C708" s="1" t="n">
        <v>45744</v>
      </c>
      <c r="D708" t="inlineStr">
        <is>
          <t>SKÅNE LÄN</t>
        </is>
      </c>
      <c r="E708" t="inlineStr">
        <is>
          <t>HÄSSLEHOLM</t>
        </is>
      </c>
      <c r="G708" t="n">
        <v>0.8</v>
      </c>
      <c r="H708" t="n">
        <v>0</v>
      </c>
      <c r="I708" t="n">
        <v>0</v>
      </c>
      <c r="J708" t="n">
        <v>0</v>
      </c>
      <c r="K708" t="n">
        <v>0</v>
      </c>
      <c r="L708" t="n">
        <v>0</v>
      </c>
      <c r="M708" t="n">
        <v>0</v>
      </c>
      <c r="N708" t="n">
        <v>0</v>
      </c>
      <c r="O708" t="n">
        <v>0</v>
      </c>
      <c r="P708" t="n">
        <v>0</v>
      </c>
      <c r="Q708" t="n">
        <v>0</v>
      </c>
      <c r="R708" s="2" t="inlineStr"/>
    </row>
    <row r="709" ht="15" customHeight="1">
      <c r="A709" t="inlineStr">
        <is>
          <t>A 44493-2019</t>
        </is>
      </c>
      <c r="B709" s="1" t="n">
        <v>43711</v>
      </c>
      <c r="C709" s="1" t="n">
        <v>45744</v>
      </c>
      <c r="D709" t="inlineStr">
        <is>
          <t>SKÅNE LÄN</t>
        </is>
      </c>
      <c r="E709" t="inlineStr">
        <is>
          <t>OSBY</t>
        </is>
      </c>
      <c r="F709" t="inlineStr">
        <is>
          <t>Naturvårdsverket</t>
        </is>
      </c>
      <c r="G709" t="n">
        <v>1</v>
      </c>
      <c r="H709" t="n">
        <v>0</v>
      </c>
      <c r="I709" t="n">
        <v>0</v>
      </c>
      <c r="J709" t="n">
        <v>0</v>
      </c>
      <c r="K709" t="n">
        <v>0</v>
      </c>
      <c r="L709" t="n">
        <v>0</v>
      </c>
      <c r="M709" t="n">
        <v>0</v>
      </c>
      <c r="N709" t="n">
        <v>0</v>
      </c>
      <c r="O709" t="n">
        <v>0</v>
      </c>
      <c r="P709" t="n">
        <v>0</v>
      </c>
      <c r="Q709" t="n">
        <v>0</v>
      </c>
      <c r="R709" s="2" t="inlineStr"/>
    </row>
    <row r="710" ht="15" customHeight="1">
      <c r="A710" t="inlineStr">
        <is>
          <t>A 44800-2019</t>
        </is>
      </c>
      <c r="B710" s="1" t="n">
        <v>43712</v>
      </c>
      <c r="C710" s="1" t="n">
        <v>45744</v>
      </c>
      <c r="D710" t="inlineStr">
        <is>
          <t>SKÅNE LÄN</t>
        </is>
      </c>
      <c r="E710" t="inlineStr">
        <is>
          <t>KRISTIANSTAD</t>
        </is>
      </c>
      <c r="G710" t="n">
        <v>3.8</v>
      </c>
      <c r="H710" t="n">
        <v>0</v>
      </c>
      <c r="I710" t="n">
        <v>0</v>
      </c>
      <c r="J710" t="n">
        <v>0</v>
      </c>
      <c r="K710" t="n">
        <v>0</v>
      </c>
      <c r="L710" t="n">
        <v>0</v>
      </c>
      <c r="M710" t="n">
        <v>0</v>
      </c>
      <c r="N710" t="n">
        <v>0</v>
      </c>
      <c r="O710" t="n">
        <v>0</v>
      </c>
      <c r="P710" t="n">
        <v>0</v>
      </c>
      <c r="Q710" t="n">
        <v>0</v>
      </c>
      <c r="R710" s="2" t="inlineStr"/>
    </row>
    <row r="711" ht="15" customHeight="1">
      <c r="A711" t="inlineStr">
        <is>
          <t>A 44831-2019</t>
        </is>
      </c>
      <c r="B711" s="1" t="n">
        <v>43712</v>
      </c>
      <c r="C711" s="1" t="n">
        <v>45744</v>
      </c>
      <c r="D711" t="inlineStr">
        <is>
          <t>SKÅNE LÄN</t>
        </is>
      </c>
      <c r="E711" t="inlineStr">
        <is>
          <t>OSBY</t>
        </is>
      </c>
      <c r="G711" t="n">
        <v>1.1</v>
      </c>
      <c r="H711" t="n">
        <v>0</v>
      </c>
      <c r="I711" t="n">
        <v>0</v>
      </c>
      <c r="J711" t="n">
        <v>0</v>
      </c>
      <c r="K711" t="n">
        <v>0</v>
      </c>
      <c r="L711" t="n">
        <v>0</v>
      </c>
      <c r="M711" t="n">
        <v>0</v>
      </c>
      <c r="N711" t="n">
        <v>0</v>
      </c>
      <c r="O711" t="n">
        <v>0</v>
      </c>
      <c r="P711" t="n">
        <v>0</v>
      </c>
      <c r="Q711" t="n">
        <v>0</v>
      </c>
      <c r="R711" s="2" t="inlineStr"/>
    </row>
    <row r="712" ht="15" customHeight="1">
      <c r="A712" t="inlineStr">
        <is>
          <t>A 45867-2019</t>
        </is>
      </c>
      <c r="B712" s="1" t="n">
        <v>43712</v>
      </c>
      <c r="C712" s="1" t="n">
        <v>45744</v>
      </c>
      <c r="D712" t="inlineStr">
        <is>
          <t>SKÅNE LÄN</t>
        </is>
      </c>
      <c r="E712" t="inlineStr">
        <is>
          <t>OSBY</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44777-2019</t>
        </is>
      </c>
      <c r="B713" s="1" t="n">
        <v>43712</v>
      </c>
      <c r="C713" s="1" t="n">
        <v>45744</v>
      </c>
      <c r="D713" t="inlineStr">
        <is>
          <t>SKÅNE LÄN</t>
        </is>
      </c>
      <c r="E713" t="inlineStr">
        <is>
          <t>HÖRBY</t>
        </is>
      </c>
      <c r="G713" t="n">
        <v>1.8</v>
      </c>
      <c r="H713" t="n">
        <v>0</v>
      </c>
      <c r="I713" t="n">
        <v>0</v>
      </c>
      <c r="J713" t="n">
        <v>0</v>
      </c>
      <c r="K713" t="n">
        <v>0</v>
      </c>
      <c r="L713" t="n">
        <v>0</v>
      </c>
      <c r="M713" t="n">
        <v>0</v>
      </c>
      <c r="N713" t="n">
        <v>0</v>
      </c>
      <c r="O713" t="n">
        <v>0</v>
      </c>
      <c r="P713" t="n">
        <v>0</v>
      </c>
      <c r="Q713" t="n">
        <v>0</v>
      </c>
      <c r="R713" s="2" t="inlineStr"/>
    </row>
    <row r="714" ht="15" customHeight="1">
      <c r="A714" t="inlineStr">
        <is>
          <t>A 45734-2019</t>
        </is>
      </c>
      <c r="B714" s="1" t="n">
        <v>43712</v>
      </c>
      <c r="C714" s="1" t="n">
        <v>45744</v>
      </c>
      <c r="D714" t="inlineStr">
        <is>
          <t>SKÅNE LÄN</t>
        </is>
      </c>
      <c r="E714" t="inlineStr">
        <is>
          <t>ÄNGELHOLM</t>
        </is>
      </c>
      <c r="G714" t="n">
        <v>4.7</v>
      </c>
      <c r="H714" t="n">
        <v>0</v>
      </c>
      <c r="I714" t="n">
        <v>0</v>
      </c>
      <c r="J714" t="n">
        <v>0</v>
      </c>
      <c r="K714" t="n">
        <v>0</v>
      </c>
      <c r="L714" t="n">
        <v>0</v>
      </c>
      <c r="M714" t="n">
        <v>0</v>
      </c>
      <c r="N714" t="n">
        <v>0</v>
      </c>
      <c r="O714" t="n">
        <v>0</v>
      </c>
      <c r="P714" t="n">
        <v>0</v>
      </c>
      <c r="Q714" t="n">
        <v>0</v>
      </c>
      <c r="R714" s="2" t="inlineStr"/>
    </row>
    <row r="715" ht="15" customHeight="1">
      <c r="A715" t="inlineStr">
        <is>
          <t>A 45939-2019</t>
        </is>
      </c>
      <c r="B715" s="1" t="n">
        <v>43712</v>
      </c>
      <c r="C715" s="1" t="n">
        <v>45744</v>
      </c>
      <c r="D715" t="inlineStr">
        <is>
          <t>SKÅNE LÄN</t>
        </is>
      </c>
      <c r="E715" t="inlineStr">
        <is>
          <t>KLIPPAN</t>
        </is>
      </c>
      <c r="G715" t="n">
        <v>4.1</v>
      </c>
      <c r="H715" t="n">
        <v>0</v>
      </c>
      <c r="I715" t="n">
        <v>0</v>
      </c>
      <c r="J715" t="n">
        <v>0</v>
      </c>
      <c r="K715" t="n">
        <v>0</v>
      </c>
      <c r="L715" t="n">
        <v>0</v>
      </c>
      <c r="M715" t="n">
        <v>0</v>
      </c>
      <c r="N715" t="n">
        <v>0</v>
      </c>
      <c r="O715" t="n">
        <v>0</v>
      </c>
      <c r="P715" t="n">
        <v>0</v>
      </c>
      <c r="Q715" t="n">
        <v>0</v>
      </c>
      <c r="R715" s="2" t="inlineStr"/>
    </row>
    <row r="716" ht="15" customHeight="1">
      <c r="A716" t="inlineStr">
        <is>
          <t>A 45069-2019</t>
        </is>
      </c>
      <c r="B716" s="1" t="n">
        <v>43713</v>
      </c>
      <c r="C716" s="1" t="n">
        <v>45744</v>
      </c>
      <c r="D716" t="inlineStr">
        <is>
          <t>SKÅNE LÄN</t>
        </is>
      </c>
      <c r="E716" t="inlineStr">
        <is>
          <t>ÖRKELLJUNGA</t>
        </is>
      </c>
      <c r="G716" t="n">
        <v>2.6</v>
      </c>
      <c r="H716" t="n">
        <v>0</v>
      </c>
      <c r="I716" t="n">
        <v>0</v>
      </c>
      <c r="J716" t="n">
        <v>0</v>
      </c>
      <c r="K716" t="n">
        <v>0</v>
      </c>
      <c r="L716" t="n">
        <v>0</v>
      </c>
      <c r="M716" t="n">
        <v>0</v>
      </c>
      <c r="N716" t="n">
        <v>0</v>
      </c>
      <c r="O716" t="n">
        <v>0</v>
      </c>
      <c r="P716" t="n">
        <v>0</v>
      </c>
      <c r="Q716" t="n">
        <v>0</v>
      </c>
      <c r="R716" s="2" t="inlineStr"/>
    </row>
    <row r="717" ht="15" customHeight="1">
      <c r="A717" t="inlineStr">
        <is>
          <t>A 45970-2019</t>
        </is>
      </c>
      <c r="B717" s="1" t="n">
        <v>43713</v>
      </c>
      <c r="C717" s="1" t="n">
        <v>45744</v>
      </c>
      <c r="D717" t="inlineStr">
        <is>
          <t>SKÅNE LÄN</t>
        </is>
      </c>
      <c r="E717" t="inlineStr">
        <is>
          <t>ESLÖV</t>
        </is>
      </c>
      <c r="G717" t="n">
        <v>0.6</v>
      </c>
      <c r="H717" t="n">
        <v>0</v>
      </c>
      <c r="I717" t="n">
        <v>0</v>
      </c>
      <c r="J717" t="n">
        <v>0</v>
      </c>
      <c r="K717" t="n">
        <v>0</v>
      </c>
      <c r="L717" t="n">
        <v>0</v>
      </c>
      <c r="M717" t="n">
        <v>0</v>
      </c>
      <c r="N717" t="n">
        <v>0</v>
      </c>
      <c r="O717" t="n">
        <v>0</v>
      </c>
      <c r="P717" t="n">
        <v>0</v>
      </c>
      <c r="Q717" t="n">
        <v>0</v>
      </c>
      <c r="R717" s="2" t="inlineStr"/>
    </row>
    <row r="718" ht="15" customHeight="1">
      <c r="A718" t="inlineStr">
        <is>
          <t>A 46216-2019</t>
        </is>
      </c>
      <c r="B718" s="1" t="n">
        <v>43713</v>
      </c>
      <c r="C718" s="1" t="n">
        <v>45744</v>
      </c>
      <c r="D718" t="inlineStr">
        <is>
          <t>SKÅNE LÄN</t>
        </is>
      </c>
      <c r="E718" t="inlineStr">
        <is>
          <t>SVEDALA</t>
        </is>
      </c>
      <c r="G718" t="n">
        <v>2.4</v>
      </c>
      <c r="H718" t="n">
        <v>0</v>
      </c>
      <c r="I718" t="n">
        <v>0</v>
      </c>
      <c r="J718" t="n">
        <v>0</v>
      </c>
      <c r="K718" t="n">
        <v>0</v>
      </c>
      <c r="L718" t="n">
        <v>0</v>
      </c>
      <c r="M718" t="n">
        <v>0</v>
      </c>
      <c r="N718" t="n">
        <v>0</v>
      </c>
      <c r="O718" t="n">
        <v>0</v>
      </c>
      <c r="P718" t="n">
        <v>0</v>
      </c>
      <c r="Q718" t="n">
        <v>0</v>
      </c>
      <c r="R718" s="2" t="inlineStr"/>
    </row>
    <row r="719" ht="15" customHeight="1">
      <c r="A719" t="inlineStr">
        <is>
          <t>A 46237-2019</t>
        </is>
      </c>
      <c r="B719" s="1" t="n">
        <v>43713</v>
      </c>
      <c r="C719" s="1" t="n">
        <v>45744</v>
      </c>
      <c r="D719" t="inlineStr">
        <is>
          <t>SKÅNE LÄN</t>
        </is>
      </c>
      <c r="E719" t="inlineStr">
        <is>
          <t>ÖSTRA GÖINGE</t>
        </is>
      </c>
      <c r="G719" t="n">
        <v>6.1</v>
      </c>
      <c r="H719" t="n">
        <v>0</v>
      </c>
      <c r="I719" t="n">
        <v>0</v>
      </c>
      <c r="J719" t="n">
        <v>0</v>
      </c>
      <c r="K719" t="n">
        <v>0</v>
      </c>
      <c r="L719" t="n">
        <v>0</v>
      </c>
      <c r="M719" t="n">
        <v>0</v>
      </c>
      <c r="N719" t="n">
        <v>0</v>
      </c>
      <c r="O719" t="n">
        <v>0</v>
      </c>
      <c r="P719" t="n">
        <v>0</v>
      </c>
      <c r="Q719" t="n">
        <v>0</v>
      </c>
      <c r="R719" s="2" t="inlineStr"/>
    </row>
    <row r="720" ht="15" customHeight="1">
      <c r="A720" t="inlineStr">
        <is>
          <t>A 45238-2019</t>
        </is>
      </c>
      <c r="B720" s="1" t="n">
        <v>43713</v>
      </c>
      <c r="C720" s="1" t="n">
        <v>45744</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45213-2019</t>
        </is>
      </c>
      <c r="B721" s="1" t="n">
        <v>43713</v>
      </c>
      <c r="C721" s="1" t="n">
        <v>45744</v>
      </c>
      <c r="D721" t="inlineStr">
        <is>
          <t>SKÅNE LÄN</t>
        </is>
      </c>
      <c r="E721" t="inlineStr">
        <is>
          <t>KRISTIANSTAD</t>
        </is>
      </c>
      <c r="G721" t="n">
        <v>0.8</v>
      </c>
      <c r="H721" t="n">
        <v>0</v>
      </c>
      <c r="I721" t="n">
        <v>0</v>
      </c>
      <c r="J721" t="n">
        <v>0</v>
      </c>
      <c r="K721" t="n">
        <v>0</v>
      </c>
      <c r="L721" t="n">
        <v>0</v>
      </c>
      <c r="M721" t="n">
        <v>0</v>
      </c>
      <c r="N721" t="n">
        <v>0</v>
      </c>
      <c r="O721" t="n">
        <v>0</v>
      </c>
      <c r="P721" t="n">
        <v>0</v>
      </c>
      <c r="Q721" t="n">
        <v>0</v>
      </c>
      <c r="R721" s="2" t="inlineStr"/>
    </row>
    <row r="722" ht="15" customHeight="1">
      <c r="A722" t="inlineStr">
        <is>
          <t>A 45391-2019</t>
        </is>
      </c>
      <c r="B722" s="1" t="n">
        <v>43714</v>
      </c>
      <c r="C722" s="1" t="n">
        <v>45744</v>
      </c>
      <c r="D722" t="inlineStr">
        <is>
          <t>SKÅNE LÄN</t>
        </is>
      </c>
      <c r="E722" t="inlineStr">
        <is>
          <t>KLIPPAN</t>
        </is>
      </c>
      <c r="G722" t="n">
        <v>0.4</v>
      </c>
      <c r="H722" t="n">
        <v>0</v>
      </c>
      <c r="I722" t="n">
        <v>0</v>
      </c>
      <c r="J722" t="n">
        <v>0</v>
      </c>
      <c r="K722" t="n">
        <v>0</v>
      </c>
      <c r="L722" t="n">
        <v>0</v>
      </c>
      <c r="M722" t="n">
        <v>0</v>
      </c>
      <c r="N722" t="n">
        <v>0</v>
      </c>
      <c r="O722" t="n">
        <v>0</v>
      </c>
      <c r="P722" t="n">
        <v>0</v>
      </c>
      <c r="Q722" t="n">
        <v>0</v>
      </c>
      <c r="R722" s="2" t="inlineStr"/>
    </row>
    <row r="723" ht="15" customHeight="1">
      <c r="A723" t="inlineStr">
        <is>
          <t>A 45374-2019</t>
        </is>
      </c>
      <c r="B723" s="1" t="n">
        <v>43714</v>
      </c>
      <c r="C723" s="1" t="n">
        <v>45744</v>
      </c>
      <c r="D723" t="inlineStr">
        <is>
          <t>SKÅNE LÄN</t>
        </is>
      </c>
      <c r="E723" t="inlineStr">
        <is>
          <t>LUND</t>
        </is>
      </c>
      <c r="G723" t="n">
        <v>0.7</v>
      </c>
      <c r="H723" t="n">
        <v>0</v>
      </c>
      <c r="I723" t="n">
        <v>0</v>
      </c>
      <c r="J723" t="n">
        <v>0</v>
      </c>
      <c r="K723" t="n">
        <v>0</v>
      </c>
      <c r="L723" t="n">
        <v>0</v>
      </c>
      <c r="M723" t="n">
        <v>0</v>
      </c>
      <c r="N723" t="n">
        <v>0</v>
      </c>
      <c r="O723" t="n">
        <v>0</v>
      </c>
      <c r="P723" t="n">
        <v>0</v>
      </c>
      <c r="Q723" t="n">
        <v>0</v>
      </c>
      <c r="R723" s="2" t="inlineStr"/>
    </row>
    <row r="724" ht="15" customHeight="1">
      <c r="A724" t="inlineStr">
        <is>
          <t>A 45372-2019</t>
        </is>
      </c>
      <c r="B724" s="1" t="n">
        <v>43714</v>
      </c>
      <c r="C724" s="1" t="n">
        <v>45744</v>
      </c>
      <c r="D724" t="inlineStr">
        <is>
          <t>SKÅNE LÄN</t>
        </is>
      </c>
      <c r="E724" t="inlineStr">
        <is>
          <t>LUND</t>
        </is>
      </c>
      <c r="G724" t="n">
        <v>4.1</v>
      </c>
      <c r="H724" t="n">
        <v>0</v>
      </c>
      <c r="I724" t="n">
        <v>0</v>
      </c>
      <c r="J724" t="n">
        <v>0</v>
      </c>
      <c r="K724" t="n">
        <v>0</v>
      </c>
      <c r="L724" t="n">
        <v>0</v>
      </c>
      <c r="M724" t="n">
        <v>0</v>
      </c>
      <c r="N724" t="n">
        <v>0</v>
      </c>
      <c r="O724" t="n">
        <v>0</v>
      </c>
      <c r="P724" t="n">
        <v>0</v>
      </c>
      <c r="Q724" t="n">
        <v>0</v>
      </c>
      <c r="R724" s="2" t="inlineStr"/>
    </row>
    <row r="725" ht="15" customHeight="1">
      <c r="A725" t="inlineStr">
        <is>
          <t>A 45395-2019</t>
        </is>
      </c>
      <c r="B725" s="1" t="n">
        <v>43714</v>
      </c>
      <c r="C725" s="1" t="n">
        <v>45744</v>
      </c>
      <c r="D725" t="inlineStr">
        <is>
          <t>SKÅNE LÄN</t>
        </is>
      </c>
      <c r="E725" t="inlineStr">
        <is>
          <t>KLIPPAN</t>
        </is>
      </c>
      <c r="G725" t="n">
        <v>2.2</v>
      </c>
      <c r="H725" t="n">
        <v>0</v>
      </c>
      <c r="I725" t="n">
        <v>0</v>
      </c>
      <c r="J725" t="n">
        <v>0</v>
      </c>
      <c r="K725" t="n">
        <v>0</v>
      </c>
      <c r="L725" t="n">
        <v>0</v>
      </c>
      <c r="M725" t="n">
        <v>0</v>
      </c>
      <c r="N725" t="n">
        <v>0</v>
      </c>
      <c r="O725" t="n">
        <v>0</v>
      </c>
      <c r="P725" t="n">
        <v>0</v>
      </c>
      <c r="Q725" t="n">
        <v>0</v>
      </c>
      <c r="R725" s="2" t="inlineStr"/>
    </row>
    <row r="726" ht="15" customHeight="1">
      <c r="A726" t="inlineStr">
        <is>
          <t>A 45308-2019</t>
        </is>
      </c>
      <c r="B726" s="1" t="n">
        <v>43714</v>
      </c>
      <c r="C726" s="1" t="n">
        <v>45744</v>
      </c>
      <c r="D726" t="inlineStr">
        <is>
          <t>SKÅNE LÄN</t>
        </is>
      </c>
      <c r="E726" t="inlineStr">
        <is>
          <t>OSBY</t>
        </is>
      </c>
      <c r="G726" t="n">
        <v>1.2</v>
      </c>
      <c r="H726" t="n">
        <v>0</v>
      </c>
      <c r="I726" t="n">
        <v>0</v>
      </c>
      <c r="J726" t="n">
        <v>0</v>
      </c>
      <c r="K726" t="n">
        <v>0</v>
      </c>
      <c r="L726" t="n">
        <v>0</v>
      </c>
      <c r="M726" t="n">
        <v>0</v>
      </c>
      <c r="N726" t="n">
        <v>0</v>
      </c>
      <c r="O726" t="n">
        <v>0</v>
      </c>
      <c r="P726" t="n">
        <v>0</v>
      </c>
      <c r="Q726" t="n">
        <v>0</v>
      </c>
      <c r="R726" s="2" t="inlineStr"/>
    </row>
    <row r="727" ht="15" customHeight="1">
      <c r="A727" t="inlineStr">
        <is>
          <t>A 45617-2019</t>
        </is>
      </c>
      <c r="B727" s="1" t="n">
        <v>43717</v>
      </c>
      <c r="C727" s="1" t="n">
        <v>45744</v>
      </c>
      <c r="D727" t="inlineStr">
        <is>
          <t>SKÅNE LÄN</t>
        </is>
      </c>
      <c r="E727" t="inlineStr">
        <is>
          <t>TOMELILLA</t>
        </is>
      </c>
      <c r="G727" t="n">
        <v>0.4</v>
      </c>
      <c r="H727" t="n">
        <v>0</v>
      </c>
      <c r="I727" t="n">
        <v>0</v>
      </c>
      <c r="J727" t="n">
        <v>0</v>
      </c>
      <c r="K727" t="n">
        <v>0</v>
      </c>
      <c r="L727" t="n">
        <v>0</v>
      </c>
      <c r="M727" t="n">
        <v>0</v>
      </c>
      <c r="N727" t="n">
        <v>0</v>
      </c>
      <c r="O727" t="n">
        <v>0</v>
      </c>
      <c r="P727" t="n">
        <v>0</v>
      </c>
      <c r="Q727" t="n">
        <v>0</v>
      </c>
      <c r="R727" s="2" t="inlineStr"/>
    </row>
    <row r="728" ht="15" customHeight="1">
      <c r="A728" t="inlineStr">
        <is>
          <t>A 45682-2019</t>
        </is>
      </c>
      <c r="B728" s="1" t="n">
        <v>43717</v>
      </c>
      <c r="C728" s="1" t="n">
        <v>45744</v>
      </c>
      <c r="D728" t="inlineStr">
        <is>
          <t>SKÅNE LÄN</t>
        </is>
      </c>
      <c r="E728" t="inlineStr">
        <is>
          <t>ÄNGELHOLM</t>
        </is>
      </c>
      <c r="G728" t="n">
        <v>0.6</v>
      </c>
      <c r="H728" t="n">
        <v>0</v>
      </c>
      <c r="I728" t="n">
        <v>0</v>
      </c>
      <c r="J728" t="n">
        <v>0</v>
      </c>
      <c r="K728" t="n">
        <v>0</v>
      </c>
      <c r="L728" t="n">
        <v>0</v>
      </c>
      <c r="M728" t="n">
        <v>0</v>
      </c>
      <c r="N728" t="n">
        <v>0</v>
      </c>
      <c r="O728" t="n">
        <v>0</v>
      </c>
      <c r="P728" t="n">
        <v>0</v>
      </c>
      <c r="Q728" t="n">
        <v>0</v>
      </c>
      <c r="R728" s="2" t="inlineStr"/>
    </row>
    <row r="729" ht="15" customHeight="1">
      <c r="A729" t="inlineStr">
        <is>
          <t>A 45693-2019</t>
        </is>
      </c>
      <c r="B729" s="1" t="n">
        <v>43717</v>
      </c>
      <c r="C729" s="1" t="n">
        <v>45744</v>
      </c>
      <c r="D729" t="inlineStr">
        <is>
          <t>SKÅNE LÄN</t>
        </is>
      </c>
      <c r="E729" t="inlineStr">
        <is>
          <t>ÄNGELHOLM</t>
        </is>
      </c>
      <c r="G729" t="n">
        <v>0.6</v>
      </c>
      <c r="H729" t="n">
        <v>0</v>
      </c>
      <c r="I729" t="n">
        <v>0</v>
      </c>
      <c r="J729" t="n">
        <v>0</v>
      </c>
      <c r="K729" t="n">
        <v>0</v>
      </c>
      <c r="L729" t="n">
        <v>0</v>
      </c>
      <c r="M729" t="n">
        <v>0</v>
      </c>
      <c r="N729" t="n">
        <v>0</v>
      </c>
      <c r="O729" t="n">
        <v>0</v>
      </c>
      <c r="P729" t="n">
        <v>0</v>
      </c>
      <c r="Q729" t="n">
        <v>0</v>
      </c>
      <c r="R729" s="2" t="inlineStr"/>
    </row>
    <row r="730" ht="15" customHeight="1">
      <c r="A730" t="inlineStr">
        <is>
          <t>A 45836-2019</t>
        </is>
      </c>
      <c r="B730" s="1" t="n">
        <v>43717</v>
      </c>
      <c r="C730" s="1" t="n">
        <v>45744</v>
      </c>
      <c r="D730" t="inlineStr">
        <is>
          <t>SKÅNE LÄN</t>
        </is>
      </c>
      <c r="E730" t="inlineStr">
        <is>
          <t>HÄSSLEHOLM</t>
        </is>
      </c>
      <c r="G730" t="n">
        <v>1.1</v>
      </c>
      <c r="H730" t="n">
        <v>0</v>
      </c>
      <c r="I730" t="n">
        <v>0</v>
      </c>
      <c r="J730" t="n">
        <v>0</v>
      </c>
      <c r="K730" t="n">
        <v>0</v>
      </c>
      <c r="L730" t="n">
        <v>0</v>
      </c>
      <c r="M730" t="n">
        <v>0</v>
      </c>
      <c r="N730" t="n">
        <v>0</v>
      </c>
      <c r="O730" t="n">
        <v>0</v>
      </c>
      <c r="P730" t="n">
        <v>0</v>
      </c>
      <c r="Q730" t="n">
        <v>0</v>
      </c>
      <c r="R730" s="2" t="inlineStr"/>
    </row>
    <row r="731" ht="15" customHeight="1">
      <c r="A731" t="inlineStr">
        <is>
          <t>A 45831-2019</t>
        </is>
      </c>
      <c r="B731" s="1" t="n">
        <v>43717</v>
      </c>
      <c r="C731" s="1" t="n">
        <v>45744</v>
      </c>
      <c r="D731" t="inlineStr">
        <is>
          <t>SKÅNE LÄN</t>
        </is>
      </c>
      <c r="E731" t="inlineStr">
        <is>
          <t>HÄSSLEHOLM</t>
        </is>
      </c>
      <c r="G731" t="n">
        <v>1.8</v>
      </c>
      <c r="H731" t="n">
        <v>0</v>
      </c>
      <c r="I731" t="n">
        <v>0</v>
      </c>
      <c r="J731" t="n">
        <v>0</v>
      </c>
      <c r="K731" t="n">
        <v>0</v>
      </c>
      <c r="L731" t="n">
        <v>0</v>
      </c>
      <c r="M731" t="n">
        <v>0</v>
      </c>
      <c r="N731" t="n">
        <v>0</v>
      </c>
      <c r="O731" t="n">
        <v>0</v>
      </c>
      <c r="P731" t="n">
        <v>0</v>
      </c>
      <c r="Q731" t="n">
        <v>0</v>
      </c>
      <c r="R731" s="2" t="inlineStr"/>
    </row>
    <row r="732" ht="15" customHeight="1">
      <c r="A732" t="inlineStr">
        <is>
          <t>A 46520-2019</t>
        </is>
      </c>
      <c r="B732" s="1" t="n">
        <v>43717</v>
      </c>
      <c r="C732" s="1" t="n">
        <v>45744</v>
      </c>
      <c r="D732" t="inlineStr">
        <is>
          <t>SKÅNE LÄN</t>
        </is>
      </c>
      <c r="E732" t="inlineStr">
        <is>
          <t>HÄSSLEHOLM</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45799-2019</t>
        </is>
      </c>
      <c r="B733" s="1" t="n">
        <v>43717</v>
      </c>
      <c r="C733" s="1" t="n">
        <v>45744</v>
      </c>
      <c r="D733" t="inlineStr">
        <is>
          <t>SKÅNE LÄN</t>
        </is>
      </c>
      <c r="E733" t="inlineStr">
        <is>
          <t>KRISTIANSTAD</t>
        </is>
      </c>
      <c r="G733" t="n">
        <v>0.8</v>
      </c>
      <c r="H733" t="n">
        <v>0</v>
      </c>
      <c r="I733" t="n">
        <v>0</v>
      </c>
      <c r="J733" t="n">
        <v>0</v>
      </c>
      <c r="K733" t="n">
        <v>0</v>
      </c>
      <c r="L733" t="n">
        <v>0</v>
      </c>
      <c r="M733" t="n">
        <v>0</v>
      </c>
      <c r="N733" t="n">
        <v>0</v>
      </c>
      <c r="O733" t="n">
        <v>0</v>
      </c>
      <c r="P733" t="n">
        <v>0</v>
      </c>
      <c r="Q733" t="n">
        <v>0</v>
      </c>
      <c r="R733" s="2" t="inlineStr"/>
    </row>
    <row r="734" ht="15" customHeight="1">
      <c r="A734" t="inlineStr">
        <is>
          <t>A 46236-2019</t>
        </is>
      </c>
      <c r="B734" s="1" t="n">
        <v>43718</v>
      </c>
      <c r="C734" s="1" t="n">
        <v>45744</v>
      </c>
      <c r="D734" t="inlineStr">
        <is>
          <t>SKÅNE LÄN</t>
        </is>
      </c>
      <c r="E734" t="inlineStr">
        <is>
          <t>PERSTORP</t>
        </is>
      </c>
      <c r="G734" t="n">
        <v>2.4</v>
      </c>
      <c r="H734" t="n">
        <v>0</v>
      </c>
      <c r="I734" t="n">
        <v>0</v>
      </c>
      <c r="J734" t="n">
        <v>0</v>
      </c>
      <c r="K734" t="n">
        <v>0</v>
      </c>
      <c r="L734" t="n">
        <v>0</v>
      </c>
      <c r="M734" t="n">
        <v>0</v>
      </c>
      <c r="N734" t="n">
        <v>0</v>
      </c>
      <c r="O734" t="n">
        <v>0</v>
      </c>
      <c r="P734" t="n">
        <v>0</v>
      </c>
      <c r="Q734" t="n">
        <v>0</v>
      </c>
      <c r="R734" s="2" t="inlineStr"/>
    </row>
    <row r="735" ht="15" customHeight="1">
      <c r="A735" t="inlineStr">
        <is>
          <t>A 46342-2019</t>
        </is>
      </c>
      <c r="B735" s="1" t="n">
        <v>43718</v>
      </c>
      <c r="C735" s="1" t="n">
        <v>45744</v>
      </c>
      <c r="D735" t="inlineStr">
        <is>
          <t>SKÅNE LÄN</t>
        </is>
      </c>
      <c r="E735" t="inlineStr">
        <is>
          <t>KLIPPAN</t>
        </is>
      </c>
      <c r="G735" t="n">
        <v>0.3</v>
      </c>
      <c r="H735" t="n">
        <v>0</v>
      </c>
      <c r="I735" t="n">
        <v>0</v>
      </c>
      <c r="J735" t="n">
        <v>0</v>
      </c>
      <c r="K735" t="n">
        <v>0</v>
      </c>
      <c r="L735" t="n">
        <v>0</v>
      </c>
      <c r="M735" t="n">
        <v>0</v>
      </c>
      <c r="N735" t="n">
        <v>0</v>
      </c>
      <c r="O735" t="n">
        <v>0</v>
      </c>
      <c r="P735" t="n">
        <v>0</v>
      </c>
      <c r="Q735" t="n">
        <v>0</v>
      </c>
      <c r="R735" s="2" t="inlineStr"/>
    </row>
    <row r="736" ht="15" customHeight="1">
      <c r="A736" t="inlineStr">
        <is>
          <t>A 46006-2019</t>
        </is>
      </c>
      <c r="B736" s="1" t="n">
        <v>43718</v>
      </c>
      <c r="C736" s="1" t="n">
        <v>45744</v>
      </c>
      <c r="D736" t="inlineStr">
        <is>
          <t>SKÅNE LÄN</t>
        </is>
      </c>
      <c r="E736" t="inlineStr">
        <is>
          <t>OSBY</t>
        </is>
      </c>
      <c r="G736" t="n">
        <v>2.7</v>
      </c>
      <c r="H736" t="n">
        <v>0</v>
      </c>
      <c r="I736" t="n">
        <v>0</v>
      </c>
      <c r="J736" t="n">
        <v>0</v>
      </c>
      <c r="K736" t="n">
        <v>0</v>
      </c>
      <c r="L736" t="n">
        <v>0</v>
      </c>
      <c r="M736" t="n">
        <v>0</v>
      </c>
      <c r="N736" t="n">
        <v>0</v>
      </c>
      <c r="O736" t="n">
        <v>0</v>
      </c>
      <c r="P736" t="n">
        <v>0</v>
      </c>
      <c r="Q736" t="n">
        <v>0</v>
      </c>
      <c r="R736" s="2" t="inlineStr"/>
    </row>
    <row r="737" ht="15" customHeight="1">
      <c r="A737" t="inlineStr">
        <is>
          <t>A 46298-2019</t>
        </is>
      </c>
      <c r="B737" s="1" t="n">
        <v>43718</v>
      </c>
      <c r="C737" s="1" t="n">
        <v>45744</v>
      </c>
      <c r="D737" t="inlineStr">
        <is>
          <t>SKÅNE LÄN</t>
        </is>
      </c>
      <c r="E737" t="inlineStr">
        <is>
          <t>KRISTIANSTAD</t>
        </is>
      </c>
      <c r="G737" t="n">
        <v>3.6</v>
      </c>
      <c r="H737" t="n">
        <v>0</v>
      </c>
      <c r="I737" t="n">
        <v>0</v>
      </c>
      <c r="J737" t="n">
        <v>0</v>
      </c>
      <c r="K737" t="n">
        <v>0</v>
      </c>
      <c r="L737" t="n">
        <v>0</v>
      </c>
      <c r="M737" t="n">
        <v>0</v>
      </c>
      <c r="N737" t="n">
        <v>0</v>
      </c>
      <c r="O737" t="n">
        <v>0</v>
      </c>
      <c r="P737" t="n">
        <v>0</v>
      </c>
      <c r="Q737" t="n">
        <v>0</v>
      </c>
      <c r="R737" s="2" t="inlineStr"/>
    </row>
    <row r="738" ht="15" customHeight="1">
      <c r="A738" t="inlineStr">
        <is>
          <t>A 46097-2019</t>
        </is>
      </c>
      <c r="B738" s="1" t="n">
        <v>43718</v>
      </c>
      <c r="C738" s="1" t="n">
        <v>45744</v>
      </c>
      <c r="D738" t="inlineStr">
        <is>
          <t>SKÅNE LÄN</t>
        </is>
      </c>
      <c r="E738" t="inlineStr">
        <is>
          <t>TOMELILLA</t>
        </is>
      </c>
      <c r="G738" t="n">
        <v>1.3</v>
      </c>
      <c r="H738" t="n">
        <v>0</v>
      </c>
      <c r="I738" t="n">
        <v>0</v>
      </c>
      <c r="J738" t="n">
        <v>0</v>
      </c>
      <c r="K738" t="n">
        <v>0</v>
      </c>
      <c r="L738" t="n">
        <v>0</v>
      </c>
      <c r="M738" t="n">
        <v>0</v>
      </c>
      <c r="N738" t="n">
        <v>0</v>
      </c>
      <c r="O738" t="n">
        <v>0</v>
      </c>
      <c r="P738" t="n">
        <v>0</v>
      </c>
      <c r="Q738" t="n">
        <v>0</v>
      </c>
      <c r="R738" s="2" t="inlineStr"/>
    </row>
    <row r="739" ht="15" customHeight="1">
      <c r="A739" t="inlineStr">
        <is>
          <t>A 46096-2019</t>
        </is>
      </c>
      <c r="B739" s="1" t="n">
        <v>43718</v>
      </c>
      <c r="C739" s="1" t="n">
        <v>45744</v>
      </c>
      <c r="D739" t="inlineStr">
        <is>
          <t>SKÅNE LÄN</t>
        </is>
      </c>
      <c r="E739" t="inlineStr">
        <is>
          <t>OSBY</t>
        </is>
      </c>
      <c r="G739" t="n">
        <v>0.5</v>
      </c>
      <c r="H739" t="n">
        <v>0</v>
      </c>
      <c r="I739" t="n">
        <v>0</v>
      </c>
      <c r="J739" t="n">
        <v>0</v>
      </c>
      <c r="K739" t="n">
        <v>0</v>
      </c>
      <c r="L739" t="n">
        <v>0</v>
      </c>
      <c r="M739" t="n">
        <v>0</v>
      </c>
      <c r="N739" t="n">
        <v>0</v>
      </c>
      <c r="O739" t="n">
        <v>0</v>
      </c>
      <c r="P739" t="n">
        <v>0</v>
      </c>
      <c r="Q739" t="n">
        <v>0</v>
      </c>
      <c r="R739" s="2" t="inlineStr"/>
    </row>
    <row r="740" ht="15" customHeight="1">
      <c r="A740" t="inlineStr">
        <is>
          <t>A 46403-2019</t>
        </is>
      </c>
      <c r="B740" s="1" t="n">
        <v>43719</v>
      </c>
      <c r="C740" s="1" t="n">
        <v>45744</v>
      </c>
      <c r="D740" t="inlineStr">
        <is>
          <t>SKÅNE LÄN</t>
        </is>
      </c>
      <c r="E740" t="inlineStr">
        <is>
          <t>KRISTIANSTAD</t>
        </is>
      </c>
      <c r="G740" t="n">
        <v>0.6</v>
      </c>
      <c r="H740" t="n">
        <v>0</v>
      </c>
      <c r="I740" t="n">
        <v>0</v>
      </c>
      <c r="J740" t="n">
        <v>0</v>
      </c>
      <c r="K740" t="n">
        <v>0</v>
      </c>
      <c r="L740" t="n">
        <v>0</v>
      </c>
      <c r="M740" t="n">
        <v>0</v>
      </c>
      <c r="N740" t="n">
        <v>0</v>
      </c>
      <c r="O740" t="n">
        <v>0</v>
      </c>
      <c r="P740" t="n">
        <v>0</v>
      </c>
      <c r="Q740" t="n">
        <v>0</v>
      </c>
      <c r="R740" s="2" t="inlineStr"/>
    </row>
    <row r="741" ht="15" customHeight="1">
      <c r="A741" t="inlineStr">
        <is>
          <t>A 46880-2019</t>
        </is>
      </c>
      <c r="B741" s="1" t="n">
        <v>43719</v>
      </c>
      <c r="C741" s="1" t="n">
        <v>45744</v>
      </c>
      <c r="D741" t="inlineStr">
        <is>
          <t>SKÅNE LÄN</t>
        </is>
      </c>
      <c r="E741" t="inlineStr">
        <is>
          <t>KLIPPAN</t>
        </is>
      </c>
      <c r="G741" t="n">
        <v>1.9</v>
      </c>
      <c r="H741" t="n">
        <v>0</v>
      </c>
      <c r="I741" t="n">
        <v>0</v>
      </c>
      <c r="J741" t="n">
        <v>0</v>
      </c>
      <c r="K741" t="n">
        <v>0</v>
      </c>
      <c r="L741" t="n">
        <v>0</v>
      </c>
      <c r="M741" t="n">
        <v>0</v>
      </c>
      <c r="N741" t="n">
        <v>0</v>
      </c>
      <c r="O741" t="n">
        <v>0</v>
      </c>
      <c r="P741" t="n">
        <v>0</v>
      </c>
      <c r="Q741" t="n">
        <v>0</v>
      </c>
      <c r="R741" s="2" t="inlineStr"/>
    </row>
    <row r="742" ht="15" customHeight="1">
      <c r="A742" t="inlineStr">
        <is>
          <t>A 46897-2019</t>
        </is>
      </c>
      <c r="B742" s="1" t="n">
        <v>43720</v>
      </c>
      <c r="C742" s="1" t="n">
        <v>45744</v>
      </c>
      <c r="D742" t="inlineStr">
        <is>
          <t>SKÅNE LÄN</t>
        </is>
      </c>
      <c r="E742" t="inlineStr">
        <is>
          <t>SIMRISHAMN</t>
        </is>
      </c>
      <c r="G742" t="n">
        <v>10.6</v>
      </c>
      <c r="H742" t="n">
        <v>0</v>
      </c>
      <c r="I742" t="n">
        <v>0</v>
      </c>
      <c r="J742" t="n">
        <v>0</v>
      </c>
      <c r="K742" t="n">
        <v>0</v>
      </c>
      <c r="L742" t="n">
        <v>0</v>
      </c>
      <c r="M742" t="n">
        <v>0</v>
      </c>
      <c r="N742" t="n">
        <v>0</v>
      </c>
      <c r="O742" t="n">
        <v>0</v>
      </c>
      <c r="P742" t="n">
        <v>0</v>
      </c>
      <c r="Q742" t="n">
        <v>0</v>
      </c>
      <c r="R742" s="2" t="inlineStr"/>
    </row>
    <row r="743" ht="15" customHeight="1">
      <c r="A743" t="inlineStr">
        <is>
          <t>A 47132-2019</t>
        </is>
      </c>
      <c r="B743" s="1" t="n">
        <v>43720</v>
      </c>
      <c r="C743" s="1" t="n">
        <v>45744</v>
      </c>
      <c r="D743" t="inlineStr">
        <is>
          <t>SKÅNE LÄN</t>
        </is>
      </c>
      <c r="E743" t="inlineStr">
        <is>
          <t>KLIPPAN</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47130-2019</t>
        </is>
      </c>
      <c r="B744" s="1" t="n">
        <v>43720</v>
      </c>
      <c r="C744" s="1" t="n">
        <v>45744</v>
      </c>
      <c r="D744" t="inlineStr">
        <is>
          <t>SKÅNE LÄN</t>
        </is>
      </c>
      <c r="E744" t="inlineStr">
        <is>
          <t>PERSTORP</t>
        </is>
      </c>
      <c r="F744" t="inlineStr">
        <is>
          <t>Övriga Aktiebolag</t>
        </is>
      </c>
      <c r="G744" t="n">
        <v>0.7</v>
      </c>
      <c r="H744" t="n">
        <v>0</v>
      </c>
      <c r="I744" t="n">
        <v>0</v>
      </c>
      <c r="J744" t="n">
        <v>0</v>
      </c>
      <c r="K744" t="n">
        <v>0</v>
      </c>
      <c r="L744" t="n">
        <v>0</v>
      </c>
      <c r="M744" t="n">
        <v>0</v>
      </c>
      <c r="N744" t="n">
        <v>0</v>
      </c>
      <c r="O744" t="n">
        <v>0</v>
      </c>
      <c r="P744" t="n">
        <v>0</v>
      </c>
      <c r="Q744" t="n">
        <v>0</v>
      </c>
      <c r="R744" s="2" t="inlineStr"/>
    </row>
    <row r="745" ht="15" customHeight="1">
      <c r="A745" t="inlineStr">
        <is>
          <t>A 47540-2019</t>
        </is>
      </c>
      <c r="B745" s="1" t="n">
        <v>43724</v>
      </c>
      <c r="C745" s="1" t="n">
        <v>45744</v>
      </c>
      <c r="D745" t="inlineStr">
        <is>
          <t>SKÅNE LÄN</t>
        </is>
      </c>
      <c r="E745" t="inlineStr">
        <is>
          <t>OSBY</t>
        </is>
      </c>
      <c r="F745" t="inlineStr">
        <is>
          <t>Naturvårdsverket</t>
        </is>
      </c>
      <c r="G745" t="n">
        <v>2.8</v>
      </c>
      <c r="H745" t="n">
        <v>0</v>
      </c>
      <c r="I745" t="n">
        <v>0</v>
      </c>
      <c r="J745" t="n">
        <v>0</v>
      </c>
      <c r="K745" t="n">
        <v>0</v>
      </c>
      <c r="L745" t="n">
        <v>0</v>
      </c>
      <c r="M745" t="n">
        <v>0</v>
      </c>
      <c r="N745" t="n">
        <v>0</v>
      </c>
      <c r="O745" t="n">
        <v>0</v>
      </c>
      <c r="P745" t="n">
        <v>0</v>
      </c>
      <c r="Q745" t="n">
        <v>0</v>
      </c>
      <c r="R745" s="2" t="inlineStr"/>
    </row>
    <row r="746" ht="15" customHeight="1">
      <c r="A746" t="inlineStr">
        <is>
          <t>A 47445-2019</t>
        </is>
      </c>
      <c r="B746" s="1" t="n">
        <v>43724</v>
      </c>
      <c r="C746" s="1" t="n">
        <v>45744</v>
      </c>
      <c r="D746" t="inlineStr">
        <is>
          <t>SKÅNE LÄN</t>
        </is>
      </c>
      <c r="E746" t="inlineStr">
        <is>
          <t>OSBY</t>
        </is>
      </c>
      <c r="G746" t="n">
        <v>3.3</v>
      </c>
      <c r="H746" t="n">
        <v>0</v>
      </c>
      <c r="I746" t="n">
        <v>0</v>
      </c>
      <c r="J746" t="n">
        <v>0</v>
      </c>
      <c r="K746" t="n">
        <v>0</v>
      </c>
      <c r="L746" t="n">
        <v>0</v>
      </c>
      <c r="M746" t="n">
        <v>0</v>
      </c>
      <c r="N746" t="n">
        <v>0</v>
      </c>
      <c r="O746" t="n">
        <v>0</v>
      </c>
      <c r="P746" t="n">
        <v>0</v>
      </c>
      <c r="Q746" t="n">
        <v>0</v>
      </c>
      <c r="R746" s="2" t="inlineStr"/>
    </row>
    <row r="747" ht="15" customHeight="1">
      <c r="A747" t="inlineStr">
        <is>
          <t>A 47757-2019</t>
        </is>
      </c>
      <c r="B747" s="1" t="n">
        <v>43724</v>
      </c>
      <c r="C747" s="1" t="n">
        <v>45744</v>
      </c>
      <c r="D747" t="inlineStr">
        <is>
          <t>SKÅNE LÄN</t>
        </is>
      </c>
      <c r="E747" t="inlineStr">
        <is>
          <t>KRISTIANSTAD</t>
        </is>
      </c>
      <c r="G747" t="n">
        <v>4.8</v>
      </c>
      <c r="H747" t="n">
        <v>0</v>
      </c>
      <c r="I747" t="n">
        <v>0</v>
      </c>
      <c r="J747" t="n">
        <v>0</v>
      </c>
      <c r="K747" t="n">
        <v>0</v>
      </c>
      <c r="L747" t="n">
        <v>0</v>
      </c>
      <c r="M747" t="n">
        <v>0</v>
      </c>
      <c r="N747" t="n">
        <v>0</v>
      </c>
      <c r="O747" t="n">
        <v>0</v>
      </c>
      <c r="P747" t="n">
        <v>0</v>
      </c>
      <c r="Q747" t="n">
        <v>0</v>
      </c>
      <c r="R747" s="2" t="inlineStr"/>
    </row>
    <row r="748" ht="15" customHeight="1">
      <c r="A748" t="inlineStr">
        <is>
          <t>A 47546-2019</t>
        </is>
      </c>
      <c r="B748" s="1" t="n">
        <v>43724</v>
      </c>
      <c r="C748" s="1" t="n">
        <v>45744</v>
      </c>
      <c r="D748" t="inlineStr">
        <is>
          <t>SKÅNE LÄN</t>
        </is>
      </c>
      <c r="E748" t="inlineStr">
        <is>
          <t>OSBY</t>
        </is>
      </c>
      <c r="F748" t="inlineStr">
        <is>
          <t>Naturvårdsverket</t>
        </is>
      </c>
      <c r="G748" t="n">
        <v>1.1</v>
      </c>
      <c r="H748" t="n">
        <v>0</v>
      </c>
      <c r="I748" t="n">
        <v>0</v>
      </c>
      <c r="J748" t="n">
        <v>0</v>
      </c>
      <c r="K748" t="n">
        <v>0</v>
      </c>
      <c r="L748" t="n">
        <v>0</v>
      </c>
      <c r="M748" t="n">
        <v>0</v>
      </c>
      <c r="N748" t="n">
        <v>0</v>
      </c>
      <c r="O748" t="n">
        <v>0</v>
      </c>
      <c r="P748" t="n">
        <v>0</v>
      </c>
      <c r="Q748" t="n">
        <v>0</v>
      </c>
      <c r="R748" s="2" t="inlineStr"/>
    </row>
    <row r="749" ht="15" customHeight="1">
      <c r="A749" t="inlineStr">
        <is>
          <t>A 47788-2019</t>
        </is>
      </c>
      <c r="B749" s="1" t="n">
        <v>43724</v>
      </c>
      <c r="C749" s="1" t="n">
        <v>45744</v>
      </c>
      <c r="D749" t="inlineStr">
        <is>
          <t>SKÅNE LÄN</t>
        </is>
      </c>
      <c r="E749" t="inlineStr">
        <is>
          <t>KLIPPAN</t>
        </is>
      </c>
      <c r="G749" t="n">
        <v>5.4</v>
      </c>
      <c r="H749" t="n">
        <v>0</v>
      </c>
      <c r="I749" t="n">
        <v>0</v>
      </c>
      <c r="J749" t="n">
        <v>0</v>
      </c>
      <c r="K749" t="n">
        <v>0</v>
      </c>
      <c r="L749" t="n">
        <v>0</v>
      </c>
      <c r="M749" t="n">
        <v>0</v>
      </c>
      <c r="N749" t="n">
        <v>0</v>
      </c>
      <c r="O749" t="n">
        <v>0</v>
      </c>
      <c r="P749" t="n">
        <v>0</v>
      </c>
      <c r="Q749" t="n">
        <v>0</v>
      </c>
      <c r="R749" s="2" t="inlineStr"/>
    </row>
    <row r="750" ht="15" customHeight="1">
      <c r="A750" t="inlineStr">
        <is>
          <t>A 48097-2019</t>
        </is>
      </c>
      <c r="B750" s="1" t="n">
        <v>43725</v>
      </c>
      <c r="C750" s="1" t="n">
        <v>45744</v>
      </c>
      <c r="D750" t="inlineStr">
        <is>
          <t>SKÅNE LÄN</t>
        </is>
      </c>
      <c r="E750" t="inlineStr">
        <is>
          <t>HÄSSLEHOLM</t>
        </is>
      </c>
      <c r="G750" t="n">
        <v>1.3</v>
      </c>
      <c r="H750" t="n">
        <v>0</v>
      </c>
      <c r="I750" t="n">
        <v>0</v>
      </c>
      <c r="J750" t="n">
        <v>0</v>
      </c>
      <c r="K750" t="n">
        <v>0</v>
      </c>
      <c r="L750" t="n">
        <v>0</v>
      </c>
      <c r="M750" t="n">
        <v>0</v>
      </c>
      <c r="N750" t="n">
        <v>0</v>
      </c>
      <c r="O750" t="n">
        <v>0</v>
      </c>
      <c r="P750" t="n">
        <v>0</v>
      </c>
      <c r="Q750" t="n">
        <v>0</v>
      </c>
      <c r="R750" s="2" t="inlineStr"/>
    </row>
    <row r="751" ht="15" customHeight="1">
      <c r="A751" t="inlineStr">
        <is>
          <t>A 48103-2019</t>
        </is>
      </c>
      <c r="B751" s="1" t="n">
        <v>43725</v>
      </c>
      <c r="C751" s="1" t="n">
        <v>45744</v>
      </c>
      <c r="D751" t="inlineStr">
        <is>
          <t>SKÅNE LÄN</t>
        </is>
      </c>
      <c r="E751" t="inlineStr">
        <is>
          <t>OSBY</t>
        </is>
      </c>
      <c r="G751" t="n">
        <v>2.6</v>
      </c>
      <c r="H751" t="n">
        <v>0</v>
      </c>
      <c r="I751" t="n">
        <v>0</v>
      </c>
      <c r="J751" t="n">
        <v>0</v>
      </c>
      <c r="K751" t="n">
        <v>0</v>
      </c>
      <c r="L751" t="n">
        <v>0</v>
      </c>
      <c r="M751" t="n">
        <v>0</v>
      </c>
      <c r="N751" t="n">
        <v>0</v>
      </c>
      <c r="O751" t="n">
        <v>0</v>
      </c>
      <c r="P751" t="n">
        <v>0</v>
      </c>
      <c r="Q751" t="n">
        <v>0</v>
      </c>
      <c r="R751" s="2" t="inlineStr"/>
    </row>
    <row r="752" ht="15" customHeight="1">
      <c r="A752" t="inlineStr">
        <is>
          <t>A 48309-2019</t>
        </is>
      </c>
      <c r="B752" s="1" t="n">
        <v>43726</v>
      </c>
      <c r="C752" s="1" t="n">
        <v>45744</v>
      </c>
      <c r="D752" t="inlineStr">
        <is>
          <t>SKÅNE LÄN</t>
        </is>
      </c>
      <c r="E752" t="inlineStr">
        <is>
          <t>HÄSSLEHOLM</t>
        </is>
      </c>
      <c r="G752" t="n">
        <v>4.5</v>
      </c>
      <c r="H752" t="n">
        <v>0</v>
      </c>
      <c r="I752" t="n">
        <v>0</v>
      </c>
      <c r="J752" t="n">
        <v>0</v>
      </c>
      <c r="K752" t="n">
        <v>0</v>
      </c>
      <c r="L752" t="n">
        <v>0</v>
      </c>
      <c r="M752" t="n">
        <v>0</v>
      </c>
      <c r="N752" t="n">
        <v>0</v>
      </c>
      <c r="O752" t="n">
        <v>0</v>
      </c>
      <c r="P752" t="n">
        <v>0</v>
      </c>
      <c r="Q752" t="n">
        <v>0</v>
      </c>
      <c r="R752" s="2" t="inlineStr"/>
    </row>
    <row r="753" ht="15" customHeight="1">
      <c r="A753" t="inlineStr">
        <is>
          <t>A 48307-2019</t>
        </is>
      </c>
      <c r="B753" s="1" t="n">
        <v>43726</v>
      </c>
      <c r="C753" s="1" t="n">
        <v>45744</v>
      </c>
      <c r="D753" t="inlineStr">
        <is>
          <t>SKÅNE LÄN</t>
        </is>
      </c>
      <c r="E753" t="inlineStr">
        <is>
          <t>ÖSTRA GÖINGE</t>
        </is>
      </c>
      <c r="G753" t="n">
        <v>1.6</v>
      </c>
      <c r="H753" t="n">
        <v>0</v>
      </c>
      <c r="I753" t="n">
        <v>0</v>
      </c>
      <c r="J753" t="n">
        <v>0</v>
      </c>
      <c r="K753" t="n">
        <v>0</v>
      </c>
      <c r="L753" t="n">
        <v>0</v>
      </c>
      <c r="M753" t="n">
        <v>0</v>
      </c>
      <c r="N753" t="n">
        <v>0</v>
      </c>
      <c r="O753" t="n">
        <v>0</v>
      </c>
      <c r="P753" t="n">
        <v>0</v>
      </c>
      <c r="Q753" t="n">
        <v>0</v>
      </c>
      <c r="R753" s="2" t="inlineStr"/>
    </row>
    <row r="754" ht="15" customHeight="1">
      <c r="A754" t="inlineStr">
        <is>
          <t>A 48363-2019</t>
        </is>
      </c>
      <c r="B754" s="1" t="n">
        <v>43726</v>
      </c>
      <c r="C754" s="1" t="n">
        <v>45744</v>
      </c>
      <c r="D754" t="inlineStr">
        <is>
          <t>SKÅNE LÄN</t>
        </is>
      </c>
      <c r="E754" t="inlineStr">
        <is>
          <t>HÄSSLEHOLM</t>
        </is>
      </c>
      <c r="G754" t="n">
        <v>4.7</v>
      </c>
      <c r="H754" t="n">
        <v>0</v>
      </c>
      <c r="I754" t="n">
        <v>0</v>
      </c>
      <c r="J754" t="n">
        <v>0</v>
      </c>
      <c r="K754" t="n">
        <v>0</v>
      </c>
      <c r="L754" t="n">
        <v>0</v>
      </c>
      <c r="M754" t="n">
        <v>0</v>
      </c>
      <c r="N754" t="n">
        <v>0</v>
      </c>
      <c r="O754" t="n">
        <v>0</v>
      </c>
      <c r="P754" t="n">
        <v>0</v>
      </c>
      <c r="Q754" t="n">
        <v>0</v>
      </c>
      <c r="R754" s="2" t="inlineStr"/>
    </row>
    <row r="755" ht="15" customHeight="1">
      <c r="A755" t="inlineStr">
        <is>
          <t>A 48602-2019</t>
        </is>
      </c>
      <c r="B755" s="1" t="n">
        <v>43727</v>
      </c>
      <c r="C755" s="1" t="n">
        <v>45744</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48601-2019</t>
        </is>
      </c>
      <c r="B756" s="1" t="n">
        <v>43727</v>
      </c>
      <c r="C756" s="1" t="n">
        <v>45744</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48670-2019</t>
        </is>
      </c>
      <c r="B757" s="1" t="n">
        <v>43727</v>
      </c>
      <c r="C757" s="1" t="n">
        <v>45744</v>
      </c>
      <c r="D757" t="inlineStr">
        <is>
          <t>SKÅNE LÄN</t>
        </is>
      </c>
      <c r="E757" t="inlineStr">
        <is>
          <t>ÖSTRA GÖINGE</t>
        </is>
      </c>
      <c r="G757" t="n">
        <v>1.4</v>
      </c>
      <c r="H757" t="n">
        <v>0</v>
      </c>
      <c r="I757" t="n">
        <v>0</v>
      </c>
      <c r="J757" t="n">
        <v>0</v>
      </c>
      <c r="K757" t="n">
        <v>0</v>
      </c>
      <c r="L757" t="n">
        <v>0</v>
      </c>
      <c r="M757" t="n">
        <v>0</v>
      </c>
      <c r="N757" t="n">
        <v>0</v>
      </c>
      <c r="O757" t="n">
        <v>0</v>
      </c>
      <c r="P757" t="n">
        <v>0</v>
      </c>
      <c r="Q757" t="n">
        <v>0</v>
      </c>
      <c r="R757" s="2" t="inlineStr"/>
    </row>
    <row r="758" ht="15" customHeight="1">
      <c r="A758" t="inlineStr">
        <is>
          <t>A 48718-2019</t>
        </is>
      </c>
      <c r="B758" s="1" t="n">
        <v>43727</v>
      </c>
      <c r="C758" s="1" t="n">
        <v>45744</v>
      </c>
      <c r="D758" t="inlineStr">
        <is>
          <t>SKÅNE LÄN</t>
        </is>
      </c>
      <c r="E758" t="inlineStr">
        <is>
          <t>SVALÖV</t>
        </is>
      </c>
      <c r="G758" t="n">
        <v>2.1</v>
      </c>
      <c r="H758" t="n">
        <v>0</v>
      </c>
      <c r="I758" t="n">
        <v>0</v>
      </c>
      <c r="J758" t="n">
        <v>0</v>
      </c>
      <c r="K758" t="n">
        <v>0</v>
      </c>
      <c r="L758" t="n">
        <v>0</v>
      </c>
      <c r="M758" t="n">
        <v>0</v>
      </c>
      <c r="N758" t="n">
        <v>0</v>
      </c>
      <c r="O758" t="n">
        <v>0</v>
      </c>
      <c r="P758" t="n">
        <v>0</v>
      </c>
      <c r="Q758" t="n">
        <v>0</v>
      </c>
      <c r="R758" s="2" t="inlineStr"/>
    </row>
    <row r="759" ht="15" customHeight="1">
      <c r="A759" t="inlineStr">
        <is>
          <t>A 48843-2019</t>
        </is>
      </c>
      <c r="B759" s="1" t="n">
        <v>43728</v>
      </c>
      <c r="C759" s="1" t="n">
        <v>45744</v>
      </c>
      <c r="D759" t="inlineStr">
        <is>
          <t>SKÅNE LÄN</t>
        </is>
      </c>
      <c r="E759" t="inlineStr">
        <is>
          <t>ÖRKELLJUNGA</t>
        </is>
      </c>
      <c r="G759" t="n">
        <v>1</v>
      </c>
      <c r="H759" t="n">
        <v>0</v>
      </c>
      <c r="I759" t="n">
        <v>0</v>
      </c>
      <c r="J759" t="n">
        <v>0</v>
      </c>
      <c r="K759" t="n">
        <v>0</v>
      </c>
      <c r="L759" t="n">
        <v>0</v>
      </c>
      <c r="M759" t="n">
        <v>0</v>
      </c>
      <c r="N759" t="n">
        <v>0</v>
      </c>
      <c r="O759" t="n">
        <v>0</v>
      </c>
      <c r="P759" t="n">
        <v>0</v>
      </c>
      <c r="Q759" t="n">
        <v>0</v>
      </c>
      <c r="R759" s="2" t="inlineStr"/>
    </row>
    <row r="760" ht="15" customHeight="1">
      <c r="A760" t="inlineStr">
        <is>
          <t>A 49077-2019</t>
        </is>
      </c>
      <c r="B760" s="1" t="n">
        <v>43731</v>
      </c>
      <c r="C760" s="1" t="n">
        <v>45744</v>
      </c>
      <c r="D760" t="inlineStr">
        <is>
          <t>SKÅNE LÄN</t>
        </is>
      </c>
      <c r="E760" t="inlineStr">
        <is>
          <t>KLIPPAN</t>
        </is>
      </c>
      <c r="G760" t="n">
        <v>2.3</v>
      </c>
      <c r="H760" t="n">
        <v>0</v>
      </c>
      <c r="I760" t="n">
        <v>0</v>
      </c>
      <c r="J760" t="n">
        <v>0</v>
      </c>
      <c r="K760" t="n">
        <v>0</v>
      </c>
      <c r="L760" t="n">
        <v>0</v>
      </c>
      <c r="M760" t="n">
        <v>0</v>
      </c>
      <c r="N760" t="n">
        <v>0</v>
      </c>
      <c r="O760" t="n">
        <v>0</v>
      </c>
      <c r="P760" t="n">
        <v>0</v>
      </c>
      <c r="Q760" t="n">
        <v>0</v>
      </c>
      <c r="R760" s="2" t="inlineStr"/>
    </row>
    <row r="761" ht="15" customHeight="1">
      <c r="A761" t="inlineStr">
        <is>
          <t>A 49311-2019</t>
        </is>
      </c>
      <c r="B761" s="1" t="n">
        <v>43731</v>
      </c>
      <c r="C761" s="1" t="n">
        <v>45744</v>
      </c>
      <c r="D761" t="inlineStr">
        <is>
          <t>SKÅNE LÄN</t>
        </is>
      </c>
      <c r="E761" t="inlineStr">
        <is>
          <t>OSBY</t>
        </is>
      </c>
      <c r="G761" t="n">
        <v>0.4</v>
      </c>
      <c r="H761" t="n">
        <v>0</v>
      </c>
      <c r="I761" t="n">
        <v>0</v>
      </c>
      <c r="J761" t="n">
        <v>0</v>
      </c>
      <c r="K761" t="n">
        <v>0</v>
      </c>
      <c r="L761" t="n">
        <v>0</v>
      </c>
      <c r="M761" t="n">
        <v>0</v>
      </c>
      <c r="N761" t="n">
        <v>0</v>
      </c>
      <c r="O761" t="n">
        <v>0</v>
      </c>
      <c r="P761" t="n">
        <v>0</v>
      </c>
      <c r="Q761" t="n">
        <v>0</v>
      </c>
      <c r="R761" s="2" t="inlineStr"/>
    </row>
    <row r="762" ht="15" customHeight="1">
      <c r="A762" t="inlineStr">
        <is>
          <t>A 49028-2019</t>
        </is>
      </c>
      <c r="B762" s="1" t="n">
        <v>43731</v>
      </c>
      <c r="C762" s="1" t="n">
        <v>45744</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49552-2019</t>
        </is>
      </c>
      <c r="B763" s="1" t="n">
        <v>43732</v>
      </c>
      <c r="C763" s="1" t="n">
        <v>45744</v>
      </c>
      <c r="D763" t="inlineStr">
        <is>
          <t>SKÅNE LÄN</t>
        </is>
      </c>
      <c r="E763" t="inlineStr">
        <is>
          <t>OSBY</t>
        </is>
      </c>
      <c r="G763" t="n">
        <v>2.3</v>
      </c>
      <c r="H763" t="n">
        <v>0</v>
      </c>
      <c r="I763" t="n">
        <v>0</v>
      </c>
      <c r="J763" t="n">
        <v>0</v>
      </c>
      <c r="K763" t="n">
        <v>0</v>
      </c>
      <c r="L763" t="n">
        <v>0</v>
      </c>
      <c r="M763" t="n">
        <v>0</v>
      </c>
      <c r="N763" t="n">
        <v>0</v>
      </c>
      <c r="O763" t="n">
        <v>0</v>
      </c>
      <c r="P763" t="n">
        <v>0</v>
      </c>
      <c r="Q763" t="n">
        <v>0</v>
      </c>
      <c r="R763" s="2" t="inlineStr"/>
    </row>
    <row r="764" ht="15" customHeight="1">
      <c r="A764" t="inlineStr">
        <is>
          <t>A 49833-2019</t>
        </is>
      </c>
      <c r="B764" s="1" t="n">
        <v>43733</v>
      </c>
      <c r="C764" s="1" t="n">
        <v>45744</v>
      </c>
      <c r="D764" t="inlineStr">
        <is>
          <t>SKÅNE LÄN</t>
        </is>
      </c>
      <c r="E764" t="inlineStr">
        <is>
          <t>HÖRBY</t>
        </is>
      </c>
      <c r="G764" t="n">
        <v>1.4</v>
      </c>
      <c r="H764" t="n">
        <v>0</v>
      </c>
      <c r="I764" t="n">
        <v>0</v>
      </c>
      <c r="J764" t="n">
        <v>0</v>
      </c>
      <c r="K764" t="n">
        <v>0</v>
      </c>
      <c r="L764" t="n">
        <v>0</v>
      </c>
      <c r="M764" t="n">
        <v>0</v>
      </c>
      <c r="N764" t="n">
        <v>0</v>
      </c>
      <c r="O764" t="n">
        <v>0</v>
      </c>
      <c r="P764" t="n">
        <v>0</v>
      </c>
      <c r="Q764" t="n">
        <v>0</v>
      </c>
      <c r="R764" s="2" t="inlineStr"/>
    </row>
    <row r="765" ht="15" customHeight="1">
      <c r="A765" t="inlineStr">
        <is>
          <t>A 49703-2019</t>
        </is>
      </c>
      <c r="B765" s="1" t="n">
        <v>43733</v>
      </c>
      <c r="C765" s="1" t="n">
        <v>45744</v>
      </c>
      <c r="D765" t="inlineStr">
        <is>
          <t>SKÅNE LÄN</t>
        </is>
      </c>
      <c r="E765" t="inlineStr">
        <is>
          <t>SVALÖV</t>
        </is>
      </c>
      <c r="G765" t="n">
        <v>1.9</v>
      </c>
      <c r="H765" t="n">
        <v>0</v>
      </c>
      <c r="I765" t="n">
        <v>0</v>
      </c>
      <c r="J765" t="n">
        <v>0</v>
      </c>
      <c r="K765" t="n">
        <v>0</v>
      </c>
      <c r="L765" t="n">
        <v>0</v>
      </c>
      <c r="M765" t="n">
        <v>0</v>
      </c>
      <c r="N765" t="n">
        <v>0</v>
      </c>
      <c r="O765" t="n">
        <v>0</v>
      </c>
      <c r="P765" t="n">
        <v>0</v>
      </c>
      <c r="Q765" t="n">
        <v>0</v>
      </c>
      <c r="R765" s="2" t="inlineStr"/>
    </row>
    <row r="766" ht="15" customHeight="1">
      <c r="A766" t="inlineStr">
        <is>
          <t>A 50017-2019</t>
        </is>
      </c>
      <c r="B766" s="1" t="n">
        <v>43734</v>
      </c>
      <c r="C766" s="1" t="n">
        <v>45744</v>
      </c>
      <c r="D766" t="inlineStr">
        <is>
          <t>SKÅNE LÄN</t>
        </is>
      </c>
      <c r="E766" t="inlineStr">
        <is>
          <t>ÖRKELLJUNGA</t>
        </is>
      </c>
      <c r="G766" t="n">
        <v>1</v>
      </c>
      <c r="H766" t="n">
        <v>0</v>
      </c>
      <c r="I766" t="n">
        <v>0</v>
      </c>
      <c r="J766" t="n">
        <v>0</v>
      </c>
      <c r="K766" t="n">
        <v>0</v>
      </c>
      <c r="L766" t="n">
        <v>0</v>
      </c>
      <c r="M766" t="n">
        <v>0</v>
      </c>
      <c r="N766" t="n">
        <v>0</v>
      </c>
      <c r="O766" t="n">
        <v>0</v>
      </c>
      <c r="P766" t="n">
        <v>0</v>
      </c>
      <c r="Q766" t="n">
        <v>0</v>
      </c>
      <c r="R766" s="2" t="inlineStr"/>
    </row>
    <row r="767" ht="15" customHeight="1">
      <c r="A767" t="inlineStr">
        <is>
          <t>A 50164-2019</t>
        </is>
      </c>
      <c r="B767" s="1" t="n">
        <v>43734</v>
      </c>
      <c r="C767" s="1" t="n">
        <v>45744</v>
      </c>
      <c r="D767" t="inlineStr">
        <is>
          <t>SKÅNE LÄN</t>
        </is>
      </c>
      <c r="E767" t="inlineStr">
        <is>
          <t>KLIPPAN</t>
        </is>
      </c>
      <c r="G767" t="n">
        <v>4</v>
      </c>
      <c r="H767" t="n">
        <v>0</v>
      </c>
      <c r="I767" t="n">
        <v>0</v>
      </c>
      <c r="J767" t="n">
        <v>0</v>
      </c>
      <c r="K767" t="n">
        <v>0</v>
      </c>
      <c r="L767" t="n">
        <v>0</v>
      </c>
      <c r="M767" t="n">
        <v>0</v>
      </c>
      <c r="N767" t="n">
        <v>0</v>
      </c>
      <c r="O767" t="n">
        <v>0</v>
      </c>
      <c r="P767" t="n">
        <v>0</v>
      </c>
      <c r="Q767" t="n">
        <v>0</v>
      </c>
      <c r="R767" s="2" t="inlineStr"/>
    </row>
    <row r="768" ht="15" customHeight="1">
      <c r="A768" t="inlineStr">
        <is>
          <t>A 51843-2019</t>
        </is>
      </c>
      <c r="B768" s="1" t="n">
        <v>43734</v>
      </c>
      <c r="C768" s="1" t="n">
        <v>45744</v>
      </c>
      <c r="D768" t="inlineStr">
        <is>
          <t>SKÅNE LÄN</t>
        </is>
      </c>
      <c r="E768" t="inlineStr">
        <is>
          <t>SJÖBO</t>
        </is>
      </c>
      <c r="G768" t="n">
        <v>4</v>
      </c>
      <c r="H768" t="n">
        <v>0</v>
      </c>
      <c r="I768" t="n">
        <v>0</v>
      </c>
      <c r="J768" t="n">
        <v>0</v>
      </c>
      <c r="K768" t="n">
        <v>0</v>
      </c>
      <c r="L768" t="n">
        <v>0</v>
      </c>
      <c r="M768" t="n">
        <v>0</v>
      </c>
      <c r="N768" t="n">
        <v>0</v>
      </c>
      <c r="O768" t="n">
        <v>0</v>
      </c>
      <c r="P768" t="n">
        <v>0</v>
      </c>
      <c r="Q768" t="n">
        <v>0</v>
      </c>
      <c r="R768" s="2" t="inlineStr"/>
    </row>
    <row r="769" ht="15" customHeight="1">
      <c r="A769" t="inlineStr">
        <is>
          <t>A 51857-2019</t>
        </is>
      </c>
      <c r="B769" s="1" t="n">
        <v>43734</v>
      </c>
      <c r="C769" s="1" t="n">
        <v>45744</v>
      </c>
      <c r="D769" t="inlineStr">
        <is>
          <t>SKÅNE LÄN</t>
        </is>
      </c>
      <c r="E769" t="inlineStr">
        <is>
          <t>SJÖBO</t>
        </is>
      </c>
      <c r="G769" t="n">
        <v>1.6</v>
      </c>
      <c r="H769" t="n">
        <v>0</v>
      </c>
      <c r="I769" t="n">
        <v>0</v>
      </c>
      <c r="J769" t="n">
        <v>0</v>
      </c>
      <c r="K769" t="n">
        <v>0</v>
      </c>
      <c r="L769" t="n">
        <v>0</v>
      </c>
      <c r="M769" t="n">
        <v>0</v>
      </c>
      <c r="N769" t="n">
        <v>0</v>
      </c>
      <c r="O769" t="n">
        <v>0</v>
      </c>
      <c r="P769" t="n">
        <v>0</v>
      </c>
      <c r="Q769" t="n">
        <v>0</v>
      </c>
      <c r="R769" s="2" t="inlineStr"/>
    </row>
    <row r="770" ht="15" customHeight="1">
      <c r="A770" t="inlineStr">
        <is>
          <t>A 51879-2019</t>
        </is>
      </c>
      <c r="B770" s="1" t="n">
        <v>43734</v>
      </c>
      <c r="C770" s="1" t="n">
        <v>45744</v>
      </c>
      <c r="D770" t="inlineStr">
        <is>
          <t>SKÅNE LÄN</t>
        </is>
      </c>
      <c r="E770" t="inlineStr">
        <is>
          <t>SJÖBO</t>
        </is>
      </c>
      <c r="G770" t="n">
        <v>20.1</v>
      </c>
      <c r="H770" t="n">
        <v>0</v>
      </c>
      <c r="I770" t="n">
        <v>0</v>
      </c>
      <c r="J770" t="n">
        <v>0</v>
      </c>
      <c r="K770" t="n">
        <v>0</v>
      </c>
      <c r="L770" t="n">
        <v>0</v>
      </c>
      <c r="M770" t="n">
        <v>0</v>
      </c>
      <c r="N770" t="n">
        <v>0</v>
      </c>
      <c r="O770" t="n">
        <v>0</v>
      </c>
      <c r="P770" t="n">
        <v>0</v>
      </c>
      <c r="Q770" t="n">
        <v>0</v>
      </c>
      <c r="R770" s="2" t="inlineStr"/>
    </row>
    <row r="771" ht="15" customHeight="1">
      <c r="A771" t="inlineStr">
        <is>
          <t>A 51864-2019</t>
        </is>
      </c>
      <c r="B771" s="1" t="n">
        <v>43734</v>
      </c>
      <c r="C771" s="1" t="n">
        <v>45744</v>
      </c>
      <c r="D771" t="inlineStr">
        <is>
          <t>SKÅNE LÄN</t>
        </is>
      </c>
      <c r="E771" t="inlineStr">
        <is>
          <t>SJÖBO</t>
        </is>
      </c>
      <c r="G771" t="n">
        <v>1.1</v>
      </c>
      <c r="H771" t="n">
        <v>0</v>
      </c>
      <c r="I771" t="n">
        <v>0</v>
      </c>
      <c r="J771" t="n">
        <v>0</v>
      </c>
      <c r="K771" t="n">
        <v>0</v>
      </c>
      <c r="L771" t="n">
        <v>0</v>
      </c>
      <c r="M771" t="n">
        <v>0</v>
      </c>
      <c r="N771" t="n">
        <v>0</v>
      </c>
      <c r="O771" t="n">
        <v>0</v>
      </c>
      <c r="P771" t="n">
        <v>0</v>
      </c>
      <c r="Q771" t="n">
        <v>0</v>
      </c>
      <c r="R771" s="2" t="inlineStr"/>
    </row>
    <row r="772" ht="15" customHeight="1">
      <c r="A772" t="inlineStr">
        <is>
          <t>A 51853-2019</t>
        </is>
      </c>
      <c r="B772" s="1" t="n">
        <v>43734</v>
      </c>
      <c r="C772" s="1" t="n">
        <v>45744</v>
      </c>
      <c r="D772" t="inlineStr">
        <is>
          <t>SKÅNE LÄN</t>
        </is>
      </c>
      <c r="E772" t="inlineStr">
        <is>
          <t>SJÖBO</t>
        </is>
      </c>
      <c r="G772" t="n">
        <v>0.8</v>
      </c>
      <c r="H772" t="n">
        <v>0</v>
      </c>
      <c r="I772" t="n">
        <v>0</v>
      </c>
      <c r="J772" t="n">
        <v>0</v>
      </c>
      <c r="K772" t="n">
        <v>0</v>
      </c>
      <c r="L772" t="n">
        <v>0</v>
      </c>
      <c r="M772" t="n">
        <v>0</v>
      </c>
      <c r="N772" t="n">
        <v>0</v>
      </c>
      <c r="O772" t="n">
        <v>0</v>
      </c>
      <c r="P772" t="n">
        <v>0</v>
      </c>
      <c r="Q772" t="n">
        <v>0</v>
      </c>
      <c r="R772" s="2" t="inlineStr"/>
    </row>
    <row r="773" ht="15" customHeight="1">
      <c r="A773" t="inlineStr">
        <is>
          <t>A 51860-2019</t>
        </is>
      </c>
      <c r="B773" s="1" t="n">
        <v>43734</v>
      </c>
      <c r="C773" s="1" t="n">
        <v>45744</v>
      </c>
      <c r="D773" t="inlineStr">
        <is>
          <t>SKÅNE LÄN</t>
        </is>
      </c>
      <c r="E773" t="inlineStr">
        <is>
          <t>SJÖBO</t>
        </is>
      </c>
      <c r="G773" t="n">
        <v>1.3</v>
      </c>
      <c r="H773" t="n">
        <v>0</v>
      </c>
      <c r="I773" t="n">
        <v>0</v>
      </c>
      <c r="J773" t="n">
        <v>0</v>
      </c>
      <c r="K773" t="n">
        <v>0</v>
      </c>
      <c r="L773" t="n">
        <v>0</v>
      </c>
      <c r="M773" t="n">
        <v>0</v>
      </c>
      <c r="N773" t="n">
        <v>0</v>
      </c>
      <c r="O773" t="n">
        <v>0</v>
      </c>
      <c r="P773" t="n">
        <v>0</v>
      </c>
      <c r="Q773" t="n">
        <v>0</v>
      </c>
      <c r="R773" s="2" t="inlineStr"/>
    </row>
    <row r="774" ht="15" customHeight="1">
      <c r="A774" t="inlineStr">
        <is>
          <t>A 51886-2019</t>
        </is>
      </c>
      <c r="B774" s="1" t="n">
        <v>43734</v>
      </c>
      <c r="C774" s="1" t="n">
        <v>45744</v>
      </c>
      <c r="D774" t="inlineStr">
        <is>
          <t>SKÅNE LÄN</t>
        </is>
      </c>
      <c r="E774" t="inlineStr">
        <is>
          <t>SJÖBO</t>
        </is>
      </c>
      <c r="G774" t="n">
        <v>0.8</v>
      </c>
      <c r="H774" t="n">
        <v>0</v>
      </c>
      <c r="I774" t="n">
        <v>0</v>
      </c>
      <c r="J774" t="n">
        <v>0</v>
      </c>
      <c r="K774" t="n">
        <v>0</v>
      </c>
      <c r="L774" t="n">
        <v>0</v>
      </c>
      <c r="M774" t="n">
        <v>0</v>
      </c>
      <c r="N774" t="n">
        <v>0</v>
      </c>
      <c r="O774" t="n">
        <v>0</v>
      </c>
      <c r="P774" t="n">
        <v>0</v>
      </c>
      <c r="Q774" t="n">
        <v>0</v>
      </c>
      <c r="R774" s="2" t="inlineStr"/>
    </row>
    <row r="775" ht="15" customHeight="1">
      <c r="A775" t="inlineStr">
        <is>
          <t>A 51835-2019</t>
        </is>
      </c>
      <c r="B775" s="1" t="n">
        <v>43734</v>
      </c>
      <c r="C775" s="1" t="n">
        <v>45744</v>
      </c>
      <c r="D775" t="inlineStr">
        <is>
          <t>SKÅNE LÄN</t>
        </is>
      </c>
      <c r="E775" t="inlineStr">
        <is>
          <t>SJÖBO</t>
        </is>
      </c>
      <c r="G775" t="n">
        <v>1.3</v>
      </c>
      <c r="H775" t="n">
        <v>0</v>
      </c>
      <c r="I775" t="n">
        <v>0</v>
      </c>
      <c r="J775" t="n">
        <v>0</v>
      </c>
      <c r="K775" t="n">
        <v>0</v>
      </c>
      <c r="L775" t="n">
        <v>0</v>
      </c>
      <c r="M775" t="n">
        <v>0</v>
      </c>
      <c r="N775" t="n">
        <v>0</v>
      </c>
      <c r="O775" t="n">
        <v>0</v>
      </c>
      <c r="P775" t="n">
        <v>0</v>
      </c>
      <c r="Q775" t="n">
        <v>0</v>
      </c>
      <c r="R775" s="2" t="inlineStr"/>
    </row>
    <row r="776" ht="15" customHeight="1">
      <c r="A776" t="inlineStr">
        <is>
          <t>A 51889-2019</t>
        </is>
      </c>
      <c r="B776" s="1" t="n">
        <v>43734</v>
      </c>
      <c r="C776" s="1" t="n">
        <v>45744</v>
      </c>
      <c r="D776" t="inlineStr">
        <is>
          <t>SKÅNE LÄN</t>
        </is>
      </c>
      <c r="E776" t="inlineStr">
        <is>
          <t>SJÖBO</t>
        </is>
      </c>
      <c r="G776" t="n">
        <v>2.4</v>
      </c>
      <c r="H776" t="n">
        <v>0</v>
      </c>
      <c r="I776" t="n">
        <v>0</v>
      </c>
      <c r="J776" t="n">
        <v>0</v>
      </c>
      <c r="K776" t="n">
        <v>0</v>
      </c>
      <c r="L776" t="n">
        <v>0</v>
      </c>
      <c r="M776" t="n">
        <v>0</v>
      </c>
      <c r="N776" t="n">
        <v>0</v>
      </c>
      <c r="O776" t="n">
        <v>0</v>
      </c>
      <c r="P776" t="n">
        <v>0</v>
      </c>
      <c r="Q776" t="n">
        <v>0</v>
      </c>
      <c r="R776" s="2" t="inlineStr"/>
    </row>
    <row r="777" ht="15" customHeight="1">
      <c r="A777" t="inlineStr">
        <is>
          <t>A 51849-2019</t>
        </is>
      </c>
      <c r="B777" s="1" t="n">
        <v>43734</v>
      </c>
      <c r="C777" s="1" t="n">
        <v>45744</v>
      </c>
      <c r="D777" t="inlineStr">
        <is>
          <t>SKÅNE LÄN</t>
        </is>
      </c>
      <c r="E777" t="inlineStr">
        <is>
          <t>SJÖBO</t>
        </is>
      </c>
      <c r="G777" t="n">
        <v>0.5</v>
      </c>
      <c r="H777" t="n">
        <v>0</v>
      </c>
      <c r="I777" t="n">
        <v>0</v>
      </c>
      <c r="J777" t="n">
        <v>0</v>
      </c>
      <c r="K777" t="n">
        <v>0</v>
      </c>
      <c r="L777" t="n">
        <v>0</v>
      </c>
      <c r="M777" t="n">
        <v>0</v>
      </c>
      <c r="N777" t="n">
        <v>0</v>
      </c>
      <c r="O777" t="n">
        <v>0</v>
      </c>
      <c r="P777" t="n">
        <v>0</v>
      </c>
      <c r="Q777" t="n">
        <v>0</v>
      </c>
      <c r="R777" s="2" t="inlineStr"/>
    </row>
    <row r="778" ht="15" customHeight="1">
      <c r="A778" t="inlineStr">
        <is>
          <t>A 50398-2019</t>
        </is>
      </c>
      <c r="B778" s="1" t="n">
        <v>43735</v>
      </c>
      <c r="C778" s="1" t="n">
        <v>45744</v>
      </c>
      <c r="D778" t="inlineStr">
        <is>
          <t>SKÅNE LÄN</t>
        </is>
      </c>
      <c r="E778" t="inlineStr">
        <is>
          <t>OSBY</t>
        </is>
      </c>
      <c r="G778" t="n">
        <v>3.9</v>
      </c>
      <c r="H778" t="n">
        <v>0</v>
      </c>
      <c r="I778" t="n">
        <v>0</v>
      </c>
      <c r="J778" t="n">
        <v>0</v>
      </c>
      <c r="K778" t="n">
        <v>0</v>
      </c>
      <c r="L778" t="n">
        <v>0</v>
      </c>
      <c r="M778" t="n">
        <v>0</v>
      </c>
      <c r="N778" t="n">
        <v>0</v>
      </c>
      <c r="O778" t="n">
        <v>0</v>
      </c>
      <c r="P778" t="n">
        <v>0</v>
      </c>
      <c r="Q778" t="n">
        <v>0</v>
      </c>
      <c r="R778" s="2" t="inlineStr"/>
    </row>
    <row r="779" ht="15" customHeight="1">
      <c r="A779" t="inlineStr">
        <is>
          <t>A 50740-2019</t>
        </is>
      </c>
      <c r="B779" s="1" t="n">
        <v>43738</v>
      </c>
      <c r="C779" s="1" t="n">
        <v>45744</v>
      </c>
      <c r="D779" t="inlineStr">
        <is>
          <t>SKÅNE LÄN</t>
        </is>
      </c>
      <c r="E779" t="inlineStr">
        <is>
          <t>SJÖBO</t>
        </is>
      </c>
      <c r="G779" t="n">
        <v>1.7</v>
      </c>
      <c r="H779" t="n">
        <v>0</v>
      </c>
      <c r="I779" t="n">
        <v>0</v>
      </c>
      <c r="J779" t="n">
        <v>0</v>
      </c>
      <c r="K779" t="n">
        <v>0</v>
      </c>
      <c r="L779" t="n">
        <v>0</v>
      </c>
      <c r="M779" t="n">
        <v>0</v>
      </c>
      <c r="N779" t="n">
        <v>0</v>
      </c>
      <c r="O779" t="n">
        <v>0</v>
      </c>
      <c r="P779" t="n">
        <v>0</v>
      </c>
      <c r="Q779" t="n">
        <v>0</v>
      </c>
      <c r="R779" s="2" t="inlineStr"/>
    </row>
    <row r="780" ht="15" customHeight="1">
      <c r="A780" t="inlineStr">
        <is>
          <t>A 51052-2019</t>
        </is>
      </c>
      <c r="B780" s="1" t="n">
        <v>43739</v>
      </c>
      <c r="C780" s="1" t="n">
        <v>45744</v>
      </c>
      <c r="D780" t="inlineStr">
        <is>
          <t>SKÅNE LÄN</t>
        </is>
      </c>
      <c r="E780" t="inlineStr">
        <is>
          <t>KRISTIANSTAD</t>
        </is>
      </c>
      <c r="F780" t="inlineStr">
        <is>
          <t>Övriga Aktiebolag</t>
        </is>
      </c>
      <c r="G780" t="n">
        <v>17.8</v>
      </c>
      <c r="H780" t="n">
        <v>0</v>
      </c>
      <c r="I780" t="n">
        <v>0</v>
      </c>
      <c r="J780" t="n">
        <v>0</v>
      </c>
      <c r="K780" t="n">
        <v>0</v>
      </c>
      <c r="L780" t="n">
        <v>0</v>
      </c>
      <c r="M780" t="n">
        <v>0</v>
      </c>
      <c r="N780" t="n">
        <v>0</v>
      </c>
      <c r="O780" t="n">
        <v>0</v>
      </c>
      <c r="P780" t="n">
        <v>0</v>
      </c>
      <c r="Q780" t="n">
        <v>0</v>
      </c>
      <c r="R780" s="2" t="inlineStr"/>
    </row>
    <row r="781" ht="15" customHeight="1">
      <c r="A781" t="inlineStr">
        <is>
          <t>A 51573-2019</t>
        </is>
      </c>
      <c r="B781" s="1" t="n">
        <v>43740</v>
      </c>
      <c r="C781" s="1" t="n">
        <v>45744</v>
      </c>
      <c r="D781" t="inlineStr">
        <is>
          <t>SKÅNE LÄN</t>
        </is>
      </c>
      <c r="E781" t="inlineStr">
        <is>
          <t>HÄSSLEHOLM</t>
        </is>
      </c>
      <c r="G781" t="n">
        <v>1.3</v>
      </c>
      <c r="H781" t="n">
        <v>0</v>
      </c>
      <c r="I781" t="n">
        <v>0</v>
      </c>
      <c r="J781" t="n">
        <v>0</v>
      </c>
      <c r="K781" t="n">
        <v>0</v>
      </c>
      <c r="L781" t="n">
        <v>0</v>
      </c>
      <c r="M781" t="n">
        <v>0</v>
      </c>
      <c r="N781" t="n">
        <v>0</v>
      </c>
      <c r="O781" t="n">
        <v>0</v>
      </c>
      <c r="P781" t="n">
        <v>0</v>
      </c>
      <c r="Q781" t="n">
        <v>0</v>
      </c>
      <c r="R781" s="2" t="inlineStr"/>
    </row>
    <row r="782" ht="15" customHeight="1">
      <c r="A782" t="inlineStr">
        <is>
          <t>A 52964-2019</t>
        </is>
      </c>
      <c r="B782" s="1" t="n">
        <v>43740</v>
      </c>
      <c r="C782" s="1" t="n">
        <v>45744</v>
      </c>
      <c r="D782" t="inlineStr">
        <is>
          <t>SKÅNE LÄN</t>
        </is>
      </c>
      <c r="E782" t="inlineStr">
        <is>
          <t>HÄSSLEHOLM</t>
        </is>
      </c>
      <c r="G782" t="n">
        <v>7.5</v>
      </c>
      <c r="H782" t="n">
        <v>0</v>
      </c>
      <c r="I782" t="n">
        <v>0</v>
      </c>
      <c r="J782" t="n">
        <v>0</v>
      </c>
      <c r="K782" t="n">
        <v>0</v>
      </c>
      <c r="L782" t="n">
        <v>0</v>
      </c>
      <c r="M782" t="n">
        <v>0</v>
      </c>
      <c r="N782" t="n">
        <v>0</v>
      </c>
      <c r="O782" t="n">
        <v>0</v>
      </c>
      <c r="P782" t="n">
        <v>0</v>
      </c>
      <c r="Q782" t="n">
        <v>0</v>
      </c>
      <c r="R782" s="2" t="inlineStr"/>
    </row>
    <row r="783" ht="15" customHeight="1">
      <c r="A783" t="inlineStr">
        <is>
          <t>A 51640-2019</t>
        </is>
      </c>
      <c r="B783" s="1" t="n">
        <v>43740</v>
      </c>
      <c r="C783" s="1" t="n">
        <v>45744</v>
      </c>
      <c r="D783" t="inlineStr">
        <is>
          <t>SKÅNE LÄN</t>
        </is>
      </c>
      <c r="E783" t="inlineStr">
        <is>
          <t>ÖSTRA GÖINGE</t>
        </is>
      </c>
      <c r="G783" t="n">
        <v>1.4</v>
      </c>
      <c r="H783" t="n">
        <v>0</v>
      </c>
      <c r="I783" t="n">
        <v>0</v>
      </c>
      <c r="J783" t="n">
        <v>0</v>
      </c>
      <c r="K783" t="n">
        <v>0</v>
      </c>
      <c r="L783" t="n">
        <v>0</v>
      </c>
      <c r="M783" t="n">
        <v>0</v>
      </c>
      <c r="N783" t="n">
        <v>0</v>
      </c>
      <c r="O783" t="n">
        <v>0</v>
      </c>
      <c r="P783" t="n">
        <v>0</v>
      </c>
      <c r="Q783" t="n">
        <v>0</v>
      </c>
      <c r="R783" s="2" t="inlineStr"/>
    </row>
    <row r="784" ht="15" customHeight="1">
      <c r="A784" t="inlineStr">
        <is>
          <t>A 51476-2019</t>
        </is>
      </c>
      <c r="B784" s="1" t="n">
        <v>43740</v>
      </c>
      <c r="C784" s="1" t="n">
        <v>45744</v>
      </c>
      <c r="D784" t="inlineStr">
        <is>
          <t>SKÅNE LÄN</t>
        </is>
      </c>
      <c r="E784" t="inlineStr">
        <is>
          <t>HÄSSLEHOLM</t>
        </is>
      </c>
      <c r="G784" t="n">
        <v>3.8</v>
      </c>
      <c r="H784" t="n">
        <v>0</v>
      </c>
      <c r="I784" t="n">
        <v>0</v>
      </c>
      <c r="J784" t="n">
        <v>0</v>
      </c>
      <c r="K784" t="n">
        <v>0</v>
      </c>
      <c r="L784" t="n">
        <v>0</v>
      </c>
      <c r="M784" t="n">
        <v>0</v>
      </c>
      <c r="N784" t="n">
        <v>0</v>
      </c>
      <c r="O784" t="n">
        <v>0</v>
      </c>
      <c r="P784" t="n">
        <v>0</v>
      </c>
      <c r="Q784" t="n">
        <v>0</v>
      </c>
      <c r="R784" s="2" t="inlineStr"/>
    </row>
    <row r="785" ht="15" customHeight="1">
      <c r="A785" t="inlineStr">
        <is>
          <t>A 51579-2019</t>
        </is>
      </c>
      <c r="B785" s="1" t="n">
        <v>43740</v>
      </c>
      <c r="C785" s="1" t="n">
        <v>45744</v>
      </c>
      <c r="D785" t="inlineStr">
        <is>
          <t>SKÅNE LÄN</t>
        </is>
      </c>
      <c r="E785" t="inlineStr">
        <is>
          <t>HÄSSLEHOLM</t>
        </is>
      </c>
      <c r="G785" t="n">
        <v>1.8</v>
      </c>
      <c r="H785" t="n">
        <v>0</v>
      </c>
      <c r="I785" t="n">
        <v>0</v>
      </c>
      <c r="J785" t="n">
        <v>0</v>
      </c>
      <c r="K785" t="n">
        <v>0</v>
      </c>
      <c r="L785" t="n">
        <v>0</v>
      </c>
      <c r="M785" t="n">
        <v>0</v>
      </c>
      <c r="N785" t="n">
        <v>0</v>
      </c>
      <c r="O785" t="n">
        <v>0</v>
      </c>
      <c r="P785" t="n">
        <v>0</v>
      </c>
      <c r="Q785" t="n">
        <v>0</v>
      </c>
      <c r="R785" s="2" t="inlineStr"/>
    </row>
    <row r="786" ht="15" customHeight="1">
      <c r="A786" t="inlineStr">
        <is>
          <t>A 51543-2019</t>
        </is>
      </c>
      <c r="B786" s="1" t="n">
        <v>43740</v>
      </c>
      <c r="C786" s="1" t="n">
        <v>45744</v>
      </c>
      <c r="D786" t="inlineStr">
        <is>
          <t>SKÅNE LÄN</t>
        </is>
      </c>
      <c r="E786" t="inlineStr">
        <is>
          <t>HÄSSLEHOLM</t>
        </is>
      </c>
      <c r="G786" t="n">
        <v>4</v>
      </c>
      <c r="H786" t="n">
        <v>0</v>
      </c>
      <c r="I786" t="n">
        <v>0</v>
      </c>
      <c r="J786" t="n">
        <v>0</v>
      </c>
      <c r="K786" t="n">
        <v>0</v>
      </c>
      <c r="L786" t="n">
        <v>0</v>
      </c>
      <c r="M786" t="n">
        <v>0</v>
      </c>
      <c r="N786" t="n">
        <v>0</v>
      </c>
      <c r="O786" t="n">
        <v>0</v>
      </c>
      <c r="P786" t="n">
        <v>0</v>
      </c>
      <c r="Q786" t="n">
        <v>0</v>
      </c>
      <c r="R786" s="2" t="inlineStr"/>
    </row>
    <row r="787" ht="15" customHeight="1">
      <c r="A787" t="inlineStr">
        <is>
          <t>A 51338-2019</t>
        </is>
      </c>
      <c r="B787" s="1" t="n">
        <v>43740</v>
      </c>
      <c r="C787" s="1" t="n">
        <v>45744</v>
      </c>
      <c r="D787" t="inlineStr">
        <is>
          <t>SKÅNE LÄN</t>
        </is>
      </c>
      <c r="E787" t="inlineStr">
        <is>
          <t>SIMRISHAMN</t>
        </is>
      </c>
      <c r="F787" t="inlineStr">
        <is>
          <t>Övriga Aktiebolag</t>
        </is>
      </c>
      <c r="G787" t="n">
        <v>6.1</v>
      </c>
      <c r="H787" t="n">
        <v>0</v>
      </c>
      <c r="I787" t="n">
        <v>0</v>
      </c>
      <c r="J787" t="n">
        <v>0</v>
      </c>
      <c r="K787" t="n">
        <v>0</v>
      </c>
      <c r="L787" t="n">
        <v>0</v>
      </c>
      <c r="M787" t="n">
        <v>0</v>
      </c>
      <c r="N787" t="n">
        <v>0</v>
      </c>
      <c r="O787" t="n">
        <v>0</v>
      </c>
      <c r="P787" t="n">
        <v>0</v>
      </c>
      <c r="Q787" t="n">
        <v>0</v>
      </c>
      <c r="R787" s="2" t="inlineStr"/>
    </row>
    <row r="788" ht="15" customHeight="1">
      <c r="A788" t="inlineStr">
        <is>
          <t>A 51581-2019</t>
        </is>
      </c>
      <c r="B788" s="1" t="n">
        <v>43740</v>
      </c>
      <c r="C788" s="1" t="n">
        <v>45744</v>
      </c>
      <c r="D788" t="inlineStr">
        <is>
          <t>SKÅNE LÄN</t>
        </is>
      </c>
      <c r="E788" t="inlineStr">
        <is>
          <t>HÄSSLEHOLM</t>
        </is>
      </c>
      <c r="G788" t="n">
        <v>0.5</v>
      </c>
      <c r="H788" t="n">
        <v>0</v>
      </c>
      <c r="I788" t="n">
        <v>0</v>
      </c>
      <c r="J788" t="n">
        <v>0</v>
      </c>
      <c r="K788" t="n">
        <v>0</v>
      </c>
      <c r="L788" t="n">
        <v>0</v>
      </c>
      <c r="M788" t="n">
        <v>0</v>
      </c>
      <c r="N788" t="n">
        <v>0</v>
      </c>
      <c r="O788" t="n">
        <v>0</v>
      </c>
      <c r="P788" t="n">
        <v>0</v>
      </c>
      <c r="Q788" t="n">
        <v>0</v>
      </c>
      <c r="R788" s="2" t="inlineStr"/>
    </row>
    <row r="789" ht="15" customHeight="1">
      <c r="A789" t="inlineStr">
        <is>
          <t>A 51936-2019</t>
        </is>
      </c>
      <c r="B789" s="1" t="n">
        <v>43741</v>
      </c>
      <c r="C789" s="1" t="n">
        <v>45744</v>
      </c>
      <c r="D789" t="inlineStr">
        <is>
          <t>SKÅNE LÄN</t>
        </is>
      </c>
      <c r="E789" t="inlineStr">
        <is>
          <t>HÄSSLEHOLM</t>
        </is>
      </c>
      <c r="G789" t="n">
        <v>1.8</v>
      </c>
      <c r="H789" t="n">
        <v>0</v>
      </c>
      <c r="I789" t="n">
        <v>0</v>
      </c>
      <c r="J789" t="n">
        <v>0</v>
      </c>
      <c r="K789" t="n">
        <v>0</v>
      </c>
      <c r="L789" t="n">
        <v>0</v>
      </c>
      <c r="M789" t="n">
        <v>0</v>
      </c>
      <c r="N789" t="n">
        <v>0</v>
      </c>
      <c r="O789" t="n">
        <v>0</v>
      </c>
      <c r="P789" t="n">
        <v>0</v>
      </c>
      <c r="Q789" t="n">
        <v>0</v>
      </c>
      <c r="R789" s="2" t="inlineStr"/>
    </row>
    <row r="790" ht="15" customHeight="1">
      <c r="A790" t="inlineStr">
        <is>
          <t>A 51795-2019</t>
        </is>
      </c>
      <c r="B790" s="1" t="n">
        <v>43741</v>
      </c>
      <c r="C790" s="1" t="n">
        <v>45744</v>
      </c>
      <c r="D790" t="inlineStr">
        <is>
          <t>SKÅNE LÄN</t>
        </is>
      </c>
      <c r="E790" t="inlineStr">
        <is>
          <t>HÄSSLEHOLM</t>
        </is>
      </c>
      <c r="G790" t="n">
        <v>2</v>
      </c>
      <c r="H790" t="n">
        <v>0</v>
      </c>
      <c r="I790" t="n">
        <v>0</v>
      </c>
      <c r="J790" t="n">
        <v>0</v>
      </c>
      <c r="K790" t="n">
        <v>0</v>
      </c>
      <c r="L790" t="n">
        <v>0</v>
      </c>
      <c r="M790" t="n">
        <v>0</v>
      </c>
      <c r="N790" t="n">
        <v>0</v>
      </c>
      <c r="O790" t="n">
        <v>0</v>
      </c>
      <c r="P790" t="n">
        <v>0</v>
      </c>
      <c r="Q790" t="n">
        <v>0</v>
      </c>
      <c r="R790" s="2" t="inlineStr"/>
    </row>
    <row r="791" ht="15" customHeight="1">
      <c r="A791" t="inlineStr">
        <is>
          <t>A 51933-2019</t>
        </is>
      </c>
      <c r="B791" s="1" t="n">
        <v>43741</v>
      </c>
      <c r="C791" s="1" t="n">
        <v>45744</v>
      </c>
      <c r="D791" t="inlineStr">
        <is>
          <t>SKÅNE LÄN</t>
        </is>
      </c>
      <c r="E791" t="inlineStr">
        <is>
          <t>KLIPPAN</t>
        </is>
      </c>
      <c r="G791" t="n">
        <v>0.8</v>
      </c>
      <c r="H791" t="n">
        <v>0</v>
      </c>
      <c r="I791" t="n">
        <v>0</v>
      </c>
      <c r="J791" t="n">
        <v>0</v>
      </c>
      <c r="K791" t="n">
        <v>0</v>
      </c>
      <c r="L791" t="n">
        <v>0</v>
      </c>
      <c r="M791" t="n">
        <v>0</v>
      </c>
      <c r="N791" t="n">
        <v>0</v>
      </c>
      <c r="O791" t="n">
        <v>0</v>
      </c>
      <c r="P791" t="n">
        <v>0</v>
      </c>
      <c r="Q791" t="n">
        <v>0</v>
      </c>
      <c r="R791" s="2" t="inlineStr"/>
    </row>
    <row r="792" ht="15" customHeight="1">
      <c r="A792" t="inlineStr">
        <is>
          <t>A 51745-2019</t>
        </is>
      </c>
      <c r="B792" s="1" t="n">
        <v>43741</v>
      </c>
      <c r="C792" s="1" t="n">
        <v>45744</v>
      </c>
      <c r="D792" t="inlineStr">
        <is>
          <t>SKÅNE LÄN</t>
        </is>
      </c>
      <c r="E792" t="inlineStr">
        <is>
          <t>KRISTIANSTAD</t>
        </is>
      </c>
      <c r="F792" t="inlineStr">
        <is>
          <t>Övriga Aktiebolag</t>
        </is>
      </c>
      <c r="G792" t="n">
        <v>2.1</v>
      </c>
      <c r="H792" t="n">
        <v>0</v>
      </c>
      <c r="I792" t="n">
        <v>0</v>
      </c>
      <c r="J792" t="n">
        <v>0</v>
      </c>
      <c r="K792" t="n">
        <v>0</v>
      </c>
      <c r="L792" t="n">
        <v>0</v>
      </c>
      <c r="M792" t="n">
        <v>0</v>
      </c>
      <c r="N792" t="n">
        <v>0</v>
      </c>
      <c r="O792" t="n">
        <v>0</v>
      </c>
      <c r="P792" t="n">
        <v>0</v>
      </c>
      <c r="Q792" t="n">
        <v>0</v>
      </c>
      <c r="R792" s="2" t="inlineStr"/>
    </row>
    <row r="793" ht="15" customHeight="1">
      <c r="A793" t="inlineStr">
        <is>
          <t>A 52087-2019</t>
        </is>
      </c>
      <c r="B793" s="1" t="n">
        <v>43742</v>
      </c>
      <c r="C793" s="1" t="n">
        <v>45744</v>
      </c>
      <c r="D793" t="inlineStr">
        <is>
          <t>SKÅNE LÄN</t>
        </is>
      </c>
      <c r="E793" t="inlineStr">
        <is>
          <t>ÖSTRA GÖINGE</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52092-2019</t>
        </is>
      </c>
      <c r="B794" s="1" t="n">
        <v>43742</v>
      </c>
      <c r="C794" s="1" t="n">
        <v>45744</v>
      </c>
      <c r="D794" t="inlineStr">
        <is>
          <t>SKÅNE LÄN</t>
        </is>
      </c>
      <c r="E794" t="inlineStr">
        <is>
          <t>ÖSTRA GÖINGE</t>
        </is>
      </c>
      <c r="G794" t="n">
        <v>12.4</v>
      </c>
      <c r="H794" t="n">
        <v>0</v>
      </c>
      <c r="I794" t="n">
        <v>0</v>
      </c>
      <c r="J794" t="n">
        <v>0</v>
      </c>
      <c r="K794" t="n">
        <v>0</v>
      </c>
      <c r="L794" t="n">
        <v>0</v>
      </c>
      <c r="M794" t="n">
        <v>0</v>
      </c>
      <c r="N794" t="n">
        <v>0</v>
      </c>
      <c r="O794" t="n">
        <v>0</v>
      </c>
      <c r="P794" t="n">
        <v>0</v>
      </c>
      <c r="Q794" t="n">
        <v>0</v>
      </c>
      <c r="R794" s="2" t="inlineStr"/>
    </row>
    <row r="795" ht="15" customHeight="1">
      <c r="A795" t="inlineStr">
        <is>
          <t>A 52094-2019</t>
        </is>
      </c>
      <c r="B795" s="1" t="n">
        <v>43742</v>
      </c>
      <c r="C795" s="1" t="n">
        <v>45744</v>
      </c>
      <c r="D795" t="inlineStr">
        <is>
          <t>SKÅNE LÄN</t>
        </is>
      </c>
      <c r="E795" t="inlineStr">
        <is>
          <t>ÖSTRA GÖINGE</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51990-2019</t>
        </is>
      </c>
      <c r="B796" s="1" t="n">
        <v>43742</v>
      </c>
      <c r="C796" s="1" t="n">
        <v>45744</v>
      </c>
      <c r="D796" t="inlineStr">
        <is>
          <t>SKÅNE LÄN</t>
        </is>
      </c>
      <c r="E796" t="inlineStr">
        <is>
          <t>OSBY</t>
        </is>
      </c>
      <c r="G796" t="n">
        <v>0.4</v>
      </c>
      <c r="H796" t="n">
        <v>0</v>
      </c>
      <c r="I796" t="n">
        <v>0</v>
      </c>
      <c r="J796" t="n">
        <v>0</v>
      </c>
      <c r="K796" t="n">
        <v>0</v>
      </c>
      <c r="L796" t="n">
        <v>0</v>
      </c>
      <c r="M796" t="n">
        <v>0</v>
      </c>
      <c r="N796" t="n">
        <v>0</v>
      </c>
      <c r="O796" t="n">
        <v>0</v>
      </c>
      <c r="P796" t="n">
        <v>0</v>
      </c>
      <c r="Q796" t="n">
        <v>0</v>
      </c>
      <c r="R796" s="2" t="inlineStr"/>
    </row>
    <row r="797" ht="15" customHeight="1">
      <c r="A797" t="inlineStr">
        <is>
          <t>A 52074-2019</t>
        </is>
      </c>
      <c r="B797" s="1" t="n">
        <v>43742</v>
      </c>
      <c r="C797" s="1" t="n">
        <v>45744</v>
      </c>
      <c r="D797" t="inlineStr">
        <is>
          <t>SKÅNE LÄN</t>
        </is>
      </c>
      <c r="E797" t="inlineStr">
        <is>
          <t>ÖSTRA GÖINGE</t>
        </is>
      </c>
      <c r="G797" t="n">
        <v>15.4</v>
      </c>
      <c r="H797" t="n">
        <v>0</v>
      </c>
      <c r="I797" t="n">
        <v>0</v>
      </c>
      <c r="J797" t="n">
        <v>0</v>
      </c>
      <c r="K797" t="n">
        <v>0</v>
      </c>
      <c r="L797" t="n">
        <v>0</v>
      </c>
      <c r="M797" t="n">
        <v>0</v>
      </c>
      <c r="N797" t="n">
        <v>0</v>
      </c>
      <c r="O797" t="n">
        <v>0</v>
      </c>
      <c r="P797" t="n">
        <v>0</v>
      </c>
      <c r="Q797" t="n">
        <v>0</v>
      </c>
      <c r="R797" s="2" t="inlineStr"/>
    </row>
    <row r="798" ht="15" customHeight="1">
      <c r="A798" t="inlineStr">
        <is>
          <t>A 52083-2019</t>
        </is>
      </c>
      <c r="B798" s="1" t="n">
        <v>43742</v>
      </c>
      <c r="C798" s="1" t="n">
        <v>45744</v>
      </c>
      <c r="D798" t="inlineStr">
        <is>
          <t>SKÅNE LÄN</t>
        </is>
      </c>
      <c r="E798" t="inlineStr">
        <is>
          <t>ÖSTRA GÖINGE</t>
        </is>
      </c>
      <c r="G798" t="n">
        <v>15.3</v>
      </c>
      <c r="H798" t="n">
        <v>0</v>
      </c>
      <c r="I798" t="n">
        <v>0</v>
      </c>
      <c r="J798" t="n">
        <v>0</v>
      </c>
      <c r="K798" t="n">
        <v>0</v>
      </c>
      <c r="L798" t="n">
        <v>0</v>
      </c>
      <c r="M798" t="n">
        <v>0</v>
      </c>
      <c r="N798" t="n">
        <v>0</v>
      </c>
      <c r="O798" t="n">
        <v>0</v>
      </c>
      <c r="P798" t="n">
        <v>0</v>
      </c>
      <c r="Q798" t="n">
        <v>0</v>
      </c>
      <c r="R798" s="2" t="inlineStr"/>
    </row>
    <row r="799" ht="15" customHeight="1">
      <c r="A799" t="inlineStr">
        <is>
          <t>A 52091-2019</t>
        </is>
      </c>
      <c r="B799" s="1" t="n">
        <v>43742</v>
      </c>
      <c r="C799" s="1" t="n">
        <v>45744</v>
      </c>
      <c r="D799" t="inlineStr">
        <is>
          <t>SKÅNE LÄN</t>
        </is>
      </c>
      <c r="E799" t="inlineStr">
        <is>
          <t>ÖSTRA GÖINGE</t>
        </is>
      </c>
      <c r="G799" t="n">
        <v>10.8</v>
      </c>
      <c r="H799" t="n">
        <v>0</v>
      </c>
      <c r="I799" t="n">
        <v>0</v>
      </c>
      <c r="J799" t="n">
        <v>0</v>
      </c>
      <c r="K799" t="n">
        <v>0</v>
      </c>
      <c r="L799" t="n">
        <v>0</v>
      </c>
      <c r="M799" t="n">
        <v>0</v>
      </c>
      <c r="N799" t="n">
        <v>0</v>
      </c>
      <c r="O799" t="n">
        <v>0</v>
      </c>
      <c r="P799" t="n">
        <v>0</v>
      </c>
      <c r="Q799" t="n">
        <v>0</v>
      </c>
      <c r="R799" s="2" t="inlineStr"/>
    </row>
    <row r="800" ht="15" customHeight="1">
      <c r="A800" t="inlineStr">
        <is>
          <t>A 52095-2019</t>
        </is>
      </c>
      <c r="B800" s="1" t="n">
        <v>43742</v>
      </c>
      <c r="C800" s="1" t="n">
        <v>45744</v>
      </c>
      <c r="D800" t="inlineStr">
        <is>
          <t>SKÅNE LÄN</t>
        </is>
      </c>
      <c r="E800" t="inlineStr">
        <is>
          <t>ÖSTRA GÖINGE</t>
        </is>
      </c>
      <c r="G800" t="n">
        <v>7.2</v>
      </c>
      <c r="H800" t="n">
        <v>0</v>
      </c>
      <c r="I800" t="n">
        <v>0</v>
      </c>
      <c r="J800" t="n">
        <v>0</v>
      </c>
      <c r="K800" t="n">
        <v>0</v>
      </c>
      <c r="L800" t="n">
        <v>0</v>
      </c>
      <c r="M800" t="n">
        <v>0</v>
      </c>
      <c r="N800" t="n">
        <v>0</v>
      </c>
      <c r="O800" t="n">
        <v>0</v>
      </c>
      <c r="P800" t="n">
        <v>0</v>
      </c>
      <c r="Q800" t="n">
        <v>0</v>
      </c>
      <c r="R800" s="2" t="inlineStr"/>
    </row>
    <row r="801" ht="15" customHeight="1">
      <c r="A801" t="inlineStr">
        <is>
          <t>A 52103-2019</t>
        </is>
      </c>
      <c r="B801" s="1" t="n">
        <v>43742</v>
      </c>
      <c r="C801" s="1" t="n">
        <v>45744</v>
      </c>
      <c r="D801" t="inlineStr">
        <is>
          <t>SKÅNE LÄN</t>
        </is>
      </c>
      <c r="E801" t="inlineStr">
        <is>
          <t>ÖSTRA GÖINGE</t>
        </is>
      </c>
      <c r="G801" t="n">
        <v>4</v>
      </c>
      <c r="H801" t="n">
        <v>0</v>
      </c>
      <c r="I801" t="n">
        <v>0</v>
      </c>
      <c r="J801" t="n">
        <v>0</v>
      </c>
      <c r="K801" t="n">
        <v>0</v>
      </c>
      <c r="L801" t="n">
        <v>0</v>
      </c>
      <c r="M801" t="n">
        <v>0</v>
      </c>
      <c r="N801" t="n">
        <v>0</v>
      </c>
      <c r="O801" t="n">
        <v>0</v>
      </c>
      <c r="P801" t="n">
        <v>0</v>
      </c>
      <c r="Q801" t="n">
        <v>0</v>
      </c>
      <c r="R801" s="2" t="inlineStr"/>
    </row>
    <row r="802" ht="15" customHeight="1">
      <c r="A802" t="inlineStr">
        <is>
          <t>A 52111-2019</t>
        </is>
      </c>
      <c r="B802" s="1" t="n">
        <v>43742</v>
      </c>
      <c r="C802" s="1" t="n">
        <v>45744</v>
      </c>
      <c r="D802" t="inlineStr">
        <is>
          <t>SKÅNE LÄN</t>
        </is>
      </c>
      <c r="E802" t="inlineStr">
        <is>
          <t>ÖSTRA GÖINGE</t>
        </is>
      </c>
      <c r="G802" t="n">
        <v>1.2</v>
      </c>
      <c r="H802" t="n">
        <v>0</v>
      </c>
      <c r="I802" t="n">
        <v>0</v>
      </c>
      <c r="J802" t="n">
        <v>0</v>
      </c>
      <c r="K802" t="n">
        <v>0</v>
      </c>
      <c r="L802" t="n">
        <v>0</v>
      </c>
      <c r="M802" t="n">
        <v>0</v>
      </c>
      <c r="N802" t="n">
        <v>0</v>
      </c>
      <c r="O802" t="n">
        <v>0</v>
      </c>
      <c r="P802" t="n">
        <v>0</v>
      </c>
      <c r="Q802" t="n">
        <v>0</v>
      </c>
      <c r="R802" s="2" t="inlineStr"/>
    </row>
    <row r="803" ht="15" customHeight="1">
      <c r="A803" t="inlineStr">
        <is>
          <t>A 52077-2019</t>
        </is>
      </c>
      <c r="B803" s="1" t="n">
        <v>43742</v>
      </c>
      <c r="C803" s="1" t="n">
        <v>45744</v>
      </c>
      <c r="D803" t="inlineStr">
        <is>
          <t>SKÅNE LÄN</t>
        </is>
      </c>
      <c r="E803" t="inlineStr">
        <is>
          <t>ÖSTRA GÖINGE</t>
        </is>
      </c>
      <c r="G803" t="n">
        <v>5.2</v>
      </c>
      <c r="H803" t="n">
        <v>0</v>
      </c>
      <c r="I803" t="n">
        <v>0</v>
      </c>
      <c r="J803" t="n">
        <v>0</v>
      </c>
      <c r="K803" t="n">
        <v>0</v>
      </c>
      <c r="L803" t="n">
        <v>0</v>
      </c>
      <c r="M803" t="n">
        <v>0</v>
      </c>
      <c r="N803" t="n">
        <v>0</v>
      </c>
      <c r="O803" t="n">
        <v>0</v>
      </c>
      <c r="P803" t="n">
        <v>0</v>
      </c>
      <c r="Q803" t="n">
        <v>0</v>
      </c>
      <c r="R803" s="2" t="inlineStr"/>
    </row>
    <row r="804" ht="15" customHeight="1">
      <c r="A804" t="inlineStr">
        <is>
          <t>A 52088-2019</t>
        </is>
      </c>
      <c r="B804" s="1" t="n">
        <v>43742</v>
      </c>
      <c r="C804" s="1" t="n">
        <v>45744</v>
      </c>
      <c r="D804" t="inlineStr">
        <is>
          <t>SKÅNE LÄN</t>
        </is>
      </c>
      <c r="E804" t="inlineStr">
        <is>
          <t>ÖSTRA GÖINGE</t>
        </is>
      </c>
      <c r="G804" t="n">
        <v>0.8</v>
      </c>
      <c r="H804" t="n">
        <v>0</v>
      </c>
      <c r="I804" t="n">
        <v>0</v>
      </c>
      <c r="J804" t="n">
        <v>0</v>
      </c>
      <c r="K804" t="n">
        <v>0</v>
      </c>
      <c r="L804" t="n">
        <v>0</v>
      </c>
      <c r="M804" t="n">
        <v>0</v>
      </c>
      <c r="N804" t="n">
        <v>0</v>
      </c>
      <c r="O804" t="n">
        <v>0</v>
      </c>
      <c r="P804" t="n">
        <v>0</v>
      </c>
      <c r="Q804" t="n">
        <v>0</v>
      </c>
      <c r="R804" s="2" t="inlineStr"/>
    </row>
    <row r="805" ht="15" customHeight="1">
      <c r="A805" t="inlineStr">
        <is>
          <t>A 52090-2019</t>
        </is>
      </c>
      <c r="B805" s="1" t="n">
        <v>43742</v>
      </c>
      <c r="C805" s="1" t="n">
        <v>45744</v>
      </c>
      <c r="D805" t="inlineStr">
        <is>
          <t>SKÅNE LÄN</t>
        </is>
      </c>
      <c r="E805" t="inlineStr">
        <is>
          <t>ÖSTRA GÖINGE</t>
        </is>
      </c>
      <c r="G805" t="n">
        <v>7.3</v>
      </c>
      <c r="H805" t="n">
        <v>0</v>
      </c>
      <c r="I805" t="n">
        <v>0</v>
      </c>
      <c r="J805" t="n">
        <v>0</v>
      </c>
      <c r="K805" t="n">
        <v>0</v>
      </c>
      <c r="L805" t="n">
        <v>0</v>
      </c>
      <c r="M805" t="n">
        <v>0</v>
      </c>
      <c r="N805" t="n">
        <v>0</v>
      </c>
      <c r="O805" t="n">
        <v>0</v>
      </c>
      <c r="P805" t="n">
        <v>0</v>
      </c>
      <c r="Q805" t="n">
        <v>0</v>
      </c>
      <c r="R805" s="2" t="inlineStr"/>
    </row>
    <row r="806" ht="15" customHeight="1">
      <c r="A806" t="inlineStr">
        <is>
          <t>A 52080-2019</t>
        </is>
      </c>
      <c r="B806" s="1" t="n">
        <v>43742</v>
      </c>
      <c r="C806" s="1" t="n">
        <v>45744</v>
      </c>
      <c r="D806" t="inlineStr">
        <is>
          <t>SKÅNE LÄN</t>
        </is>
      </c>
      <c r="E806" t="inlineStr">
        <is>
          <t>ÖSTRA GÖINGE</t>
        </is>
      </c>
      <c r="G806" t="n">
        <v>4.6</v>
      </c>
      <c r="H806" t="n">
        <v>0</v>
      </c>
      <c r="I806" t="n">
        <v>0</v>
      </c>
      <c r="J806" t="n">
        <v>0</v>
      </c>
      <c r="K806" t="n">
        <v>0</v>
      </c>
      <c r="L806" t="n">
        <v>0</v>
      </c>
      <c r="M806" t="n">
        <v>0</v>
      </c>
      <c r="N806" t="n">
        <v>0</v>
      </c>
      <c r="O806" t="n">
        <v>0</v>
      </c>
      <c r="P806" t="n">
        <v>0</v>
      </c>
      <c r="Q806" t="n">
        <v>0</v>
      </c>
      <c r="R806" s="2" t="inlineStr"/>
    </row>
    <row r="807" ht="15" customHeight="1">
      <c r="A807" t="inlineStr">
        <is>
          <t>A 52073-2019</t>
        </is>
      </c>
      <c r="B807" s="1" t="n">
        <v>43742</v>
      </c>
      <c r="C807" s="1" t="n">
        <v>45744</v>
      </c>
      <c r="D807" t="inlineStr">
        <is>
          <t>SKÅNE LÄN</t>
        </is>
      </c>
      <c r="E807" t="inlineStr">
        <is>
          <t>ÖSTRA GÖINGE</t>
        </is>
      </c>
      <c r="G807" t="n">
        <v>1.5</v>
      </c>
      <c r="H807" t="n">
        <v>0</v>
      </c>
      <c r="I807" t="n">
        <v>0</v>
      </c>
      <c r="J807" t="n">
        <v>0</v>
      </c>
      <c r="K807" t="n">
        <v>0</v>
      </c>
      <c r="L807" t="n">
        <v>0</v>
      </c>
      <c r="M807" t="n">
        <v>0</v>
      </c>
      <c r="N807" t="n">
        <v>0</v>
      </c>
      <c r="O807" t="n">
        <v>0</v>
      </c>
      <c r="P807" t="n">
        <v>0</v>
      </c>
      <c r="Q807" t="n">
        <v>0</v>
      </c>
      <c r="R807" s="2" t="inlineStr"/>
    </row>
    <row r="808" ht="15" customHeight="1">
      <c r="A808" t="inlineStr">
        <is>
          <t>A 51982-2019</t>
        </is>
      </c>
      <c r="B808" s="1" t="n">
        <v>43742</v>
      </c>
      <c r="C808" s="1" t="n">
        <v>45744</v>
      </c>
      <c r="D808" t="inlineStr">
        <is>
          <t>SKÅNE LÄN</t>
        </is>
      </c>
      <c r="E808" t="inlineStr">
        <is>
          <t>OSBY</t>
        </is>
      </c>
      <c r="G808" t="n">
        <v>0.8</v>
      </c>
      <c r="H808" t="n">
        <v>0</v>
      </c>
      <c r="I808" t="n">
        <v>0</v>
      </c>
      <c r="J808" t="n">
        <v>0</v>
      </c>
      <c r="K808" t="n">
        <v>0</v>
      </c>
      <c r="L808" t="n">
        <v>0</v>
      </c>
      <c r="M808" t="n">
        <v>0</v>
      </c>
      <c r="N808" t="n">
        <v>0</v>
      </c>
      <c r="O808" t="n">
        <v>0</v>
      </c>
      <c r="P808" t="n">
        <v>0</v>
      </c>
      <c r="Q808" t="n">
        <v>0</v>
      </c>
      <c r="R808" s="2" t="inlineStr"/>
    </row>
    <row r="809" ht="15" customHeight="1">
      <c r="A809" t="inlineStr">
        <is>
          <t>A 52097-2019</t>
        </is>
      </c>
      <c r="B809" s="1" t="n">
        <v>43742</v>
      </c>
      <c r="C809" s="1" t="n">
        <v>45744</v>
      </c>
      <c r="D809" t="inlineStr">
        <is>
          <t>SKÅNE LÄN</t>
        </is>
      </c>
      <c r="E809" t="inlineStr">
        <is>
          <t>ÖSTRA GÖINGE</t>
        </is>
      </c>
      <c r="G809" t="n">
        <v>14.2</v>
      </c>
      <c r="H809" t="n">
        <v>0</v>
      </c>
      <c r="I809" t="n">
        <v>0</v>
      </c>
      <c r="J809" t="n">
        <v>0</v>
      </c>
      <c r="K809" t="n">
        <v>0</v>
      </c>
      <c r="L809" t="n">
        <v>0</v>
      </c>
      <c r="M809" t="n">
        <v>0</v>
      </c>
      <c r="N809" t="n">
        <v>0</v>
      </c>
      <c r="O809" t="n">
        <v>0</v>
      </c>
      <c r="P809" t="n">
        <v>0</v>
      </c>
      <c r="Q809" t="n">
        <v>0</v>
      </c>
      <c r="R809" s="2" t="inlineStr"/>
    </row>
    <row r="810" ht="15" customHeight="1">
      <c r="A810" t="inlineStr">
        <is>
          <t>A 51988-2019</t>
        </is>
      </c>
      <c r="B810" s="1" t="n">
        <v>43742</v>
      </c>
      <c r="C810" s="1" t="n">
        <v>45744</v>
      </c>
      <c r="D810" t="inlineStr">
        <is>
          <t>SKÅNE LÄN</t>
        </is>
      </c>
      <c r="E810" t="inlineStr">
        <is>
          <t>OSBY</t>
        </is>
      </c>
      <c r="G810" t="n">
        <v>0.3</v>
      </c>
      <c r="H810" t="n">
        <v>0</v>
      </c>
      <c r="I810" t="n">
        <v>0</v>
      </c>
      <c r="J810" t="n">
        <v>0</v>
      </c>
      <c r="K810" t="n">
        <v>0</v>
      </c>
      <c r="L810" t="n">
        <v>0</v>
      </c>
      <c r="M810" t="n">
        <v>0</v>
      </c>
      <c r="N810" t="n">
        <v>0</v>
      </c>
      <c r="O810" t="n">
        <v>0</v>
      </c>
      <c r="P810" t="n">
        <v>0</v>
      </c>
      <c r="Q810" t="n">
        <v>0</v>
      </c>
      <c r="R810" s="2" t="inlineStr"/>
    </row>
    <row r="811" ht="15" customHeight="1">
      <c r="A811" t="inlineStr">
        <is>
          <t>A 52110-2019</t>
        </is>
      </c>
      <c r="B811" s="1" t="n">
        <v>43742</v>
      </c>
      <c r="C811" s="1" t="n">
        <v>45744</v>
      </c>
      <c r="D811" t="inlineStr">
        <is>
          <t>SKÅNE LÄN</t>
        </is>
      </c>
      <c r="E811" t="inlineStr">
        <is>
          <t>ÖSTRA GÖINGE</t>
        </is>
      </c>
      <c r="G811" t="n">
        <v>5.9</v>
      </c>
      <c r="H811" t="n">
        <v>0</v>
      </c>
      <c r="I811" t="n">
        <v>0</v>
      </c>
      <c r="J811" t="n">
        <v>0</v>
      </c>
      <c r="K811" t="n">
        <v>0</v>
      </c>
      <c r="L811" t="n">
        <v>0</v>
      </c>
      <c r="M811" t="n">
        <v>0</v>
      </c>
      <c r="N811" t="n">
        <v>0</v>
      </c>
      <c r="O811" t="n">
        <v>0</v>
      </c>
      <c r="P811" t="n">
        <v>0</v>
      </c>
      <c r="Q811" t="n">
        <v>0</v>
      </c>
      <c r="R811" s="2" t="inlineStr"/>
    </row>
    <row r="812" ht="15" customHeight="1">
      <c r="A812" t="inlineStr">
        <is>
          <t>A 52531-2019</t>
        </is>
      </c>
      <c r="B812" s="1" t="n">
        <v>43745</v>
      </c>
      <c r="C812" s="1" t="n">
        <v>45744</v>
      </c>
      <c r="D812" t="inlineStr">
        <is>
          <t>SKÅNE LÄN</t>
        </is>
      </c>
      <c r="E812" t="inlineStr">
        <is>
          <t>ÖRKELLJUNGA</t>
        </is>
      </c>
      <c r="G812" t="n">
        <v>0.6</v>
      </c>
      <c r="H812" t="n">
        <v>0</v>
      </c>
      <c r="I812" t="n">
        <v>0</v>
      </c>
      <c r="J812" t="n">
        <v>0</v>
      </c>
      <c r="K812" t="n">
        <v>0</v>
      </c>
      <c r="L812" t="n">
        <v>0</v>
      </c>
      <c r="M812" t="n">
        <v>0</v>
      </c>
      <c r="N812" t="n">
        <v>0</v>
      </c>
      <c r="O812" t="n">
        <v>0</v>
      </c>
      <c r="P812" t="n">
        <v>0</v>
      </c>
      <c r="Q812" t="n">
        <v>0</v>
      </c>
      <c r="R812" s="2" t="inlineStr"/>
    </row>
    <row r="813" ht="15" customHeight="1">
      <c r="A813" t="inlineStr">
        <is>
          <t>A 52896-2019</t>
        </is>
      </c>
      <c r="B813" s="1" t="n">
        <v>43746</v>
      </c>
      <c r="C813" s="1" t="n">
        <v>45744</v>
      </c>
      <c r="D813" t="inlineStr">
        <is>
          <t>SKÅNE LÄN</t>
        </is>
      </c>
      <c r="E813" t="inlineStr">
        <is>
          <t>HÄSSLEHOLM</t>
        </is>
      </c>
      <c r="G813" t="n">
        <v>1.2</v>
      </c>
      <c r="H813" t="n">
        <v>0</v>
      </c>
      <c r="I813" t="n">
        <v>0</v>
      </c>
      <c r="J813" t="n">
        <v>0</v>
      </c>
      <c r="K813" t="n">
        <v>0</v>
      </c>
      <c r="L813" t="n">
        <v>0</v>
      </c>
      <c r="M813" t="n">
        <v>0</v>
      </c>
      <c r="N813" t="n">
        <v>0</v>
      </c>
      <c r="O813" t="n">
        <v>0</v>
      </c>
      <c r="P813" t="n">
        <v>0</v>
      </c>
      <c r="Q813" t="n">
        <v>0</v>
      </c>
      <c r="R813" s="2" t="inlineStr"/>
    </row>
    <row r="814" ht="15" customHeight="1">
      <c r="A814" t="inlineStr">
        <is>
          <t>A 52997-2019</t>
        </is>
      </c>
      <c r="B814" s="1" t="n">
        <v>43747</v>
      </c>
      <c r="C814" s="1" t="n">
        <v>45744</v>
      </c>
      <c r="D814" t="inlineStr">
        <is>
          <t>SKÅNE LÄN</t>
        </is>
      </c>
      <c r="E814" t="inlineStr">
        <is>
          <t>KRISTIANSTAD</t>
        </is>
      </c>
      <c r="F814" t="inlineStr">
        <is>
          <t>Sveaskog</t>
        </is>
      </c>
      <c r="G814" t="n">
        <v>5</v>
      </c>
      <c r="H814" t="n">
        <v>0</v>
      </c>
      <c r="I814" t="n">
        <v>0</v>
      </c>
      <c r="J814" t="n">
        <v>0</v>
      </c>
      <c r="K814" t="n">
        <v>0</v>
      </c>
      <c r="L814" t="n">
        <v>0</v>
      </c>
      <c r="M814" t="n">
        <v>0</v>
      </c>
      <c r="N814" t="n">
        <v>0</v>
      </c>
      <c r="O814" t="n">
        <v>0</v>
      </c>
      <c r="P814" t="n">
        <v>0</v>
      </c>
      <c r="Q814" t="n">
        <v>0</v>
      </c>
      <c r="R814" s="2" t="inlineStr"/>
    </row>
    <row r="815" ht="15" customHeight="1">
      <c r="A815" t="inlineStr">
        <is>
          <t>A 52978-2019</t>
        </is>
      </c>
      <c r="B815" s="1" t="n">
        <v>43747</v>
      </c>
      <c r="C815" s="1" t="n">
        <v>45744</v>
      </c>
      <c r="D815" t="inlineStr">
        <is>
          <t>SKÅNE LÄN</t>
        </is>
      </c>
      <c r="E815" t="inlineStr">
        <is>
          <t>KRISTIANSTAD</t>
        </is>
      </c>
      <c r="F815" t="inlineStr">
        <is>
          <t>Övriga Aktiebolag</t>
        </is>
      </c>
      <c r="G815" t="n">
        <v>10.5</v>
      </c>
      <c r="H815" t="n">
        <v>0</v>
      </c>
      <c r="I815" t="n">
        <v>0</v>
      </c>
      <c r="J815" t="n">
        <v>0</v>
      </c>
      <c r="K815" t="n">
        <v>0</v>
      </c>
      <c r="L815" t="n">
        <v>0</v>
      </c>
      <c r="M815" t="n">
        <v>0</v>
      </c>
      <c r="N815" t="n">
        <v>0</v>
      </c>
      <c r="O815" t="n">
        <v>0</v>
      </c>
      <c r="P815" t="n">
        <v>0</v>
      </c>
      <c r="Q815" t="n">
        <v>0</v>
      </c>
      <c r="R815" s="2" t="inlineStr"/>
    </row>
    <row r="816" ht="15" customHeight="1">
      <c r="A816" t="inlineStr">
        <is>
          <t>A 53072-2019</t>
        </is>
      </c>
      <c r="B816" s="1" t="n">
        <v>43747</v>
      </c>
      <c r="C816" s="1" t="n">
        <v>45744</v>
      </c>
      <c r="D816" t="inlineStr">
        <is>
          <t>SKÅNE LÄN</t>
        </is>
      </c>
      <c r="E816" t="inlineStr">
        <is>
          <t>HÖRBY</t>
        </is>
      </c>
      <c r="F816" t="inlineStr">
        <is>
          <t>Kyrkan</t>
        </is>
      </c>
      <c r="G816" t="n">
        <v>3.4</v>
      </c>
      <c r="H816" t="n">
        <v>0</v>
      </c>
      <c r="I816" t="n">
        <v>0</v>
      </c>
      <c r="J816" t="n">
        <v>0</v>
      </c>
      <c r="K816" t="n">
        <v>0</v>
      </c>
      <c r="L816" t="n">
        <v>0</v>
      </c>
      <c r="M816" t="n">
        <v>0</v>
      </c>
      <c r="N816" t="n">
        <v>0</v>
      </c>
      <c r="O816" t="n">
        <v>0</v>
      </c>
      <c r="P816" t="n">
        <v>0</v>
      </c>
      <c r="Q816" t="n">
        <v>0</v>
      </c>
      <c r="R816" s="2" t="inlineStr"/>
    </row>
    <row r="817" ht="15" customHeight="1">
      <c r="A817" t="inlineStr">
        <is>
          <t>A 53298-2019</t>
        </is>
      </c>
      <c r="B817" s="1" t="n">
        <v>43748</v>
      </c>
      <c r="C817" s="1" t="n">
        <v>45744</v>
      </c>
      <c r="D817" t="inlineStr">
        <is>
          <t>SKÅNE LÄN</t>
        </is>
      </c>
      <c r="E817" t="inlineStr">
        <is>
          <t>ÖRKELLJUNGA</t>
        </is>
      </c>
      <c r="G817" t="n">
        <v>0.6</v>
      </c>
      <c r="H817" t="n">
        <v>0</v>
      </c>
      <c r="I817" t="n">
        <v>0</v>
      </c>
      <c r="J817" t="n">
        <v>0</v>
      </c>
      <c r="K817" t="n">
        <v>0</v>
      </c>
      <c r="L817" t="n">
        <v>0</v>
      </c>
      <c r="M817" t="n">
        <v>0</v>
      </c>
      <c r="N817" t="n">
        <v>0</v>
      </c>
      <c r="O817" t="n">
        <v>0</v>
      </c>
      <c r="P817" t="n">
        <v>0</v>
      </c>
      <c r="Q817" t="n">
        <v>0</v>
      </c>
      <c r="R817" s="2" t="inlineStr"/>
    </row>
    <row r="818" ht="15" customHeight="1">
      <c r="A818" t="inlineStr">
        <is>
          <t>A 53196-2019</t>
        </is>
      </c>
      <c r="B818" s="1" t="n">
        <v>43748</v>
      </c>
      <c r="C818" s="1" t="n">
        <v>45744</v>
      </c>
      <c r="D818" t="inlineStr">
        <is>
          <t>SKÅNE LÄN</t>
        </is>
      </c>
      <c r="E818" t="inlineStr">
        <is>
          <t>HELSINGBORG</t>
        </is>
      </c>
      <c r="G818" t="n">
        <v>1.6</v>
      </c>
      <c r="H818" t="n">
        <v>0</v>
      </c>
      <c r="I818" t="n">
        <v>0</v>
      </c>
      <c r="J818" t="n">
        <v>0</v>
      </c>
      <c r="K818" t="n">
        <v>0</v>
      </c>
      <c r="L818" t="n">
        <v>0</v>
      </c>
      <c r="M818" t="n">
        <v>0</v>
      </c>
      <c r="N818" t="n">
        <v>0</v>
      </c>
      <c r="O818" t="n">
        <v>0</v>
      </c>
      <c r="P818" t="n">
        <v>0</v>
      </c>
      <c r="Q818" t="n">
        <v>0</v>
      </c>
      <c r="R818" s="2" t="inlineStr"/>
    </row>
    <row r="819" ht="15" customHeight="1">
      <c r="A819" t="inlineStr">
        <is>
          <t>A 53242-2019</t>
        </is>
      </c>
      <c r="B819" s="1" t="n">
        <v>43748</v>
      </c>
      <c r="C819" s="1" t="n">
        <v>45744</v>
      </c>
      <c r="D819" t="inlineStr">
        <is>
          <t>SKÅNE LÄN</t>
        </is>
      </c>
      <c r="E819" t="inlineStr">
        <is>
          <t>ÖRKELLJUNGA</t>
        </is>
      </c>
      <c r="G819" t="n">
        <v>2.5</v>
      </c>
      <c r="H819" t="n">
        <v>0</v>
      </c>
      <c r="I819" t="n">
        <v>0</v>
      </c>
      <c r="J819" t="n">
        <v>0</v>
      </c>
      <c r="K819" t="n">
        <v>0</v>
      </c>
      <c r="L819" t="n">
        <v>0</v>
      </c>
      <c r="M819" t="n">
        <v>0</v>
      </c>
      <c r="N819" t="n">
        <v>0</v>
      </c>
      <c r="O819" t="n">
        <v>0</v>
      </c>
      <c r="P819" t="n">
        <v>0</v>
      </c>
      <c r="Q819" t="n">
        <v>0</v>
      </c>
      <c r="R819" s="2" t="inlineStr"/>
    </row>
    <row r="820" ht="15" customHeight="1">
      <c r="A820" t="inlineStr">
        <is>
          <t>A 53310-2019</t>
        </is>
      </c>
      <c r="B820" s="1" t="n">
        <v>43748</v>
      </c>
      <c r="C820" s="1" t="n">
        <v>45744</v>
      </c>
      <c r="D820" t="inlineStr">
        <is>
          <t>SKÅNE LÄN</t>
        </is>
      </c>
      <c r="E820" t="inlineStr">
        <is>
          <t>PERSTORP</t>
        </is>
      </c>
      <c r="G820" t="n">
        <v>0.8</v>
      </c>
      <c r="H820" t="n">
        <v>0</v>
      </c>
      <c r="I820" t="n">
        <v>0</v>
      </c>
      <c r="J820" t="n">
        <v>0</v>
      </c>
      <c r="K820" t="n">
        <v>0</v>
      </c>
      <c r="L820" t="n">
        <v>0</v>
      </c>
      <c r="M820" t="n">
        <v>0</v>
      </c>
      <c r="N820" t="n">
        <v>0</v>
      </c>
      <c r="O820" t="n">
        <v>0</v>
      </c>
      <c r="P820" t="n">
        <v>0</v>
      </c>
      <c r="Q820" t="n">
        <v>0</v>
      </c>
      <c r="R820" s="2" t="inlineStr"/>
    </row>
    <row r="821" ht="15" customHeight="1">
      <c r="A821" t="inlineStr">
        <is>
          <t>A 54750-2019</t>
        </is>
      </c>
      <c r="B821" s="1" t="n">
        <v>43748</v>
      </c>
      <c r="C821" s="1" t="n">
        <v>45744</v>
      </c>
      <c r="D821" t="inlineStr">
        <is>
          <t>SKÅNE LÄN</t>
        </is>
      </c>
      <c r="E821" t="inlineStr">
        <is>
          <t>ÖSTRA GÖINGE</t>
        </is>
      </c>
      <c r="G821" t="n">
        <v>1.8</v>
      </c>
      <c r="H821" t="n">
        <v>0</v>
      </c>
      <c r="I821" t="n">
        <v>0</v>
      </c>
      <c r="J821" t="n">
        <v>0</v>
      </c>
      <c r="K821" t="n">
        <v>0</v>
      </c>
      <c r="L821" t="n">
        <v>0</v>
      </c>
      <c r="M821" t="n">
        <v>0</v>
      </c>
      <c r="N821" t="n">
        <v>0</v>
      </c>
      <c r="O821" t="n">
        <v>0</v>
      </c>
      <c r="P821" t="n">
        <v>0</v>
      </c>
      <c r="Q821" t="n">
        <v>0</v>
      </c>
      <c r="R821" s="2" t="inlineStr"/>
    </row>
    <row r="822" ht="15" customHeight="1">
      <c r="A822" t="inlineStr">
        <is>
          <t>A 54745-2019</t>
        </is>
      </c>
      <c r="B822" s="1" t="n">
        <v>43749</v>
      </c>
      <c r="C822" s="1" t="n">
        <v>45744</v>
      </c>
      <c r="D822" t="inlineStr">
        <is>
          <t>SKÅNE LÄN</t>
        </is>
      </c>
      <c r="E822" t="inlineStr">
        <is>
          <t>HÄSSLEHOLM</t>
        </is>
      </c>
      <c r="G822" t="n">
        <v>2.5</v>
      </c>
      <c r="H822" t="n">
        <v>0</v>
      </c>
      <c r="I822" t="n">
        <v>0</v>
      </c>
      <c r="J822" t="n">
        <v>0</v>
      </c>
      <c r="K822" t="n">
        <v>0</v>
      </c>
      <c r="L822" t="n">
        <v>0</v>
      </c>
      <c r="M822" t="n">
        <v>0</v>
      </c>
      <c r="N822" t="n">
        <v>0</v>
      </c>
      <c r="O822" t="n">
        <v>0</v>
      </c>
      <c r="P822" t="n">
        <v>0</v>
      </c>
      <c r="Q822" t="n">
        <v>0</v>
      </c>
      <c r="R822" s="2" t="inlineStr"/>
    </row>
    <row r="823" ht="15" customHeight="1">
      <c r="A823" t="inlineStr">
        <is>
          <t>A 54092-2019</t>
        </is>
      </c>
      <c r="B823" s="1" t="n">
        <v>43752</v>
      </c>
      <c r="C823" s="1" t="n">
        <v>45744</v>
      </c>
      <c r="D823" t="inlineStr">
        <is>
          <t>SKÅNE LÄN</t>
        </is>
      </c>
      <c r="E823" t="inlineStr">
        <is>
          <t>PERSTORP</t>
        </is>
      </c>
      <c r="G823" t="n">
        <v>0.9</v>
      </c>
      <c r="H823" t="n">
        <v>0</v>
      </c>
      <c r="I823" t="n">
        <v>0</v>
      </c>
      <c r="J823" t="n">
        <v>0</v>
      </c>
      <c r="K823" t="n">
        <v>0</v>
      </c>
      <c r="L823" t="n">
        <v>0</v>
      </c>
      <c r="M823" t="n">
        <v>0</v>
      </c>
      <c r="N823" t="n">
        <v>0</v>
      </c>
      <c r="O823" t="n">
        <v>0</v>
      </c>
      <c r="P823" t="n">
        <v>0</v>
      </c>
      <c r="Q823" t="n">
        <v>0</v>
      </c>
      <c r="R823" s="2" t="inlineStr"/>
    </row>
    <row r="824" ht="15" customHeight="1">
      <c r="A824" t="inlineStr">
        <is>
          <t>A 55155-2019</t>
        </is>
      </c>
      <c r="B824" s="1" t="n">
        <v>43752</v>
      </c>
      <c r="C824" s="1" t="n">
        <v>45744</v>
      </c>
      <c r="D824" t="inlineStr">
        <is>
          <t>SKÅNE LÄN</t>
        </is>
      </c>
      <c r="E824" t="inlineStr">
        <is>
          <t>HÄSSLEHOLM</t>
        </is>
      </c>
      <c r="F824" t="inlineStr">
        <is>
          <t>Övriga Aktiebolag</t>
        </is>
      </c>
      <c r="G824" t="n">
        <v>2</v>
      </c>
      <c r="H824" t="n">
        <v>0</v>
      </c>
      <c r="I824" t="n">
        <v>0</v>
      </c>
      <c r="J824" t="n">
        <v>0</v>
      </c>
      <c r="K824" t="n">
        <v>0</v>
      </c>
      <c r="L824" t="n">
        <v>0</v>
      </c>
      <c r="M824" t="n">
        <v>0</v>
      </c>
      <c r="N824" t="n">
        <v>0</v>
      </c>
      <c r="O824" t="n">
        <v>0</v>
      </c>
      <c r="P824" t="n">
        <v>0</v>
      </c>
      <c r="Q824" t="n">
        <v>0</v>
      </c>
      <c r="R824" s="2" t="inlineStr"/>
    </row>
    <row r="825" ht="15" customHeight="1">
      <c r="A825" t="inlineStr">
        <is>
          <t>A 54334-2019</t>
        </is>
      </c>
      <c r="B825" s="1" t="n">
        <v>43753</v>
      </c>
      <c r="C825" s="1" t="n">
        <v>45744</v>
      </c>
      <c r="D825" t="inlineStr">
        <is>
          <t>SKÅNE LÄN</t>
        </is>
      </c>
      <c r="E825" t="inlineStr">
        <is>
          <t>BROMÖLLA</t>
        </is>
      </c>
      <c r="G825" t="n">
        <v>1.4</v>
      </c>
      <c r="H825" t="n">
        <v>0</v>
      </c>
      <c r="I825" t="n">
        <v>0</v>
      </c>
      <c r="J825" t="n">
        <v>0</v>
      </c>
      <c r="K825" t="n">
        <v>0</v>
      </c>
      <c r="L825" t="n">
        <v>0</v>
      </c>
      <c r="M825" t="n">
        <v>0</v>
      </c>
      <c r="N825" t="n">
        <v>0</v>
      </c>
      <c r="O825" t="n">
        <v>0</v>
      </c>
      <c r="P825" t="n">
        <v>0</v>
      </c>
      <c r="Q825" t="n">
        <v>0</v>
      </c>
      <c r="R825" s="2" t="inlineStr"/>
    </row>
    <row r="826" ht="15" customHeight="1">
      <c r="A826" t="inlineStr">
        <is>
          <t>A 54270-2019</t>
        </is>
      </c>
      <c r="B826" s="1" t="n">
        <v>43753</v>
      </c>
      <c r="C826" s="1" t="n">
        <v>45744</v>
      </c>
      <c r="D826" t="inlineStr">
        <is>
          <t>SKÅNE LÄN</t>
        </is>
      </c>
      <c r="E826" t="inlineStr">
        <is>
          <t>OSBY</t>
        </is>
      </c>
      <c r="G826" t="n">
        <v>2.1</v>
      </c>
      <c r="H826" t="n">
        <v>0</v>
      </c>
      <c r="I826" t="n">
        <v>0</v>
      </c>
      <c r="J826" t="n">
        <v>0</v>
      </c>
      <c r="K826" t="n">
        <v>0</v>
      </c>
      <c r="L826" t="n">
        <v>0</v>
      </c>
      <c r="M826" t="n">
        <v>0</v>
      </c>
      <c r="N826" t="n">
        <v>0</v>
      </c>
      <c r="O826" t="n">
        <v>0</v>
      </c>
      <c r="P826" t="n">
        <v>0</v>
      </c>
      <c r="Q826" t="n">
        <v>0</v>
      </c>
      <c r="R826" s="2" t="inlineStr"/>
    </row>
    <row r="827" ht="15" customHeight="1">
      <c r="A827" t="inlineStr">
        <is>
          <t>A 54592-2019</t>
        </is>
      </c>
      <c r="B827" s="1" t="n">
        <v>43754</v>
      </c>
      <c r="C827" s="1" t="n">
        <v>45744</v>
      </c>
      <c r="D827" t="inlineStr">
        <is>
          <t>SKÅNE LÄN</t>
        </is>
      </c>
      <c r="E827" t="inlineStr">
        <is>
          <t>ÖSTRA GÖINGE</t>
        </is>
      </c>
      <c r="G827" t="n">
        <v>3.5</v>
      </c>
      <c r="H827" t="n">
        <v>0</v>
      </c>
      <c r="I827" t="n">
        <v>0</v>
      </c>
      <c r="J827" t="n">
        <v>0</v>
      </c>
      <c r="K827" t="n">
        <v>0</v>
      </c>
      <c r="L827" t="n">
        <v>0</v>
      </c>
      <c r="M827" t="n">
        <v>0</v>
      </c>
      <c r="N827" t="n">
        <v>0</v>
      </c>
      <c r="O827" t="n">
        <v>0</v>
      </c>
      <c r="P827" t="n">
        <v>0</v>
      </c>
      <c r="Q827" t="n">
        <v>0</v>
      </c>
      <c r="R827" s="2" t="inlineStr"/>
    </row>
    <row r="828" ht="15" customHeight="1">
      <c r="A828" t="inlineStr">
        <is>
          <t>A 54662-2019</t>
        </is>
      </c>
      <c r="B828" s="1" t="n">
        <v>43754</v>
      </c>
      <c r="C828" s="1" t="n">
        <v>45744</v>
      </c>
      <c r="D828" t="inlineStr">
        <is>
          <t>SKÅNE LÄN</t>
        </is>
      </c>
      <c r="E828" t="inlineStr">
        <is>
          <t>ÖRKELLJUNGA</t>
        </is>
      </c>
      <c r="G828" t="n">
        <v>1.8</v>
      </c>
      <c r="H828" t="n">
        <v>0</v>
      </c>
      <c r="I828" t="n">
        <v>0</v>
      </c>
      <c r="J828" t="n">
        <v>0</v>
      </c>
      <c r="K828" t="n">
        <v>0</v>
      </c>
      <c r="L828" t="n">
        <v>0</v>
      </c>
      <c r="M828" t="n">
        <v>0</v>
      </c>
      <c r="N828" t="n">
        <v>0</v>
      </c>
      <c r="O828" t="n">
        <v>0</v>
      </c>
      <c r="P828" t="n">
        <v>0</v>
      </c>
      <c r="Q828" t="n">
        <v>0</v>
      </c>
      <c r="R828" s="2" t="inlineStr"/>
    </row>
    <row r="829" ht="15" customHeight="1">
      <c r="A829" t="inlineStr">
        <is>
          <t>A 54601-2019</t>
        </is>
      </c>
      <c r="B829" s="1" t="n">
        <v>43754</v>
      </c>
      <c r="C829" s="1" t="n">
        <v>45744</v>
      </c>
      <c r="D829" t="inlineStr">
        <is>
          <t>SKÅNE LÄN</t>
        </is>
      </c>
      <c r="E829" t="inlineStr">
        <is>
          <t>ÖSTRA GÖINGE</t>
        </is>
      </c>
      <c r="G829" t="n">
        <v>1.3</v>
      </c>
      <c r="H829" t="n">
        <v>0</v>
      </c>
      <c r="I829" t="n">
        <v>0</v>
      </c>
      <c r="J829" t="n">
        <v>0</v>
      </c>
      <c r="K829" t="n">
        <v>0</v>
      </c>
      <c r="L829" t="n">
        <v>0</v>
      </c>
      <c r="M829" t="n">
        <v>0</v>
      </c>
      <c r="N829" t="n">
        <v>0</v>
      </c>
      <c r="O829" t="n">
        <v>0</v>
      </c>
      <c r="P829" t="n">
        <v>0</v>
      </c>
      <c r="Q829" t="n">
        <v>0</v>
      </c>
      <c r="R829" s="2" t="inlineStr"/>
    </row>
    <row r="830" ht="15" customHeight="1">
      <c r="A830" t="inlineStr">
        <is>
          <t>A 56224-2019</t>
        </is>
      </c>
      <c r="B830" s="1" t="n">
        <v>43755</v>
      </c>
      <c r="C830" s="1" t="n">
        <v>45744</v>
      </c>
      <c r="D830" t="inlineStr">
        <is>
          <t>SKÅNE LÄN</t>
        </is>
      </c>
      <c r="E830" t="inlineStr">
        <is>
          <t>KÄVLINGE</t>
        </is>
      </c>
      <c r="F830" t="inlineStr">
        <is>
          <t>Övriga Aktiebolag</t>
        </is>
      </c>
      <c r="G830" t="n">
        <v>0.9</v>
      </c>
      <c r="H830" t="n">
        <v>0</v>
      </c>
      <c r="I830" t="n">
        <v>0</v>
      </c>
      <c r="J830" t="n">
        <v>0</v>
      </c>
      <c r="K830" t="n">
        <v>0</v>
      </c>
      <c r="L830" t="n">
        <v>0</v>
      </c>
      <c r="M830" t="n">
        <v>0</v>
      </c>
      <c r="N830" t="n">
        <v>0</v>
      </c>
      <c r="O830" t="n">
        <v>0</v>
      </c>
      <c r="P830" t="n">
        <v>0</v>
      </c>
      <c r="Q830" t="n">
        <v>0</v>
      </c>
      <c r="R830" s="2" t="inlineStr"/>
    </row>
    <row r="831" ht="15" customHeight="1">
      <c r="A831" t="inlineStr">
        <is>
          <t>A 56220-2019</t>
        </is>
      </c>
      <c r="B831" s="1" t="n">
        <v>43755</v>
      </c>
      <c r="C831" s="1" t="n">
        <v>45744</v>
      </c>
      <c r="D831" t="inlineStr">
        <is>
          <t>SKÅNE LÄN</t>
        </is>
      </c>
      <c r="E831" t="inlineStr">
        <is>
          <t>KÄVLINGE</t>
        </is>
      </c>
      <c r="F831" t="inlineStr">
        <is>
          <t>Övriga Aktiebolag</t>
        </is>
      </c>
      <c r="G831" t="n">
        <v>3.4</v>
      </c>
      <c r="H831" t="n">
        <v>0</v>
      </c>
      <c r="I831" t="n">
        <v>0</v>
      </c>
      <c r="J831" t="n">
        <v>0</v>
      </c>
      <c r="K831" t="n">
        <v>0</v>
      </c>
      <c r="L831" t="n">
        <v>0</v>
      </c>
      <c r="M831" t="n">
        <v>0</v>
      </c>
      <c r="N831" t="n">
        <v>0</v>
      </c>
      <c r="O831" t="n">
        <v>0</v>
      </c>
      <c r="P831" t="n">
        <v>0</v>
      </c>
      <c r="Q831" t="n">
        <v>0</v>
      </c>
      <c r="R831" s="2" t="inlineStr"/>
    </row>
    <row r="832" ht="15" customHeight="1">
      <c r="A832" t="inlineStr">
        <is>
          <t>A 55167-2019</t>
        </is>
      </c>
      <c r="B832" s="1" t="n">
        <v>43756</v>
      </c>
      <c r="C832" s="1" t="n">
        <v>45744</v>
      </c>
      <c r="D832" t="inlineStr">
        <is>
          <t>SKÅNE LÄN</t>
        </is>
      </c>
      <c r="E832" t="inlineStr">
        <is>
          <t>HÄSSLEHOLM</t>
        </is>
      </c>
      <c r="G832" t="n">
        <v>2.4</v>
      </c>
      <c r="H832" t="n">
        <v>0</v>
      </c>
      <c r="I832" t="n">
        <v>0</v>
      </c>
      <c r="J832" t="n">
        <v>0</v>
      </c>
      <c r="K832" t="n">
        <v>0</v>
      </c>
      <c r="L832" t="n">
        <v>0</v>
      </c>
      <c r="M832" t="n">
        <v>0</v>
      </c>
      <c r="N832" t="n">
        <v>0</v>
      </c>
      <c r="O832" t="n">
        <v>0</v>
      </c>
      <c r="P832" t="n">
        <v>0</v>
      </c>
      <c r="Q832" t="n">
        <v>0</v>
      </c>
      <c r="R832" s="2" t="inlineStr"/>
    </row>
    <row r="833" ht="15" customHeight="1">
      <c r="A833" t="inlineStr">
        <is>
          <t>A 55087-2019</t>
        </is>
      </c>
      <c r="B833" s="1" t="n">
        <v>43756</v>
      </c>
      <c r="C833" s="1" t="n">
        <v>45744</v>
      </c>
      <c r="D833" t="inlineStr">
        <is>
          <t>SKÅNE LÄN</t>
        </is>
      </c>
      <c r="E833" t="inlineStr">
        <is>
          <t>HÄSSLEHOLM</t>
        </is>
      </c>
      <c r="F833" t="inlineStr">
        <is>
          <t>Kommuner</t>
        </is>
      </c>
      <c r="G833" t="n">
        <v>2</v>
      </c>
      <c r="H833" t="n">
        <v>0</v>
      </c>
      <c r="I833" t="n">
        <v>0</v>
      </c>
      <c r="J833" t="n">
        <v>0</v>
      </c>
      <c r="K833" t="n">
        <v>0</v>
      </c>
      <c r="L833" t="n">
        <v>0</v>
      </c>
      <c r="M833" t="n">
        <v>0</v>
      </c>
      <c r="N833" t="n">
        <v>0</v>
      </c>
      <c r="O833" t="n">
        <v>0</v>
      </c>
      <c r="P833" t="n">
        <v>0</v>
      </c>
      <c r="Q833" t="n">
        <v>0</v>
      </c>
      <c r="R833" s="2" t="inlineStr"/>
    </row>
    <row r="834" ht="15" customHeight="1">
      <c r="A834" t="inlineStr">
        <is>
          <t>A 55410-2019</t>
        </is>
      </c>
      <c r="B834" s="1" t="n">
        <v>43758</v>
      </c>
      <c r="C834" s="1" t="n">
        <v>45744</v>
      </c>
      <c r="D834" t="inlineStr">
        <is>
          <t>SKÅNE LÄN</t>
        </is>
      </c>
      <c r="E834" t="inlineStr">
        <is>
          <t>HÄSSLEHOLM</t>
        </is>
      </c>
      <c r="G834" t="n">
        <v>4.8</v>
      </c>
      <c r="H834" t="n">
        <v>0</v>
      </c>
      <c r="I834" t="n">
        <v>0</v>
      </c>
      <c r="J834" t="n">
        <v>0</v>
      </c>
      <c r="K834" t="n">
        <v>0</v>
      </c>
      <c r="L834" t="n">
        <v>0</v>
      </c>
      <c r="M834" t="n">
        <v>0</v>
      </c>
      <c r="N834" t="n">
        <v>0</v>
      </c>
      <c r="O834" t="n">
        <v>0</v>
      </c>
      <c r="P834" t="n">
        <v>0</v>
      </c>
      <c r="Q834" t="n">
        <v>0</v>
      </c>
      <c r="R834" s="2" t="inlineStr"/>
    </row>
    <row r="835" ht="15" customHeight="1">
      <c r="A835" t="inlineStr">
        <is>
          <t>A 55761-2019</t>
        </is>
      </c>
      <c r="B835" s="1" t="n">
        <v>43759</v>
      </c>
      <c r="C835" s="1" t="n">
        <v>45744</v>
      </c>
      <c r="D835" t="inlineStr">
        <is>
          <t>SKÅNE LÄN</t>
        </is>
      </c>
      <c r="E835" t="inlineStr">
        <is>
          <t>HÄSSLEHOLM</t>
        </is>
      </c>
      <c r="F835" t="inlineStr">
        <is>
          <t>Kommuner</t>
        </is>
      </c>
      <c r="G835" t="n">
        <v>7.7</v>
      </c>
      <c r="H835" t="n">
        <v>0</v>
      </c>
      <c r="I835" t="n">
        <v>0</v>
      </c>
      <c r="J835" t="n">
        <v>0</v>
      </c>
      <c r="K835" t="n">
        <v>0</v>
      </c>
      <c r="L835" t="n">
        <v>0</v>
      </c>
      <c r="M835" t="n">
        <v>0</v>
      </c>
      <c r="N835" t="n">
        <v>0</v>
      </c>
      <c r="O835" t="n">
        <v>0</v>
      </c>
      <c r="P835" t="n">
        <v>0</v>
      </c>
      <c r="Q835" t="n">
        <v>0</v>
      </c>
      <c r="R835" s="2" t="inlineStr"/>
    </row>
    <row r="836" ht="15" customHeight="1">
      <c r="A836" t="inlineStr">
        <is>
          <t>A 55984-2019</t>
        </is>
      </c>
      <c r="B836" s="1" t="n">
        <v>43759</v>
      </c>
      <c r="C836" s="1" t="n">
        <v>45744</v>
      </c>
      <c r="D836" t="inlineStr">
        <is>
          <t>SKÅNE LÄN</t>
        </is>
      </c>
      <c r="E836" t="inlineStr">
        <is>
          <t>HÄSSLEHOLM</t>
        </is>
      </c>
      <c r="F836" t="inlineStr">
        <is>
          <t>Kommuner</t>
        </is>
      </c>
      <c r="G836" t="n">
        <v>21.9</v>
      </c>
      <c r="H836" t="n">
        <v>0</v>
      </c>
      <c r="I836" t="n">
        <v>0</v>
      </c>
      <c r="J836" t="n">
        <v>0</v>
      </c>
      <c r="K836" t="n">
        <v>0</v>
      </c>
      <c r="L836" t="n">
        <v>0</v>
      </c>
      <c r="M836" t="n">
        <v>0</v>
      </c>
      <c r="N836" t="n">
        <v>0</v>
      </c>
      <c r="O836" t="n">
        <v>0</v>
      </c>
      <c r="P836" t="n">
        <v>0</v>
      </c>
      <c r="Q836" t="n">
        <v>0</v>
      </c>
      <c r="R836" s="2" t="inlineStr"/>
    </row>
    <row r="837" ht="15" customHeight="1">
      <c r="A837" t="inlineStr">
        <is>
          <t>A 55631-2019</t>
        </is>
      </c>
      <c r="B837" s="1" t="n">
        <v>43760</v>
      </c>
      <c r="C837" s="1" t="n">
        <v>45744</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55654-2019</t>
        </is>
      </c>
      <c r="B838" s="1" t="n">
        <v>43760</v>
      </c>
      <c r="C838" s="1" t="n">
        <v>45744</v>
      </c>
      <c r="D838" t="inlineStr">
        <is>
          <t>SKÅNE LÄN</t>
        </is>
      </c>
      <c r="E838" t="inlineStr">
        <is>
          <t>HÄSSLEHOLM</t>
        </is>
      </c>
      <c r="G838" t="n">
        <v>1.3</v>
      </c>
      <c r="H838" t="n">
        <v>0</v>
      </c>
      <c r="I838" t="n">
        <v>0</v>
      </c>
      <c r="J838" t="n">
        <v>0</v>
      </c>
      <c r="K838" t="n">
        <v>0</v>
      </c>
      <c r="L838" t="n">
        <v>0</v>
      </c>
      <c r="M838" t="n">
        <v>0</v>
      </c>
      <c r="N838" t="n">
        <v>0</v>
      </c>
      <c r="O838" t="n">
        <v>0</v>
      </c>
      <c r="P838" t="n">
        <v>0</v>
      </c>
      <c r="Q838" t="n">
        <v>0</v>
      </c>
      <c r="R838" s="2" t="inlineStr"/>
    </row>
    <row r="839" ht="15" customHeight="1">
      <c r="A839" t="inlineStr">
        <is>
          <t>A 55669-2019</t>
        </is>
      </c>
      <c r="B839" s="1" t="n">
        <v>43760</v>
      </c>
      <c r="C839" s="1" t="n">
        <v>45744</v>
      </c>
      <c r="D839" t="inlineStr">
        <is>
          <t>SKÅNE LÄN</t>
        </is>
      </c>
      <c r="E839" t="inlineStr">
        <is>
          <t>PERSTORP</t>
        </is>
      </c>
      <c r="G839" t="n">
        <v>2.7</v>
      </c>
      <c r="H839" t="n">
        <v>0</v>
      </c>
      <c r="I839" t="n">
        <v>0</v>
      </c>
      <c r="J839" t="n">
        <v>0</v>
      </c>
      <c r="K839" t="n">
        <v>0</v>
      </c>
      <c r="L839" t="n">
        <v>0</v>
      </c>
      <c r="M839" t="n">
        <v>0</v>
      </c>
      <c r="N839" t="n">
        <v>0</v>
      </c>
      <c r="O839" t="n">
        <v>0</v>
      </c>
      <c r="P839" t="n">
        <v>0</v>
      </c>
      <c r="Q839" t="n">
        <v>0</v>
      </c>
      <c r="R839" s="2" t="inlineStr"/>
    </row>
    <row r="840" ht="15" customHeight="1">
      <c r="A840" t="inlineStr">
        <is>
          <t>A 55995-2019</t>
        </is>
      </c>
      <c r="B840" s="1" t="n">
        <v>43761</v>
      </c>
      <c r="C840" s="1" t="n">
        <v>45744</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56138-2019</t>
        </is>
      </c>
      <c r="B841" s="1" t="n">
        <v>43761</v>
      </c>
      <c r="C841" s="1" t="n">
        <v>45744</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56211-2019</t>
        </is>
      </c>
      <c r="B842" s="1" t="n">
        <v>43761</v>
      </c>
      <c r="C842" s="1" t="n">
        <v>45744</v>
      </c>
      <c r="D842" t="inlineStr">
        <is>
          <t>SKÅNE LÄN</t>
        </is>
      </c>
      <c r="E842" t="inlineStr">
        <is>
          <t>ÖSTRA GÖINGE</t>
        </is>
      </c>
      <c r="G842" t="n">
        <v>3.2</v>
      </c>
      <c r="H842" t="n">
        <v>0</v>
      </c>
      <c r="I842" t="n">
        <v>0</v>
      </c>
      <c r="J842" t="n">
        <v>0</v>
      </c>
      <c r="K842" t="n">
        <v>0</v>
      </c>
      <c r="L842" t="n">
        <v>0</v>
      </c>
      <c r="M842" t="n">
        <v>0</v>
      </c>
      <c r="N842" t="n">
        <v>0</v>
      </c>
      <c r="O842" t="n">
        <v>0</v>
      </c>
      <c r="P842" t="n">
        <v>0</v>
      </c>
      <c r="Q842" t="n">
        <v>0</v>
      </c>
      <c r="R842" s="2" t="inlineStr"/>
    </row>
    <row r="843" ht="15" customHeight="1">
      <c r="A843" t="inlineStr">
        <is>
          <t>A 57614-2019</t>
        </is>
      </c>
      <c r="B843" s="1" t="n">
        <v>43761</v>
      </c>
      <c r="C843" s="1" t="n">
        <v>45744</v>
      </c>
      <c r="D843" t="inlineStr">
        <is>
          <t>SKÅNE LÄN</t>
        </is>
      </c>
      <c r="E843" t="inlineStr">
        <is>
          <t>SVALÖV</t>
        </is>
      </c>
      <c r="G843" t="n">
        <v>0.6</v>
      </c>
      <c r="H843" t="n">
        <v>0</v>
      </c>
      <c r="I843" t="n">
        <v>0</v>
      </c>
      <c r="J843" t="n">
        <v>0</v>
      </c>
      <c r="K843" t="n">
        <v>0</v>
      </c>
      <c r="L843" t="n">
        <v>0</v>
      </c>
      <c r="M843" t="n">
        <v>0</v>
      </c>
      <c r="N843" t="n">
        <v>0</v>
      </c>
      <c r="O843" t="n">
        <v>0</v>
      </c>
      <c r="P843" t="n">
        <v>0</v>
      </c>
      <c r="Q843" t="n">
        <v>0</v>
      </c>
      <c r="R843" s="2" t="inlineStr"/>
    </row>
    <row r="844" ht="15" customHeight="1">
      <c r="A844" t="inlineStr">
        <is>
          <t>A 56330-2019</t>
        </is>
      </c>
      <c r="B844" s="1" t="n">
        <v>43762</v>
      </c>
      <c r="C844" s="1" t="n">
        <v>45744</v>
      </c>
      <c r="D844" t="inlineStr">
        <is>
          <t>SKÅNE LÄN</t>
        </is>
      </c>
      <c r="E844" t="inlineStr">
        <is>
          <t>KLIPPAN</t>
        </is>
      </c>
      <c r="G844" t="n">
        <v>1.4</v>
      </c>
      <c r="H844" t="n">
        <v>0</v>
      </c>
      <c r="I844" t="n">
        <v>0</v>
      </c>
      <c r="J844" t="n">
        <v>0</v>
      </c>
      <c r="K844" t="n">
        <v>0</v>
      </c>
      <c r="L844" t="n">
        <v>0</v>
      </c>
      <c r="M844" t="n">
        <v>0</v>
      </c>
      <c r="N844" t="n">
        <v>0</v>
      </c>
      <c r="O844" t="n">
        <v>0</v>
      </c>
      <c r="P844" t="n">
        <v>0</v>
      </c>
      <c r="Q844" t="n">
        <v>0</v>
      </c>
      <c r="R844" s="2" t="inlineStr"/>
    </row>
    <row r="845" ht="15" customHeight="1">
      <c r="A845" t="inlineStr">
        <is>
          <t>A 56248-2019</t>
        </is>
      </c>
      <c r="B845" s="1" t="n">
        <v>43762</v>
      </c>
      <c r="C845" s="1" t="n">
        <v>45744</v>
      </c>
      <c r="D845" t="inlineStr">
        <is>
          <t>SKÅNE LÄN</t>
        </is>
      </c>
      <c r="E845" t="inlineStr">
        <is>
          <t>ÖRKELLJUNGA</t>
        </is>
      </c>
      <c r="G845" t="n">
        <v>2.1</v>
      </c>
      <c r="H845" t="n">
        <v>0</v>
      </c>
      <c r="I845" t="n">
        <v>0</v>
      </c>
      <c r="J845" t="n">
        <v>0</v>
      </c>
      <c r="K845" t="n">
        <v>0</v>
      </c>
      <c r="L845" t="n">
        <v>0</v>
      </c>
      <c r="M845" t="n">
        <v>0</v>
      </c>
      <c r="N845" t="n">
        <v>0</v>
      </c>
      <c r="O845" t="n">
        <v>0</v>
      </c>
      <c r="P845" t="n">
        <v>0</v>
      </c>
      <c r="Q845" t="n">
        <v>0</v>
      </c>
      <c r="R845" s="2" t="inlineStr"/>
    </row>
    <row r="846" ht="15" customHeight="1">
      <c r="A846" t="inlineStr">
        <is>
          <t>A 56451-2019</t>
        </is>
      </c>
      <c r="B846" s="1" t="n">
        <v>43762</v>
      </c>
      <c r="C846" s="1" t="n">
        <v>45744</v>
      </c>
      <c r="D846" t="inlineStr">
        <is>
          <t>SKÅNE LÄN</t>
        </is>
      </c>
      <c r="E846" t="inlineStr">
        <is>
          <t>OSBY</t>
        </is>
      </c>
      <c r="G846" t="n">
        <v>1.3</v>
      </c>
      <c r="H846" t="n">
        <v>0</v>
      </c>
      <c r="I846" t="n">
        <v>0</v>
      </c>
      <c r="J846" t="n">
        <v>0</v>
      </c>
      <c r="K846" t="n">
        <v>0</v>
      </c>
      <c r="L846" t="n">
        <v>0</v>
      </c>
      <c r="M846" t="n">
        <v>0</v>
      </c>
      <c r="N846" t="n">
        <v>0</v>
      </c>
      <c r="O846" t="n">
        <v>0</v>
      </c>
      <c r="P846" t="n">
        <v>0</v>
      </c>
      <c r="Q846" t="n">
        <v>0</v>
      </c>
      <c r="R846" s="2" t="inlineStr"/>
    </row>
    <row r="847" ht="15" customHeight="1">
      <c r="A847" t="inlineStr">
        <is>
          <t>A 56473-2019</t>
        </is>
      </c>
      <c r="B847" s="1" t="n">
        <v>43762</v>
      </c>
      <c r="C847" s="1" t="n">
        <v>45744</v>
      </c>
      <c r="D847" t="inlineStr">
        <is>
          <t>SKÅNE LÄN</t>
        </is>
      </c>
      <c r="E847" t="inlineStr">
        <is>
          <t>KLIPPAN</t>
        </is>
      </c>
      <c r="G847" t="n">
        <v>2.2</v>
      </c>
      <c r="H847" t="n">
        <v>0</v>
      </c>
      <c r="I847" t="n">
        <v>0</v>
      </c>
      <c r="J847" t="n">
        <v>0</v>
      </c>
      <c r="K847" t="n">
        <v>0</v>
      </c>
      <c r="L847" t="n">
        <v>0</v>
      </c>
      <c r="M847" t="n">
        <v>0</v>
      </c>
      <c r="N847" t="n">
        <v>0</v>
      </c>
      <c r="O847" t="n">
        <v>0</v>
      </c>
      <c r="P847" t="n">
        <v>0</v>
      </c>
      <c r="Q847" t="n">
        <v>0</v>
      </c>
      <c r="R847" s="2" t="inlineStr"/>
    </row>
    <row r="848" ht="15" customHeight="1">
      <c r="A848" t="inlineStr">
        <is>
          <t>A 57178-2019</t>
        </is>
      </c>
      <c r="B848" s="1" t="n">
        <v>43766</v>
      </c>
      <c r="C848" s="1" t="n">
        <v>45744</v>
      </c>
      <c r="D848" t="inlineStr">
        <is>
          <t>SKÅNE LÄN</t>
        </is>
      </c>
      <c r="E848" t="inlineStr">
        <is>
          <t>OSBY</t>
        </is>
      </c>
      <c r="G848" t="n">
        <v>0.8</v>
      </c>
      <c r="H848" t="n">
        <v>0</v>
      </c>
      <c r="I848" t="n">
        <v>0</v>
      </c>
      <c r="J848" t="n">
        <v>0</v>
      </c>
      <c r="K848" t="n">
        <v>0</v>
      </c>
      <c r="L848" t="n">
        <v>0</v>
      </c>
      <c r="M848" t="n">
        <v>0</v>
      </c>
      <c r="N848" t="n">
        <v>0</v>
      </c>
      <c r="O848" t="n">
        <v>0</v>
      </c>
      <c r="P848" t="n">
        <v>0</v>
      </c>
      <c r="Q848" t="n">
        <v>0</v>
      </c>
      <c r="R848" s="2" t="inlineStr"/>
    </row>
    <row r="849" ht="15" customHeight="1">
      <c r="A849" t="inlineStr">
        <is>
          <t>A 57176-2019</t>
        </is>
      </c>
      <c r="B849" s="1" t="n">
        <v>43766</v>
      </c>
      <c r="C849" s="1" t="n">
        <v>45744</v>
      </c>
      <c r="D849" t="inlineStr">
        <is>
          <t>SKÅNE LÄN</t>
        </is>
      </c>
      <c r="E849" t="inlineStr">
        <is>
          <t>OSBY</t>
        </is>
      </c>
      <c r="G849" t="n">
        <v>0.8</v>
      </c>
      <c r="H849" t="n">
        <v>0</v>
      </c>
      <c r="I849" t="n">
        <v>0</v>
      </c>
      <c r="J849" t="n">
        <v>0</v>
      </c>
      <c r="K849" t="n">
        <v>0</v>
      </c>
      <c r="L849" t="n">
        <v>0</v>
      </c>
      <c r="M849" t="n">
        <v>0</v>
      </c>
      <c r="N849" t="n">
        <v>0</v>
      </c>
      <c r="O849" t="n">
        <v>0</v>
      </c>
      <c r="P849" t="n">
        <v>0</v>
      </c>
      <c r="Q849" t="n">
        <v>0</v>
      </c>
      <c r="R849" s="2" t="inlineStr"/>
    </row>
    <row r="850" ht="15" customHeight="1">
      <c r="A850" t="inlineStr">
        <is>
          <t>A 58525-2019</t>
        </is>
      </c>
      <c r="B850" s="1" t="n">
        <v>43766</v>
      </c>
      <c r="C850" s="1" t="n">
        <v>45744</v>
      </c>
      <c r="D850" t="inlineStr">
        <is>
          <t>SKÅNE LÄN</t>
        </is>
      </c>
      <c r="E850" t="inlineStr">
        <is>
          <t>HÄSSLEHOLM</t>
        </is>
      </c>
      <c r="G850" t="n">
        <v>2.8</v>
      </c>
      <c r="H850" t="n">
        <v>0</v>
      </c>
      <c r="I850" t="n">
        <v>0</v>
      </c>
      <c r="J850" t="n">
        <v>0</v>
      </c>
      <c r="K850" t="n">
        <v>0</v>
      </c>
      <c r="L850" t="n">
        <v>0</v>
      </c>
      <c r="M850" t="n">
        <v>0</v>
      </c>
      <c r="N850" t="n">
        <v>0</v>
      </c>
      <c r="O850" t="n">
        <v>0</v>
      </c>
      <c r="P850" t="n">
        <v>0</v>
      </c>
      <c r="Q850" t="n">
        <v>0</v>
      </c>
      <c r="R850" s="2" t="inlineStr"/>
    </row>
    <row r="851" ht="15" customHeight="1">
      <c r="A851" t="inlineStr">
        <is>
          <t>A 57153-2019</t>
        </is>
      </c>
      <c r="B851" s="1" t="n">
        <v>43766</v>
      </c>
      <c r="C851" s="1" t="n">
        <v>45744</v>
      </c>
      <c r="D851" t="inlineStr">
        <is>
          <t>SKÅNE LÄN</t>
        </is>
      </c>
      <c r="E851" t="inlineStr">
        <is>
          <t>SJÖBO</t>
        </is>
      </c>
      <c r="G851" t="n">
        <v>1.3</v>
      </c>
      <c r="H851" t="n">
        <v>0</v>
      </c>
      <c r="I851" t="n">
        <v>0</v>
      </c>
      <c r="J851" t="n">
        <v>0</v>
      </c>
      <c r="K851" t="n">
        <v>0</v>
      </c>
      <c r="L851" t="n">
        <v>0</v>
      </c>
      <c r="M851" t="n">
        <v>0</v>
      </c>
      <c r="N851" t="n">
        <v>0</v>
      </c>
      <c r="O851" t="n">
        <v>0</v>
      </c>
      <c r="P851" t="n">
        <v>0</v>
      </c>
      <c r="Q851" t="n">
        <v>0</v>
      </c>
      <c r="R851" s="2" t="inlineStr"/>
    </row>
    <row r="852" ht="15" customHeight="1">
      <c r="A852" t="inlineStr">
        <is>
          <t>A 56856-2019</t>
        </is>
      </c>
      <c r="B852" s="1" t="n">
        <v>43766</v>
      </c>
      <c r="C852" s="1" t="n">
        <v>45744</v>
      </c>
      <c r="D852" t="inlineStr">
        <is>
          <t>SKÅNE LÄN</t>
        </is>
      </c>
      <c r="E852" t="inlineStr">
        <is>
          <t>SVEDALA</t>
        </is>
      </c>
      <c r="F852" t="inlineStr">
        <is>
          <t>Kommuner</t>
        </is>
      </c>
      <c r="G852" t="n">
        <v>6.9</v>
      </c>
      <c r="H852" t="n">
        <v>0</v>
      </c>
      <c r="I852" t="n">
        <v>0</v>
      </c>
      <c r="J852" t="n">
        <v>0</v>
      </c>
      <c r="K852" t="n">
        <v>0</v>
      </c>
      <c r="L852" t="n">
        <v>0</v>
      </c>
      <c r="M852" t="n">
        <v>0</v>
      </c>
      <c r="N852" t="n">
        <v>0</v>
      </c>
      <c r="O852" t="n">
        <v>0</v>
      </c>
      <c r="P852" t="n">
        <v>0</v>
      </c>
      <c r="Q852" t="n">
        <v>0</v>
      </c>
      <c r="R852" s="2" t="inlineStr"/>
    </row>
    <row r="853" ht="15" customHeight="1">
      <c r="A853" t="inlineStr">
        <is>
          <t>A 57203-2019</t>
        </is>
      </c>
      <c r="B853" s="1" t="n">
        <v>43767</v>
      </c>
      <c r="C853" s="1" t="n">
        <v>45744</v>
      </c>
      <c r="D853" t="inlineStr">
        <is>
          <t>SKÅNE LÄN</t>
        </is>
      </c>
      <c r="E853" t="inlineStr">
        <is>
          <t>OSBY</t>
        </is>
      </c>
      <c r="F853" t="inlineStr">
        <is>
          <t>Naturvårdsverket</t>
        </is>
      </c>
      <c r="G853" t="n">
        <v>2.2</v>
      </c>
      <c r="H853" t="n">
        <v>0</v>
      </c>
      <c r="I853" t="n">
        <v>0</v>
      </c>
      <c r="J853" t="n">
        <v>0</v>
      </c>
      <c r="K853" t="n">
        <v>0</v>
      </c>
      <c r="L853" t="n">
        <v>0</v>
      </c>
      <c r="M853" t="n">
        <v>0</v>
      </c>
      <c r="N853" t="n">
        <v>0</v>
      </c>
      <c r="O853" t="n">
        <v>0</v>
      </c>
      <c r="P853" t="n">
        <v>0</v>
      </c>
      <c r="Q853" t="n">
        <v>0</v>
      </c>
      <c r="R853" s="2" t="inlineStr"/>
    </row>
    <row r="854" ht="15" customHeight="1">
      <c r="A854" t="inlineStr">
        <is>
          <t>A 57402-2019</t>
        </is>
      </c>
      <c r="B854" s="1" t="n">
        <v>43767</v>
      </c>
      <c r="C854" s="1" t="n">
        <v>45744</v>
      </c>
      <c r="D854" t="inlineStr">
        <is>
          <t>SKÅNE LÄN</t>
        </is>
      </c>
      <c r="E854" t="inlineStr">
        <is>
          <t>OSBY</t>
        </is>
      </c>
      <c r="G854" t="n">
        <v>0.9</v>
      </c>
      <c r="H854" t="n">
        <v>0</v>
      </c>
      <c r="I854" t="n">
        <v>0</v>
      </c>
      <c r="J854" t="n">
        <v>0</v>
      </c>
      <c r="K854" t="n">
        <v>0</v>
      </c>
      <c r="L854" t="n">
        <v>0</v>
      </c>
      <c r="M854" t="n">
        <v>0</v>
      </c>
      <c r="N854" t="n">
        <v>0</v>
      </c>
      <c r="O854" t="n">
        <v>0</v>
      </c>
      <c r="P854" t="n">
        <v>0</v>
      </c>
      <c r="Q854" t="n">
        <v>0</v>
      </c>
      <c r="R854" s="2" t="inlineStr"/>
    </row>
    <row r="855" ht="15" customHeight="1">
      <c r="A855" t="inlineStr">
        <is>
          <t>A 57191-2019</t>
        </is>
      </c>
      <c r="B855" s="1" t="n">
        <v>43767</v>
      </c>
      <c r="C855" s="1" t="n">
        <v>45744</v>
      </c>
      <c r="D855" t="inlineStr">
        <is>
          <t>SKÅNE LÄN</t>
        </is>
      </c>
      <c r="E855" t="inlineStr">
        <is>
          <t>OSBY</t>
        </is>
      </c>
      <c r="G855" t="n">
        <v>2.1</v>
      </c>
      <c r="H855" t="n">
        <v>0</v>
      </c>
      <c r="I855" t="n">
        <v>0</v>
      </c>
      <c r="J855" t="n">
        <v>0</v>
      </c>
      <c r="K855" t="n">
        <v>0</v>
      </c>
      <c r="L855" t="n">
        <v>0</v>
      </c>
      <c r="M855" t="n">
        <v>0</v>
      </c>
      <c r="N855" t="n">
        <v>0</v>
      </c>
      <c r="O855" t="n">
        <v>0</v>
      </c>
      <c r="P855" t="n">
        <v>0</v>
      </c>
      <c r="Q855" t="n">
        <v>0</v>
      </c>
      <c r="R855" s="2" t="inlineStr"/>
    </row>
    <row r="856" ht="15" customHeight="1">
      <c r="A856" t="inlineStr">
        <is>
          <t>A 58818-2019</t>
        </is>
      </c>
      <c r="B856" s="1" t="n">
        <v>43768</v>
      </c>
      <c r="C856" s="1" t="n">
        <v>45744</v>
      </c>
      <c r="D856" t="inlineStr">
        <is>
          <t>SKÅNE LÄN</t>
        </is>
      </c>
      <c r="E856" t="inlineStr">
        <is>
          <t>HÄSSLEHOLM</t>
        </is>
      </c>
      <c r="G856" t="n">
        <v>1.6</v>
      </c>
      <c r="H856" t="n">
        <v>0</v>
      </c>
      <c r="I856" t="n">
        <v>0</v>
      </c>
      <c r="J856" t="n">
        <v>0</v>
      </c>
      <c r="K856" t="n">
        <v>0</v>
      </c>
      <c r="L856" t="n">
        <v>0</v>
      </c>
      <c r="M856" t="n">
        <v>0</v>
      </c>
      <c r="N856" t="n">
        <v>0</v>
      </c>
      <c r="O856" t="n">
        <v>0</v>
      </c>
      <c r="P856" t="n">
        <v>0</v>
      </c>
      <c r="Q856" t="n">
        <v>0</v>
      </c>
      <c r="R856" s="2" t="inlineStr"/>
    </row>
    <row r="857" ht="15" customHeight="1">
      <c r="A857" t="inlineStr">
        <is>
          <t>A 58723-2019</t>
        </is>
      </c>
      <c r="B857" s="1" t="n">
        <v>43768</v>
      </c>
      <c r="C857" s="1" t="n">
        <v>45744</v>
      </c>
      <c r="D857" t="inlineStr">
        <is>
          <t>SKÅNE LÄN</t>
        </is>
      </c>
      <c r="E857" t="inlineStr">
        <is>
          <t>KLIPPAN</t>
        </is>
      </c>
      <c r="G857" t="n">
        <v>0.5</v>
      </c>
      <c r="H857" t="n">
        <v>0</v>
      </c>
      <c r="I857" t="n">
        <v>0</v>
      </c>
      <c r="J857" t="n">
        <v>0</v>
      </c>
      <c r="K857" t="n">
        <v>0</v>
      </c>
      <c r="L857" t="n">
        <v>0</v>
      </c>
      <c r="M857" t="n">
        <v>0</v>
      </c>
      <c r="N857" t="n">
        <v>0</v>
      </c>
      <c r="O857" t="n">
        <v>0</v>
      </c>
      <c r="P857" t="n">
        <v>0</v>
      </c>
      <c r="Q857" t="n">
        <v>0</v>
      </c>
      <c r="R857" s="2" t="inlineStr"/>
    </row>
    <row r="858" ht="15" customHeight="1">
      <c r="A858" t="inlineStr">
        <is>
          <t>A 58840-2019</t>
        </is>
      </c>
      <c r="B858" s="1" t="n">
        <v>43768</v>
      </c>
      <c r="C858" s="1" t="n">
        <v>45744</v>
      </c>
      <c r="D858" t="inlineStr">
        <is>
          <t>SKÅNE LÄN</t>
        </is>
      </c>
      <c r="E858" t="inlineStr">
        <is>
          <t>HÄSSLEHOLM</t>
        </is>
      </c>
      <c r="G858" t="n">
        <v>2.4</v>
      </c>
      <c r="H858" t="n">
        <v>0</v>
      </c>
      <c r="I858" t="n">
        <v>0</v>
      </c>
      <c r="J858" t="n">
        <v>0</v>
      </c>
      <c r="K858" t="n">
        <v>0</v>
      </c>
      <c r="L858" t="n">
        <v>0</v>
      </c>
      <c r="M858" t="n">
        <v>0</v>
      </c>
      <c r="N858" t="n">
        <v>0</v>
      </c>
      <c r="O858" t="n">
        <v>0</v>
      </c>
      <c r="P858" t="n">
        <v>0</v>
      </c>
      <c r="Q858" t="n">
        <v>0</v>
      </c>
      <c r="R858" s="2" t="inlineStr"/>
    </row>
    <row r="859" ht="15" customHeight="1">
      <c r="A859" t="inlineStr">
        <is>
          <t>A 58989-2019</t>
        </is>
      </c>
      <c r="B859" s="1" t="n">
        <v>43769</v>
      </c>
      <c r="C859" s="1" t="n">
        <v>45744</v>
      </c>
      <c r="D859" t="inlineStr">
        <is>
          <t>SKÅNE LÄN</t>
        </is>
      </c>
      <c r="E859" t="inlineStr">
        <is>
          <t>ÖSTRA GÖINGE</t>
        </is>
      </c>
      <c r="G859" t="n">
        <v>1.1</v>
      </c>
      <c r="H859" t="n">
        <v>0</v>
      </c>
      <c r="I859" t="n">
        <v>0</v>
      </c>
      <c r="J859" t="n">
        <v>0</v>
      </c>
      <c r="K859" t="n">
        <v>0</v>
      </c>
      <c r="L859" t="n">
        <v>0</v>
      </c>
      <c r="M859" t="n">
        <v>0</v>
      </c>
      <c r="N859" t="n">
        <v>0</v>
      </c>
      <c r="O859" t="n">
        <v>0</v>
      </c>
      <c r="P859" t="n">
        <v>0</v>
      </c>
      <c r="Q859" t="n">
        <v>0</v>
      </c>
      <c r="R859" s="2" t="inlineStr"/>
    </row>
    <row r="860" ht="15" customHeight="1">
      <c r="A860" t="inlineStr">
        <is>
          <t>A 58023-2019</t>
        </is>
      </c>
      <c r="B860" s="1" t="n">
        <v>43769</v>
      </c>
      <c r="C860" s="1" t="n">
        <v>45744</v>
      </c>
      <c r="D860" t="inlineStr">
        <is>
          <t>SKÅNE LÄN</t>
        </is>
      </c>
      <c r="E860" t="inlineStr">
        <is>
          <t>OSBY</t>
        </is>
      </c>
      <c r="G860" t="n">
        <v>2.4</v>
      </c>
      <c r="H860" t="n">
        <v>0</v>
      </c>
      <c r="I860" t="n">
        <v>0</v>
      </c>
      <c r="J860" t="n">
        <v>0</v>
      </c>
      <c r="K860" t="n">
        <v>0</v>
      </c>
      <c r="L860" t="n">
        <v>0</v>
      </c>
      <c r="M860" t="n">
        <v>0</v>
      </c>
      <c r="N860" t="n">
        <v>0</v>
      </c>
      <c r="O860" t="n">
        <v>0</v>
      </c>
      <c r="P860" t="n">
        <v>0</v>
      </c>
      <c r="Q860" t="n">
        <v>0</v>
      </c>
      <c r="R860" s="2" t="inlineStr"/>
    </row>
    <row r="861" ht="15" customHeight="1">
      <c r="A861" t="inlineStr">
        <is>
          <t>A 58070-2019</t>
        </is>
      </c>
      <c r="B861" s="1" t="n">
        <v>43769</v>
      </c>
      <c r="C861" s="1" t="n">
        <v>45744</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58979-2019</t>
        </is>
      </c>
      <c r="B862" s="1" t="n">
        <v>43769</v>
      </c>
      <c r="C862" s="1" t="n">
        <v>45744</v>
      </c>
      <c r="D862" t="inlineStr">
        <is>
          <t>SKÅNE LÄN</t>
        </is>
      </c>
      <c r="E862" t="inlineStr">
        <is>
          <t>ÖSTRA GÖINGE</t>
        </is>
      </c>
      <c r="G862" t="n">
        <v>1.3</v>
      </c>
      <c r="H862" t="n">
        <v>0</v>
      </c>
      <c r="I862" t="n">
        <v>0</v>
      </c>
      <c r="J862" t="n">
        <v>0</v>
      </c>
      <c r="K862" t="n">
        <v>0</v>
      </c>
      <c r="L862" t="n">
        <v>0</v>
      </c>
      <c r="M862" t="n">
        <v>0</v>
      </c>
      <c r="N862" t="n">
        <v>0</v>
      </c>
      <c r="O862" t="n">
        <v>0</v>
      </c>
      <c r="P862" t="n">
        <v>0</v>
      </c>
      <c r="Q862" t="n">
        <v>0</v>
      </c>
      <c r="R862" s="2" t="inlineStr"/>
    </row>
    <row r="863" ht="15" customHeight="1">
      <c r="A863" t="inlineStr">
        <is>
          <t>A 58202-2019</t>
        </is>
      </c>
      <c r="B863" s="1" t="n">
        <v>43770</v>
      </c>
      <c r="C863" s="1" t="n">
        <v>45744</v>
      </c>
      <c r="D863" t="inlineStr">
        <is>
          <t>SKÅNE LÄN</t>
        </is>
      </c>
      <c r="E863" t="inlineStr">
        <is>
          <t>SIMRISHAMN</t>
        </is>
      </c>
      <c r="G863" t="n">
        <v>1.4</v>
      </c>
      <c r="H863" t="n">
        <v>0</v>
      </c>
      <c r="I863" t="n">
        <v>0</v>
      </c>
      <c r="J863" t="n">
        <v>0</v>
      </c>
      <c r="K863" t="n">
        <v>0</v>
      </c>
      <c r="L863" t="n">
        <v>0</v>
      </c>
      <c r="M863" t="n">
        <v>0</v>
      </c>
      <c r="N863" t="n">
        <v>0</v>
      </c>
      <c r="O863" t="n">
        <v>0</v>
      </c>
      <c r="P863" t="n">
        <v>0</v>
      </c>
      <c r="Q863" t="n">
        <v>0</v>
      </c>
      <c r="R863" s="2" t="inlineStr"/>
    </row>
    <row r="864" ht="15" customHeight="1">
      <c r="A864" t="inlineStr">
        <is>
          <t>A 58367-2019</t>
        </is>
      </c>
      <c r="B864" s="1" t="n">
        <v>43770</v>
      </c>
      <c r="C864" s="1" t="n">
        <v>45744</v>
      </c>
      <c r="D864" t="inlineStr">
        <is>
          <t>SKÅNE LÄN</t>
        </is>
      </c>
      <c r="E864" t="inlineStr">
        <is>
          <t>ÖSTRA GÖINGE</t>
        </is>
      </c>
      <c r="G864" t="n">
        <v>0.8</v>
      </c>
      <c r="H864" t="n">
        <v>0</v>
      </c>
      <c r="I864" t="n">
        <v>0</v>
      </c>
      <c r="J864" t="n">
        <v>0</v>
      </c>
      <c r="K864" t="n">
        <v>0</v>
      </c>
      <c r="L864" t="n">
        <v>0</v>
      </c>
      <c r="M864" t="n">
        <v>0</v>
      </c>
      <c r="N864" t="n">
        <v>0</v>
      </c>
      <c r="O864" t="n">
        <v>0</v>
      </c>
      <c r="P864" t="n">
        <v>0</v>
      </c>
      <c r="Q864" t="n">
        <v>0</v>
      </c>
      <c r="R864" s="2" t="inlineStr"/>
    </row>
    <row r="865" ht="15" customHeight="1">
      <c r="A865" t="inlineStr">
        <is>
          <t>A 59351-2019</t>
        </is>
      </c>
      <c r="B865" s="1" t="n">
        <v>43770</v>
      </c>
      <c r="C865" s="1" t="n">
        <v>45744</v>
      </c>
      <c r="D865" t="inlineStr">
        <is>
          <t>SKÅNE LÄN</t>
        </is>
      </c>
      <c r="E865" t="inlineStr">
        <is>
          <t>PERSTORP</t>
        </is>
      </c>
      <c r="G865" t="n">
        <v>0.6</v>
      </c>
      <c r="H865" t="n">
        <v>0</v>
      </c>
      <c r="I865" t="n">
        <v>0</v>
      </c>
      <c r="J865" t="n">
        <v>0</v>
      </c>
      <c r="K865" t="n">
        <v>0</v>
      </c>
      <c r="L865" t="n">
        <v>0</v>
      </c>
      <c r="M865" t="n">
        <v>0</v>
      </c>
      <c r="N865" t="n">
        <v>0</v>
      </c>
      <c r="O865" t="n">
        <v>0</v>
      </c>
      <c r="P865" t="n">
        <v>0</v>
      </c>
      <c r="Q865" t="n">
        <v>0</v>
      </c>
      <c r="R865" s="2" t="inlineStr"/>
    </row>
    <row r="866" ht="15" customHeight="1">
      <c r="A866" t="inlineStr">
        <is>
          <t>A 58508-2019</t>
        </is>
      </c>
      <c r="B866" s="1" t="n">
        <v>43773</v>
      </c>
      <c r="C866" s="1" t="n">
        <v>45744</v>
      </c>
      <c r="D866" t="inlineStr">
        <is>
          <t>SKÅNE LÄN</t>
        </is>
      </c>
      <c r="E866" t="inlineStr">
        <is>
          <t>OSBY</t>
        </is>
      </c>
      <c r="G866" t="n">
        <v>0.5</v>
      </c>
      <c r="H866" t="n">
        <v>0</v>
      </c>
      <c r="I866" t="n">
        <v>0</v>
      </c>
      <c r="J866" t="n">
        <v>0</v>
      </c>
      <c r="K866" t="n">
        <v>0</v>
      </c>
      <c r="L866" t="n">
        <v>0</v>
      </c>
      <c r="M866" t="n">
        <v>0</v>
      </c>
      <c r="N866" t="n">
        <v>0</v>
      </c>
      <c r="O866" t="n">
        <v>0</v>
      </c>
      <c r="P866" t="n">
        <v>0</v>
      </c>
      <c r="Q866" t="n">
        <v>0</v>
      </c>
      <c r="R866" s="2" t="inlineStr"/>
    </row>
    <row r="867" ht="15" customHeight="1">
      <c r="A867" t="inlineStr">
        <is>
          <t>A 58885-2019</t>
        </is>
      </c>
      <c r="B867" s="1" t="n">
        <v>43773</v>
      </c>
      <c r="C867" s="1" t="n">
        <v>45744</v>
      </c>
      <c r="D867" t="inlineStr">
        <is>
          <t>SKÅNE LÄN</t>
        </is>
      </c>
      <c r="E867" t="inlineStr">
        <is>
          <t>SIMRISHAMN</t>
        </is>
      </c>
      <c r="G867" t="n">
        <v>4.7</v>
      </c>
      <c r="H867" t="n">
        <v>0</v>
      </c>
      <c r="I867" t="n">
        <v>0</v>
      </c>
      <c r="J867" t="n">
        <v>0</v>
      </c>
      <c r="K867" t="n">
        <v>0</v>
      </c>
      <c r="L867" t="n">
        <v>0</v>
      </c>
      <c r="M867" t="n">
        <v>0</v>
      </c>
      <c r="N867" t="n">
        <v>0</v>
      </c>
      <c r="O867" t="n">
        <v>0</v>
      </c>
      <c r="P867" t="n">
        <v>0</v>
      </c>
      <c r="Q867" t="n">
        <v>0</v>
      </c>
      <c r="R867" s="2" t="inlineStr"/>
    </row>
    <row r="868" ht="15" customHeight="1">
      <c r="A868" t="inlineStr">
        <is>
          <t>A 59293-2019</t>
        </is>
      </c>
      <c r="B868" s="1" t="n">
        <v>43773</v>
      </c>
      <c r="C868" s="1" t="n">
        <v>45744</v>
      </c>
      <c r="D868" t="inlineStr">
        <is>
          <t>SKÅNE LÄN</t>
        </is>
      </c>
      <c r="E868" t="inlineStr">
        <is>
          <t>KRISTIANSTAD</t>
        </is>
      </c>
      <c r="G868" t="n">
        <v>1.7</v>
      </c>
      <c r="H868" t="n">
        <v>0</v>
      </c>
      <c r="I868" t="n">
        <v>0</v>
      </c>
      <c r="J868" t="n">
        <v>0</v>
      </c>
      <c r="K868" t="n">
        <v>0</v>
      </c>
      <c r="L868" t="n">
        <v>0</v>
      </c>
      <c r="M868" t="n">
        <v>0</v>
      </c>
      <c r="N868" t="n">
        <v>0</v>
      </c>
      <c r="O868" t="n">
        <v>0</v>
      </c>
      <c r="P868" t="n">
        <v>0</v>
      </c>
      <c r="Q868" t="n">
        <v>0</v>
      </c>
      <c r="R868" s="2" t="inlineStr"/>
    </row>
    <row r="869" ht="15" customHeight="1">
      <c r="A869" t="inlineStr">
        <is>
          <t>A 58677-2019</t>
        </is>
      </c>
      <c r="B869" s="1" t="n">
        <v>43773</v>
      </c>
      <c r="C869" s="1" t="n">
        <v>45744</v>
      </c>
      <c r="D869" t="inlineStr">
        <is>
          <t>SKÅNE LÄN</t>
        </is>
      </c>
      <c r="E869" t="inlineStr">
        <is>
          <t>ÖSTRA GÖINGE</t>
        </is>
      </c>
      <c r="G869" t="n">
        <v>2.4</v>
      </c>
      <c r="H869" t="n">
        <v>0</v>
      </c>
      <c r="I869" t="n">
        <v>0</v>
      </c>
      <c r="J869" t="n">
        <v>0</v>
      </c>
      <c r="K869" t="n">
        <v>0</v>
      </c>
      <c r="L869" t="n">
        <v>0</v>
      </c>
      <c r="M869" t="n">
        <v>0</v>
      </c>
      <c r="N869" t="n">
        <v>0</v>
      </c>
      <c r="O869" t="n">
        <v>0</v>
      </c>
      <c r="P869" t="n">
        <v>0</v>
      </c>
      <c r="Q869" t="n">
        <v>0</v>
      </c>
      <c r="R869" s="2" t="inlineStr"/>
    </row>
    <row r="870" ht="15" customHeight="1">
      <c r="A870" t="inlineStr">
        <is>
          <t>A 58889-2019</t>
        </is>
      </c>
      <c r="B870" s="1" t="n">
        <v>43774</v>
      </c>
      <c r="C870" s="1" t="n">
        <v>45744</v>
      </c>
      <c r="D870" t="inlineStr">
        <is>
          <t>SKÅNE LÄN</t>
        </is>
      </c>
      <c r="E870" t="inlineStr">
        <is>
          <t>HÄSSLEHOLM</t>
        </is>
      </c>
      <c r="G870" t="n">
        <v>2.3</v>
      </c>
      <c r="H870" t="n">
        <v>0</v>
      </c>
      <c r="I870" t="n">
        <v>0</v>
      </c>
      <c r="J870" t="n">
        <v>0</v>
      </c>
      <c r="K870" t="n">
        <v>0</v>
      </c>
      <c r="L870" t="n">
        <v>0</v>
      </c>
      <c r="M870" t="n">
        <v>0</v>
      </c>
      <c r="N870" t="n">
        <v>0</v>
      </c>
      <c r="O870" t="n">
        <v>0</v>
      </c>
      <c r="P870" t="n">
        <v>0</v>
      </c>
      <c r="Q870" t="n">
        <v>0</v>
      </c>
      <c r="R870" s="2" t="inlineStr"/>
    </row>
    <row r="871" ht="15" customHeight="1">
      <c r="A871" t="inlineStr">
        <is>
          <t>A 59641-2019</t>
        </is>
      </c>
      <c r="B871" s="1" t="n">
        <v>43774</v>
      </c>
      <c r="C871" s="1" t="n">
        <v>45744</v>
      </c>
      <c r="D871" t="inlineStr">
        <is>
          <t>SKÅNE LÄN</t>
        </is>
      </c>
      <c r="E871" t="inlineStr">
        <is>
          <t>ÖSTRA GÖINGE</t>
        </is>
      </c>
      <c r="G871" t="n">
        <v>2.3</v>
      </c>
      <c r="H871" t="n">
        <v>0</v>
      </c>
      <c r="I871" t="n">
        <v>0</v>
      </c>
      <c r="J871" t="n">
        <v>0</v>
      </c>
      <c r="K871" t="n">
        <v>0</v>
      </c>
      <c r="L871" t="n">
        <v>0</v>
      </c>
      <c r="M871" t="n">
        <v>0</v>
      </c>
      <c r="N871" t="n">
        <v>0</v>
      </c>
      <c r="O871" t="n">
        <v>0</v>
      </c>
      <c r="P871" t="n">
        <v>0</v>
      </c>
      <c r="Q871" t="n">
        <v>0</v>
      </c>
      <c r="R871" s="2" t="inlineStr"/>
    </row>
    <row r="872" ht="15" customHeight="1">
      <c r="A872" t="inlineStr">
        <is>
          <t>A 59615-2019</t>
        </is>
      </c>
      <c r="B872" s="1" t="n">
        <v>43774</v>
      </c>
      <c r="C872" s="1" t="n">
        <v>45744</v>
      </c>
      <c r="D872" t="inlineStr">
        <is>
          <t>SKÅNE LÄN</t>
        </is>
      </c>
      <c r="E872" t="inlineStr">
        <is>
          <t>ÖSTRA GÖINGE</t>
        </is>
      </c>
      <c r="G872" t="n">
        <v>0.6</v>
      </c>
      <c r="H872" t="n">
        <v>0</v>
      </c>
      <c r="I872" t="n">
        <v>0</v>
      </c>
      <c r="J872" t="n">
        <v>0</v>
      </c>
      <c r="K872" t="n">
        <v>0</v>
      </c>
      <c r="L872" t="n">
        <v>0</v>
      </c>
      <c r="M872" t="n">
        <v>0</v>
      </c>
      <c r="N872" t="n">
        <v>0</v>
      </c>
      <c r="O872" t="n">
        <v>0</v>
      </c>
      <c r="P872" t="n">
        <v>0</v>
      </c>
      <c r="Q872" t="n">
        <v>0</v>
      </c>
      <c r="R872" s="2" t="inlineStr"/>
    </row>
    <row r="873" ht="15" customHeight="1">
      <c r="A873" t="inlineStr">
        <is>
          <t>A 59877-2019</t>
        </is>
      </c>
      <c r="B873" s="1" t="n">
        <v>43775</v>
      </c>
      <c r="C873" s="1" t="n">
        <v>45744</v>
      </c>
      <c r="D873" t="inlineStr">
        <is>
          <t>SKÅNE LÄN</t>
        </is>
      </c>
      <c r="E873" t="inlineStr">
        <is>
          <t>PERSTORP</t>
        </is>
      </c>
      <c r="G873" t="n">
        <v>4.9</v>
      </c>
      <c r="H873" t="n">
        <v>0</v>
      </c>
      <c r="I873" t="n">
        <v>0</v>
      </c>
      <c r="J873" t="n">
        <v>0</v>
      </c>
      <c r="K873" t="n">
        <v>0</v>
      </c>
      <c r="L873" t="n">
        <v>0</v>
      </c>
      <c r="M873" t="n">
        <v>0</v>
      </c>
      <c r="N873" t="n">
        <v>0</v>
      </c>
      <c r="O873" t="n">
        <v>0</v>
      </c>
      <c r="P873" t="n">
        <v>0</v>
      </c>
      <c r="Q873" t="n">
        <v>0</v>
      </c>
      <c r="R873" s="2" t="inlineStr"/>
    </row>
    <row r="874" ht="15" customHeight="1">
      <c r="A874" t="inlineStr">
        <is>
          <t>A 59946-2019</t>
        </is>
      </c>
      <c r="B874" s="1" t="n">
        <v>43775</v>
      </c>
      <c r="C874" s="1" t="n">
        <v>45744</v>
      </c>
      <c r="D874" t="inlineStr">
        <is>
          <t>SKÅNE LÄN</t>
        </is>
      </c>
      <c r="E874" t="inlineStr">
        <is>
          <t>KRISTIANSTAD</t>
        </is>
      </c>
      <c r="G874" t="n">
        <v>2.9</v>
      </c>
      <c r="H874" t="n">
        <v>0</v>
      </c>
      <c r="I874" t="n">
        <v>0</v>
      </c>
      <c r="J874" t="n">
        <v>0</v>
      </c>
      <c r="K874" t="n">
        <v>0</v>
      </c>
      <c r="L874" t="n">
        <v>0</v>
      </c>
      <c r="M874" t="n">
        <v>0</v>
      </c>
      <c r="N874" t="n">
        <v>0</v>
      </c>
      <c r="O874" t="n">
        <v>0</v>
      </c>
      <c r="P874" t="n">
        <v>0</v>
      </c>
      <c r="Q874" t="n">
        <v>0</v>
      </c>
      <c r="R874" s="2" t="inlineStr"/>
    </row>
    <row r="875" ht="15" customHeight="1">
      <c r="A875" t="inlineStr">
        <is>
          <t>A 59740-2019</t>
        </is>
      </c>
      <c r="B875" s="1" t="n">
        <v>43776</v>
      </c>
      <c r="C875" s="1" t="n">
        <v>45744</v>
      </c>
      <c r="D875" t="inlineStr">
        <is>
          <t>SKÅNE LÄN</t>
        </is>
      </c>
      <c r="E875" t="inlineStr">
        <is>
          <t>BROMÖLLA</t>
        </is>
      </c>
      <c r="G875" t="n">
        <v>2.5</v>
      </c>
      <c r="H875" t="n">
        <v>0</v>
      </c>
      <c r="I875" t="n">
        <v>0</v>
      </c>
      <c r="J875" t="n">
        <v>0</v>
      </c>
      <c r="K875" t="n">
        <v>0</v>
      </c>
      <c r="L875" t="n">
        <v>0</v>
      </c>
      <c r="M875" t="n">
        <v>0</v>
      </c>
      <c r="N875" t="n">
        <v>0</v>
      </c>
      <c r="O875" t="n">
        <v>0</v>
      </c>
      <c r="P875" t="n">
        <v>0</v>
      </c>
      <c r="Q875" t="n">
        <v>0</v>
      </c>
      <c r="R875" s="2" t="inlineStr"/>
    </row>
    <row r="876" ht="15" customHeight="1">
      <c r="A876" t="inlineStr">
        <is>
          <t>A 59828-2019</t>
        </is>
      </c>
      <c r="B876" s="1" t="n">
        <v>43777</v>
      </c>
      <c r="C876" s="1" t="n">
        <v>45744</v>
      </c>
      <c r="D876" t="inlineStr">
        <is>
          <t>SKÅNE LÄN</t>
        </is>
      </c>
      <c r="E876" t="inlineStr">
        <is>
          <t>HÄSSLEHOLM</t>
        </is>
      </c>
      <c r="G876" t="n">
        <v>4.1</v>
      </c>
      <c r="H876" t="n">
        <v>0</v>
      </c>
      <c r="I876" t="n">
        <v>0</v>
      </c>
      <c r="J876" t="n">
        <v>0</v>
      </c>
      <c r="K876" t="n">
        <v>0</v>
      </c>
      <c r="L876" t="n">
        <v>0</v>
      </c>
      <c r="M876" t="n">
        <v>0</v>
      </c>
      <c r="N876" t="n">
        <v>0</v>
      </c>
      <c r="O876" t="n">
        <v>0</v>
      </c>
      <c r="P876" t="n">
        <v>0</v>
      </c>
      <c r="Q876" t="n">
        <v>0</v>
      </c>
      <c r="R876" s="2" t="inlineStr"/>
    </row>
    <row r="877" ht="15" customHeight="1">
      <c r="A877" t="inlineStr">
        <is>
          <t>A 59818-2019</t>
        </is>
      </c>
      <c r="B877" s="1" t="n">
        <v>43777</v>
      </c>
      <c r="C877" s="1" t="n">
        <v>45744</v>
      </c>
      <c r="D877" t="inlineStr">
        <is>
          <t>SKÅNE LÄN</t>
        </is>
      </c>
      <c r="E877" t="inlineStr">
        <is>
          <t>ÖRKELLJUNGA</t>
        </is>
      </c>
      <c r="G877" t="n">
        <v>2.4</v>
      </c>
      <c r="H877" t="n">
        <v>0</v>
      </c>
      <c r="I877" t="n">
        <v>0</v>
      </c>
      <c r="J877" t="n">
        <v>0</v>
      </c>
      <c r="K877" t="n">
        <v>0</v>
      </c>
      <c r="L877" t="n">
        <v>0</v>
      </c>
      <c r="M877" t="n">
        <v>0</v>
      </c>
      <c r="N877" t="n">
        <v>0</v>
      </c>
      <c r="O877" t="n">
        <v>0</v>
      </c>
      <c r="P877" t="n">
        <v>0</v>
      </c>
      <c r="Q877" t="n">
        <v>0</v>
      </c>
      <c r="R877" s="2" t="inlineStr"/>
    </row>
    <row r="878" ht="15" customHeight="1">
      <c r="A878" t="inlineStr">
        <is>
          <t>A 60102-2019</t>
        </is>
      </c>
      <c r="B878" s="1" t="n">
        <v>43777</v>
      </c>
      <c r="C878" s="1" t="n">
        <v>45744</v>
      </c>
      <c r="D878" t="inlineStr">
        <is>
          <t>SKÅNE LÄN</t>
        </is>
      </c>
      <c r="E878" t="inlineStr">
        <is>
          <t>PERSTORP</t>
        </is>
      </c>
      <c r="G878" t="n">
        <v>3.9</v>
      </c>
      <c r="H878" t="n">
        <v>0</v>
      </c>
      <c r="I878" t="n">
        <v>0</v>
      </c>
      <c r="J878" t="n">
        <v>0</v>
      </c>
      <c r="K878" t="n">
        <v>0</v>
      </c>
      <c r="L878" t="n">
        <v>0</v>
      </c>
      <c r="M878" t="n">
        <v>0</v>
      </c>
      <c r="N878" t="n">
        <v>0</v>
      </c>
      <c r="O878" t="n">
        <v>0</v>
      </c>
      <c r="P878" t="n">
        <v>0</v>
      </c>
      <c r="Q878" t="n">
        <v>0</v>
      </c>
      <c r="R878" s="2" t="inlineStr"/>
    </row>
    <row r="879" ht="15" customHeight="1">
      <c r="A879" t="inlineStr">
        <is>
          <t>A 60486-2019</t>
        </is>
      </c>
      <c r="B879" s="1" t="n">
        <v>43780</v>
      </c>
      <c r="C879" s="1" t="n">
        <v>45744</v>
      </c>
      <c r="D879" t="inlineStr">
        <is>
          <t>SKÅNE LÄN</t>
        </is>
      </c>
      <c r="E879" t="inlineStr">
        <is>
          <t>ÖRKELLJUNGA</t>
        </is>
      </c>
      <c r="G879" t="n">
        <v>3.4</v>
      </c>
      <c r="H879" t="n">
        <v>0</v>
      </c>
      <c r="I879" t="n">
        <v>0</v>
      </c>
      <c r="J879" t="n">
        <v>0</v>
      </c>
      <c r="K879" t="n">
        <v>0</v>
      </c>
      <c r="L879" t="n">
        <v>0</v>
      </c>
      <c r="M879" t="n">
        <v>0</v>
      </c>
      <c r="N879" t="n">
        <v>0</v>
      </c>
      <c r="O879" t="n">
        <v>0</v>
      </c>
      <c r="P879" t="n">
        <v>0</v>
      </c>
      <c r="Q879" t="n">
        <v>0</v>
      </c>
      <c r="R879" s="2" t="inlineStr"/>
    </row>
    <row r="880" ht="15" customHeight="1">
      <c r="A880" t="inlineStr">
        <is>
          <t>A 60938-2019</t>
        </is>
      </c>
      <c r="B880" s="1" t="n">
        <v>43780</v>
      </c>
      <c r="C880" s="1" t="n">
        <v>45744</v>
      </c>
      <c r="D880" t="inlineStr">
        <is>
          <t>SKÅNE LÄN</t>
        </is>
      </c>
      <c r="E880" t="inlineStr">
        <is>
          <t>BROMÖLLA</t>
        </is>
      </c>
      <c r="G880" t="n">
        <v>5.1</v>
      </c>
      <c r="H880" t="n">
        <v>0</v>
      </c>
      <c r="I880" t="n">
        <v>0</v>
      </c>
      <c r="J880" t="n">
        <v>0</v>
      </c>
      <c r="K880" t="n">
        <v>0</v>
      </c>
      <c r="L880" t="n">
        <v>0</v>
      </c>
      <c r="M880" t="n">
        <v>0</v>
      </c>
      <c r="N880" t="n">
        <v>0</v>
      </c>
      <c r="O880" t="n">
        <v>0</v>
      </c>
      <c r="P880" t="n">
        <v>0</v>
      </c>
      <c r="Q880" t="n">
        <v>0</v>
      </c>
      <c r="R880" s="2" t="inlineStr"/>
    </row>
    <row r="881" ht="15" customHeight="1">
      <c r="A881" t="inlineStr">
        <is>
          <t>A 61949-2019</t>
        </is>
      </c>
      <c r="B881" s="1" t="n">
        <v>43781</v>
      </c>
      <c r="C881" s="1" t="n">
        <v>45744</v>
      </c>
      <c r="D881" t="inlineStr">
        <is>
          <t>SKÅNE LÄN</t>
        </is>
      </c>
      <c r="E881" t="inlineStr">
        <is>
          <t>HÖÖR</t>
        </is>
      </c>
      <c r="G881" t="n">
        <v>1.7</v>
      </c>
      <c r="H881" t="n">
        <v>0</v>
      </c>
      <c r="I881" t="n">
        <v>0</v>
      </c>
      <c r="J881" t="n">
        <v>0</v>
      </c>
      <c r="K881" t="n">
        <v>0</v>
      </c>
      <c r="L881" t="n">
        <v>0</v>
      </c>
      <c r="M881" t="n">
        <v>0</v>
      </c>
      <c r="N881" t="n">
        <v>0</v>
      </c>
      <c r="O881" t="n">
        <v>0</v>
      </c>
      <c r="P881" t="n">
        <v>0</v>
      </c>
      <c r="Q881" t="n">
        <v>0</v>
      </c>
      <c r="R881" s="2" t="inlineStr"/>
    </row>
    <row r="882" ht="15" customHeight="1">
      <c r="A882" t="inlineStr">
        <is>
          <t>A 61926-2019</t>
        </is>
      </c>
      <c r="B882" s="1" t="n">
        <v>43781</v>
      </c>
      <c r="C882" s="1" t="n">
        <v>45744</v>
      </c>
      <c r="D882" t="inlineStr">
        <is>
          <t>SKÅNE LÄN</t>
        </is>
      </c>
      <c r="E882" t="inlineStr">
        <is>
          <t>OSBY</t>
        </is>
      </c>
      <c r="G882" t="n">
        <v>2</v>
      </c>
      <c r="H882" t="n">
        <v>0</v>
      </c>
      <c r="I882" t="n">
        <v>0</v>
      </c>
      <c r="J882" t="n">
        <v>0</v>
      </c>
      <c r="K882" t="n">
        <v>0</v>
      </c>
      <c r="L882" t="n">
        <v>0</v>
      </c>
      <c r="M882" t="n">
        <v>0</v>
      </c>
      <c r="N882" t="n">
        <v>0</v>
      </c>
      <c r="O882" t="n">
        <v>0</v>
      </c>
      <c r="P882" t="n">
        <v>0</v>
      </c>
      <c r="Q882" t="n">
        <v>0</v>
      </c>
      <c r="R882" s="2" t="inlineStr"/>
    </row>
    <row r="883" ht="15" customHeight="1">
      <c r="A883" t="inlineStr">
        <is>
          <t>A 61490-2019</t>
        </is>
      </c>
      <c r="B883" s="1" t="n">
        <v>43783</v>
      </c>
      <c r="C883" s="1" t="n">
        <v>45744</v>
      </c>
      <c r="D883" t="inlineStr">
        <is>
          <t>SKÅNE LÄN</t>
        </is>
      </c>
      <c r="E883" t="inlineStr">
        <is>
          <t>ÖRKELLJUNGA</t>
        </is>
      </c>
      <c r="G883" t="n">
        <v>1.2</v>
      </c>
      <c r="H883" t="n">
        <v>0</v>
      </c>
      <c r="I883" t="n">
        <v>0</v>
      </c>
      <c r="J883" t="n">
        <v>0</v>
      </c>
      <c r="K883" t="n">
        <v>0</v>
      </c>
      <c r="L883" t="n">
        <v>0</v>
      </c>
      <c r="M883" t="n">
        <v>0</v>
      </c>
      <c r="N883" t="n">
        <v>0</v>
      </c>
      <c r="O883" t="n">
        <v>0</v>
      </c>
      <c r="P883" t="n">
        <v>0</v>
      </c>
      <c r="Q883" t="n">
        <v>0</v>
      </c>
      <c r="R883" s="2" t="inlineStr"/>
    </row>
    <row r="884" ht="15" customHeight="1">
      <c r="A884" t="inlineStr">
        <is>
          <t>A 61487-2019</t>
        </is>
      </c>
      <c r="B884" s="1" t="n">
        <v>43783</v>
      </c>
      <c r="C884" s="1" t="n">
        <v>45744</v>
      </c>
      <c r="D884" t="inlineStr">
        <is>
          <t>SKÅNE LÄN</t>
        </is>
      </c>
      <c r="E884" t="inlineStr">
        <is>
          <t>ÖRKELLJUNGA</t>
        </is>
      </c>
      <c r="G884" t="n">
        <v>5.1</v>
      </c>
      <c r="H884" t="n">
        <v>0</v>
      </c>
      <c r="I884" t="n">
        <v>0</v>
      </c>
      <c r="J884" t="n">
        <v>0</v>
      </c>
      <c r="K884" t="n">
        <v>0</v>
      </c>
      <c r="L884" t="n">
        <v>0</v>
      </c>
      <c r="M884" t="n">
        <v>0</v>
      </c>
      <c r="N884" t="n">
        <v>0</v>
      </c>
      <c r="O884" t="n">
        <v>0</v>
      </c>
      <c r="P884" t="n">
        <v>0</v>
      </c>
      <c r="Q884" t="n">
        <v>0</v>
      </c>
      <c r="R884" s="2" t="inlineStr"/>
    </row>
    <row r="885" ht="15" customHeight="1">
      <c r="A885" t="inlineStr">
        <is>
          <t>A 61565-2019</t>
        </is>
      </c>
      <c r="B885" s="1" t="n">
        <v>43784</v>
      </c>
      <c r="C885" s="1" t="n">
        <v>45744</v>
      </c>
      <c r="D885" t="inlineStr">
        <is>
          <t>SKÅNE LÄN</t>
        </is>
      </c>
      <c r="E885" t="inlineStr">
        <is>
          <t>OSBY</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61572-2019</t>
        </is>
      </c>
      <c r="B886" s="1" t="n">
        <v>43784</v>
      </c>
      <c r="C886" s="1" t="n">
        <v>45744</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61664-2019</t>
        </is>
      </c>
      <c r="B887" s="1" t="n">
        <v>43784</v>
      </c>
      <c r="C887" s="1" t="n">
        <v>45744</v>
      </c>
      <c r="D887" t="inlineStr">
        <is>
          <t>SKÅNE LÄN</t>
        </is>
      </c>
      <c r="E887" t="inlineStr">
        <is>
          <t>HÄSSLEHOLM</t>
        </is>
      </c>
      <c r="G887" t="n">
        <v>4.4</v>
      </c>
      <c r="H887" t="n">
        <v>0</v>
      </c>
      <c r="I887" t="n">
        <v>0</v>
      </c>
      <c r="J887" t="n">
        <v>0</v>
      </c>
      <c r="K887" t="n">
        <v>0</v>
      </c>
      <c r="L887" t="n">
        <v>0</v>
      </c>
      <c r="M887" t="n">
        <v>0</v>
      </c>
      <c r="N887" t="n">
        <v>0</v>
      </c>
      <c r="O887" t="n">
        <v>0</v>
      </c>
      <c r="P887" t="n">
        <v>0</v>
      </c>
      <c r="Q887" t="n">
        <v>0</v>
      </c>
      <c r="R887" s="2" t="inlineStr"/>
    </row>
    <row r="888" ht="15" customHeight="1">
      <c r="A888" t="inlineStr">
        <is>
          <t>A 61567-2019</t>
        </is>
      </c>
      <c r="B888" s="1" t="n">
        <v>43784</v>
      </c>
      <c r="C888" s="1" t="n">
        <v>45744</v>
      </c>
      <c r="D888" t="inlineStr">
        <is>
          <t>SKÅNE LÄN</t>
        </is>
      </c>
      <c r="E888" t="inlineStr">
        <is>
          <t>OSBY</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61665-2019</t>
        </is>
      </c>
      <c r="B889" s="1" t="n">
        <v>43784</v>
      </c>
      <c r="C889" s="1" t="n">
        <v>45744</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62459-2019</t>
        </is>
      </c>
      <c r="B890" s="1" t="n">
        <v>43788</v>
      </c>
      <c r="C890" s="1" t="n">
        <v>45744</v>
      </c>
      <c r="D890" t="inlineStr">
        <is>
          <t>SKÅNE LÄN</t>
        </is>
      </c>
      <c r="E890" t="inlineStr">
        <is>
          <t>HÖÖR</t>
        </is>
      </c>
      <c r="G890" t="n">
        <v>1.8</v>
      </c>
      <c r="H890" t="n">
        <v>0</v>
      </c>
      <c r="I890" t="n">
        <v>0</v>
      </c>
      <c r="J890" t="n">
        <v>0</v>
      </c>
      <c r="K890" t="n">
        <v>0</v>
      </c>
      <c r="L890" t="n">
        <v>0</v>
      </c>
      <c r="M890" t="n">
        <v>0</v>
      </c>
      <c r="N890" t="n">
        <v>0</v>
      </c>
      <c r="O890" t="n">
        <v>0</v>
      </c>
      <c r="P890" t="n">
        <v>0</v>
      </c>
      <c r="Q890" t="n">
        <v>0</v>
      </c>
      <c r="R890" s="2" t="inlineStr"/>
    </row>
    <row r="891" ht="15" customHeight="1">
      <c r="A891" t="inlineStr">
        <is>
          <t>A 62669-2019</t>
        </is>
      </c>
      <c r="B891" s="1" t="n">
        <v>43789</v>
      </c>
      <c r="C891" s="1" t="n">
        <v>45744</v>
      </c>
      <c r="D891" t="inlineStr">
        <is>
          <t>SKÅNE LÄN</t>
        </is>
      </c>
      <c r="E891" t="inlineStr">
        <is>
          <t>KLIPPAN</t>
        </is>
      </c>
      <c r="G891" t="n">
        <v>0.7</v>
      </c>
      <c r="H891" t="n">
        <v>0</v>
      </c>
      <c r="I891" t="n">
        <v>0</v>
      </c>
      <c r="J891" t="n">
        <v>0</v>
      </c>
      <c r="K891" t="n">
        <v>0</v>
      </c>
      <c r="L891" t="n">
        <v>0</v>
      </c>
      <c r="M891" t="n">
        <v>0</v>
      </c>
      <c r="N891" t="n">
        <v>0</v>
      </c>
      <c r="O891" t="n">
        <v>0</v>
      </c>
      <c r="P891" t="n">
        <v>0</v>
      </c>
      <c r="Q891" t="n">
        <v>0</v>
      </c>
      <c r="R891" s="2" t="inlineStr"/>
    </row>
    <row r="892" ht="15" customHeight="1">
      <c r="A892" t="inlineStr">
        <is>
          <t>A 62947-2019</t>
        </is>
      </c>
      <c r="B892" s="1" t="n">
        <v>43790</v>
      </c>
      <c r="C892" s="1" t="n">
        <v>45744</v>
      </c>
      <c r="D892" t="inlineStr">
        <is>
          <t>SKÅNE LÄN</t>
        </is>
      </c>
      <c r="E892" t="inlineStr">
        <is>
          <t>ÖRKELLJUNGA</t>
        </is>
      </c>
      <c r="G892" t="n">
        <v>0.7</v>
      </c>
      <c r="H892" t="n">
        <v>0</v>
      </c>
      <c r="I892" t="n">
        <v>0</v>
      </c>
      <c r="J892" t="n">
        <v>0</v>
      </c>
      <c r="K892" t="n">
        <v>0</v>
      </c>
      <c r="L892" t="n">
        <v>0</v>
      </c>
      <c r="M892" t="n">
        <v>0</v>
      </c>
      <c r="N892" t="n">
        <v>0</v>
      </c>
      <c r="O892" t="n">
        <v>0</v>
      </c>
      <c r="P892" t="n">
        <v>0</v>
      </c>
      <c r="Q892" t="n">
        <v>0</v>
      </c>
      <c r="R892" s="2" t="inlineStr"/>
    </row>
    <row r="893" ht="15" customHeight="1">
      <c r="A893" t="inlineStr">
        <is>
          <t>A 62981-2019</t>
        </is>
      </c>
      <c r="B893" s="1" t="n">
        <v>43790</v>
      </c>
      <c r="C893" s="1" t="n">
        <v>45744</v>
      </c>
      <c r="D893" t="inlineStr">
        <is>
          <t>SKÅNE LÄN</t>
        </is>
      </c>
      <c r="E893" t="inlineStr">
        <is>
          <t>HÄSSLEHOLM</t>
        </is>
      </c>
      <c r="G893" t="n">
        <v>0.6</v>
      </c>
      <c r="H893" t="n">
        <v>0</v>
      </c>
      <c r="I893" t="n">
        <v>0</v>
      </c>
      <c r="J893" t="n">
        <v>0</v>
      </c>
      <c r="K893" t="n">
        <v>0</v>
      </c>
      <c r="L893" t="n">
        <v>0</v>
      </c>
      <c r="M893" t="n">
        <v>0</v>
      </c>
      <c r="N893" t="n">
        <v>0</v>
      </c>
      <c r="O893" t="n">
        <v>0</v>
      </c>
      <c r="P893" t="n">
        <v>0</v>
      </c>
      <c r="Q893" t="n">
        <v>0</v>
      </c>
      <c r="R893" s="2" t="inlineStr"/>
    </row>
    <row r="894" ht="15" customHeight="1">
      <c r="A894" t="inlineStr">
        <is>
          <t>A 62978-2019</t>
        </is>
      </c>
      <c r="B894" s="1" t="n">
        <v>43790</v>
      </c>
      <c r="C894" s="1" t="n">
        <v>45744</v>
      </c>
      <c r="D894" t="inlineStr">
        <is>
          <t>SKÅNE LÄN</t>
        </is>
      </c>
      <c r="E894" t="inlineStr">
        <is>
          <t>HÄSSLEHOLM</t>
        </is>
      </c>
      <c r="G894" t="n">
        <v>1.4</v>
      </c>
      <c r="H894" t="n">
        <v>0</v>
      </c>
      <c r="I894" t="n">
        <v>0</v>
      </c>
      <c r="J894" t="n">
        <v>0</v>
      </c>
      <c r="K894" t="n">
        <v>0</v>
      </c>
      <c r="L894" t="n">
        <v>0</v>
      </c>
      <c r="M894" t="n">
        <v>0</v>
      </c>
      <c r="N894" t="n">
        <v>0</v>
      </c>
      <c r="O894" t="n">
        <v>0</v>
      </c>
      <c r="P894" t="n">
        <v>0</v>
      </c>
      <c r="Q894" t="n">
        <v>0</v>
      </c>
      <c r="R894" s="2" t="inlineStr"/>
    </row>
    <row r="895" ht="15" customHeight="1">
      <c r="A895" t="inlineStr">
        <is>
          <t>A 62994-2019</t>
        </is>
      </c>
      <c r="B895" s="1" t="n">
        <v>43790</v>
      </c>
      <c r="C895" s="1" t="n">
        <v>45744</v>
      </c>
      <c r="D895" t="inlineStr">
        <is>
          <t>SKÅNE LÄN</t>
        </is>
      </c>
      <c r="E895" t="inlineStr">
        <is>
          <t>HÄSSLEHOLM</t>
        </is>
      </c>
      <c r="G895" t="n">
        <v>1.9</v>
      </c>
      <c r="H895" t="n">
        <v>0</v>
      </c>
      <c r="I895" t="n">
        <v>0</v>
      </c>
      <c r="J895" t="n">
        <v>0</v>
      </c>
      <c r="K895" t="n">
        <v>0</v>
      </c>
      <c r="L895" t="n">
        <v>0</v>
      </c>
      <c r="M895" t="n">
        <v>0</v>
      </c>
      <c r="N895" t="n">
        <v>0</v>
      </c>
      <c r="O895" t="n">
        <v>0</v>
      </c>
      <c r="P895" t="n">
        <v>0</v>
      </c>
      <c r="Q895" t="n">
        <v>0</v>
      </c>
      <c r="R895" s="2" t="inlineStr"/>
    </row>
    <row r="896" ht="15" customHeight="1">
      <c r="A896" t="inlineStr">
        <is>
          <t>A 62997-2019</t>
        </is>
      </c>
      <c r="B896" s="1" t="n">
        <v>43790</v>
      </c>
      <c r="C896" s="1" t="n">
        <v>45744</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62784-2019</t>
        </is>
      </c>
      <c r="B897" s="1" t="n">
        <v>43790</v>
      </c>
      <c r="C897" s="1" t="n">
        <v>45744</v>
      </c>
      <c r="D897" t="inlineStr">
        <is>
          <t>SKÅNE LÄN</t>
        </is>
      </c>
      <c r="E897" t="inlineStr">
        <is>
          <t>ÖRKELLJUNGA</t>
        </is>
      </c>
      <c r="G897" t="n">
        <v>1.4</v>
      </c>
      <c r="H897" t="n">
        <v>0</v>
      </c>
      <c r="I897" t="n">
        <v>0</v>
      </c>
      <c r="J897" t="n">
        <v>0</v>
      </c>
      <c r="K897" t="n">
        <v>0</v>
      </c>
      <c r="L897" t="n">
        <v>0</v>
      </c>
      <c r="M897" t="n">
        <v>0</v>
      </c>
      <c r="N897" t="n">
        <v>0</v>
      </c>
      <c r="O897" t="n">
        <v>0</v>
      </c>
      <c r="P897" t="n">
        <v>0</v>
      </c>
      <c r="Q897" t="n">
        <v>0</v>
      </c>
      <c r="R897" s="2" t="inlineStr"/>
    </row>
    <row r="898" ht="15" customHeight="1">
      <c r="A898" t="inlineStr">
        <is>
          <t>A 63073-2019</t>
        </is>
      </c>
      <c r="B898" s="1" t="n">
        <v>43791</v>
      </c>
      <c r="C898" s="1" t="n">
        <v>45744</v>
      </c>
      <c r="D898" t="inlineStr">
        <is>
          <t>SKÅNE LÄN</t>
        </is>
      </c>
      <c r="E898" t="inlineStr">
        <is>
          <t>OSBY</t>
        </is>
      </c>
      <c r="G898" t="n">
        <v>0.5</v>
      </c>
      <c r="H898" t="n">
        <v>0</v>
      </c>
      <c r="I898" t="n">
        <v>0</v>
      </c>
      <c r="J898" t="n">
        <v>0</v>
      </c>
      <c r="K898" t="n">
        <v>0</v>
      </c>
      <c r="L898" t="n">
        <v>0</v>
      </c>
      <c r="M898" t="n">
        <v>0</v>
      </c>
      <c r="N898" t="n">
        <v>0</v>
      </c>
      <c r="O898" t="n">
        <v>0</v>
      </c>
      <c r="P898" t="n">
        <v>0</v>
      </c>
      <c r="Q898" t="n">
        <v>0</v>
      </c>
      <c r="R898" s="2" t="inlineStr"/>
    </row>
    <row r="899" ht="15" customHeight="1">
      <c r="A899" t="inlineStr">
        <is>
          <t>A 63031-2019</t>
        </is>
      </c>
      <c r="B899" s="1" t="n">
        <v>43791</v>
      </c>
      <c r="C899" s="1" t="n">
        <v>45744</v>
      </c>
      <c r="D899" t="inlineStr">
        <is>
          <t>SKÅNE LÄN</t>
        </is>
      </c>
      <c r="E899" t="inlineStr">
        <is>
          <t>OSBY</t>
        </is>
      </c>
      <c r="G899" t="n">
        <v>0.2</v>
      </c>
      <c r="H899" t="n">
        <v>0</v>
      </c>
      <c r="I899" t="n">
        <v>0</v>
      </c>
      <c r="J899" t="n">
        <v>0</v>
      </c>
      <c r="K899" t="n">
        <v>0</v>
      </c>
      <c r="L899" t="n">
        <v>0</v>
      </c>
      <c r="M899" t="n">
        <v>0</v>
      </c>
      <c r="N899" t="n">
        <v>0</v>
      </c>
      <c r="O899" t="n">
        <v>0</v>
      </c>
      <c r="P899" t="n">
        <v>0</v>
      </c>
      <c r="Q899" t="n">
        <v>0</v>
      </c>
      <c r="R899" s="2" t="inlineStr"/>
    </row>
    <row r="900" ht="15" customHeight="1">
      <c r="A900" t="inlineStr">
        <is>
          <t>A 64766-2019</t>
        </is>
      </c>
      <c r="B900" s="1" t="n">
        <v>43795</v>
      </c>
      <c r="C900" s="1" t="n">
        <v>45744</v>
      </c>
      <c r="D900" t="inlineStr">
        <is>
          <t>SKÅNE LÄN</t>
        </is>
      </c>
      <c r="E900" t="inlineStr">
        <is>
          <t>HÄSSLEHOLM</t>
        </is>
      </c>
      <c r="G900" t="n">
        <v>1.5</v>
      </c>
      <c r="H900" t="n">
        <v>0</v>
      </c>
      <c r="I900" t="n">
        <v>0</v>
      </c>
      <c r="J900" t="n">
        <v>0</v>
      </c>
      <c r="K900" t="n">
        <v>0</v>
      </c>
      <c r="L900" t="n">
        <v>0</v>
      </c>
      <c r="M900" t="n">
        <v>0</v>
      </c>
      <c r="N900" t="n">
        <v>0</v>
      </c>
      <c r="O900" t="n">
        <v>0</v>
      </c>
      <c r="P900" t="n">
        <v>0</v>
      </c>
      <c r="Q900" t="n">
        <v>0</v>
      </c>
      <c r="R900" s="2" t="inlineStr"/>
    </row>
    <row r="901" ht="15" customHeight="1">
      <c r="A901" t="inlineStr">
        <is>
          <t>A 64957-2019</t>
        </is>
      </c>
      <c r="B901" s="1" t="n">
        <v>43795</v>
      </c>
      <c r="C901" s="1" t="n">
        <v>45744</v>
      </c>
      <c r="D901" t="inlineStr">
        <is>
          <t>SKÅNE LÄN</t>
        </is>
      </c>
      <c r="E901" t="inlineStr">
        <is>
          <t>KRISTIANSTAD</t>
        </is>
      </c>
      <c r="G901" t="n">
        <v>2.6</v>
      </c>
      <c r="H901" t="n">
        <v>0</v>
      </c>
      <c r="I901" t="n">
        <v>0</v>
      </c>
      <c r="J901" t="n">
        <v>0</v>
      </c>
      <c r="K901" t="n">
        <v>0</v>
      </c>
      <c r="L901" t="n">
        <v>0</v>
      </c>
      <c r="M901" t="n">
        <v>0</v>
      </c>
      <c r="N901" t="n">
        <v>0</v>
      </c>
      <c r="O901" t="n">
        <v>0</v>
      </c>
      <c r="P901" t="n">
        <v>0</v>
      </c>
      <c r="Q901" t="n">
        <v>0</v>
      </c>
      <c r="R901" s="2" t="inlineStr"/>
    </row>
    <row r="902" ht="15" customHeight="1">
      <c r="A902" t="inlineStr">
        <is>
          <t>A 63710-2019</t>
        </is>
      </c>
      <c r="B902" s="1" t="n">
        <v>43795</v>
      </c>
      <c r="C902" s="1" t="n">
        <v>45744</v>
      </c>
      <c r="D902" t="inlineStr">
        <is>
          <t>SKÅNE LÄN</t>
        </is>
      </c>
      <c r="E902" t="inlineStr">
        <is>
          <t>HÄSSLEHOLM</t>
        </is>
      </c>
      <c r="G902" t="n">
        <v>3.8</v>
      </c>
      <c r="H902" t="n">
        <v>0</v>
      </c>
      <c r="I902" t="n">
        <v>0</v>
      </c>
      <c r="J902" t="n">
        <v>0</v>
      </c>
      <c r="K902" t="n">
        <v>0</v>
      </c>
      <c r="L902" t="n">
        <v>0</v>
      </c>
      <c r="M902" t="n">
        <v>0</v>
      </c>
      <c r="N902" t="n">
        <v>0</v>
      </c>
      <c r="O902" t="n">
        <v>0</v>
      </c>
      <c r="P902" t="n">
        <v>0</v>
      </c>
      <c r="Q902" t="n">
        <v>0</v>
      </c>
      <c r="R902" s="2" t="inlineStr"/>
    </row>
    <row r="903" ht="15" customHeight="1">
      <c r="A903" t="inlineStr">
        <is>
          <t>A 65240-2019</t>
        </is>
      </c>
      <c r="B903" s="1" t="n">
        <v>43797</v>
      </c>
      <c r="C903" s="1" t="n">
        <v>45744</v>
      </c>
      <c r="D903" t="inlineStr">
        <is>
          <t>SKÅNE LÄN</t>
        </is>
      </c>
      <c r="E903" t="inlineStr">
        <is>
          <t>KLIPPAN</t>
        </is>
      </c>
      <c r="G903" t="n">
        <v>0.4</v>
      </c>
      <c r="H903" t="n">
        <v>0</v>
      </c>
      <c r="I903" t="n">
        <v>0</v>
      </c>
      <c r="J903" t="n">
        <v>0</v>
      </c>
      <c r="K903" t="n">
        <v>0</v>
      </c>
      <c r="L903" t="n">
        <v>0</v>
      </c>
      <c r="M903" t="n">
        <v>0</v>
      </c>
      <c r="N903" t="n">
        <v>0</v>
      </c>
      <c r="O903" t="n">
        <v>0</v>
      </c>
      <c r="P903" t="n">
        <v>0</v>
      </c>
      <c r="Q903" t="n">
        <v>0</v>
      </c>
      <c r="R903" s="2" t="inlineStr"/>
    </row>
    <row r="904" ht="15" customHeight="1">
      <c r="A904" t="inlineStr">
        <is>
          <t>A 64629-2019</t>
        </is>
      </c>
      <c r="B904" s="1" t="n">
        <v>43798</v>
      </c>
      <c r="C904" s="1" t="n">
        <v>45744</v>
      </c>
      <c r="D904" t="inlineStr">
        <is>
          <t>SKÅNE LÄN</t>
        </is>
      </c>
      <c r="E904" t="inlineStr">
        <is>
          <t>HÖRBY</t>
        </is>
      </c>
      <c r="G904" t="n">
        <v>7</v>
      </c>
      <c r="H904" t="n">
        <v>0</v>
      </c>
      <c r="I904" t="n">
        <v>0</v>
      </c>
      <c r="J904" t="n">
        <v>0</v>
      </c>
      <c r="K904" t="n">
        <v>0</v>
      </c>
      <c r="L904" t="n">
        <v>0</v>
      </c>
      <c r="M904" t="n">
        <v>0</v>
      </c>
      <c r="N904" t="n">
        <v>0</v>
      </c>
      <c r="O904" t="n">
        <v>0</v>
      </c>
      <c r="P904" t="n">
        <v>0</v>
      </c>
      <c r="Q904" t="n">
        <v>0</v>
      </c>
      <c r="R904" s="2" t="inlineStr"/>
    </row>
    <row r="905" ht="15" customHeight="1">
      <c r="A905" t="inlineStr">
        <is>
          <t>A 64498-2019</t>
        </is>
      </c>
      <c r="B905" s="1" t="n">
        <v>43798</v>
      </c>
      <c r="C905" s="1" t="n">
        <v>45744</v>
      </c>
      <c r="D905" t="inlineStr">
        <is>
          <t>SKÅNE LÄN</t>
        </is>
      </c>
      <c r="E905" t="inlineStr">
        <is>
          <t>OSBY</t>
        </is>
      </c>
      <c r="G905" t="n">
        <v>1.4</v>
      </c>
      <c r="H905" t="n">
        <v>0</v>
      </c>
      <c r="I905" t="n">
        <v>0</v>
      </c>
      <c r="J905" t="n">
        <v>0</v>
      </c>
      <c r="K905" t="n">
        <v>0</v>
      </c>
      <c r="L905" t="n">
        <v>0</v>
      </c>
      <c r="M905" t="n">
        <v>0</v>
      </c>
      <c r="N905" t="n">
        <v>0</v>
      </c>
      <c r="O905" t="n">
        <v>0</v>
      </c>
      <c r="P905" t="n">
        <v>0</v>
      </c>
      <c r="Q905" t="n">
        <v>0</v>
      </c>
      <c r="R905" s="2" t="inlineStr"/>
    </row>
    <row r="906" ht="15" customHeight="1">
      <c r="A906" t="inlineStr">
        <is>
          <t>A 64755-2019</t>
        </is>
      </c>
      <c r="B906" s="1" t="n">
        <v>43801</v>
      </c>
      <c r="C906" s="1" t="n">
        <v>45744</v>
      </c>
      <c r="D906" t="inlineStr">
        <is>
          <t>SKÅNE LÄN</t>
        </is>
      </c>
      <c r="E906" t="inlineStr">
        <is>
          <t>ÄNGELHOLM</t>
        </is>
      </c>
      <c r="G906" t="n">
        <v>0.5</v>
      </c>
      <c r="H906" t="n">
        <v>0</v>
      </c>
      <c r="I906" t="n">
        <v>0</v>
      </c>
      <c r="J906" t="n">
        <v>0</v>
      </c>
      <c r="K906" t="n">
        <v>0</v>
      </c>
      <c r="L906" t="n">
        <v>0</v>
      </c>
      <c r="M906" t="n">
        <v>0</v>
      </c>
      <c r="N906" t="n">
        <v>0</v>
      </c>
      <c r="O906" t="n">
        <v>0</v>
      </c>
      <c r="P906" t="n">
        <v>0</v>
      </c>
      <c r="Q906" t="n">
        <v>0</v>
      </c>
      <c r="R906" s="2" t="inlineStr"/>
    </row>
    <row r="907" ht="15" customHeight="1">
      <c r="A907" t="inlineStr">
        <is>
          <t>A 64949-2019</t>
        </is>
      </c>
      <c r="B907" s="1" t="n">
        <v>43801</v>
      </c>
      <c r="C907" s="1" t="n">
        <v>45744</v>
      </c>
      <c r="D907" t="inlineStr">
        <is>
          <t>SKÅNE LÄN</t>
        </is>
      </c>
      <c r="E907" t="inlineStr">
        <is>
          <t>KRISTIANSTAD</t>
        </is>
      </c>
      <c r="G907" t="n">
        <v>2.5</v>
      </c>
      <c r="H907" t="n">
        <v>0</v>
      </c>
      <c r="I907" t="n">
        <v>0</v>
      </c>
      <c r="J907" t="n">
        <v>0</v>
      </c>
      <c r="K907" t="n">
        <v>0</v>
      </c>
      <c r="L907" t="n">
        <v>0</v>
      </c>
      <c r="M907" t="n">
        <v>0</v>
      </c>
      <c r="N907" t="n">
        <v>0</v>
      </c>
      <c r="O907" t="n">
        <v>0</v>
      </c>
      <c r="P907" t="n">
        <v>0</v>
      </c>
      <c r="Q907" t="n">
        <v>0</v>
      </c>
      <c r="R907" s="2" t="inlineStr"/>
    </row>
    <row r="908" ht="15" customHeight="1">
      <c r="A908" t="inlineStr">
        <is>
          <t>A 65086-2019</t>
        </is>
      </c>
      <c r="B908" s="1" t="n">
        <v>43802</v>
      </c>
      <c r="C908" s="1" t="n">
        <v>45744</v>
      </c>
      <c r="D908" t="inlineStr">
        <is>
          <t>SKÅNE LÄN</t>
        </is>
      </c>
      <c r="E908" t="inlineStr">
        <is>
          <t>PERSTORP</t>
        </is>
      </c>
      <c r="G908" t="n">
        <v>2.5</v>
      </c>
      <c r="H908" t="n">
        <v>0</v>
      </c>
      <c r="I908" t="n">
        <v>0</v>
      </c>
      <c r="J908" t="n">
        <v>0</v>
      </c>
      <c r="K908" t="n">
        <v>0</v>
      </c>
      <c r="L908" t="n">
        <v>0</v>
      </c>
      <c r="M908" t="n">
        <v>0</v>
      </c>
      <c r="N908" t="n">
        <v>0</v>
      </c>
      <c r="O908" t="n">
        <v>0</v>
      </c>
      <c r="P908" t="n">
        <v>0</v>
      </c>
      <c r="Q908" t="n">
        <v>0</v>
      </c>
      <c r="R908" s="2" t="inlineStr"/>
    </row>
    <row r="909" ht="15" customHeight="1">
      <c r="A909" t="inlineStr">
        <is>
          <t>A 65603-2019</t>
        </is>
      </c>
      <c r="B909" s="1" t="n">
        <v>43804</v>
      </c>
      <c r="C909" s="1" t="n">
        <v>45744</v>
      </c>
      <c r="D909" t="inlineStr">
        <is>
          <t>SKÅNE LÄN</t>
        </is>
      </c>
      <c r="E909" t="inlineStr">
        <is>
          <t>KRISTIANSTAD</t>
        </is>
      </c>
      <c r="G909" t="n">
        <v>3.3</v>
      </c>
      <c r="H909" t="n">
        <v>0</v>
      </c>
      <c r="I909" t="n">
        <v>0</v>
      </c>
      <c r="J909" t="n">
        <v>0</v>
      </c>
      <c r="K909" t="n">
        <v>0</v>
      </c>
      <c r="L909" t="n">
        <v>0</v>
      </c>
      <c r="M909" t="n">
        <v>0</v>
      </c>
      <c r="N909" t="n">
        <v>0</v>
      </c>
      <c r="O909" t="n">
        <v>0</v>
      </c>
      <c r="P909" t="n">
        <v>0</v>
      </c>
      <c r="Q909" t="n">
        <v>0</v>
      </c>
      <c r="R909" s="2" t="inlineStr"/>
    </row>
    <row r="910" ht="15" customHeight="1">
      <c r="A910" t="inlineStr">
        <is>
          <t>A 65672-2019</t>
        </is>
      </c>
      <c r="B910" s="1" t="n">
        <v>43804</v>
      </c>
      <c r="C910" s="1" t="n">
        <v>45744</v>
      </c>
      <c r="D910" t="inlineStr">
        <is>
          <t>SKÅNE LÄN</t>
        </is>
      </c>
      <c r="E910" t="inlineStr">
        <is>
          <t>KLIPPAN</t>
        </is>
      </c>
      <c r="F910" t="inlineStr">
        <is>
          <t>Övriga Aktiebolag</t>
        </is>
      </c>
      <c r="G910" t="n">
        <v>2</v>
      </c>
      <c r="H910" t="n">
        <v>0</v>
      </c>
      <c r="I910" t="n">
        <v>0</v>
      </c>
      <c r="J910" t="n">
        <v>0</v>
      </c>
      <c r="K910" t="n">
        <v>0</v>
      </c>
      <c r="L910" t="n">
        <v>0</v>
      </c>
      <c r="M910" t="n">
        <v>0</v>
      </c>
      <c r="N910" t="n">
        <v>0</v>
      </c>
      <c r="O910" t="n">
        <v>0</v>
      </c>
      <c r="P910" t="n">
        <v>0</v>
      </c>
      <c r="Q910" t="n">
        <v>0</v>
      </c>
      <c r="R910" s="2" t="inlineStr"/>
    </row>
    <row r="911" ht="15" customHeight="1">
      <c r="A911" t="inlineStr">
        <is>
          <t>A 65777-2019</t>
        </is>
      </c>
      <c r="B911" s="1" t="n">
        <v>43804</v>
      </c>
      <c r="C911" s="1" t="n">
        <v>45744</v>
      </c>
      <c r="D911" t="inlineStr">
        <is>
          <t>SKÅNE LÄN</t>
        </is>
      </c>
      <c r="E911" t="inlineStr">
        <is>
          <t>PERSTORP</t>
        </is>
      </c>
      <c r="G911" t="n">
        <v>0.9</v>
      </c>
      <c r="H911" t="n">
        <v>0</v>
      </c>
      <c r="I911" t="n">
        <v>0</v>
      </c>
      <c r="J911" t="n">
        <v>0</v>
      </c>
      <c r="K911" t="n">
        <v>0</v>
      </c>
      <c r="L911" t="n">
        <v>0</v>
      </c>
      <c r="M911" t="n">
        <v>0</v>
      </c>
      <c r="N911" t="n">
        <v>0</v>
      </c>
      <c r="O911" t="n">
        <v>0</v>
      </c>
      <c r="P911" t="n">
        <v>0</v>
      </c>
      <c r="Q911" t="n">
        <v>0</v>
      </c>
      <c r="R911" s="2" t="inlineStr"/>
    </row>
    <row r="912" ht="15" customHeight="1">
      <c r="A912" t="inlineStr">
        <is>
          <t>A 66782-2019</t>
        </is>
      </c>
      <c r="B912" s="1" t="n">
        <v>43804</v>
      </c>
      <c r="C912" s="1" t="n">
        <v>45744</v>
      </c>
      <c r="D912" t="inlineStr">
        <is>
          <t>SKÅNE LÄN</t>
        </is>
      </c>
      <c r="E912" t="inlineStr">
        <is>
          <t>KRISTIANSTAD</t>
        </is>
      </c>
      <c r="G912" t="n">
        <v>1.4</v>
      </c>
      <c r="H912" t="n">
        <v>0</v>
      </c>
      <c r="I912" t="n">
        <v>0</v>
      </c>
      <c r="J912" t="n">
        <v>0</v>
      </c>
      <c r="K912" t="n">
        <v>0</v>
      </c>
      <c r="L912" t="n">
        <v>0</v>
      </c>
      <c r="M912" t="n">
        <v>0</v>
      </c>
      <c r="N912" t="n">
        <v>0</v>
      </c>
      <c r="O912" t="n">
        <v>0</v>
      </c>
      <c r="P912" t="n">
        <v>0</v>
      </c>
      <c r="Q912" t="n">
        <v>0</v>
      </c>
      <c r="R912" s="2" t="inlineStr"/>
    </row>
    <row r="913" ht="15" customHeight="1">
      <c r="A913" t="inlineStr">
        <is>
          <t>A 65778-2019</t>
        </is>
      </c>
      <c r="B913" s="1" t="n">
        <v>43804</v>
      </c>
      <c r="C913" s="1" t="n">
        <v>45744</v>
      </c>
      <c r="D913" t="inlineStr">
        <is>
          <t>SKÅNE LÄN</t>
        </is>
      </c>
      <c r="E913" t="inlineStr">
        <is>
          <t>PERSTORP</t>
        </is>
      </c>
      <c r="G913" t="n">
        <v>2.2</v>
      </c>
      <c r="H913" t="n">
        <v>0</v>
      </c>
      <c r="I913" t="n">
        <v>0</v>
      </c>
      <c r="J913" t="n">
        <v>0</v>
      </c>
      <c r="K913" t="n">
        <v>0</v>
      </c>
      <c r="L913" t="n">
        <v>0</v>
      </c>
      <c r="M913" t="n">
        <v>0</v>
      </c>
      <c r="N913" t="n">
        <v>0</v>
      </c>
      <c r="O913" t="n">
        <v>0</v>
      </c>
      <c r="P913" t="n">
        <v>0</v>
      </c>
      <c r="Q913" t="n">
        <v>0</v>
      </c>
      <c r="R913" s="2" t="inlineStr"/>
    </row>
    <row r="914" ht="15" customHeight="1">
      <c r="A914" t="inlineStr">
        <is>
          <t>A 66885-2019</t>
        </is>
      </c>
      <c r="B914" s="1" t="n">
        <v>43805</v>
      </c>
      <c r="C914" s="1" t="n">
        <v>45744</v>
      </c>
      <c r="D914" t="inlineStr">
        <is>
          <t>SKÅNE LÄN</t>
        </is>
      </c>
      <c r="E914" t="inlineStr">
        <is>
          <t>HÄSSLEHOLM</t>
        </is>
      </c>
      <c r="F914" t="inlineStr">
        <is>
          <t>Övriga Aktiebolag</t>
        </is>
      </c>
      <c r="G914" t="n">
        <v>1</v>
      </c>
      <c r="H914" t="n">
        <v>0</v>
      </c>
      <c r="I914" t="n">
        <v>0</v>
      </c>
      <c r="J914" t="n">
        <v>0</v>
      </c>
      <c r="K914" t="n">
        <v>0</v>
      </c>
      <c r="L914" t="n">
        <v>0</v>
      </c>
      <c r="M914" t="n">
        <v>0</v>
      </c>
      <c r="N914" t="n">
        <v>0</v>
      </c>
      <c r="O914" t="n">
        <v>0</v>
      </c>
      <c r="P914" t="n">
        <v>0</v>
      </c>
      <c r="Q914" t="n">
        <v>0</v>
      </c>
      <c r="R914" s="2" t="inlineStr"/>
    </row>
    <row r="915" ht="15" customHeight="1">
      <c r="A915" t="inlineStr">
        <is>
          <t>A 66060-2019</t>
        </is>
      </c>
      <c r="B915" s="1" t="n">
        <v>43806</v>
      </c>
      <c r="C915" s="1" t="n">
        <v>45744</v>
      </c>
      <c r="D915" t="inlineStr">
        <is>
          <t>SKÅNE LÄN</t>
        </is>
      </c>
      <c r="E915" t="inlineStr">
        <is>
          <t>HÖÖR</t>
        </is>
      </c>
      <c r="G915" t="n">
        <v>0.5</v>
      </c>
      <c r="H915" t="n">
        <v>0</v>
      </c>
      <c r="I915" t="n">
        <v>0</v>
      </c>
      <c r="J915" t="n">
        <v>0</v>
      </c>
      <c r="K915" t="n">
        <v>0</v>
      </c>
      <c r="L915" t="n">
        <v>0</v>
      </c>
      <c r="M915" t="n">
        <v>0</v>
      </c>
      <c r="N915" t="n">
        <v>0</v>
      </c>
      <c r="O915" t="n">
        <v>0</v>
      </c>
      <c r="P915" t="n">
        <v>0</v>
      </c>
      <c r="Q915" t="n">
        <v>0</v>
      </c>
      <c r="R915" s="2" t="inlineStr"/>
    </row>
    <row r="916" ht="15" customHeight="1">
      <c r="A916" t="inlineStr">
        <is>
          <t>A 66083-2019</t>
        </is>
      </c>
      <c r="B916" s="1" t="n">
        <v>43807</v>
      </c>
      <c r="C916" s="1" t="n">
        <v>45744</v>
      </c>
      <c r="D916" t="inlineStr">
        <is>
          <t>SKÅNE LÄN</t>
        </is>
      </c>
      <c r="E916" t="inlineStr">
        <is>
          <t>OSBY</t>
        </is>
      </c>
      <c r="G916" t="n">
        <v>0.9</v>
      </c>
      <c r="H916" t="n">
        <v>0</v>
      </c>
      <c r="I916" t="n">
        <v>0</v>
      </c>
      <c r="J916" t="n">
        <v>0</v>
      </c>
      <c r="K916" t="n">
        <v>0</v>
      </c>
      <c r="L916" t="n">
        <v>0</v>
      </c>
      <c r="M916" t="n">
        <v>0</v>
      </c>
      <c r="N916" t="n">
        <v>0</v>
      </c>
      <c r="O916" t="n">
        <v>0</v>
      </c>
      <c r="P916" t="n">
        <v>0</v>
      </c>
      <c r="Q916" t="n">
        <v>0</v>
      </c>
      <c r="R916" s="2" t="inlineStr"/>
    </row>
    <row r="917" ht="15" customHeight="1">
      <c r="A917" t="inlineStr">
        <is>
          <t>A 66085-2019</t>
        </is>
      </c>
      <c r="B917" s="1" t="n">
        <v>43807</v>
      </c>
      <c r="C917" s="1" t="n">
        <v>45744</v>
      </c>
      <c r="D917" t="inlineStr">
        <is>
          <t>SKÅNE LÄN</t>
        </is>
      </c>
      <c r="E917" t="inlineStr">
        <is>
          <t>OSBY</t>
        </is>
      </c>
      <c r="G917" t="n">
        <v>1.1</v>
      </c>
      <c r="H917" t="n">
        <v>0</v>
      </c>
      <c r="I917" t="n">
        <v>0</v>
      </c>
      <c r="J917" t="n">
        <v>0</v>
      </c>
      <c r="K917" t="n">
        <v>0</v>
      </c>
      <c r="L917" t="n">
        <v>0</v>
      </c>
      <c r="M917" t="n">
        <v>0</v>
      </c>
      <c r="N917" t="n">
        <v>0</v>
      </c>
      <c r="O917" t="n">
        <v>0</v>
      </c>
      <c r="P917" t="n">
        <v>0</v>
      </c>
      <c r="Q917" t="n">
        <v>0</v>
      </c>
      <c r="R917" s="2" t="inlineStr"/>
    </row>
    <row r="918" ht="15" customHeight="1">
      <c r="A918" t="inlineStr">
        <is>
          <t>A 67241-2019</t>
        </is>
      </c>
      <c r="B918" s="1" t="n">
        <v>43808</v>
      </c>
      <c r="C918" s="1" t="n">
        <v>45744</v>
      </c>
      <c r="D918" t="inlineStr">
        <is>
          <t>SKÅNE LÄN</t>
        </is>
      </c>
      <c r="E918" t="inlineStr">
        <is>
          <t>PERSTORP</t>
        </is>
      </c>
      <c r="G918" t="n">
        <v>0.4</v>
      </c>
      <c r="H918" t="n">
        <v>0</v>
      </c>
      <c r="I918" t="n">
        <v>0</v>
      </c>
      <c r="J918" t="n">
        <v>0</v>
      </c>
      <c r="K918" t="n">
        <v>0</v>
      </c>
      <c r="L918" t="n">
        <v>0</v>
      </c>
      <c r="M918" t="n">
        <v>0</v>
      </c>
      <c r="N918" t="n">
        <v>0</v>
      </c>
      <c r="O918" t="n">
        <v>0</v>
      </c>
      <c r="P918" t="n">
        <v>0</v>
      </c>
      <c r="Q918" t="n">
        <v>0</v>
      </c>
      <c r="R918" s="2" t="inlineStr"/>
    </row>
    <row r="919" ht="15" customHeight="1">
      <c r="A919" t="inlineStr">
        <is>
          <t>A 67240-2019</t>
        </is>
      </c>
      <c r="B919" s="1" t="n">
        <v>43808</v>
      </c>
      <c r="C919" s="1" t="n">
        <v>45744</v>
      </c>
      <c r="D919" t="inlineStr">
        <is>
          <t>SKÅNE LÄN</t>
        </is>
      </c>
      <c r="E919" t="inlineStr">
        <is>
          <t>PERSTORP</t>
        </is>
      </c>
      <c r="G919" t="n">
        <v>2.8</v>
      </c>
      <c r="H919" t="n">
        <v>0</v>
      </c>
      <c r="I919" t="n">
        <v>0</v>
      </c>
      <c r="J919" t="n">
        <v>0</v>
      </c>
      <c r="K919" t="n">
        <v>0</v>
      </c>
      <c r="L919" t="n">
        <v>0</v>
      </c>
      <c r="M919" t="n">
        <v>0</v>
      </c>
      <c r="N919" t="n">
        <v>0</v>
      </c>
      <c r="O919" t="n">
        <v>0</v>
      </c>
      <c r="P919" t="n">
        <v>0</v>
      </c>
      <c r="Q919" t="n">
        <v>0</v>
      </c>
      <c r="R919" s="2" t="inlineStr"/>
    </row>
    <row r="920" ht="15" customHeight="1">
      <c r="A920" t="inlineStr">
        <is>
          <t>A 66428-2019</t>
        </is>
      </c>
      <c r="B920" s="1" t="n">
        <v>43809</v>
      </c>
      <c r="C920" s="1" t="n">
        <v>45744</v>
      </c>
      <c r="D920" t="inlineStr">
        <is>
          <t>SKÅNE LÄN</t>
        </is>
      </c>
      <c r="E920" t="inlineStr">
        <is>
          <t>HÄSSLEHOLM</t>
        </is>
      </c>
      <c r="G920" t="n">
        <v>2.6</v>
      </c>
      <c r="H920" t="n">
        <v>0</v>
      </c>
      <c r="I920" t="n">
        <v>0</v>
      </c>
      <c r="J920" t="n">
        <v>0</v>
      </c>
      <c r="K920" t="n">
        <v>0</v>
      </c>
      <c r="L920" t="n">
        <v>0</v>
      </c>
      <c r="M920" t="n">
        <v>0</v>
      </c>
      <c r="N920" t="n">
        <v>0</v>
      </c>
      <c r="O920" t="n">
        <v>0</v>
      </c>
      <c r="P920" t="n">
        <v>0</v>
      </c>
      <c r="Q920" t="n">
        <v>0</v>
      </c>
      <c r="R920" s="2" t="inlineStr"/>
    </row>
    <row r="921" ht="15" customHeight="1">
      <c r="A921" t="inlineStr">
        <is>
          <t>A 66662-2019</t>
        </is>
      </c>
      <c r="B921" s="1" t="n">
        <v>43809</v>
      </c>
      <c r="C921" s="1" t="n">
        <v>45744</v>
      </c>
      <c r="D921" t="inlineStr">
        <is>
          <t>SKÅNE LÄN</t>
        </is>
      </c>
      <c r="E921" t="inlineStr">
        <is>
          <t>HÄSSLEHOLM</t>
        </is>
      </c>
      <c r="G921" t="n">
        <v>9</v>
      </c>
      <c r="H921" t="n">
        <v>0</v>
      </c>
      <c r="I921" t="n">
        <v>0</v>
      </c>
      <c r="J921" t="n">
        <v>0</v>
      </c>
      <c r="K921" t="n">
        <v>0</v>
      </c>
      <c r="L921" t="n">
        <v>0</v>
      </c>
      <c r="M921" t="n">
        <v>0</v>
      </c>
      <c r="N921" t="n">
        <v>0</v>
      </c>
      <c r="O921" t="n">
        <v>0</v>
      </c>
      <c r="P921" t="n">
        <v>0</v>
      </c>
      <c r="Q921" t="n">
        <v>0</v>
      </c>
      <c r="R921" s="2" t="inlineStr"/>
    </row>
    <row r="922" ht="15" customHeight="1">
      <c r="A922" t="inlineStr">
        <is>
          <t>A 67739-2019</t>
        </is>
      </c>
      <c r="B922" s="1" t="n">
        <v>43810</v>
      </c>
      <c r="C922" s="1" t="n">
        <v>45744</v>
      </c>
      <c r="D922" t="inlineStr">
        <is>
          <t>SKÅNE LÄN</t>
        </is>
      </c>
      <c r="E922" t="inlineStr">
        <is>
          <t>ÄNGELHOLM</t>
        </is>
      </c>
      <c r="G922" t="n">
        <v>0.9</v>
      </c>
      <c r="H922" t="n">
        <v>0</v>
      </c>
      <c r="I922" t="n">
        <v>0</v>
      </c>
      <c r="J922" t="n">
        <v>0</v>
      </c>
      <c r="K922" t="n">
        <v>0</v>
      </c>
      <c r="L922" t="n">
        <v>0</v>
      </c>
      <c r="M922" t="n">
        <v>0</v>
      </c>
      <c r="N922" t="n">
        <v>0</v>
      </c>
      <c r="O922" t="n">
        <v>0</v>
      </c>
      <c r="P922" t="n">
        <v>0</v>
      </c>
      <c r="Q922" t="n">
        <v>0</v>
      </c>
      <c r="R922" s="2" t="inlineStr"/>
    </row>
    <row r="923" ht="15" customHeight="1">
      <c r="A923" t="inlineStr">
        <is>
          <t>A 67731-2019</t>
        </is>
      </c>
      <c r="B923" s="1" t="n">
        <v>43810</v>
      </c>
      <c r="C923" s="1" t="n">
        <v>45744</v>
      </c>
      <c r="D923" t="inlineStr">
        <is>
          <t>SKÅNE LÄN</t>
        </is>
      </c>
      <c r="E923" t="inlineStr">
        <is>
          <t>ÄNGELHOLM</t>
        </is>
      </c>
      <c r="G923" t="n">
        <v>5.3</v>
      </c>
      <c r="H923" t="n">
        <v>0</v>
      </c>
      <c r="I923" t="n">
        <v>0</v>
      </c>
      <c r="J923" t="n">
        <v>0</v>
      </c>
      <c r="K923" t="n">
        <v>0</v>
      </c>
      <c r="L923" t="n">
        <v>0</v>
      </c>
      <c r="M923" t="n">
        <v>0</v>
      </c>
      <c r="N923" t="n">
        <v>0</v>
      </c>
      <c r="O923" t="n">
        <v>0</v>
      </c>
      <c r="P923" t="n">
        <v>0</v>
      </c>
      <c r="Q923" t="n">
        <v>0</v>
      </c>
      <c r="R923" s="2" t="inlineStr"/>
    </row>
    <row r="924" ht="15" customHeight="1">
      <c r="A924" t="inlineStr">
        <is>
          <t>A 67756-2019</t>
        </is>
      </c>
      <c r="B924" s="1" t="n">
        <v>43810</v>
      </c>
      <c r="C924" s="1" t="n">
        <v>45744</v>
      </c>
      <c r="D924" t="inlineStr">
        <is>
          <t>SKÅNE LÄN</t>
        </is>
      </c>
      <c r="E924" t="inlineStr">
        <is>
          <t>HÄSSLEHOLM</t>
        </is>
      </c>
      <c r="G924" t="n">
        <v>4.2</v>
      </c>
      <c r="H924" t="n">
        <v>0</v>
      </c>
      <c r="I924" t="n">
        <v>0</v>
      </c>
      <c r="J924" t="n">
        <v>0</v>
      </c>
      <c r="K924" t="n">
        <v>0</v>
      </c>
      <c r="L924" t="n">
        <v>0</v>
      </c>
      <c r="M924" t="n">
        <v>0</v>
      </c>
      <c r="N924" t="n">
        <v>0</v>
      </c>
      <c r="O924" t="n">
        <v>0</v>
      </c>
      <c r="P924" t="n">
        <v>0</v>
      </c>
      <c r="Q924" t="n">
        <v>0</v>
      </c>
      <c r="R924" s="2" t="inlineStr"/>
    </row>
    <row r="925" ht="15" customHeight="1">
      <c r="A925" t="inlineStr">
        <is>
          <t>A 66943-2019</t>
        </is>
      </c>
      <c r="B925" s="1" t="n">
        <v>43810</v>
      </c>
      <c r="C925" s="1" t="n">
        <v>45744</v>
      </c>
      <c r="D925" t="inlineStr">
        <is>
          <t>SKÅNE LÄN</t>
        </is>
      </c>
      <c r="E925" t="inlineStr">
        <is>
          <t>ÖRKELLJUNGA</t>
        </is>
      </c>
      <c r="G925" t="n">
        <v>0.6</v>
      </c>
      <c r="H925" t="n">
        <v>0</v>
      </c>
      <c r="I925" t="n">
        <v>0</v>
      </c>
      <c r="J925" t="n">
        <v>0</v>
      </c>
      <c r="K925" t="n">
        <v>0</v>
      </c>
      <c r="L925" t="n">
        <v>0</v>
      </c>
      <c r="M925" t="n">
        <v>0</v>
      </c>
      <c r="N925" t="n">
        <v>0</v>
      </c>
      <c r="O925" t="n">
        <v>0</v>
      </c>
      <c r="P925" t="n">
        <v>0</v>
      </c>
      <c r="Q925" t="n">
        <v>0</v>
      </c>
      <c r="R925" s="2" t="inlineStr"/>
    </row>
    <row r="926" ht="15" customHeight="1">
      <c r="A926" t="inlineStr">
        <is>
          <t>A 66796-2019</t>
        </is>
      </c>
      <c r="B926" s="1" t="n">
        <v>43810</v>
      </c>
      <c r="C926" s="1" t="n">
        <v>45744</v>
      </c>
      <c r="D926" t="inlineStr">
        <is>
          <t>SKÅNE LÄN</t>
        </is>
      </c>
      <c r="E926" t="inlineStr">
        <is>
          <t>HÖÖR</t>
        </is>
      </c>
      <c r="G926" t="n">
        <v>3.6</v>
      </c>
      <c r="H926" t="n">
        <v>0</v>
      </c>
      <c r="I926" t="n">
        <v>0</v>
      </c>
      <c r="J926" t="n">
        <v>0</v>
      </c>
      <c r="K926" t="n">
        <v>0</v>
      </c>
      <c r="L926" t="n">
        <v>0</v>
      </c>
      <c r="M926" t="n">
        <v>0</v>
      </c>
      <c r="N926" t="n">
        <v>0</v>
      </c>
      <c r="O926" t="n">
        <v>0</v>
      </c>
      <c r="P926" t="n">
        <v>0</v>
      </c>
      <c r="Q926" t="n">
        <v>0</v>
      </c>
      <c r="R926" s="2" t="inlineStr"/>
    </row>
    <row r="927" ht="15" customHeight="1">
      <c r="A927" t="inlineStr">
        <is>
          <t>A 67050-2019</t>
        </is>
      </c>
      <c r="B927" s="1" t="n">
        <v>43811</v>
      </c>
      <c r="C927" s="1" t="n">
        <v>45744</v>
      </c>
      <c r="D927" t="inlineStr">
        <is>
          <t>SKÅNE LÄN</t>
        </is>
      </c>
      <c r="E927" t="inlineStr">
        <is>
          <t>ÖRKELLJUNGA</t>
        </is>
      </c>
      <c r="G927" t="n">
        <v>0.9</v>
      </c>
      <c r="H927" t="n">
        <v>0</v>
      </c>
      <c r="I927" t="n">
        <v>0</v>
      </c>
      <c r="J927" t="n">
        <v>0</v>
      </c>
      <c r="K927" t="n">
        <v>0</v>
      </c>
      <c r="L927" t="n">
        <v>0</v>
      </c>
      <c r="M927" t="n">
        <v>0</v>
      </c>
      <c r="N927" t="n">
        <v>0</v>
      </c>
      <c r="O927" t="n">
        <v>0</v>
      </c>
      <c r="P927" t="n">
        <v>0</v>
      </c>
      <c r="Q927" t="n">
        <v>0</v>
      </c>
      <c r="R927" s="2" t="inlineStr"/>
    </row>
    <row r="928" ht="15" customHeight="1">
      <c r="A928" t="inlineStr">
        <is>
          <t>A 67147-2019</t>
        </is>
      </c>
      <c r="B928" s="1" t="n">
        <v>43811</v>
      </c>
      <c r="C928" s="1" t="n">
        <v>45744</v>
      </c>
      <c r="D928" t="inlineStr">
        <is>
          <t>SKÅNE LÄN</t>
        </is>
      </c>
      <c r="E928" t="inlineStr">
        <is>
          <t>KRISTIANSTAD</t>
        </is>
      </c>
      <c r="G928" t="n">
        <v>2.7</v>
      </c>
      <c r="H928" t="n">
        <v>0</v>
      </c>
      <c r="I928" t="n">
        <v>0</v>
      </c>
      <c r="J928" t="n">
        <v>0</v>
      </c>
      <c r="K928" t="n">
        <v>0</v>
      </c>
      <c r="L928" t="n">
        <v>0</v>
      </c>
      <c r="M928" t="n">
        <v>0</v>
      </c>
      <c r="N928" t="n">
        <v>0</v>
      </c>
      <c r="O928" t="n">
        <v>0</v>
      </c>
      <c r="P928" t="n">
        <v>0</v>
      </c>
      <c r="Q928" t="n">
        <v>0</v>
      </c>
      <c r="R928" s="2" t="inlineStr"/>
    </row>
    <row r="929" ht="15" customHeight="1">
      <c r="A929" t="inlineStr">
        <is>
          <t>A 67195-2019</t>
        </is>
      </c>
      <c r="B929" s="1" t="n">
        <v>43811</v>
      </c>
      <c r="C929" s="1" t="n">
        <v>45744</v>
      </c>
      <c r="D929" t="inlineStr">
        <is>
          <t>SKÅNE LÄN</t>
        </is>
      </c>
      <c r="E929" t="inlineStr">
        <is>
          <t>KRISTIANSTAD</t>
        </is>
      </c>
      <c r="G929" t="n">
        <v>17.9</v>
      </c>
      <c r="H929" t="n">
        <v>0</v>
      </c>
      <c r="I929" t="n">
        <v>0</v>
      </c>
      <c r="J929" t="n">
        <v>0</v>
      </c>
      <c r="K929" t="n">
        <v>0</v>
      </c>
      <c r="L929" t="n">
        <v>0</v>
      </c>
      <c r="M929" t="n">
        <v>0</v>
      </c>
      <c r="N929" t="n">
        <v>0</v>
      </c>
      <c r="O929" t="n">
        <v>0</v>
      </c>
      <c r="P929" t="n">
        <v>0</v>
      </c>
      <c r="Q929" t="n">
        <v>0</v>
      </c>
      <c r="R929" s="2" t="inlineStr"/>
    </row>
    <row r="930" ht="15" customHeight="1">
      <c r="A930" t="inlineStr">
        <is>
          <t>A 67048-2019</t>
        </is>
      </c>
      <c r="B930" s="1" t="n">
        <v>43811</v>
      </c>
      <c r="C930" s="1" t="n">
        <v>45744</v>
      </c>
      <c r="D930" t="inlineStr">
        <is>
          <t>SKÅNE LÄN</t>
        </is>
      </c>
      <c r="E930" t="inlineStr">
        <is>
          <t>ÖRKELLJUNGA</t>
        </is>
      </c>
      <c r="G930" t="n">
        <v>0.8</v>
      </c>
      <c r="H930" t="n">
        <v>0</v>
      </c>
      <c r="I930" t="n">
        <v>0</v>
      </c>
      <c r="J930" t="n">
        <v>0</v>
      </c>
      <c r="K930" t="n">
        <v>0</v>
      </c>
      <c r="L930" t="n">
        <v>0</v>
      </c>
      <c r="M930" t="n">
        <v>0</v>
      </c>
      <c r="N930" t="n">
        <v>0</v>
      </c>
      <c r="O930" t="n">
        <v>0</v>
      </c>
      <c r="P930" t="n">
        <v>0</v>
      </c>
      <c r="Q930" t="n">
        <v>0</v>
      </c>
      <c r="R930" s="2" t="inlineStr"/>
    </row>
    <row r="931" ht="15" customHeight="1">
      <c r="A931" t="inlineStr">
        <is>
          <t>A 68546-2019</t>
        </is>
      </c>
      <c r="B931" s="1" t="n">
        <v>43811</v>
      </c>
      <c r="C931" s="1" t="n">
        <v>45744</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68517-2019</t>
        </is>
      </c>
      <c r="B932" s="1" t="n">
        <v>43811</v>
      </c>
      <c r="C932" s="1" t="n">
        <v>45744</v>
      </c>
      <c r="D932" t="inlineStr">
        <is>
          <t>SKÅNE LÄN</t>
        </is>
      </c>
      <c r="E932" t="inlineStr">
        <is>
          <t>SVALÖV</t>
        </is>
      </c>
      <c r="G932" t="n">
        <v>3.8</v>
      </c>
      <c r="H932" t="n">
        <v>0</v>
      </c>
      <c r="I932" t="n">
        <v>0</v>
      </c>
      <c r="J932" t="n">
        <v>0</v>
      </c>
      <c r="K932" t="n">
        <v>0</v>
      </c>
      <c r="L932" t="n">
        <v>0</v>
      </c>
      <c r="M932" t="n">
        <v>0</v>
      </c>
      <c r="N932" t="n">
        <v>0</v>
      </c>
      <c r="O932" t="n">
        <v>0</v>
      </c>
      <c r="P932" t="n">
        <v>0</v>
      </c>
      <c r="Q932" t="n">
        <v>0</v>
      </c>
      <c r="R932" s="2" t="inlineStr"/>
    </row>
    <row r="933" ht="15" customHeight="1">
      <c r="A933" t="inlineStr">
        <is>
          <t>A 67347-2019</t>
        </is>
      </c>
      <c r="B933" s="1" t="n">
        <v>43812</v>
      </c>
      <c r="C933" s="1" t="n">
        <v>45744</v>
      </c>
      <c r="D933" t="inlineStr">
        <is>
          <t>SKÅNE LÄN</t>
        </is>
      </c>
      <c r="E933" t="inlineStr">
        <is>
          <t>KRISTIANSTAD</t>
        </is>
      </c>
      <c r="G933" t="n">
        <v>1.3</v>
      </c>
      <c r="H933" t="n">
        <v>0</v>
      </c>
      <c r="I933" t="n">
        <v>0</v>
      </c>
      <c r="J933" t="n">
        <v>0</v>
      </c>
      <c r="K933" t="n">
        <v>0</v>
      </c>
      <c r="L933" t="n">
        <v>0</v>
      </c>
      <c r="M933" t="n">
        <v>0</v>
      </c>
      <c r="N933" t="n">
        <v>0</v>
      </c>
      <c r="O933" t="n">
        <v>0</v>
      </c>
      <c r="P933" t="n">
        <v>0</v>
      </c>
      <c r="Q933" t="n">
        <v>0</v>
      </c>
      <c r="R933" s="2" t="inlineStr"/>
    </row>
    <row r="934" ht="15" customHeight="1">
      <c r="A934" t="inlineStr">
        <is>
          <t>A 68676-2019</t>
        </is>
      </c>
      <c r="B934" s="1" t="n">
        <v>43815</v>
      </c>
      <c r="C934" s="1" t="n">
        <v>45744</v>
      </c>
      <c r="D934" t="inlineStr">
        <is>
          <t>SKÅNE LÄN</t>
        </is>
      </c>
      <c r="E934" t="inlineStr">
        <is>
          <t>PERSTORP</t>
        </is>
      </c>
      <c r="G934" t="n">
        <v>2.5</v>
      </c>
      <c r="H934" t="n">
        <v>0</v>
      </c>
      <c r="I934" t="n">
        <v>0</v>
      </c>
      <c r="J934" t="n">
        <v>0</v>
      </c>
      <c r="K934" t="n">
        <v>0</v>
      </c>
      <c r="L934" t="n">
        <v>0</v>
      </c>
      <c r="M934" t="n">
        <v>0</v>
      </c>
      <c r="N934" t="n">
        <v>0</v>
      </c>
      <c r="O934" t="n">
        <v>0</v>
      </c>
      <c r="P934" t="n">
        <v>0</v>
      </c>
      <c r="Q934" t="n">
        <v>0</v>
      </c>
      <c r="R934" s="2" t="inlineStr"/>
    </row>
    <row r="935" ht="15" customHeight="1">
      <c r="A935" t="inlineStr">
        <is>
          <t>A 68817-2019</t>
        </is>
      </c>
      <c r="B935" s="1" t="n">
        <v>43815</v>
      </c>
      <c r="C935" s="1" t="n">
        <v>45744</v>
      </c>
      <c r="D935" t="inlineStr">
        <is>
          <t>SKÅNE LÄN</t>
        </is>
      </c>
      <c r="E935" t="inlineStr">
        <is>
          <t>HÄSSLEHOLM</t>
        </is>
      </c>
      <c r="G935" t="n">
        <v>2.4</v>
      </c>
      <c r="H935" t="n">
        <v>0</v>
      </c>
      <c r="I935" t="n">
        <v>0</v>
      </c>
      <c r="J935" t="n">
        <v>0</v>
      </c>
      <c r="K935" t="n">
        <v>0</v>
      </c>
      <c r="L935" t="n">
        <v>0</v>
      </c>
      <c r="M935" t="n">
        <v>0</v>
      </c>
      <c r="N935" t="n">
        <v>0</v>
      </c>
      <c r="O935" t="n">
        <v>0</v>
      </c>
      <c r="P935" t="n">
        <v>0</v>
      </c>
      <c r="Q935" t="n">
        <v>0</v>
      </c>
      <c r="R935" s="2" t="inlineStr"/>
    </row>
    <row r="936" ht="15" customHeight="1">
      <c r="A936" t="inlineStr">
        <is>
          <t>A 67970-2019</t>
        </is>
      </c>
      <c r="B936" s="1" t="n">
        <v>43816</v>
      </c>
      <c r="C936" s="1" t="n">
        <v>45744</v>
      </c>
      <c r="D936" t="inlineStr">
        <is>
          <t>SKÅNE LÄN</t>
        </is>
      </c>
      <c r="E936" t="inlineStr">
        <is>
          <t>KRISTIANSTAD</t>
        </is>
      </c>
      <c r="G936" t="n">
        <v>5.8</v>
      </c>
      <c r="H936" t="n">
        <v>0</v>
      </c>
      <c r="I936" t="n">
        <v>0</v>
      </c>
      <c r="J936" t="n">
        <v>0</v>
      </c>
      <c r="K936" t="n">
        <v>0</v>
      </c>
      <c r="L936" t="n">
        <v>0</v>
      </c>
      <c r="M936" t="n">
        <v>0</v>
      </c>
      <c r="N936" t="n">
        <v>0</v>
      </c>
      <c r="O936" t="n">
        <v>0</v>
      </c>
      <c r="P936" t="n">
        <v>0</v>
      </c>
      <c r="Q936" t="n">
        <v>0</v>
      </c>
      <c r="R936" s="2" t="inlineStr"/>
    </row>
    <row r="937" ht="15" customHeight="1">
      <c r="A937" t="inlineStr">
        <is>
          <t>A 67882-2019</t>
        </is>
      </c>
      <c r="B937" s="1" t="n">
        <v>43816</v>
      </c>
      <c r="C937" s="1" t="n">
        <v>45744</v>
      </c>
      <c r="D937" t="inlineStr">
        <is>
          <t>SKÅNE LÄN</t>
        </is>
      </c>
      <c r="E937" t="inlineStr">
        <is>
          <t>HÖRBY</t>
        </is>
      </c>
      <c r="G937" t="n">
        <v>1.6</v>
      </c>
      <c r="H937" t="n">
        <v>0</v>
      </c>
      <c r="I937" t="n">
        <v>0</v>
      </c>
      <c r="J937" t="n">
        <v>0</v>
      </c>
      <c r="K937" t="n">
        <v>0</v>
      </c>
      <c r="L937" t="n">
        <v>0</v>
      </c>
      <c r="M937" t="n">
        <v>0</v>
      </c>
      <c r="N937" t="n">
        <v>0</v>
      </c>
      <c r="O937" t="n">
        <v>0</v>
      </c>
      <c r="P937" t="n">
        <v>0</v>
      </c>
      <c r="Q937" t="n">
        <v>0</v>
      </c>
      <c r="R937" s="2" t="inlineStr"/>
    </row>
    <row r="938" ht="15" customHeight="1">
      <c r="A938" t="inlineStr">
        <is>
          <t>A 68668-2019</t>
        </is>
      </c>
      <c r="B938" s="1" t="n">
        <v>43816</v>
      </c>
      <c r="C938" s="1" t="n">
        <v>45744</v>
      </c>
      <c r="D938" t="inlineStr">
        <is>
          <t>SKÅNE LÄN</t>
        </is>
      </c>
      <c r="E938" t="inlineStr">
        <is>
          <t>KLIPPAN</t>
        </is>
      </c>
      <c r="G938" t="n">
        <v>5</v>
      </c>
      <c r="H938" t="n">
        <v>0</v>
      </c>
      <c r="I938" t="n">
        <v>0</v>
      </c>
      <c r="J938" t="n">
        <v>0</v>
      </c>
      <c r="K938" t="n">
        <v>0</v>
      </c>
      <c r="L938" t="n">
        <v>0</v>
      </c>
      <c r="M938" t="n">
        <v>0</v>
      </c>
      <c r="N938" t="n">
        <v>0</v>
      </c>
      <c r="O938" t="n">
        <v>0</v>
      </c>
      <c r="P938" t="n">
        <v>0</v>
      </c>
      <c r="Q938" t="n">
        <v>0</v>
      </c>
      <c r="R938" s="2" t="inlineStr"/>
    </row>
    <row r="939" ht="15" customHeight="1">
      <c r="A939" t="inlineStr">
        <is>
          <t>A 318-2020</t>
        </is>
      </c>
      <c r="B939" s="1" t="n">
        <v>43816</v>
      </c>
      <c r="C939" s="1" t="n">
        <v>45744</v>
      </c>
      <c r="D939" t="inlineStr">
        <is>
          <t>SKÅNE LÄN</t>
        </is>
      </c>
      <c r="E939" t="inlineStr">
        <is>
          <t>KLIPPAN</t>
        </is>
      </c>
      <c r="G939" t="n">
        <v>0.7</v>
      </c>
      <c r="H939" t="n">
        <v>0</v>
      </c>
      <c r="I939" t="n">
        <v>0</v>
      </c>
      <c r="J939" t="n">
        <v>0</v>
      </c>
      <c r="K939" t="n">
        <v>0</v>
      </c>
      <c r="L939" t="n">
        <v>0</v>
      </c>
      <c r="M939" t="n">
        <v>0</v>
      </c>
      <c r="N939" t="n">
        <v>0</v>
      </c>
      <c r="O939" t="n">
        <v>0</v>
      </c>
      <c r="P939" t="n">
        <v>0</v>
      </c>
      <c r="Q939" t="n">
        <v>0</v>
      </c>
      <c r="R939" s="2" t="inlineStr"/>
    </row>
    <row r="940" ht="15" customHeight="1">
      <c r="A940" t="inlineStr">
        <is>
          <t>A 436-2020</t>
        </is>
      </c>
      <c r="B940" s="1" t="n">
        <v>43816</v>
      </c>
      <c r="C940" s="1" t="n">
        <v>45744</v>
      </c>
      <c r="D940" t="inlineStr">
        <is>
          <t>SKÅNE LÄN</t>
        </is>
      </c>
      <c r="E940" t="inlineStr">
        <is>
          <t>ESLÖV</t>
        </is>
      </c>
      <c r="G940" t="n">
        <v>0.6</v>
      </c>
      <c r="H940" t="n">
        <v>0</v>
      </c>
      <c r="I940" t="n">
        <v>0</v>
      </c>
      <c r="J940" t="n">
        <v>0</v>
      </c>
      <c r="K940" t="n">
        <v>0</v>
      </c>
      <c r="L940" t="n">
        <v>0</v>
      </c>
      <c r="M940" t="n">
        <v>0</v>
      </c>
      <c r="N940" t="n">
        <v>0</v>
      </c>
      <c r="O940" t="n">
        <v>0</v>
      </c>
      <c r="P940" t="n">
        <v>0</v>
      </c>
      <c r="Q940" t="n">
        <v>0</v>
      </c>
      <c r="R940" s="2" t="inlineStr"/>
    </row>
    <row r="941" ht="15" customHeight="1">
      <c r="A941" t="inlineStr">
        <is>
          <t>A 68071-2019</t>
        </is>
      </c>
      <c r="B941" s="1" t="n">
        <v>43816</v>
      </c>
      <c r="C941" s="1" t="n">
        <v>45744</v>
      </c>
      <c r="D941" t="inlineStr">
        <is>
          <t>SKÅNE LÄN</t>
        </is>
      </c>
      <c r="E941" t="inlineStr">
        <is>
          <t>SJÖBO</t>
        </is>
      </c>
      <c r="G941" t="n">
        <v>1.1</v>
      </c>
      <c r="H941" t="n">
        <v>0</v>
      </c>
      <c r="I941" t="n">
        <v>0</v>
      </c>
      <c r="J941" t="n">
        <v>0</v>
      </c>
      <c r="K941" t="n">
        <v>0</v>
      </c>
      <c r="L941" t="n">
        <v>0</v>
      </c>
      <c r="M941" t="n">
        <v>0</v>
      </c>
      <c r="N941" t="n">
        <v>0</v>
      </c>
      <c r="O941" t="n">
        <v>0</v>
      </c>
      <c r="P941" t="n">
        <v>0</v>
      </c>
      <c r="Q941" t="n">
        <v>0</v>
      </c>
      <c r="R941" s="2" t="inlineStr"/>
    </row>
    <row r="942" ht="15" customHeight="1">
      <c r="A942" t="inlineStr">
        <is>
          <t>A 68070-2019</t>
        </is>
      </c>
      <c r="B942" s="1" t="n">
        <v>43816</v>
      </c>
      <c r="C942" s="1" t="n">
        <v>45744</v>
      </c>
      <c r="D942" t="inlineStr">
        <is>
          <t>SKÅNE LÄN</t>
        </is>
      </c>
      <c r="E942" t="inlineStr">
        <is>
          <t>SJÖBO</t>
        </is>
      </c>
      <c r="G942" t="n">
        <v>1.9</v>
      </c>
      <c r="H942" t="n">
        <v>0</v>
      </c>
      <c r="I942" t="n">
        <v>0</v>
      </c>
      <c r="J942" t="n">
        <v>0</v>
      </c>
      <c r="K942" t="n">
        <v>0</v>
      </c>
      <c r="L942" t="n">
        <v>0</v>
      </c>
      <c r="M942" t="n">
        <v>0</v>
      </c>
      <c r="N942" t="n">
        <v>0</v>
      </c>
      <c r="O942" t="n">
        <v>0</v>
      </c>
      <c r="P942" t="n">
        <v>0</v>
      </c>
      <c r="Q942" t="n">
        <v>0</v>
      </c>
      <c r="R942" s="2" t="inlineStr"/>
    </row>
    <row r="943" ht="15" customHeight="1">
      <c r="A943" t="inlineStr">
        <is>
          <t>A 68072-2019</t>
        </is>
      </c>
      <c r="B943" s="1" t="n">
        <v>43816</v>
      </c>
      <c r="C943" s="1" t="n">
        <v>45744</v>
      </c>
      <c r="D943" t="inlineStr">
        <is>
          <t>SKÅNE LÄN</t>
        </is>
      </c>
      <c r="E943" t="inlineStr">
        <is>
          <t>SJÖBO</t>
        </is>
      </c>
      <c r="G943" t="n">
        <v>0.4</v>
      </c>
      <c r="H943" t="n">
        <v>0</v>
      </c>
      <c r="I943" t="n">
        <v>0</v>
      </c>
      <c r="J943" t="n">
        <v>0</v>
      </c>
      <c r="K943" t="n">
        <v>0</v>
      </c>
      <c r="L943" t="n">
        <v>0</v>
      </c>
      <c r="M943" t="n">
        <v>0</v>
      </c>
      <c r="N943" t="n">
        <v>0</v>
      </c>
      <c r="O943" t="n">
        <v>0</v>
      </c>
      <c r="P943" t="n">
        <v>0</v>
      </c>
      <c r="Q943" t="n">
        <v>0</v>
      </c>
      <c r="R943" s="2" t="inlineStr"/>
    </row>
    <row r="944" ht="15" customHeight="1">
      <c r="A944" t="inlineStr">
        <is>
          <t>A 67968-2019</t>
        </is>
      </c>
      <c r="B944" s="1" t="n">
        <v>43816</v>
      </c>
      <c r="C944" s="1" t="n">
        <v>45744</v>
      </c>
      <c r="D944" t="inlineStr">
        <is>
          <t>SKÅNE LÄN</t>
        </is>
      </c>
      <c r="E944" t="inlineStr">
        <is>
          <t>KRISTIANSTAD</t>
        </is>
      </c>
      <c r="F944" t="inlineStr">
        <is>
          <t>Övriga Aktiebolag</t>
        </is>
      </c>
      <c r="G944" t="n">
        <v>5.1</v>
      </c>
      <c r="H944" t="n">
        <v>0</v>
      </c>
      <c r="I944" t="n">
        <v>0</v>
      </c>
      <c r="J944" t="n">
        <v>0</v>
      </c>
      <c r="K944" t="n">
        <v>0</v>
      </c>
      <c r="L944" t="n">
        <v>0</v>
      </c>
      <c r="M944" t="n">
        <v>0</v>
      </c>
      <c r="N944" t="n">
        <v>0</v>
      </c>
      <c r="O944" t="n">
        <v>0</v>
      </c>
      <c r="P944" t="n">
        <v>0</v>
      </c>
      <c r="Q944" t="n">
        <v>0</v>
      </c>
      <c r="R944" s="2" t="inlineStr"/>
    </row>
    <row r="945" ht="15" customHeight="1">
      <c r="A945" t="inlineStr">
        <is>
          <t>A 68161-2019</t>
        </is>
      </c>
      <c r="B945" s="1" t="n">
        <v>43817</v>
      </c>
      <c r="C945" s="1" t="n">
        <v>45744</v>
      </c>
      <c r="D945" t="inlineStr">
        <is>
          <t>SKÅNE LÄN</t>
        </is>
      </c>
      <c r="E945" t="inlineStr">
        <is>
          <t>ÖSTRA GÖINGE</t>
        </is>
      </c>
      <c r="G945" t="n">
        <v>1.7</v>
      </c>
      <c r="H945" t="n">
        <v>0</v>
      </c>
      <c r="I945" t="n">
        <v>0</v>
      </c>
      <c r="J945" t="n">
        <v>0</v>
      </c>
      <c r="K945" t="n">
        <v>0</v>
      </c>
      <c r="L945" t="n">
        <v>0</v>
      </c>
      <c r="M945" t="n">
        <v>0</v>
      </c>
      <c r="N945" t="n">
        <v>0</v>
      </c>
      <c r="O945" t="n">
        <v>0</v>
      </c>
      <c r="P945" t="n">
        <v>0</v>
      </c>
      <c r="Q945" t="n">
        <v>0</v>
      </c>
      <c r="R945" s="2" t="inlineStr"/>
    </row>
    <row r="946" ht="15" customHeight="1">
      <c r="A946" t="inlineStr">
        <is>
          <t>A 435-2020</t>
        </is>
      </c>
      <c r="B946" s="1" t="n">
        <v>43817</v>
      </c>
      <c r="C946" s="1" t="n">
        <v>45744</v>
      </c>
      <c r="D946" t="inlineStr">
        <is>
          <t>SKÅNE LÄN</t>
        </is>
      </c>
      <c r="E946" t="inlineStr">
        <is>
          <t>KLIPPAN</t>
        </is>
      </c>
      <c r="F946" t="inlineStr">
        <is>
          <t>Övriga Aktiebolag</t>
        </is>
      </c>
      <c r="G946" t="n">
        <v>1.3</v>
      </c>
      <c r="H946" t="n">
        <v>0</v>
      </c>
      <c r="I946" t="n">
        <v>0</v>
      </c>
      <c r="J946" t="n">
        <v>0</v>
      </c>
      <c r="K946" t="n">
        <v>0</v>
      </c>
      <c r="L946" t="n">
        <v>0</v>
      </c>
      <c r="M946" t="n">
        <v>0</v>
      </c>
      <c r="N946" t="n">
        <v>0</v>
      </c>
      <c r="O946" t="n">
        <v>0</v>
      </c>
      <c r="P946" t="n">
        <v>0</v>
      </c>
      <c r="Q946" t="n">
        <v>0</v>
      </c>
      <c r="R946" s="2" t="inlineStr"/>
    </row>
    <row r="947" ht="15" customHeight="1">
      <c r="A947" t="inlineStr">
        <is>
          <t>A 68219-2019</t>
        </is>
      </c>
      <c r="B947" s="1" t="n">
        <v>43817</v>
      </c>
      <c r="C947" s="1" t="n">
        <v>45744</v>
      </c>
      <c r="D947" t="inlineStr">
        <is>
          <t>SKÅNE LÄN</t>
        </is>
      </c>
      <c r="E947" t="inlineStr">
        <is>
          <t>OSBY</t>
        </is>
      </c>
      <c r="G947" t="n">
        <v>0.8</v>
      </c>
      <c r="H947" t="n">
        <v>0</v>
      </c>
      <c r="I947" t="n">
        <v>0</v>
      </c>
      <c r="J947" t="n">
        <v>0</v>
      </c>
      <c r="K947" t="n">
        <v>0</v>
      </c>
      <c r="L947" t="n">
        <v>0</v>
      </c>
      <c r="M947" t="n">
        <v>0</v>
      </c>
      <c r="N947" t="n">
        <v>0</v>
      </c>
      <c r="O947" t="n">
        <v>0</v>
      </c>
      <c r="P947" t="n">
        <v>0</v>
      </c>
      <c r="Q947" t="n">
        <v>0</v>
      </c>
      <c r="R947" s="2" t="inlineStr"/>
    </row>
    <row r="948" ht="15" customHeight="1">
      <c r="A948" t="inlineStr">
        <is>
          <t>A 842-2020</t>
        </is>
      </c>
      <c r="B948" s="1" t="n">
        <v>43818</v>
      </c>
      <c r="C948" s="1" t="n">
        <v>45744</v>
      </c>
      <c r="D948" t="inlineStr">
        <is>
          <t>SKÅNE LÄN</t>
        </is>
      </c>
      <c r="E948" t="inlineStr">
        <is>
          <t>KRISTIANSTAD</t>
        </is>
      </c>
      <c r="G948" t="n">
        <v>1.3</v>
      </c>
      <c r="H948" t="n">
        <v>0</v>
      </c>
      <c r="I948" t="n">
        <v>0</v>
      </c>
      <c r="J948" t="n">
        <v>0</v>
      </c>
      <c r="K948" t="n">
        <v>0</v>
      </c>
      <c r="L948" t="n">
        <v>0</v>
      </c>
      <c r="M948" t="n">
        <v>0</v>
      </c>
      <c r="N948" t="n">
        <v>0</v>
      </c>
      <c r="O948" t="n">
        <v>0</v>
      </c>
      <c r="P948" t="n">
        <v>0</v>
      </c>
      <c r="Q948" t="n">
        <v>0</v>
      </c>
      <c r="R948" s="2" t="inlineStr"/>
    </row>
    <row r="949" ht="15" customHeight="1">
      <c r="A949" t="inlineStr">
        <is>
          <t>A 851-2020</t>
        </is>
      </c>
      <c r="B949" s="1" t="n">
        <v>43818</v>
      </c>
      <c r="C949" s="1" t="n">
        <v>45744</v>
      </c>
      <c r="D949" t="inlineStr">
        <is>
          <t>SKÅNE LÄN</t>
        </is>
      </c>
      <c r="E949" t="inlineStr">
        <is>
          <t>KRISTIANSTAD</t>
        </is>
      </c>
      <c r="G949" t="n">
        <v>5.4</v>
      </c>
      <c r="H949" t="n">
        <v>0</v>
      </c>
      <c r="I949" t="n">
        <v>0</v>
      </c>
      <c r="J949" t="n">
        <v>0</v>
      </c>
      <c r="K949" t="n">
        <v>0</v>
      </c>
      <c r="L949" t="n">
        <v>0</v>
      </c>
      <c r="M949" t="n">
        <v>0</v>
      </c>
      <c r="N949" t="n">
        <v>0</v>
      </c>
      <c r="O949" t="n">
        <v>0</v>
      </c>
      <c r="P949" t="n">
        <v>0</v>
      </c>
      <c r="Q949" t="n">
        <v>0</v>
      </c>
      <c r="R949" s="2" t="inlineStr"/>
    </row>
    <row r="950" ht="15" customHeight="1">
      <c r="A950" t="inlineStr">
        <is>
          <t>A 68525-2019</t>
        </is>
      </c>
      <c r="B950" s="1" t="n">
        <v>43818</v>
      </c>
      <c r="C950" s="1" t="n">
        <v>45744</v>
      </c>
      <c r="D950" t="inlineStr">
        <is>
          <t>SKÅNE LÄN</t>
        </is>
      </c>
      <c r="E950" t="inlineStr">
        <is>
          <t>ÖSTRA GÖINGE</t>
        </is>
      </c>
      <c r="G950" t="n">
        <v>0.7</v>
      </c>
      <c r="H950" t="n">
        <v>0</v>
      </c>
      <c r="I950" t="n">
        <v>0</v>
      </c>
      <c r="J950" t="n">
        <v>0</v>
      </c>
      <c r="K950" t="n">
        <v>0</v>
      </c>
      <c r="L950" t="n">
        <v>0</v>
      </c>
      <c r="M950" t="n">
        <v>0</v>
      </c>
      <c r="N950" t="n">
        <v>0</v>
      </c>
      <c r="O950" t="n">
        <v>0</v>
      </c>
      <c r="P950" t="n">
        <v>0</v>
      </c>
      <c r="Q950" t="n">
        <v>0</v>
      </c>
      <c r="R950" s="2" t="inlineStr"/>
    </row>
    <row r="951" ht="15" customHeight="1">
      <c r="A951" t="inlineStr">
        <is>
          <t>A 68781-2019</t>
        </is>
      </c>
      <c r="B951" s="1" t="n">
        <v>43819</v>
      </c>
      <c r="C951" s="1" t="n">
        <v>45744</v>
      </c>
      <c r="D951" t="inlineStr">
        <is>
          <t>SKÅNE LÄN</t>
        </is>
      </c>
      <c r="E951" t="inlineStr">
        <is>
          <t>PERSTORP</t>
        </is>
      </c>
      <c r="G951" t="n">
        <v>3.1</v>
      </c>
      <c r="H951" t="n">
        <v>0</v>
      </c>
      <c r="I951" t="n">
        <v>0</v>
      </c>
      <c r="J951" t="n">
        <v>0</v>
      </c>
      <c r="K951" t="n">
        <v>0</v>
      </c>
      <c r="L951" t="n">
        <v>0</v>
      </c>
      <c r="M951" t="n">
        <v>0</v>
      </c>
      <c r="N951" t="n">
        <v>0</v>
      </c>
      <c r="O951" t="n">
        <v>0</v>
      </c>
      <c r="P951" t="n">
        <v>0</v>
      </c>
      <c r="Q951" t="n">
        <v>0</v>
      </c>
      <c r="R951" s="2" t="inlineStr"/>
    </row>
    <row r="952" ht="15" customHeight="1">
      <c r="A952" t="inlineStr">
        <is>
          <t>A 68761-2019</t>
        </is>
      </c>
      <c r="B952" s="1" t="n">
        <v>43819</v>
      </c>
      <c r="C952" s="1" t="n">
        <v>45744</v>
      </c>
      <c r="D952" t="inlineStr">
        <is>
          <t>SKÅNE LÄN</t>
        </is>
      </c>
      <c r="E952" t="inlineStr">
        <is>
          <t>PERSTORP</t>
        </is>
      </c>
      <c r="G952" t="n">
        <v>3.7</v>
      </c>
      <c r="H952" t="n">
        <v>0</v>
      </c>
      <c r="I952" t="n">
        <v>0</v>
      </c>
      <c r="J952" t="n">
        <v>0</v>
      </c>
      <c r="K952" t="n">
        <v>0</v>
      </c>
      <c r="L952" t="n">
        <v>0</v>
      </c>
      <c r="M952" t="n">
        <v>0</v>
      </c>
      <c r="N952" t="n">
        <v>0</v>
      </c>
      <c r="O952" t="n">
        <v>0</v>
      </c>
      <c r="P952" t="n">
        <v>0</v>
      </c>
      <c r="Q952" t="n">
        <v>0</v>
      </c>
      <c r="R952" s="2" t="inlineStr"/>
    </row>
    <row r="953" ht="15" customHeight="1">
      <c r="A953" t="inlineStr">
        <is>
          <t>A 68791-2019</t>
        </is>
      </c>
      <c r="B953" s="1" t="n">
        <v>43819</v>
      </c>
      <c r="C953" s="1" t="n">
        <v>45744</v>
      </c>
      <c r="D953" t="inlineStr">
        <is>
          <t>SKÅNE LÄN</t>
        </is>
      </c>
      <c r="E953" t="inlineStr">
        <is>
          <t>PERSTORP</t>
        </is>
      </c>
      <c r="G953" t="n">
        <v>2.4</v>
      </c>
      <c r="H953" t="n">
        <v>0</v>
      </c>
      <c r="I953" t="n">
        <v>0</v>
      </c>
      <c r="J953" t="n">
        <v>0</v>
      </c>
      <c r="K953" t="n">
        <v>0</v>
      </c>
      <c r="L953" t="n">
        <v>0</v>
      </c>
      <c r="M953" t="n">
        <v>0</v>
      </c>
      <c r="N953" t="n">
        <v>0</v>
      </c>
      <c r="O953" t="n">
        <v>0</v>
      </c>
      <c r="P953" t="n">
        <v>0</v>
      </c>
      <c r="Q953" t="n">
        <v>0</v>
      </c>
      <c r="R953" s="2" t="inlineStr"/>
    </row>
    <row r="954" ht="15" customHeight="1">
      <c r="A954" t="inlineStr">
        <is>
          <t>A 1379-2020</t>
        </is>
      </c>
      <c r="B954" s="1" t="n">
        <v>43822</v>
      </c>
      <c r="C954" s="1" t="n">
        <v>45744</v>
      </c>
      <c r="D954" t="inlineStr">
        <is>
          <t>SKÅNE LÄN</t>
        </is>
      </c>
      <c r="E954" t="inlineStr">
        <is>
          <t>OSBY</t>
        </is>
      </c>
      <c r="G954" t="n">
        <v>0.6</v>
      </c>
      <c r="H954" t="n">
        <v>0</v>
      </c>
      <c r="I954" t="n">
        <v>0</v>
      </c>
      <c r="J954" t="n">
        <v>0</v>
      </c>
      <c r="K954" t="n">
        <v>0</v>
      </c>
      <c r="L954" t="n">
        <v>0</v>
      </c>
      <c r="M954" t="n">
        <v>0</v>
      </c>
      <c r="N954" t="n">
        <v>0</v>
      </c>
      <c r="O954" t="n">
        <v>0</v>
      </c>
      <c r="P954" t="n">
        <v>0</v>
      </c>
      <c r="Q954" t="n">
        <v>0</v>
      </c>
      <c r="R954" s="2" t="inlineStr"/>
    </row>
    <row r="955" ht="15" customHeight="1">
      <c r="A955" t="inlineStr">
        <is>
          <t>A 1315-2020</t>
        </is>
      </c>
      <c r="B955" s="1" t="n">
        <v>43822</v>
      </c>
      <c r="C955" s="1" t="n">
        <v>45744</v>
      </c>
      <c r="D955" t="inlineStr">
        <is>
          <t>SKÅNE LÄN</t>
        </is>
      </c>
      <c r="E955" t="inlineStr">
        <is>
          <t>SIMRISHAMN</t>
        </is>
      </c>
      <c r="G955" t="n">
        <v>2.7</v>
      </c>
      <c r="H955" t="n">
        <v>0</v>
      </c>
      <c r="I955" t="n">
        <v>0</v>
      </c>
      <c r="J955" t="n">
        <v>0</v>
      </c>
      <c r="K955" t="n">
        <v>0</v>
      </c>
      <c r="L955" t="n">
        <v>0</v>
      </c>
      <c r="M955" t="n">
        <v>0</v>
      </c>
      <c r="N955" t="n">
        <v>0</v>
      </c>
      <c r="O955" t="n">
        <v>0</v>
      </c>
      <c r="P955" t="n">
        <v>0</v>
      </c>
      <c r="Q955" t="n">
        <v>0</v>
      </c>
      <c r="R955" s="2" t="inlineStr"/>
    </row>
    <row r="956" ht="15" customHeight="1">
      <c r="A956" t="inlineStr">
        <is>
          <t>A 1382-2020</t>
        </is>
      </c>
      <c r="B956" s="1" t="n">
        <v>43822</v>
      </c>
      <c r="C956" s="1" t="n">
        <v>45744</v>
      </c>
      <c r="D956" t="inlineStr">
        <is>
          <t>SKÅNE LÄN</t>
        </is>
      </c>
      <c r="E956" t="inlineStr">
        <is>
          <t>OSBY</t>
        </is>
      </c>
      <c r="G956" t="n">
        <v>0.7</v>
      </c>
      <c r="H956" t="n">
        <v>0</v>
      </c>
      <c r="I956" t="n">
        <v>0</v>
      </c>
      <c r="J956" t="n">
        <v>0</v>
      </c>
      <c r="K956" t="n">
        <v>0</v>
      </c>
      <c r="L956" t="n">
        <v>0</v>
      </c>
      <c r="M956" t="n">
        <v>0</v>
      </c>
      <c r="N956" t="n">
        <v>0</v>
      </c>
      <c r="O956" t="n">
        <v>0</v>
      </c>
      <c r="P956" t="n">
        <v>0</v>
      </c>
      <c r="Q956" t="n">
        <v>0</v>
      </c>
      <c r="R956" s="2" t="inlineStr"/>
    </row>
    <row r="957" ht="15" customHeight="1">
      <c r="A957" t="inlineStr">
        <is>
          <t>A 1372-2020</t>
        </is>
      </c>
      <c r="B957" s="1" t="n">
        <v>43822</v>
      </c>
      <c r="C957" s="1" t="n">
        <v>45744</v>
      </c>
      <c r="D957" t="inlineStr">
        <is>
          <t>SKÅNE LÄN</t>
        </is>
      </c>
      <c r="E957" t="inlineStr">
        <is>
          <t>OSBY</t>
        </is>
      </c>
      <c r="G957" t="n">
        <v>0.5</v>
      </c>
      <c r="H957" t="n">
        <v>0</v>
      </c>
      <c r="I957" t="n">
        <v>0</v>
      </c>
      <c r="J957" t="n">
        <v>0</v>
      </c>
      <c r="K957" t="n">
        <v>0</v>
      </c>
      <c r="L957" t="n">
        <v>0</v>
      </c>
      <c r="M957" t="n">
        <v>0</v>
      </c>
      <c r="N957" t="n">
        <v>0</v>
      </c>
      <c r="O957" t="n">
        <v>0</v>
      </c>
      <c r="P957" t="n">
        <v>0</v>
      </c>
      <c r="Q957" t="n">
        <v>0</v>
      </c>
      <c r="R957" s="2" t="inlineStr"/>
    </row>
    <row r="958" ht="15" customHeight="1">
      <c r="A958" t="inlineStr">
        <is>
          <t>A 68977-2019</t>
        </is>
      </c>
      <c r="B958" s="1" t="n">
        <v>43824</v>
      </c>
      <c r="C958" s="1" t="n">
        <v>45744</v>
      </c>
      <c r="D958" t="inlineStr">
        <is>
          <t>SKÅNE LÄN</t>
        </is>
      </c>
      <c r="E958" t="inlineStr">
        <is>
          <t>ÖRKELLJUNGA</t>
        </is>
      </c>
      <c r="G958" t="n">
        <v>5.9</v>
      </c>
      <c r="H958" t="n">
        <v>0</v>
      </c>
      <c r="I958" t="n">
        <v>0</v>
      </c>
      <c r="J958" t="n">
        <v>0</v>
      </c>
      <c r="K958" t="n">
        <v>0</v>
      </c>
      <c r="L958" t="n">
        <v>0</v>
      </c>
      <c r="M958" t="n">
        <v>0</v>
      </c>
      <c r="N958" t="n">
        <v>0</v>
      </c>
      <c r="O958" t="n">
        <v>0</v>
      </c>
      <c r="P958" t="n">
        <v>0</v>
      </c>
      <c r="Q958" t="n">
        <v>0</v>
      </c>
      <c r="R958" s="2" t="inlineStr"/>
    </row>
    <row r="959" ht="15" customHeight="1">
      <c r="A959" t="inlineStr">
        <is>
          <t>A 69128-2019</t>
        </is>
      </c>
      <c r="B959" s="1" t="n">
        <v>43829</v>
      </c>
      <c r="C959" s="1" t="n">
        <v>45744</v>
      </c>
      <c r="D959" t="inlineStr">
        <is>
          <t>SKÅNE LÄN</t>
        </is>
      </c>
      <c r="E959" t="inlineStr">
        <is>
          <t>ÖSTRA GÖINGE</t>
        </is>
      </c>
      <c r="G959" t="n">
        <v>4.1</v>
      </c>
      <c r="H959" t="n">
        <v>0</v>
      </c>
      <c r="I959" t="n">
        <v>0</v>
      </c>
      <c r="J959" t="n">
        <v>0</v>
      </c>
      <c r="K959" t="n">
        <v>0</v>
      </c>
      <c r="L959" t="n">
        <v>0</v>
      </c>
      <c r="M959" t="n">
        <v>0</v>
      </c>
      <c r="N959" t="n">
        <v>0</v>
      </c>
      <c r="O959" t="n">
        <v>0</v>
      </c>
      <c r="P959" t="n">
        <v>0</v>
      </c>
      <c r="Q959" t="n">
        <v>0</v>
      </c>
      <c r="R959" s="2" t="inlineStr"/>
    </row>
    <row r="960" ht="15" customHeight="1">
      <c r="A960" t="inlineStr">
        <is>
          <t>A 247-2020</t>
        </is>
      </c>
      <c r="B960" s="1" t="n">
        <v>43835</v>
      </c>
      <c r="C960" s="1" t="n">
        <v>45744</v>
      </c>
      <c r="D960" t="inlineStr">
        <is>
          <t>SKÅNE LÄN</t>
        </is>
      </c>
      <c r="E960" t="inlineStr">
        <is>
          <t>SVALÖV</t>
        </is>
      </c>
      <c r="G960" t="n">
        <v>2</v>
      </c>
      <c r="H960" t="n">
        <v>0</v>
      </c>
      <c r="I960" t="n">
        <v>0</v>
      </c>
      <c r="J960" t="n">
        <v>0</v>
      </c>
      <c r="K960" t="n">
        <v>0</v>
      </c>
      <c r="L960" t="n">
        <v>0</v>
      </c>
      <c r="M960" t="n">
        <v>0</v>
      </c>
      <c r="N960" t="n">
        <v>0</v>
      </c>
      <c r="O960" t="n">
        <v>0</v>
      </c>
      <c r="P960" t="n">
        <v>0</v>
      </c>
      <c r="Q960" t="n">
        <v>0</v>
      </c>
      <c r="R960" s="2" t="inlineStr"/>
    </row>
    <row r="961" ht="15" customHeight="1">
      <c r="A961" t="inlineStr">
        <is>
          <t>A 1828-2020</t>
        </is>
      </c>
      <c r="B961" s="1" t="n">
        <v>43837</v>
      </c>
      <c r="C961" s="1" t="n">
        <v>45744</v>
      </c>
      <c r="D961" t="inlineStr">
        <is>
          <t>SKÅNE LÄN</t>
        </is>
      </c>
      <c r="E961" t="inlineStr">
        <is>
          <t>PERSTORP</t>
        </is>
      </c>
      <c r="G961" t="n">
        <v>1.5</v>
      </c>
      <c r="H961" t="n">
        <v>0</v>
      </c>
      <c r="I961" t="n">
        <v>0</v>
      </c>
      <c r="J961" t="n">
        <v>0</v>
      </c>
      <c r="K961" t="n">
        <v>0</v>
      </c>
      <c r="L961" t="n">
        <v>0</v>
      </c>
      <c r="M961" t="n">
        <v>0</v>
      </c>
      <c r="N961" t="n">
        <v>0</v>
      </c>
      <c r="O961" t="n">
        <v>0</v>
      </c>
      <c r="P961" t="n">
        <v>0</v>
      </c>
      <c r="Q961" t="n">
        <v>0</v>
      </c>
      <c r="R961" s="2" t="inlineStr"/>
    </row>
    <row r="962" ht="15" customHeight="1">
      <c r="A962" t="inlineStr">
        <is>
          <t>A 556-2020</t>
        </is>
      </c>
      <c r="B962" s="1" t="n">
        <v>43838</v>
      </c>
      <c r="C962" s="1" t="n">
        <v>45744</v>
      </c>
      <c r="D962" t="inlineStr">
        <is>
          <t>SKÅNE LÄN</t>
        </is>
      </c>
      <c r="E962" t="inlineStr">
        <is>
          <t>BROMÖLLA</t>
        </is>
      </c>
      <c r="G962" t="n">
        <v>5.3</v>
      </c>
      <c r="H962" t="n">
        <v>0</v>
      </c>
      <c r="I962" t="n">
        <v>0</v>
      </c>
      <c r="J962" t="n">
        <v>0</v>
      </c>
      <c r="K962" t="n">
        <v>0</v>
      </c>
      <c r="L962" t="n">
        <v>0</v>
      </c>
      <c r="M962" t="n">
        <v>0</v>
      </c>
      <c r="N962" t="n">
        <v>0</v>
      </c>
      <c r="O962" t="n">
        <v>0</v>
      </c>
      <c r="P962" t="n">
        <v>0</v>
      </c>
      <c r="Q962" t="n">
        <v>0</v>
      </c>
      <c r="R962" s="2" t="inlineStr"/>
    </row>
    <row r="963" ht="15" customHeight="1">
      <c r="A963" t="inlineStr">
        <is>
          <t>A 607-2020</t>
        </is>
      </c>
      <c r="B963" s="1" t="n">
        <v>43838</v>
      </c>
      <c r="C963" s="1" t="n">
        <v>45744</v>
      </c>
      <c r="D963" t="inlineStr">
        <is>
          <t>SKÅNE LÄN</t>
        </is>
      </c>
      <c r="E963" t="inlineStr">
        <is>
          <t>OSBY</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554-2020</t>
        </is>
      </c>
      <c r="B964" s="1" t="n">
        <v>43838</v>
      </c>
      <c r="C964" s="1" t="n">
        <v>45744</v>
      </c>
      <c r="D964" t="inlineStr">
        <is>
          <t>SKÅNE LÄN</t>
        </is>
      </c>
      <c r="E964" t="inlineStr">
        <is>
          <t>BROMÖLLA</t>
        </is>
      </c>
      <c r="G964" t="n">
        <v>1.1</v>
      </c>
      <c r="H964" t="n">
        <v>0</v>
      </c>
      <c r="I964" t="n">
        <v>0</v>
      </c>
      <c r="J964" t="n">
        <v>0</v>
      </c>
      <c r="K964" t="n">
        <v>0</v>
      </c>
      <c r="L964" t="n">
        <v>0</v>
      </c>
      <c r="M964" t="n">
        <v>0</v>
      </c>
      <c r="N964" t="n">
        <v>0</v>
      </c>
      <c r="O964" t="n">
        <v>0</v>
      </c>
      <c r="P964" t="n">
        <v>0</v>
      </c>
      <c r="Q964" t="n">
        <v>0</v>
      </c>
      <c r="R964" s="2" t="inlineStr"/>
    </row>
    <row r="965" ht="15" customHeight="1">
      <c r="A965" t="inlineStr">
        <is>
          <t>A 850-2020</t>
        </is>
      </c>
      <c r="B965" s="1" t="n">
        <v>43839</v>
      </c>
      <c r="C965" s="1" t="n">
        <v>45744</v>
      </c>
      <c r="D965" t="inlineStr">
        <is>
          <t>SKÅNE LÄN</t>
        </is>
      </c>
      <c r="E965" t="inlineStr">
        <is>
          <t>OSBY</t>
        </is>
      </c>
      <c r="F965" t="inlineStr">
        <is>
          <t>Kyrkan</t>
        </is>
      </c>
      <c r="G965" t="n">
        <v>1.2</v>
      </c>
      <c r="H965" t="n">
        <v>0</v>
      </c>
      <c r="I965" t="n">
        <v>0</v>
      </c>
      <c r="J965" t="n">
        <v>0</v>
      </c>
      <c r="K965" t="n">
        <v>0</v>
      </c>
      <c r="L965" t="n">
        <v>0</v>
      </c>
      <c r="M965" t="n">
        <v>0</v>
      </c>
      <c r="N965" t="n">
        <v>0</v>
      </c>
      <c r="O965" t="n">
        <v>0</v>
      </c>
      <c r="P965" t="n">
        <v>0</v>
      </c>
      <c r="Q965" t="n">
        <v>0</v>
      </c>
      <c r="R965" s="2" t="inlineStr"/>
    </row>
    <row r="966" ht="15" customHeight="1">
      <c r="A966" t="inlineStr">
        <is>
          <t>A 849-2020</t>
        </is>
      </c>
      <c r="B966" s="1" t="n">
        <v>43839</v>
      </c>
      <c r="C966" s="1" t="n">
        <v>45744</v>
      </c>
      <c r="D966" t="inlineStr">
        <is>
          <t>SKÅNE LÄN</t>
        </is>
      </c>
      <c r="E966" t="inlineStr">
        <is>
          <t>OSBY</t>
        </is>
      </c>
      <c r="F966" t="inlineStr">
        <is>
          <t>Kyrkan</t>
        </is>
      </c>
      <c r="G966" t="n">
        <v>1.5</v>
      </c>
      <c r="H966" t="n">
        <v>0</v>
      </c>
      <c r="I966" t="n">
        <v>0</v>
      </c>
      <c r="J966" t="n">
        <v>0</v>
      </c>
      <c r="K966" t="n">
        <v>0</v>
      </c>
      <c r="L966" t="n">
        <v>0</v>
      </c>
      <c r="M966" t="n">
        <v>0</v>
      </c>
      <c r="N966" t="n">
        <v>0</v>
      </c>
      <c r="O966" t="n">
        <v>0</v>
      </c>
      <c r="P966" t="n">
        <v>0</v>
      </c>
      <c r="Q966" t="n">
        <v>0</v>
      </c>
      <c r="R966" s="2" t="inlineStr"/>
    </row>
    <row r="967" ht="15" customHeight="1">
      <c r="A967" t="inlineStr">
        <is>
          <t>A 1081-2020</t>
        </is>
      </c>
      <c r="B967" s="1" t="n">
        <v>43840</v>
      </c>
      <c r="C967" s="1" t="n">
        <v>45744</v>
      </c>
      <c r="D967" t="inlineStr">
        <is>
          <t>SKÅNE LÄN</t>
        </is>
      </c>
      <c r="E967" t="inlineStr">
        <is>
          <t>ÖRKELLJUNGA</t>
        </is>
      </c>
      <c r="G967" t="n">
        <v>3.9</v>
      </c>
      <c r="H967" t="n">
        <v>0</v>
      </c>
      <c r="I967" t="n">
        <v>0</v>
      </c>
      <c r="J967" t="n">
        <v>0</v>
      </c>
      <c r="K967" t="n">
        <v>0</v>
      </c>
      <c r="L967" t="n">
        <v>0</v>
      </c>
      <c r="M967" t="n">
        <v>0</v>
      </c>
      <c r="N967" t="n">
        <v>0</v>
      </c>
      <c r="O967" t="n">
        <v>0</v>
      </c>
      <c r="P967" t="n">
        <v>0</v>
      </c>
      <c r="Q967" t="n">
        <v>0</v>
      </c>
      <c r="R967" s="2" t="inlineStr"/>
    </row>
    <row r="968" ht="15" customHeight="1">
      <c r="A968" t="inlineStr">
        <is>
          <t>A 1249-2020</t>
        </is>
      </c>
      <c r="B968" s="1" t="n">
        <v>43840</v>
      </c>
      <c r="C968" s="1" t="n">
        <v>45744</v>
      </c>
      <c r="D968" t="inlineStr">
        <is>
          <t>SKÅNE LÄN</t>
        </is>
      </c>
      <c r="E968" t="inlineStr">
        <is>
          <t>KRISTIANSTAD</t>
        </is>
      </c>
      <c r="G968" t="n">
        <v>2.1</v>
      </c>
      <c r="H968" t="n">
        <v>0</v>
      </c>
      <c r="I968" t="n">
        <v>0</v>
      </c>
      <c r="J968" t="n">
        <v>0</v>
      </c>
      <c r="K968" t="n">
        <v>0</v>
      </c>
      <c r="L968" t="n">
        <v>0</v>
      </c>
      <c r="M968" t="n">
        <v>0</v>
      </c>
      <c r="N968" t="n">
        <v>0</v>
      </c>
      <c r="O968" t="n">
        <v>0</v>
      </c>
      <c r="P968" t="n">
        <v>0</v>
      </c>
      <c r="Q968" t="n">
        <v>0</v>
      </c>
      <c r="R968" s="2" t="inlineStr"/>
    </row>
    <row r="969" ht="15" customHeight="1">
      <c r="A969" t="inlineStr">
        <is>
          <t>A 1391-2020</t>
        </is>
      </c>
      <c r="B969" s="1" t="n">
        <v>43843</v>
      </c>
      <c r="C969" s="1" t="n">
        <v>45744</v>
      </c>
      <c r="D969" t="inlineStr">
        <is>
          <t>SKÅNE LÄN</t>
        </is>
      </c>
      <c r="E969" t="inlineStr">
        <is>
          <t>SVALÖV</t>
        </is>
      </c>
      <c r="G969" t="n">
        <v>4.6</v>
      </c>
      <c r="H969" t="n">
        <v>0</v>
      </c>
      <c r="I969" t="n">
        <v>0</v>
      </c>
      <c r="J969" t="n">
        <v>0</v>
      </c>
      <c r="K969" t="n">
        <v>0</v>
      </c>
      <c r="L969" t="n">
        <v>0</v>
      </c>
      <c r="M969" t="n">
        <v>0</v>
      </c>
      <c r="N969" t="n">
        <v>0</v>
      </c>
      <c r="O969" t="n">
        <v>0</v>
      </c>
      <c r="P969" t="n">
        <v>0</v>
      </c>
      <c r="Q969" t="n">
        <v>0</v>
      </c>
      <c r="R969" s="2" t="inlineStr"/>
    </row>
    <row r="970" ht="15" customHeight="1">
      <c r="A970" t="inlineStr">
        <is>
          <t>A 1413-2020</t>
        </is>
      </c>
      <c r="B970" s="1" t="n">
        <v>43843</v>
      </c>
      <c r="C970" s="1" t="n">
        <v>45744</v>
      </c>
      <c r="D970" t="inlineStr">
        <is>
          <t>SKÅNE LÄN</t>
        </is>
      </c>
      <c r="E970" t="inlineStr">
        <is>
          <t>OSBY</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1345-2020</t>
        </is>
      </c>
      <c r="B971" s="1" t="n">
        <v>43843</v>
      </c>
      <c r="C971" s="1" t="n">
        <v>45744</v>
      </c>
      <c r="D971" t="inlineStr">
        <is>
          <t>SKÅNE LÄN</t>
        </is>
      </c>
      <c r="E971" t="inlineStr">
        <is>
          <t>OSBY</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2700-2020</t>
        </is>
      </c>
      <c r="B972" s="1" t="n">
        <v>43844</v>
      </c>
      <c r="C972" s="1" t="n">
        <v>45744</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3189-2020</t>
        </is>
      </c>
      <c r="B973" s="1" t="n">
        <v>43844</v>
      </c>
      <c r="C973" s="1" t="n">
        <v>45744</v>
      </c>
      <c r="D973" t="inlineStr">
        <is>
          <t>SKÅNE LÄN</t>
        </is>
      </c>
      <c r="E973" t="inlineStr">
        <is>
          <t>HÄSSLEHOLM</t>
        </is>
      </c>
      <c r="G973" t="n">
        <v>7.5</v>
      </c>
      <c r="H973" t="n">
        <v>0</v>
      </c>
      <c r="I973" t="n">
        <v>0</v>
      </c>
      <c r="J973" t="n">
        <v>0</v>
      </c>
      <c r="K973" t="n">
        <v>0</v>
      </c>
      <c r="L973" t="n">
        <v>0</v>
      </c>
      <c r="M973" t="n">
        <v>0</v>
      </c>
      <c r="N973" t="n">
        <v>0</v>
      </c>
      <c r="O973" t="n">
        <v>0</v>
      </c>
      <c r="P973" t="n">
        <v>0</v>
      </c>
      <c r="Q973" t="n">
        <v>0</v>
      </c>
      <c r="R973" s="2" t="inlineStr"/>
    </row>
    <row r="974" ht="15" customHeight="1">
      <c r="A974" t="inlineStr">
        <is>
          <t>A 1901-2020</t>
        </is>
      </c>
      <c r="B974" s="1" t="n">
        <v>43845</v>
      </c>
      <c r="C974" s="1" t="n">
        <v>45744</v>
      </c>
      <c r="D974" t="inlineStr">
        <is>
          <t>SKÅNE LÄN</t>
        </is>
      </c>
      <c r="E974" t="inlineStr">
        <is>
          <t>OSBY</t>
        </is>
      </c>
      <c r="F974" t="inlineStr">
        <is>
          <t>Sveaskog</t>
        </is>
      </c>
      <c r="G974" t="n">
        <v>0.9</v>
      </c>
      <c r="H974" t="n">
        <v>0</v>
      </c>
      <c r="I974" t="n">
        <v>0</v>
      </c>
      <c r="J974" t="n">
        <v>0</v>
      </c>
      <c r="K974" t="n">
        <v>0</v>
      </c>
      <c r="L974" t="n">
        <v>0</v>
      </c>
      <c r="M974" t="n">
        <v>0</v>
      </c>
      <c r="N974" t="n">
        <v>0</v>
      </c>
      <c r="O974" t="n">
        <v>0</v>
      </c>
      <c r="P974" t="n">
        <v>0</v>
      </c>
      <c r="Q974" t="n">
        <v>0</v>
      </c>
      <c r="R974" s="2" t="inlineStr"/>
    </row>
    <row r="975" ht="15" customHeight="1">
      <c r="A975" t="inlineStr">
        <is>
          <t>A 2089-2020</t>
        </is>
      </c>
      <c r="B975" s="1" t="n">
        <v>43845</v>
      </c>
      <c r="C975" s="1" t="n">
        <v>45744</v>
      </c>
      <c r="D975" t="inlineStr">
        <is>
          <t>SKÅNE LÄN</t>
        </is>
      </c>
      <c r="E975" t="inlineStr">
        <is>
          <t>PERSTORP</t>
        </is>
      </c>
      <c r="G975" t="n">
        <v>3.1</v>
      </c>
      <c r="H975" t="n">
        <v>0</v>
      </c>
      <c r="I975" t="n">
        <v>0</v>
      </c>
      <c r="J975" t="n">
        <v>0</v>
      </c>
      <c r="K975" t="n">
        <v>0</v>
      </c>
      <c r="L975" t="n">
        <v>0</v>
      </c>
      <c r="M975" t="n">
        <v>0</v>
      </c>
      <c r="N975" t="n">
        <v>0</v>
      </c>
      <c r="O975" t="n">
        <v>0</v>
      </c>
      <c r="P975" t="n">
        <v>0</v>
      </c>
      <c r="Q975" t="n">
        <v>0</v>
      </c>
      <c r="R975" s="2" t="inlineStr"/>
    </row>
    <row r="976" ht="15" customHeight="1">
      <c r="A976" t="inlineStr">
        <is>
          <t>A 1909-2020</t>
        </is>
      </c>
      <c r="B976" s="1" t="n">
        <v>43845</v>
      </c>
      <c r="C976" s="1" t="n">
        <v>45744</v>
      </c>
      <c r="D976" t="inlineStr">
        <is>
          <t>SKÅNE LÄN</t>
        </is>
      </c>
      <c r="E976" t="inlineStr">
        <is>
          <t>HÄSSLEHOLM</t>
        </is>
      </c>
      <c r="G976" t="n">
        <v>1</v>
      </c>
      <c r="H976" t="n">
        <v>0</v>
      </c>
      <c r="I976" t="n">
        <v>0</v>
      </c>
      <c r="J976" t="n">
        <v>0</v>
      </c>
      <c r="K976" t="n">
        <v>0</v>
      </c>
      <c r="L976" t="n">
        <v>0</v>
      </c>
      <c r="M976" t="n">
        <v>0</v>
      </c>
      <c r="N976" t="n">
        <v>0</v>
      </c>
      <c r="O976" t="n">
        <v>0</v>
      </c>
      <c r="P976" t="n">
        <v>0</v>
      </c>
      <c r="Q976" t="n">
        <v>0</v>
      </c>
      <c r="R976" s="2" t="inlineStr"/>
    </row>
    <row r="977" ht="15" customHeight="1">
      <c r="A977" t="inlineStr">
        <is>
          <t>A 2036-2020</t>
        </is>
      </c>
      <c r="B977" s="1" t="n">
        <v>43845</v>
      </c>
      <c r="C977" s="1" t="n">
        <v>45744</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3624-2020</t>
        </is>
      </c>
      <c r="B978" s="1" t="n">
        <v>43845</v>
      </c>
      <c r="C978" s="1" t="n">
        <v>45744</v>
      </c>
      <c r="D978" t="inlineStr">
        <is>
          <t>SKÅNE LÄN</t>
        </is>
      </c>
      <c r="E978" t="inlineStr">
        <is>
          <t>KRISTIANSTAD</t>
        </is>
      </c>
      <c r="G978" t="n">
        <v>2.5</v>
      </c>
      <c r="H978" t="n">
        <v>0</v>
      </c>
      <c r="I978" t="n">
        <v>0</v>
      </c>
      <c r="J978" t="n">
        <v>0</v>
      </c>
      <c r="K978" t="n">
        <v>0</v>
      </c>
      <c r="L978" t="n">
        <v>0</v>
      </c>
      <c r="M978" t="n">
        <v>0</v>
      </c>
      <c r="N978" t="n">
        <v>0</v>
      </c>
      <c r="O978" t="n">
        <v>0</v>
      </c>
      <c r="P978" t="n">
        <v>0</v>
      </c>
      <c r="Q978" t="n">
        <v>0</v>
      </c>
      <c r="R978" s="2" t="inlineStr"/>
    </row>
    <row r="979" ht="15" customHeight="1">
      <c r="A979" t="inlineStr">
        <is>
          <t>A 3573-2020</t>
        </is>
      </c>
      <c r="B979" s="1" t="n">
        <v>43845</v>
      </c>
      <c r="C979" s="1" t="n">
        <v>45744</v>
      </c>
      <c r="D979" t="inlineStr">
        <is>
          <t>SKÅNE LÄN</t>
        </is>
      </c>
      <c r="E979" t="inlineStr">
        <is>
          <t>KRISTIANSTAD</t>
        </is>
      </c>
      <c r="G979" t="n">
        <v>2</v>
      </c>
      <c r="H979" t="n">
        <v>0</v>
      </c>
      <c r="I979" t="n">
        <v>0</v>
      </c>
      <c r="J979" t="n">
        <v>0</v>
      </c>
      <c r="K979" t="n">
        <v>0</v>
      </c>
      <c r="L979" t="n">
        <v>0</v>
      </c>
      <c r="M979" t="n">
        <v>0</v>
      </c>
      <c r="N979" t="n">
        <v>0</v>
      </c>
      <c r="O979" t="n">
        <v>0</v>
      </c>
      <c r="P979" t="n">
        <v>0</v>
      </c>
      <c r="Q979" t="n">
        <v>0</v>
      </c>
      <c r="R979" s="2" t="inlineStr"/>
    </row>
    <row r="980" ht="15" customHeight="1">
      <c r="A980" t="inlineStr">
        <is>
          <t>A 2555-2020</t>
        </is>
      </c>
      <c r="B980" s="1" t="n">
        <v>43847</v>
      </c>
      <c r="C980" s="1" t="n">
        <v>45744</v>
      </c>
      <c r="D980" t="inlineStr">
        <is>
          <t>SKÅNE LÄN</t>
        </is>
      </c>
      <c r="E980" t="inlineStr">
        <is>
          <t>BÅSTAD</t>
        </is>
      </c>
      <c r="G980" t="n">
        <v>1.8</v>
      </c>
      <c r="H980" t="n">
        <v>0</v>
      </c>
      <c r="I980" t="n">
        <v>0</v>
      </c>
      <c r="J980" t="n">
        <v>0</v>
      </c>
      <c r="K980" t="n">
        <v>0</v>
      </c>
      <c r="L980" t="n">
        <v>0</v>
      </c>
      <c r="M980" t="n">
        <v>0</v>
      </c>
      <c r="N980" t="n">
        <v>0</v>
      </c>
      <c r="O980" t="n">
        <v>0</v>
      </c>
      <c r="P980" t="n">
        <v>0</v>
      </c>
      <c r="Q980" t="n">
        <v>0</v>
      </c>
      <c r="R980" s="2" t="inlineStr"/>
    </row>
    <row r="981" ht="15" customHeight="1">
      <c r="A981" t="inlineStr">
        <is>
          <t>A 3441-2020</t>
        </is>
      </c>
      <c r="B981" s="1" t="n">
        <v>43847</v>
      </c>
      <c r="C981" s="1" t="n">
        <v>45744</v>
      </c>
      <c r="D981" t="inlineStr">
        <is>
          <t>SKÅNE LÄN</t>
        </is>
      </c>
      <c r="E981" t="inlineStr">
        <is>
          <t>HÄSSLEHOLM</t>
        </is>
      </c>
      <c r="G981" t="n">
        <v>2</v>
      </c>
      <c r="H981" t="n">
        <v>0</v>
      </c>
      <c r="I981" t="n">
        <v>0</v>
      </c>
      <c r="J981" t="n">
        <v>0</v>
      </c>
      <c r="K981" t="n">
        <v>0</v>
      </c>
      <c r="L981" t="n">
        <v>0</v>
      </c>
      <c r="M981" t="n">
        <v>0</v>
      </c>
      <c r="N981" t="n">
        <v>0</v>
      </c>
      <c r="O981" t="n">
        <v>0</v>
      </c>
      <c r="P981" t="n">
        <v>0</v>
      </c>
      <c r="Q981" t="n">
        <v>0</v>
      </c>
      <c r="R981" s="2" t="inlineStr"/>
    </row>
    <row r="982" ht="15" customHeight="1">
      <c r="A982" t="inlineStr">
        <is>
          <t>A 2731-2020</t>
        </is>
      </c>
      <c r="B982" s="1" t="n">
        <v>43850</v>
      </c>
      <c r="C982" s="1" t="n">
        <v>45744</v>
      </c>
      <c r="D982" t="inlineStr">
        <is>
          <t>SKÅNE LÄN</t>
        </is>
      </c>
      <c r="E982" t="inlineStr">
        <is>
          <t>HÄSSLEHOLM</t>
        </is>
      </c>
      <c r="G982" t="n">
        <v>6.2</v>
      </c>
      <c r="H982" t="n">
        <v>0</v>
      </c>
      <c r="I982" t="n">
        <v>0</v>
      </c>
      <c r="J982" t="n">
        <v>0</v>
      </c>
      <c r="K982" t="n">
        <v>0</v>
      </c>
      <c r="L982" t="n">
        <v>0</v>
      </c>
      <c r="M982" t="n">
        <v>0</v>
      </c>
      <c r="N982" t="n">
        <v>0</v>
      </c>
      <c r="O982" t="n">
        <v>0</v>
      </c>
      <c r="P982" t="n">
        <v>0</v>
      </c>
      <c r="Q982" t="n">
        <v>0</v>
      </c>
      <c r="R982" s="2" t="inlineStr"/>
    </row>
    <row r="983" ht="15" customHeight="1">
      <c r="A983" t="inlineStr">
        <is>
          <t>A 2961-2020</t>
        </is>
      </c>
      <c r="B983" s="1" t="n">
        <v>43850</v>
      </c>
      <c r="C983" s="1" t="n">
        <v>45744</v>
      </c>
      <c r="D983" t="inlineStr">
        <is>
          <t>SKÅNE LÄN</t>
        </is>
      </c>
      <c r="E983" t="inlineStr">
        <is>
          <t>KLIPPAN</t>
        </is>
      </c>
      <c r="G983" t="n">
        <v>0.8</v>
      </c>
      <c r="H983" t="n">
        <v>0</v>
      </c>
      <c r="I983" t="n">
        <v>0</v>
      </c>
      <c r="J983" t="n">
        <v>0</v>
      </c>
      <c r="K983" t="n">
        <v>0</v>
      </c>
      <c r="L983" t="n">
        <v>0</v>
      </c>
      <c r="M983" t="n">
        <v>0</v>
      </c>
      <c r="N983" t="n">
        <v>0</v>
      </c>
      <c r="O983" t="n">
        <v>0</v>
      </c>
      <c r="P983" t="n">
        <v>0</v>
      </c>
      <c r="Q983" t="n">
        <v>0</v>
      </c>
      <c r="R983" s="2" t="inlineStr"/>
    </row>
    <row r="984" ht="15" customHeight="1">
      <c r="A984" t="inlineStr">
        <is>
          <t>A 4669-2020</t>
        </is>
      </c>
      <c r="B984" s="1" t="n">
        <v>43852</v>
      </c>
      <c r="C984" s="1" t="n">
        <v>45744</v>
      </c>
      <c r="D984" t="inlineStr">
        <is>
          <t>SKÅNE LÄN</t>
        </is>
      </c>
      <c r="E984" t="inlineStr">
        <is>
          <t>ÖRKELLJUNGA</t>
        </is>
      </c>
      <c r="G984" t="n">
        <v>5.7</v>
      </c>
      <c r="H984" t="n">
        <v>0</v>
      </c>
      <c r="I984" t="n">
        <v>0</v>
      </c>
      <c r="J984" t="n">
        <v>0</v>
      </c>
      <c r="K984" t="n">
        <v>0</v>
      </c>
      <c r="L984" t="n">
        <v>0</v>
      </c>
      <c r="M984" t="n">
        <v>0</v>
      </c>
      <c r="N984" t="n">
        <v>0</v>
      </c>
      <c r="O984" t="n">
        <v>0</v>
      </c>
      <c r="P984" t="n">
        <v>0</v>
      </c>
      <c r="Q984" t="n">
        <v>0</v>
      </c>
      <c r="R984" s="2" t="inlineStr"/>
    </row>
    <row r="985" ht="15" customHeight="1">
      <c r="A985" t="inlineStr">
        <is>
          <t>A 3965-2020</t>
        </is>
      </c>
      <c r="B985" s="1" t="n">
        <v>43854</v>
      </c>
      <c r="C985" s="1" t="n">
        <v>45744</v>
      </c>
      <c r="D985" t="inlineStr">
        <is>
          <t>SKÅNE LÄN</t>
        </is>
      </c>
      <c r="E985" t="inlineStr">
        <is>
          <t>OSBY</t>
        </is>
      </c>
      <c r="G985" t="n">
        <v>2.8</v>
      </c>
      <c r="H985" t="n">
        <v>0</v>
      </c>
      <c r="I985" t="n">
        <v>0</v>
      </c>
      <c r="J985" t="n">
        <v>0</v>
      </c>
      <c r="K985" t="n">
        <v>0</v>
      </c>
      <c r="L985" t="n">
        <v>0</v>
      </c>
      <c r="M985" t="n">
        <v>0</v>
      </c>
      <c r="N985" t="n">
        <v>0</v>
      </c>
      <c r="O985" t="n">
        <v>0</v>
      </c>
      <c r="P985" t="n">
        <v>0</v>
      </c>
      <c r="Q985" t="n">
        <v>0</v>
      </c>
      <c r="R985" s="2" t="inlineStr"/>
    </row>
    <row r="986" ht="15" customHeight="1">
      <c r="A986" t="inlineStr">
        <is>
          <t>A 4085-2020</t>
        </is>
      </c>
      <c r="B986" s="1" t="n">
        <v>43857</v>
      </c>
      <c r="C986" s="1" t="n">
        <v>45744</v>
      </c>
      <c r="D986" t="inlineStr">
        <is>
          <t>SKÅNE LÄN</t>
        </is>
      </c>
      <c r="E986" t="inlineStr">
        <is>
          <t>ÖRKELLJUNGA</t>
        </is>
      </c>
      <c r="G986" t="n">
        <v>0.5</v>
      </c>
      <c r="H986" t="n">
        <v>0</v>
      </c>
      <c r="I986" t="n">
        <v>0</v>
      </c>
      <c r="J986" t="n">
        <v>0</v>
      </c>
      <c r="K986" t="n">
        <v>0</v>
      </c>
      <c r="L986" t="n">
        <v>0</v>
      </c>
      <c r="M986" t="n">
        <v>0</v>
      </c>
      <c r="N986" t="n">
        <v>0</v>
      </c>
      <c r="O986" t="n">
        <v>0</v>
      </c>
      <c r="P986" t="n">
        <v>0</v>
      </c>
      <c r="Q986" t="n">
        <v>0</v>
      </c>
      <c r="R986" s="2" t="inlineStr"/>
    </row>
    <row r="987" ht="15" customHeight="1">
      <c r="A987" t="inlineStr">
        <is>
          <t>A 4351-2020</t>
        </is>
      </c>
      <c r="B987" s="1" t="n">
        <v>43857</v>
      </c>
      <c r="C987" s="1" t="n">
        <v>45744</v>
      </c>
      <c r="D987" t="inlineStr">
        <is>
          <t>SKÅNE LÄN</t>
        </is>
      </c>
      <c r="E987" t="inlineStr">
        <is>
          <t>OSBY</t>
        </is>
      </c>
      <c r="G987" t="n">
        <v>0.9</v>
      </c>
      <c r="H987" t="n">
        <v>0</v>
      </c>
      <c r="I987" t="n">
        <v>0</v>
      </c>
      <c r="J987" t="n">
        <v>0</v>
      </c>
      <c r="K987" t="n">
        <v>0</v>
      </c>
      <c r="L987" t="n">
        <v>0</v>
      </c>
      <c r="M987" t="n">
        <v>0</v>
      </c>
      <c r="N987" t="n">
        <v>0</v>
      </c>
      <c r="O987" t="n">
        <v>0</v>
      </c>
      <c r="P987" t="n">
        <v>0</v>
      </c>
      <c r="Q987" t="n">
        <v>0</v>
      </c>
      <c r="R987" s="2" t="inlineStr"/>
    </row>
    <row r="988" ht="15" customHeight="1">
      <c r="A988" t="inlineStr">
        <is>
          <t>A 4385-2020</t>
        </is>
      </c>
      <c r="B988" s="1" t="n">
        <v>43858</v>
      </c>
      <c r="C988" s="1" t="n">
        <v>45744</v>
      </c>
      <c r="D988" t="inlineStr">
        <is>
          <t>SKÅNE LÄN</t>
        </is>
      </c>
      <c r="E988" t="inlineStr">
        <is>
          <t>OSBY</t>
        </is>
      </c>
      <c r="G988" t="n">
        <v>4.4</v>
      </c>
      <c r="H988" t="n">
        <v>0</v>
      </c>
      <c r="I988" t="n">
        <v>0</v>
      </c>
      <c r="J988" t="n">
        <v>0</v>
      </c>
      <c r="K988" t="n">
        <v>0</v>
      </c>
      <c r="L988" t="n">
        <v>0</v>
      </c>
      <c r="M988" t="n">
        <v>0</v>
      </c>
      <c r="N988" t="n">
        <v>0</v>
      </c>
      <c r="O988" t="n">
        <v>0</v>
      </c>
      <c r="P988" t="n">
        <v>0</v>
      </c>
      <c r="Q988" t="n">
        <v>0</v>
      </c>
      <c r="R988" s="2" t="inlineStr"/>
    </row>
    <row r="989" ht="15" customHeight="1">
      <c r="A989" t="inlineStr">
        <is>
          <t>A 4635-2020</t>
        </is>
      </c>
      <c r="B989" s="1" t="n">
        <v>43858</v>
      </c>
      <c r="C989" s="1" t="n">
        <v>45744</v>
      </c>
      <c r="D989" t="inlineStr">
        <is>
          <t>SKÅNE LÄN</t>
        </is>
      </c>
      <c r="E989" t="inlineStr">
        <is>
          <t>HÄSSLEHOLM</t>
        </is>
      </c>
      <c r="G989" t="n">
        <v>10.7</v>
      </c>
      <c r="H989" t="n">
        <v>0</v>
      </c>
      <c r="I989" t="n">
        <v>0</v>
      </c>
      <c r="J989" t="n">
        <v>0</v>
      </c>
      <c r="K989" t="n">
        <v>0</v>
      </c>
      <c r="L989" t="n">
        <v>0</v>
      </c>
      <c r="M989" t="n">
        <v>0</v>
      </c>
      <c r="N989" t="n">
        <v>0</v>
      </c>
      <c r="O989" t="n">
        <v>0</v>
      </c>
      <c r="P989" t="n">
        <v>0</v>
      </c>
      <c r="Q989" t="n">
        <v>0</v>
      </c>
      <c r="R989" s="2" t="inlineStr"/>
    </row>
    <row r="990" ht="15" customHeight="1">
      <c r="A990" t="inlineStr">
        <is>
          <t>A 4750-2020</t>
        </is>
      </c>
      <c r="B990" s="1" t="n">
        <v>43859</v>
      </c>
      <c r="C990" s="1" t="n">
        <v>45744</v>
      </c>
      <c r="D990" t="inlineStr">
        <is>
          <t>SKÅNE LÄN</t>
        </is>
      </c>
      <c r="E990" t="inlineStr">
        <is>
          <t>HÄSSLEHOLM</t>
        </is>
      </c>
      <c r="G990" t="n">
        <v>1</v>
      </c>
      <c r="H990" t="n">
        <v>0</v>
      </c>
      <c r="I990" t="n">
        <v>0</v>
      </c>
      <c r="J990" t="n">
        <v>0</v>
      </c>
      <c r="K990" t="n">
        <v>0</v>
      </c>
      <c r="L990" t="n">
        <v>0</v>
      </c>
      <c r="M990" t="n">
        <v>0</v>
      </c>
      <c r="N990" t="n">
        <v>0</v>
      </c>
      <c r="O990" t="n">
        <v>0</v>
      </c>
      <c r="P990" t="n">
        <v>0</v>
      </c>
      <c r="Q990" t="n">
        <v>0</v>
      </c>
      <c r="R990" s="2" t="inlineStr"/>
    </row>
    <row r="991" ht="15" customHeight="1">
      <c r="A991" t="inlineStr">
        <is>
          <t>A 4974-2020</t>
        </is>
      </c>
      <c r="B991" s="1" t="n">
        <v>43859</v>
      </c>
      <c r="C991" s="1" t="n">
        <v>45744</v>
      </c>
      <c r="D991" t="inlineStr">
        <is>
          <t>SKÅNE LÄN</t>
        </is>
      </c>
      <c r="E991" t="inlineStr">
        <is>
          <t>HÄSSLEHOLM</t>
        </is>
      </c>
      <c r="G991" t="n">
        <v>1.4</v>
      </c>
      <c r="H991" t="n">
        <v>0</v>
      </c>
      <c r="I991" t="n">
        <v>0</v>
      </c>
      <c r="J991" t="n">
        <v>0</v>
      </c>
      <c r="K991" t="n">
        <v>0</v>
      </c>
      <c r="L991" t="n">
        <v>0</v>
      </c>
      <c r="M991" t="n">
        <v>0</v>
      </c>
      <c r="N991" t="n">
        <v>0</v>
      </c>
      <c r="O991" t="n">
        <v>0</v>
      </c>
      <c r="P991" t="n">
        <v>0</v>
      </c>
      <c r="Q991" t="n">
        <v>0</v>
      </c>
      <c r="R991" s="2" t="inlineStr"/>
    </row>
    <row r="992" ht="15" customHeight="1">
      <c r="A992" t="inlineStr">
        <is>
          <t>A 5523-2020</t>
        </is>
      </c>
      <c r="B992" s="1" t="n">
        <v>43859</v>
      </c>
      <c r="C992" s="1" t="n">
        <v>45744</v>
      </c>
      <c r="D992" t="inlineStr">
        <is>
          <t>SKÅNE LÄN</t>
        </is>
      </c>
      <c r="E992" t="inlineStr">
        <is>
          <t>KLIPPAN</t>
        </is>
      </c>
      <c r="G992" t="n">
        <v>1.7</v>
      </c>
      <c r="H992" t="n">
        <v>0</v>
      </c>
      <c r="I992" t="n">
        <v>0</v>
      </c>
      <c r="J992" t="n">
        <v>0</v>
      </c>
      <c r="K992" t="n">
        <v>0</v>
      </c>
      <c r="L992" t="n">
        <v>0</v>
      </c>
      <c r="M992" t="n">
        <v>0</v>
      </c>
      <c r="N992" t="n">
        <v>0</v>
      </c>
      <c r="O992" t="n">
        <v>0</v>
      </c>
      <c r="P992" t="n">
        <v>0</v>
      </c>
      <c r="Q992" t="n">
        <v>0</v>
      </c>
      <c r="R992" s="2" t="inlineStr"/>
    </row>
    <row r="993" ht="15" customHeight="1">
      <c r="A993" t="inlineStr">
        <is>
          <t>A 5190-2020</t>
        </is>
      </c>
      <c r="B993" s="1" t="n">
        <v>43860</v>
      </c>
      <c r="C993" s="1" t="n">
        <v>45744</v>
      </c>
      <c r="D993" t="inlineStr">
        <is>
          <t>SKÅNE LÄN</t>
        </is>
      </c>
      <c r="E993" t="inlineStr">
        <is>
          <t>HÄSSLEHOLM</t>
        </is>
      </c>
      <c r="G993" t="n">
        <v>3.7</v>
      </c>
      <c r="H993" t="n">
        <v>0</v>
      </c>
      <c r="I993" t="n">
        <v>0</v>
      </c>
      <c r="J993" t="n">
        <v>0</v>
      </c>
      <c r="K993" t="n">
        <v>0</v>
      </c>
      <c r="L993" t="n">
        <v>0</v>
      </c>
      <c r="M993" t="n">
        <v>0</v>
      </c>
      <c r="N993" t="n">
        <v>0</v>
      </c>
      <c r="O993" t="n">
        <v>0</v>
      </c>
      <c r="P993" t="n">
        <v>0</v>
      </c>
      <c r="Q993" t="n">
        <v>0</v>
      </c>
      <c r="R993" s="2" t="inlineStr"/>
    </row>
    <row r="994" ht="15" customHeight="1">
      <c r="A994" t="inlineStr">
        <is>
          <t>A 5177-2020</t>
        </is>
      </c>
      <c r="B994" s="1" t="n">
        <v>43860</v>
      </c>
      <c r="C994" s="1" t="n">
        <v>45744</v>
      </c>
      <c r="D994" t="inlineStr">
        <is>
          <t>SKÅNE LÄN</t>
        </is>
      </c>
      <c r="E994" t="inlineStr">
        <is>
          <t>KRISTIANSTAD</t>
        </is>
      </c>
      <c r="G994" t="n">
        <v>1.3</v>
      </c>
      <c r="H994" t="n">
        <v>0</v>
      </c>
      <c r="I994" t="n">
        <v>0</v>
      </c>
      <c r="J994" t="n">
        <v>0</v>
      </c>
      <c r="K994" t="n">
        <v>0</v>
      </c>
      <c r="L994" t="n">
        <v>0</v>
      </c>
      <c r="M994" t="n">
        <v>0</v>
      </c>
      <c r="N994" t="n">
        <v>0</v>
      </c>
      <c r="O994" t="n">
        <v>0</v>
      </c>
      <c r="P994" t="n">
        <v>0</v>
      </c>
      <c r="Q994" t="n">
        <v>0</v>
      </c>
      <c r="R994" s="2" t="inlineStr"/>
    </row>
    <row r="995" ht="15" customHeight="1">
      <c r="A995" t="inlineStr">
        <is>
          <t>A 5678-2020</t>
        </is>
      </c>
      <c r="B995" s="1" t="n">
        <v>43861</v>
      </c>
      <c r="C995" s="1" t="n">
        <v>45744</v>
      </c>
      <c r="D995" t="inlineStr">
        <is>
          <t>SKÅNE LÄN</t>
        </is>
      </c>
      <c r="E995" t="inlineStr">
        <is>
          <t>HÖÖR</t>
        </is>
      </c>
      <c r="G995" t="n">
        <v>0.7</v>
      </c>
      <c r="H995" t="n">
        <v>0</v>
      </c>
      <c r="I995" t="n">
        <v>0</v>
      </c>
      <c r="J995" t="n">
        <v>0</v>
      </c>
      <c r="K995" t="n">
        <v>0</v>
      </c>
      <c r="L995" t="n">
        <v>0</v>
      </c>
      <c r="M995" t="n">
        <v>0</v>
      </c>
      <c r="N995" t="n">
        <v>0</v>
      </c>
      <c r="O995" t="n">
        <v>0</v>
      </c>
      <c r="P995" t="n">
        <v>0</v>
      </c>
      <c r="Q995" t="n">
        <v>0</v>
      </c>
      <c r="R995" s="2" t="inlineStr"/>
    </row>
    <row r="996" ht="15" customHeight="1">
      <c r="A996" t="inlineStr">
        <is>
          <t>A 5852-2020</t>
        </is>
      </c>
      <c r="B996" s="1" t="n">
        <v>43864</v>
      </c>
      <c r="C996" s="1" t="n">
        <v>45744</v>
      </c>
      <c r="D996" t="inlineStr">
        <is>
          <t>SKÅNE LÄN</t>
        </is>
      </c>
      <c r="E996" t="inlineStr">
        <is>
          <t>OSBY</t>
        </is>
      </c>
      <c r="F996" t="inlineStr">
        <is>
          <t>Sveaskog</t>
        </is>
      </c>
      <c r="G996" t="n">
        <v>0.8</v>
      </c>
      <c r="H996" t="n">
        <v>0</v>
      </c>
      <c r="I996" t="n">
        <v>0</v>
      </c>
      <c r="J996" t="n">
        <v>0</v>
      </c>
      <c r="K996" t="n">
        <v>0</v>
      </c>
      <c r="L996" t="n">
        <v>0</v>
      </c>
      <c r="M996" t="n">
        <v>0</v>
      </c>
      <c r="N996" t="n">
        <v>0</v>
      </c>
      <c r="O996" t="n">
        <v>0</v>
      </c>
      <c r="P996" t="n">
        <v>0</v>
      </c>
      <c r="Q996" t="n">
        <v>0</v>
      </c>
      <c r="R996" s="2" t="inlineStr"/>
    </row>
    <row r="997" ht="15" customHeight="1">
      <c r="A997" t="inlineStr">
        <is>
          <t>A 5855-2020</t>
        </is>
      </c>
      <c r="B997" s="1" t="n">
        <v>43864</v>
      </c>
      <c r="C997" s="1" t="n">
        <v>45744</v>
      </c>
      <c r="D997" t="inlineStr">
        <is>
          <t>SKÅNE LÄN</t>
        </is>
      </c>
      <c r="E997" t="inlineStr">
        <is>
          <t>OSBY</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5880-2020</t>
        </is>
      </c>
      <c r="B998" s="1" t="n">
        <v>43864</v>
      </c>
      <c r="C998" s="1" t="n">
        <v>45744</v>
      </c>
      <c r="D998" t="inlineStr">
        <is>
          <t>SKÅNE LÄN</t>
        </is>
      </c>
      <c r="E998" t="inlineStr">
        <is>
          <t>ÖSTRA GÖINGE</t>
        </is>
      </c>
      <c r="G998" t="n">
        <v>5.1</v>
      </c>
      <c r="H998" t="n">
        <v>0</v>
      </c>
      <c r="I998" t="n">
        <v>0</v>
      </c>
      <c r="J998" t="n">
        <v>0</v>
      </c>
      <c r="K998" t="n">
        <v>0</v>
      </c>
      <c r="L998" t="n">
        <v>0</v>
      </c>
      <c r="M998" t="n">
        <v>0</v>
      </c>
      <c r="N998" t="n">
        <v>0</v>
      </c>
      <c r="O998" t="n">
        <v>0</v>
      </c>
      <c r="P998" t="n">
        <v>0</v>
      </c>
      <c r="Q998" t="n">
        <v>0</v>
      </c>
      <c r="R998" s="2" t="inlineStr"/>
    </row>
    <row r="999" ht="15" customHeight="1">
      <c r="A999" t="inlineStr">
        <is>
          <t>A 6005-2020</t>
        </is>
      </c>
      <c r="B999" s="1" t="n">
        <v>43865</v>
      </c>
      <c r="C999" s="1" t="n">
        <v>45744</v>
      </c>
      <c r="D999" t="inlineStr">
        <is>
          <t>SKÅNE LÄN</t>
        </is>
      </c>
      <c r="E999" t="inlineStr">
        <is>
          <t>LUND</t>
        </is>
      </c>
      <c r="G999" t="n">
        <v>1.7</v>
      </c>
      <c r="H999" t="n">
        <v>0</v>
      </c>
      <c r="I999" t="n">
        <v>0</v>
      </c>
      <c r="J999" t="n">
        <v>0</v>
      </c>
      <c r="K999" t="n">
        <v>0</v>
      </c>
      <c r="L999" t="n">
        <v>0</v>
      </c>
      <c r="M999" t="n">
        <v>0</v>
      </c>
      <c r="N999" t="n">
        <v>0</v>
      </c>
      <c r="O999" t="n">
        <v>0</v>
      </c>
      <c r="P999" t="n">
        <v>0</v>
      </c>
      <c r="Q999" t="n">
        <v>0</v>
      </c>
      <c r="R999" s="2" t="inlineStr"/>
    </row>
    <row r="1000" ht="15" customHeight="1">
      <c r="A1000" t="inlineStr">
        <is>
          <t>A 6143-2020</t>
        </is>
      </c>
      <c r="B1000" s="1" t="n">
        <v>43865</v>
      </c>
      <c r="C1000" s="1" t="n">
        <v>45744</v>
      </c>
      <c r="D1000" t="inlineStr">
        <is>
          <t>SKÅNE LÄN</t>
        </is>
      </c>
      <c r="E1000" t="inlineStr">
        <is>
          <t>KRISTIANSTAD</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6402-2020</t>
        </is>
      </c>
      <c r="B1001" s="1" t="n">
        <v>43866</v>
      </c>
      <c r="C1001" s="1" t="n">
        <v>45744</v>
      </c>
      <c r="D1001" t="inlineStr">
        <is>
          <t>SKÅNE LÄN</t>
        </is>
      </c>
      <c r="E1001" t="inlineStr">
        <is>
          <t>ÖSTRA GÖINGE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6417-2020</t>
        </is>
      </c>
      <c r="B1002" s="1" t="n">
        <v>43866</v>
      </c>
      <c r="C1002" s="1" t="n">
        <v>45744</v>
      </c>
      <c r="D1002" t="inlineStr">
        <is>
          <t>SKÅNE LÄN</t>
        </is>
      </c>
      <c r="E1002" t="inlineStr">
        <is>
          <t>HÄSSLEHOLM</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6595-2020</t>
        </is>
      </c>
      <c r="B1003" s="1" t="n">
        <v>43867</v>
      </c>
      <c r="C1003" s="1" t="n">
        <v>45744</v>
      </c>
      <c r="D1003" t="inlineStr">
        <is>
          <t>SKÅNE LÄN</t>
        </is>
      </c>
      <c r="E1003" t="inlineStr">
        <is>
          <t>HÄSSLEHOLM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6842-2020</t>
        </is>
      </c>
      <c r="B1004" s="1" t="n">
        <v>43867</v>
      </c>
      <c r="C1004" s="1" t="n">
        <v>45744</v>
      </c>
      <c r="D1004" t="inlineStr">
        <is>
          <t>SKÅNE LÄN</t>
        </is>
      </c>
      <c r="E1004" t="inlineStr">
        <is>
          <t>HÄSSLEHOLM</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7085-2020</t>
        </is>
      </c>
      <c r="B1005" s="1" t="n">
        <v>43868</v>
      </c>
      <c r="C1005" s="1" t="n">
        <v>45744</v>
      </c>
      <c r="D1005" t="inlineStr">
        <is>
          <t>SKÅNE LÄN</t>
        </is>
      </c>
      <c r="E1005" t="inlineStr">
        <is>
          <t>KRISTIANSTAD</t>
        </is>
      </c>
      <c r="F1005" t="inlineStr">
        <is>
          <t>Sveaskog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6928-2020</t>
        </is>
      </c>
      <c r="B1006" s="1" t="n">
        <v>43868</v>
      </c>
      <c r="C1006" s="1" t="n">
        <v>45744</v>
      </c>
      <c r="D1006" t="inlineStr">
        <is>
          <t>SKÅNE LÄN</t>
        </is>
      </c>
      <c r="E1006" t="inlineStr">
        <is>
          <t>KRISTIANSTAD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7195-2020</t>
        </is>
      </c>
      <c r="B1007" s="1" t="n">
        <v>43871</v>
      </c>
      <c r="C1007" s="1" t="n">
        <v>45744</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7393-2020</t>
        </is>
      </c>
      <c r="B1008" s="1" t="n">
        <v>43871</v>
      </c>
      <c r="C1008" s="1" t="n">
        <v>45744</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7401-2020</t>
        </is>
      </c>
      <c r="B1009" s="1" t="n">
        <v>43871</v>
      </c>
      <c r="C1009" s="1" t="n">
        <v>45744</v>
      </c>
      <c r="D1009" t="inlineStr">
        <is>
          <t>SKÅNE LÄN</t>
        </is>
      </c>
      <c r="E1009" t="inlineStr">
        <is>
          <t>ÖRKELLJUNGA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7196-2020</t>
        </is>
      </c>
      <c r="B1010" s="1" t="n">
        <v>43871</v>
      </c>
      <c r="C1010" s="1" t="n">
        <v>45744</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7394-2020</t>
        </is>
      </c>
      <c r="B1011" s="1" t="n">
        <v>43871</v>
      </c>
      <c r="C1011" s="1" t="n">
        <v>45744</v>
      </c>
      <c r="D1011" t="inlineStr">
        <is>
          <t>SKÅNE LÄN</t>
        </is>
      </c>
      <c r="E1011" t="inlineStr">
        <is>
          <t>HÄSSLEHOLM</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7539-2020</t>
        </is>
      </c>
      <c r="B1012" s="1" t="n">
        <v>43872</v>
      </c>
      <c r="C1012" s="1" t="n">
        <v>45744</v>
      </c>
      <c r="D1012" t="inlineStr">
        <is>
          <t>SKÅNE LÄN</t>
        </is>
      </c>
      <c r="E1012" t="inlineStr">
        <is>
          <t>ÄNGELHOLM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7578-2020</t>
        </is>
      </c>
      <c r="B1013" s="1" t="n">
        <v>43872</v>
      </c>
      <c r="C1013" s="1" t="n">
        <v>45744</v>
      </c>
      <c r="D1013" t="inlineStr">
        <is>
          <t>SKÅNE LÄN</t>
        </is>
      </c>
      <c r="E1013" t="inlineStr">
        <is>
          <t>KRISTIANSTAD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7737-2020</t>
        </is>
      </c>
      <c r="B1014" s="1" t="n">
        <v>43872</v>
      </c>
      <c r="C1014" s="1" t="n">
        <v>45744</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7738-2020</t>
        </is>
      </c>
      <c r="B1015" s="1" t="n">
        <v>43872</v>
      </c>
      <c r="C1015" s="1" t="n">
        <v>45744</v>
      </c>
      <c r="D1015" t="inlineStr">
        <is>
          <t>SKÅNE LÄN</t>
        </is>
      </c>
      <c r="E1015" t="inlineStr">
        <is>
          <t>HÄSSLEHOLM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7997-2020</t>
        </is>
      </c>
      <c r="B1016" s="1" t="n">
        <v>43873</v>
      </c>
      <c r="C1016" s="1" t="n">
        <v>45744</v>
      </c>
      <c r="D1016" t="inlineStr">
        <is>
          <t>SKÅNE LÄN</t>
        </is>
      </c>
      <c r="E1016" t="inlineStr">
        <is>
          <t>KLIPPAN</t>
        </is>
      </c>
      <c r="F1016" t="inlineStr">
        <is>
          <t>Övriga Aktiebolag</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8199-2020</t>
        </is>
      </c>
      <c r="B1017" s="1" t="n">
        <v>43874</v>
      </c>
      <c r="C1017" s="1" t="n">
        <v>45744</v>
      </c>
      <c r="D1017" t="inlineStr">
        <is>
          <t>SKÅNE LÄN</t>
        </is>
      </c>
      <c r="E1017" t="inlineStr">
        <is>
          <t>HÄSSLEHOLM</t>
        </is>
      </c>
      <c r="F1017" t="inlineStr">
        <is>
          <t>Kyrkan</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8780-2020</t>
        </is>
      </c>
      <c r="B1018" s="1" t="n">
        <v>43874</v>
      </c>
      <c r="C1018" s="1" t="n">
        <v>45744</v>
      </c>
      <c r="D1018" t="inlineStr">
        <is>
          <t>SKÅNE LÄN</t>
        </is>
      </c>
      <c r="E1018" t="inlineStr">
        <is>
          <t>SJÖBO</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8768-2020</t>
        </is>
      </c>
      <c r="B1019" s="1" t="n">
        <v>43874</v>
      </c>
      <c r="C1019" s="1" t="n">
        <v>45744</v>
      </c>
      <c r="D1019" t="inlineStr">
        <is>
          <t>SKÅNE LÄN</t>
        </is>
      </c>
      <c r="E1019" t="inlineStr">
        <is>
          <t>SJÖBO</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8777-2020</t>
        </is>
      </c>
      <c r="B1020" s="1" t="n">
        <v>43874</v>
      </c>
      <c r="C1020" s="1" t="n">
        <v>45744</v>
      </c>
      <c r="D1020" t="inlineStr">
        <is>
          <t>SKÅNE LÄN</t>
        </is>
      </c>
      <c r="E1020" t="inlineStr">
        <is>
          <t>SJÖBO</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8632-2020</t>
        </is>
      </c>
      <c r="B1021" s="1" t="n">
        <v>43875</v>
      </c>
      <c r="C1021" s="1" t="n">
        <v>45744</v>
      </c>
      <c r="D1021" t="inlineStr">
        <is>
          <t>SKÅNE LÄN</t>
        </is>
      </c>
      <c r="E1021" t="inlineStr">
        <is>
          <t>OSBY</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8579-2020</t>
        </is>
      </c>
      <c r="B1022" s="1" t="n">
        <v>43875</v>
      </c>
      <c r="C1022" s="1" t="n">
        <v>45744</v>
      </c>
      <c r="D1022" t="inlineStr">
        <is>
          <t>SKÅNE LÄN</t>
        </is>
      </c>
      <c r="E1022" t="inlineStr">
        <is>
          <t>TOMELILLA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8849-2020</t>
        </is>
      </c>
      <c r="B1023" s="1" t="n">
        <v>43877</v>
      </c>
      <c r="C1023" s="1" t="n">
        <v>45744</v>
      </c>
      <c r="D1023" t="inlineStr">
        <is>
          <t>SKÅNE LÄN</t>
        </is>
      </c>
      <c r="E1023" t="inlineStr">
        <is>
          <t>KLIPPAN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8852-2020</t>
        </is>
      </c>
      <c r="B1024" s="1" t="n">
        <v>43877</v>
      </c>
      <c r="C1024" s="1" t="n">
        <v>45744</v>
      </c>
      <c r="D1024" t="inlineStr">
        <is>
          <t>SKÅNE LÄN</t>
        </is>
      </c>
      <c r="E1024" t="inlineStr">
        <is>
          <t>KLIPPAN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8651-2020</t>
        </is>
      </c>
      <c r="B1025" s="1" t="n">
        <v>43878</v>
      </c>
      <c r="C1025" s="1" t="n">
        <v>45744</v>
      </c>
      <c r="D1025" t="inlineStr">
        <is>
          <t>SKÅNE LÄN</t>
        </is>
      </c>
      <c r="E1025" t="inlineStr">
        <is>
          <t>HÄSSLEHOLM</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8660-2020</t>
        </is>
      </c>
      <c r="B1026" s="1" t="n">
        <v>43878</v>
      </c>
      <c r="C1026" s="1" t="n">
        <v>45744</v>
      </c>
      <c r="D1026" t="inlineStr">
        <is>
          <t>SKÅNE LÄN</t>
        </is>
      </c>
      <c r="E1026" t="inlineStr">
        <is>
          <t>OSBY</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8842-2020</t>
        </is>
      </c>
      <c r="B1027" s="1" t="n">
        <v>43878</v>
      </c>
      <c r="C1027" s="1" t="n">
        <v>45744</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8779-2020</t>
        </is>
      </c>
      <c r="B1028" s="1" t="n">
        <v>43878</v>
      </c>
      <c r="C1028" s="1" t="n">
        <v>45744</v>
      </c>
      <c r="D1028" t="inlineStr">
        <is>
          <t>SKÅNE LÄN</t>
        </is>
      </c>
      <c r="E1028" t="inlineStr">
        <is>
          <t>HÖÖR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8840-2020</t>
        </is>
      </c>
      <c r="B1029" s="1" t="n">
        <v>43878</v>
      </c>
      <c r="C1029" s="1" t="n">
        <v>45744</v>
      </c>
      <c r="D1029" t="inlineStr">
        <is>
          <t>SKÅNE LÄN</t>
        </is>
      </c>
      <c r="E1029" t="inlineStr">
        <is>
          <t>HÄSSLEHOLM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8946-2020</t>
        </is>
      </c>
      <c r="B1030" s="1" t="n">
        <v>43878</v>
      </c>
      <c r="C1030" s="1" t="n">
        <v>45744</v>
      </c>
      <c r="D1030" t="inlineStr">
        <is>
          <t>SKÅNE LÄN</t>
        </is>
      </c>
      <c r="E1030" t="inlineStr">
        <is>
          <t>KRISTIANSTAD</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8968-2020</t>
        </is>
      </c>
      <c r="B1031" s="1" t="n">
        <v>43878</v>
      </c>
      <c r="C1031" s="1" t="n">
        <v>45744</v>
      </c>
      <c r="D1031" t="inlineStr">
        <is>
          <t>SKÅNE LÄN</t>
        </is>
      </c>
      <c r="E1031" t="inlineStr">
        <is>
          <t>OSBY</t>
        </is>
      </c>
      <c r="F1031" t="inlineStr">
        <is>
          <t>Naturvårdsverket</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12657-2020</t>
        </is>
      </c>
      <c r="B1032" s="1" t="n">
        <v>43878</v>
      </c>
      <c r="C1032" s="1" t="n">
        <v>45744</v>
      </c>
      <c r="D1032" t="inlineStr">
        <is>
          <t>SKÅNE LÄN</t>
        </is>
      </c>
      <c r="E1032" t="inlineStr">
        <is>
          <t>OSBY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8641-2020</t>
        </is>
      </c>
      <c r="B1033" s="1" t="n">
        <v>43878</v>
      </c>
      <c r="C1033" s="1" t="n">
        <v>45744</v>
      </c>
      <c r="D1033" t="inlineStr">
        <is>
          <t>SKÅNE LÄN</t>
        </is>
      </c>
      <c r="E1033" t="inlineStr">
        <is>
          <t>OSBY</t>
        </is>
      </c>
      <c r="G1033" t="n">
        <v>12.4</v>
      </c>
      <c r="H1033" t="n">
        <v>0</v>
      </c>
      <c r="I1033" t="n">
        <v>0</v>
      </c>
      <c r="J1033" t="n">
        <v>0</v>
      </c>
      <c r="K1033" t="n">
        <v>0</v>
      </c>
      <c r="L1033" t="n">
        <v>0</v>
      </c>
      <c r="M1033" t="n">
        <v>0</v>
      </c>
      <c r="N1033" t="n">
        <v>0</v>
      </c>
      <c r="O1033" t="n">
        <v>0</v>
      </c>
      <c r="P1033" t="n">
        <v>0</v>
      </c>
      <c r="Q1033" t="n">
        <v>0</v>
      </c>
      <c r="R1033" s="2" t="inlineStr"/>
    </row>
    <row r="1034" ht="15" customHeight="1">
      <c r="A1034" t="inlineStr">
        <is>
          <t>A 12661-2020</t>
        </is>
      </c>
      <c r="B1034" s="1" t="n">
        <v>43878</v>
      </c>
      <c r="C1034" s="1" t="n">
        <v>45744</v>
      </c>
      <c r="D1034" t="inlineStr">
        <is>
          <t>SKÅNE LÄN</t>
        </is>
      </c>
      <c r="E1034" t="inlineStr">
        <is>
          <t>OSBY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9078-2020</t>
        </is>
      </c>
      <c r="B1035" s="1" t="n">
        <v>43879</v>
      </c>
      <c r="C1035" s="1" t="n">
        <v>45744</v>
      </c>
      <c r="D1035" t="inlineStr">
        <is>
          <t>SKÅNE LÄN</t>
        </is>
      </c>
      <c r="E1035" t="inlineStr">
        <is>
          <t>KRISTIANSTAD</t>
        </is>
      </c>
      <c r="F1035" t="inlineStr">
        <is>
          <t>Sveaskog</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9259-2020</t>
        </is>
      </c>
      <c r="B1036" s="1" t="n">
        <v>43879</v>
      </c>
      <c r="C1036" s="1" t="n">
        <v>45744</v>
      </c>
      <c r="D1036" t="inlineStr">
        <is>
          <t>SKÅNE LÄN</t>
        </is>
      </c>
      <c r="E1036" t="inlineStr">
        <is>
          <t>OSBY</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9425-2020</t>
        </is>
      </c>
      <c r="B1037" s="1" t="n">
        <v>43880</v>
      </c>
      <c r="C1037" s="1" t="n">
        <v>45744</v>
      </c>
      <c r="D1037" t="inlineStr">
        <is>
          <t>SKÅNE LÄN</t>
        </is>
      </c>
      <c r="E1037" t="inlineStr">
        <is>
          <t>HÖÖR</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9498-2020</t>
        </is>
      </c>
      <c r="B1038" s="1" t="n">
        <v>43880</v>
      </c>
      <c r="C1038" s="1" t="n">
        <v>45744</v>
      </c>
      <c r="D1038" t="inlineStr">
        <is>
          <t>SKÅNE LÄN</t>
        </is>
      </c>
      <c r="E1038" t="inlineStr">
        <is>
          <t>ÄNGELHOLM</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9428-2020</t>
        </is>
      </c>
      <c r="B1039" s="1" t="n">
        <v>43880</v>
      </c>
      <c r="C1039" s="1" t="n">
        <v>45744</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9778-2020</t>
        </is>
      </c>
      <c r="B1040" s="1" t="n">
        <v>43881</v>
      </c>
      <c r="C1040" s="1" t="n">
        <v>45744</v>
      </c>
      <c r="D1040" t="inlineStr">
        <is>
          <t>SKÅNE LÄN</t>
        </is>
      </c>
      <c r="E1040" t="inlineStr">
        <is>
          <t>OSBY</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9661-2020</t>
        </is>
      </c>
      <c r="B1041" s="1" t="n">
        <v>43881</v>
      </c>
      <c r="C1041" s="1" t="n">
        <v>45744</v>
      </c>
      <c r="D1041" t="inlineStr">
        <is>
          <t>SKÅNE LÄN</t>
        </is>
      </c>
      <c r="E1041" t="inlineStr">
        <is>
          <t>HÄSSLEHOLM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9812-2020</t>
        </is>
      </c>
      <c r="B1042" s="1" t="n">
        <v>43881</v>
      </c>
      <c r="C1042" s="1" t="n">
        <v>45744</v>
      </c>
      <c r="D1042" t="inlineStr">
        <is>
          <t>SKÅNE LÄN</t>
        </is>
      </c>
      <c r="E1042" t="inlineStr">
        <is>
          <t>KRISTIANSTAD</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9808-2020</t>
        </is>
      </c>
      <c r="B1043" s="1" t="n">
        <v>43881</v>
      </c>
      <c r="C1043" s="1" t="n">
        <v>45744</v>
      </c>
      <c r="D1043" t="inlineStr">
        <is>
          <t>SKÅNE LÄN</t>
        </is>
      </c>
      <c r="E1043" t="inlineStr">
        <is>
          <t>BROMÖLLA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9890-2020</t>
        </is>
      </c>
      <c r="B1044" s="1" t="n">
        <v>43882</v>
      </c>
      <c r="C1044" s="1" t="n">
        <v>45744</v>
      </c>
      <c r="D1044" t="inlineStr">
        <is>
          <t>SKÅNE LÄN</t>
        </is>
      </c>
      <c r="E1044" t="inlineStr">
        <is>
          <t>HÄSSLEHOLM</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9885-2020</t>
        </is>
      </c>
      <c r="B1045" s="1" t="n">
        <v>43882</v>
      </c>
      <c r="C1045" s="1" t="n">
        <v>45744</v>
      </c>
      <c r="D1045" t="inlineStr">
        <is>
          <t>SKÅNE LÄN</t>
        </is>
      </c>
      <c r="E1045" t="inlineStr">
        <is>
          <t>HÄSSLEHOLM</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10015-2020</t>
        </is>
      </c>
      <c r="B1046" s="1" t="n">
        <v>43882</v>
      </c>
      <c r="C1046" s="1" t="n">
        <v>45744</v>
      </c>
      <c r="D1046" t="inlineStr">
        <is>
          <t>SKÅNE LÄN</t>
        </is>
      </c>
      <c r="E1046" t="inlineStr">
        <is>
          <t>PERSTORP</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10263-2020</t>
        </is>
      </c>
      <c r="B1047" s="1" t="n">
        <v>43885</v>
      </c>
      <c r="C1047" s="1" t="n">
        <v>45744</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10445-2020</t>
        </is>
      </c>
      <c r="B1048" s="1" t="n">
        <v>43886</v>
      </c>
      <c r="C1048" s="1" t="n">
        <v>45744</v>
      </c>
      <c r="D1048" t="inlineStr">
        <is>
          <t>SKÅNE LÄN</t>
        </is>
      </c>
      <c r="E1048" t="inlineStr">
        <is>
          <t>OSBY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10512-2020</t>
        </is>
      </c>
      <c r="B1049" s="1" t="n">
        <v>43886</v>
      </c>
      <c r="C1049" s="1" t="n">
        <v>45744</v>
      </c>
      <c r="D1049" t="inlineStr">
        <is>
          <t>SKÅNE LÄN</t>
        </is>
      </c>
      <c r="E1049" t="inlineStr">
        <is>
          <t>HÄSSLEHOLM</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10149-2020</t>
        </is>
      </c>
      <c r="B1050" s="1" t="n">
        <v>43887</v>
      </c>
      <c r="C1050" s="1" t="n">
        <v>45744</v>
      </c>
      <c r="D1050" t="inlineStr">
        <is>
          <t>SKÅNE LÄN</t>
        </is>
      </c>
      <c r="E1050" t="inlineStr">
        <is>
          <t>OSBY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10599-2020</t>
        </is>
      </c>
      <c r="B1051" s="1" t="n">
        <v>43887</v>
      </c>
      <c r="C1051" s="1" t="n">
        <v>45744</v>
      </c>
      <c r="D1051" t="inlineStr">
        <is>
          <t>SKÅNE LÄN</t>
        </is>
      </c>
      <c r="E1051" t="inlineStr">
        <is>
          <t>SJÖBO</t>
        </is>
      </c>
      <c r="F1051" t="inlineStr">
        <is>
          <t>Kommuner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10120-2020</t>
        </is>
      </c>
      <c r="B1052" s="1" t="n">
        <v>43887</v>
      </c>
      <c r="C1052" s="1" t="n">
        <v>45744</v>
      </c>
      <c r="D1052" t="inlineStr">
        <is>
          <t>SKÅNE LÄN</t>
        </is>
      </c>
      <c r="E1052" t="inlineStr">
        <is>
          <t>SJÖBO</t>
        </is>
      </c>
      <c r="F1052" t="inlineStr">
        <is>
          <t>Övriga Aktiebolag</t>
        </is>
      </c>
      <c r="G1052" t="n">
        <v>9</v>
      </c>
      <c r="H1052" t="n">
        <v>0</v>
      </c>
      <c r="I1052" t="n">
        <v>0</v>
      </c>
      <c r="J1052" t="n">
        <v>0</v>
      </c>
      <c r="K1052" t="n">
        <v>0</v>
      </c>
      <c r="L1052" t="n">
        <v>0</v>
      </c>
      <c r="M1052" t="n">
        <v>0</v>
      </c>
      <c r="N1052" t="n">
        <v>0</v>
      </c>
      <c r="O1052" t="n">
        <v>0</v>
      </c>
      <c r="P1052" t="n">
        <v>0</v>
      </c>
      <c r="Q1052" t="n">
        <v>0</v>
      </c>
      <c r="R1052" s="2" t="inlineStr"/>
    </row>
    <row r="1053" ht="15" customHeight="1">
      <c r="A1053" t="inlineStr">
        <is>
          <t>A 10310-2020</t>
        </is>
      </c>
      <c r="B1053" s="1" t="n">
        <v>43887</v>
      </c>
      <c r="C1053" s="1" t="n">
        <v>45744</v>
      </c>
      <c r="D1053" t="inlineStr">
        <is>
          <t>SKÅNE LÄN</t>
        </is>
      </c>
      <c r="E1053" t="inlineStr">
        <is>
          <t>YSTAD</t>
        </is>
      </c>
      <c r="F1053" t="inlineStr">
        <is>
          <t>Övriga Aktiebolag</t>
        </is>
      </c>
      <c r="G1053" t="n">
        <v>15.6</v>
      </c>
      <c r="H1053" t="n">
        <v>0</v>
      </c>
      <c r="I1053" t="n">
        <v>0</v>
      </c>
      <c r="J1053" t="n">
        <v>0</v>
      </c>
      <c r="K1053" t="n">
        <v>0</v>
      </c>
      <c r="L1053" t="n">
        <v>0</v>
      </c>
      <c r="M1053" t="n">
        <v>0</v>
      </c>
      <c r="N1053" t="n">
        <v>0</v>
      </c>
      <c r="O1053" t="n">
        <v>0</v>
      </c>
      <c r="P1053" t="n">
        <v>0</v>
      </c>
      <c r="Q1053" t="n">
        <v>0</v>
      </c>
      <c r="R1053" s="2" t="inlineStr"/>
    </row>
    <row r="1054" ht="15" customHeight="1">
      <c r="A1054" t="inlineStr">
        <is>
          <t>A 10743-2020</t>
        </is>
      </c>
      <c r="B1054" s="1" t="n">
        <v>43888</v>
      </c>
      <c r="C1054" s="1" t="n">
        <v>45744</v>
      </c>
      <c r="D1054" t="inlineStr">
        <is>
          <t>SKÅNE LÄN</t>
        </is>
      </c>
      <c r="E1054" t="inlineStr">
        <is>
          <t>BJUV</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10773-2020</t>
        </is>
      </c>
      <c r="B1055" s="1" t="n">
        <v>43888</v>
      </c>
      <c r="C1055" s="1" t="n">
        <v>45744</v>
      </c>
      <c r="D1055" t="inlineStr">
        <is>
          <t>SKÅNE LÄN</t>
        </is>
      </c>
      <c r="E1055" t="inlineStr">
        <is>
          <t>ÅSTORP</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11262-2020</t>
        </is>
      </c>
      <c r="B1056" s="1" t="n">
        <v>43888</v>
      </c>
      <c r="C1056" s="1" t="n">
        <v>45744</v>
      </c>
      <c r="D1056" t="inlineStr">
        <is>
          <t>SKÅNE LÄN</t>
        </is>
      </c>
      <c r="E1056" t="inlineStr">
        <is>
          <t>KRISTIANSTAD</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10727-2020</t>
        </is>
      </c>
      <c r="B1057" s="1" t="n">
        <v>43888</v>
      </c>
      <c r="C1057" s="1" t="n">
        <v>45744</v>
      </c>
      <c r="D1057" t="inlineStr">
        <is>
          <t>SKÅNE LÄN</t>
        </is>
      </c>
      <c r="E1057" t="inlineStr">
        <is>
          <t>SVALÖV</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10992-2020</t>
        </is>
      </c>
      <c r="B1058" s="1" t="n">
        <v>43889</v>
      </c>
      <c r="C1058" s="1" t="n">
        <v>45744</v>
      </c>
      <c r="D1058" t="inlineStr">
        <is>
          <t>SKÅNE LÄN</t>
        </is>
      </c>
      <c r="E1058" t="inlineStr">
        <is>
          <t>KLIPPAN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11116-2020</t>
        </is>
      </c>
      <c r="B1059" s="1" t="n">
        <v>43889</v>
      </c>
      <c r="C1059" s="1" t="n">
        <v>45744</v>
      </c>
      <c r="D1059" t="inlineStr">
        <is>
          <t>SKÅNE LÄN</t>
        </is>
      </c>
      <c r="E1059" t="inlineStr">
        <is>
          <t>ÖSTRA GÖINGE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11045-2020</t>
        </is>
      </c>
      <c r="B1060" s="1" t="n">
        <v>43889</v>
      </c>
      <c r="C1060" s="1" t="n">
        <v>45744</v>
      </c>
      <c r="D1060" t="inlineStr">
        <is>
          <t>SKÅNE LÄN</t>
        </is>
      </c>
      <c r="E1060" t="inlineStr">
        <is>
          <t>KLIPPAN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11268-2020</t>
        </is>
      </c>
      <c r="B1061" s="1" t="n">
        <v>43889</v>
      </c>
      <c r="C1061" s="1" t="n">
        <v>45744</v>
      </c>
      <c r="D1061" t="inlineStr">
        <is>
          <t>SKÅNE LÄN</t>
        </is>
      </c>
      <c r="E1061" t="inlineStr">
        <is>
          <t>KLIPPAN</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10956-2020</t>
        </is>
      </c>
      <c r="B1062" s="1" t="n">
        <v>43889</v>
      </c>
      <c r="C1062" s="1" t="n">
        <v>45744</v>
      </c>
      <c r="D1062" t="inlineStr">
        <is>
          <t>SKÅNE LÄN</t>
        </is>
      </c>
      <c r="E1062" t="inlineStr">
        <is>
          <t>HÄSSLEHOLM</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11050-2020</t>
        </is>
      </c>
      <c r="B1063" s="1" t="n">
        <v>43889</v>
      </c>
      <c r="C1063" s="1" t="n">
        <v>45744</v>
      </c>
      <c r="D1063" t="inlineStr">
        <is>
          <t>SKÅNE LÄN</t>
        </is>
      </c>
      <c r="E1063" t="inlineStr">
        <is>
          <t>BÅSTAD</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12140-2020</t>
        </is>
      </c>
      <c r="B1064" s="1" t="n">
        <v>43889</v>
      </c>
      <c r="C1064" s="1" t="n">
        <v>45744</v>
      </c>
      <c r="D1064" t="inlineStr">
        <is>
          <t>SKÅNE LÄN</t>
        </is>
      </c>
      <c r="E1064" t="inlineStr">
        <is>
          <t>HÖRBY</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11111-2020</t>
        </is>
      </c>
      <c r="B1065" s="1" t="n">
        <v>43889</v>
      </c>
      <c r="C1065" s="1" t="n">
        <v>45744</v>
      </c>
      <c r="D1065" t="inlineStr">
        <is>
          <t>SKÅNE LÄN</t>
        </is>
      </c>
      <c r="E1065" t="inlineStr">
        <is>
          <t>KLIPPAN</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11436-2020</t>
        </is>
      </c>
      <c r="B1066" s="1" t="n">
        <v>43893</v>
      </c>
      <c r="C1066" s="1" t="n">
        <v>45744</v>
      </c>
      <c r="D1066" t="inlineStr">
        <is>
          <t>SKÅNE LÄN</t>
        </is>
      </c>
      <c r="E1066" t="inlineStr">
        <is>
          <t>ÖRKELLJUNGA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11641-2020</t>
        </is>
      </c>
      <c r="B1067" s="1" t="n">
        <v>43893</v>
      </c>
      <c r="C1067" s="1" t="n">
        <v>45744</v>
      </c>
      <c r="D1067" t="inlineStr">
        <is>
          <t>SKÅNE LÄN</t>
        </is>
      </c>
      <c r="E1067" t="inlineStr">
        <is>
          <t>HÖÖR</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12683-2020</t>
        </is>
      </c>
      <c r="B1068" s="1" t="n">
        <v>43893</v>
      </c>
      <c r="C1068" s="1" t="n">
        <v>45744</v>
      </c>
      <c r="D1068" t="inlineStr">
        <is>
          <t>SKÅNE LÄN</t>
        </is>
      </c>
      <c r="E1068" t="inlineStr">
        <is>
          <t>ÅSTORP</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12688-2020</t>
        </is>
      </c>
      <c r="B1069" s="1" t="n">
        <v>43893</v>
      </c>
      <c r="C1069" s="1" t="n">
        <v>45744</v>
      </c>
      <c r="D1069" t="inlineStr">
        <is>
          <t>SKÅNE LÄN</t>
        </is>
      </c>
      <c r="E1069" t="inlineStr">
        <is>
          <t>ÅSTORP</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11783-2020</t>
        </is>
      </c>
      <c r="B1070" s="1" t="n">
        <v>43894</v>
      </c>
      <c r="C1070" s="1" t="n">
        <v>45744</v>
      </c>
      <c r="D1070" t="inlineStr">
        <is>
          <t>SKÅNE LÄN</t>
        </is>
      </c>
      <c r="E1070" t="inlineStr">
        <is>
          <t>ÄNGELHOLM</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11883-2020</t>
        </is>
      </c>
      <c r="B1071" s="1" t="n">
        <v>43894</v>
      </c>
      <c r="C1071" s="1" t="n">
        <v>45744</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11904-2020</t>
        </is>
      </c>
      <c r="B1072" s="1" t="n">
        <v>43894</v>
      </c>
      <c r="C1072" s="1" t="n">
        <v>45744</v>
      </c>
      <c r="D1072" t="inlineStr">
        <is>
          <t>SKÅNE LÄN</t>
        </is>
      </c>
      <c r="E1072" t="inlineStr">
        <is>
          <t>ÖSTRA GÖINGE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11985-2020</t>
        </is>
      </c>
      <c r="B1073" s="1" t="n">
        <v>43894</v>
      </c>
      <c r="C1073" s="1" t="n">
        <v>45744</v>
      </c>
      <c r="D1073" t="inlineStr">
        <is>
          <t>SKÅNE LÄN</t>
        </is>
      </c>
      <c r="E1073" t="inlineStr">
        <is>
          <t>ÖSTRA GÖINGE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11884-2020</t>
        </is>
      </c>
      <c r="B1074" s="1" t="n">
        <v>43894</v>
      </c>
      <c r="C1074" s="1" t="n">
        <v>45744</v>
      </c>
      <c r="D1074" t="inlineStr">
        <is>
          <t>SKÅNE LÄN</t>
        </is>
      </c>
      <c r="E1074" t="inlineStr">
        <is>
          <t>HÄSSLEHOLM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11925-2020</t>
        </is>
      </c>
      <c r="B1075" s="1" t="n">
        <v>43894</v>
      </c>
      <c r="C1075" s="1" t="n">
        <v>45744</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11983-2020</t>
        </is>
      </c>
      <c r="B1076" s="1" t="n">
        <v>43894</v>
      </c>
      <c r="C1076" s="1" t="n">
        <v>45744</v>
      </c>
      <c r="D1076" t="inlineStr">
        <is>
          <t>SKÅNE LÄN</t>
        </is>
      </c>
      <c r="E1076" t="inlineStr">
        <is>
          <t>ÖSTRA GÖINGE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11994-2020</t>
        </is>
      </c>
      <c r="B1077" s="1" t="n">
        <v>43894</v>
      </c>
      <c r="C1077" s="1" t="n">
        <v>45744</v>
      </c>
      <c r="D1077" t="inlineStr">
        <is>
          <t>SKÅNE LÄN</t>
        </is>
      </c>
      <c r="E1077" t="inlineStr">
        <is>
          <t>HÄSSLEHOLM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13486-2020</t>
        </is>
      </c>
      <c r="B1078" s="1" t="n">
        <v>43894</v>
      </c>
      <c r="C1078" s="1" t="n">
        <v>45744</v>
      </c>
      <c r="D1078" t="inlineStr">
        <is>
          <t>SKÅNE LÄN</t>
        </is>
      </c>
      <c r="E1078" t="inlineStr">
        <is>
          <t>HÄSSLEHOLM</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12175-2020</t>
        </is>
      </c>
      <c r="B1079" s="1" t="n">
        <v>43895</v>
      </c>
      <c r="C1079" s="1" t="n">
        <v>45744</v>
      </c>
      <c r="D1079" t="inlineStr">
        <is>
          <t>SKÅNE LÄN</t>
        </is>
      </c>
      <c r="E1079" t="inlineStr">
        <is>
          <t>OSBY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12278-2020</t>
        </is>
      </c>
      <c r="B1080" s="1" t="n">
        <v>43895</v>
      </c>
      <c r="C1080" s="1" t="n">
        <v>45744</v>
      </c>
      <c r="D1080" t="inlineStr">
        <is>
          <t>SKÅNE LÄN</t>
        </is>
      </c>
      <c r="E1080" t="inlineStr">
        <is>
          <t>ÖRKELLJUNGA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12283-2020</t>
        </is>
      </c>
      <c r="B1081" s="1" t="n">
        <v>43895</v>
      </c>
      <c r="C1081" s="1" t="n">
        <v>45744</v>
      </c>
      <c r="D1081" t="inlineStr">
        <is>
          <t>SKÅNE LÄN</t>
        </is>
      </c>
      <c r="E1081" t="inlineStr">
        <is>
          <t>ÖRKELLJUNGA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12281-2020</t>
        </is>
      </c>
      <c r="B1082" s="1" t="n">
        <v>43895</v>
      </c>
      <c r="C1082" s="1" t="n">
        <v>45744</v>
      </c>
      <c r="D1082" t="inlineStr">
        <is>
          <t>SKÅNE LÄN</t>
        </is>
      </c>
      <c r="E1082" t="inlineStr">
        <is>
          <t>ÖRKELLJUNGA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12401-2020</t>
        </is>
      </c>
      <c r="B1083" s="1" t="n">
        <v>43896</v>
      </c>
      <c r="C1083" s="1" t="n">
        <v>45744</v>
      </c>
      <c r="D1083" t="inlineStr">
        <is>
          <t>SKÅNE LÄN</t>
        </is>
      </c>
      <c r="E1083" t="inlineStr">
        <is>
          <t>OSBY</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12507-2020</t>
        </is>
      </c>
      <c r="B1084" s="1" t="n">
        <v>43896</v>
      </c>
      <c r="C1084" s="1" t="n">
        <v>45744</v>
      </c>
      <c r="D1084" t="inlineStr">
        <is>
          <t>SKÅNE LÄN</t>
        </is>
      </c>
      <c r="E1084" t="inlineStr">
        <is>
          <t>ÄNGELHOLM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12400-2020</t>
        </is>
      </c>
      <c r="B1085" s="1" t="n">
        <v>43896</v>
      </c>
      <c r="C1085" s="1" t="n">
        <v>45744</v>
      </c>
      <c r="D1085" t="inlineStr">
        <is>
          <t>SKÅNE LÄN</t>
        </is>
      </c>
      <c r="E1085" t="inlineStr">
        <is>
          <t>OSBY</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12501-2020</t>
        </is>
      </c>
      <c r="B1086" s="1" t="n">
        <v>43896</v>
      </c>
      <c r="C1086" s="1" t="n">
        <v>45744</v>
      </c>
      <c r="D1086" t="inlineStr">
        <is>
          <t>SKÅNE LÄN</t>
        </is>
      </c>
      <c r="E1086" t="inlineStr">
        <is>
          <t>BÅSTAD</t>
        </is>
      </c>
      <c r="G1086" t="n">
        <v>11.8</v>
      </c>
      <c r="H1086" t="n">
        <v>0</v>
      </c>
      <c r="I1086" t="n">
        <v>0</v>
      </c>
      <c r="J1086" t="n">
        <v>0</v>
      </c>
      <c r="K1086" t="n">
        <v>0</v>
      </c>
      <c r="L1086" t="n">
        <v>0</v>
      </c>
      <c r="M1086" t="n">
        <v>0</v>
      </c>
      <c r="N1086" t="n">
        <v>0</v>
      </c>
      <c r="O1086" t="n">
        <v>0</v>
      </c>
      <c r="P1086" t="n">
        <v>0</v>
      </c>
      <c r="Q1086" t="n">
        <v>0</v>
      </c>
      <c r="R1086" s="2" t="inlineStr"/>
    </row>
    <row r="1087" ht="15" customHeight="1">
      <c r="A1087" t="inlineStr">
        <is>
          <t>A 13660-2020</t>
        </is>
      </c>
      <c r="B1087" s="1" t="n">
        <v>43896</v>
      </c>
      <c r="C1087" s="1" t="n">
        <v>45744</v>
      </c>
      <c r="D1087" t="inlineStr">
        <is>
          <t>SKÅNE LÄN</t>
        </is>
      </c>
      <c r="E1087" t="inlineStr">
        <is>
          <t>SIMRISHAMN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12752-2020</t>
        </is>
      </c>
      <c r="B1088" s="1" t="n">
        <v>43899</v>
      </c>
      <c r="C1088" s="1" t="n">
        <v>45744</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12756-2020</t>
        </is>
      </c>
      <c r="B1089" s="1" t="n">
        <v>43899</v>
      </c>
      <c r="C1089" s="1" t="n">
        <v>45744</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12749-2020</t>
        </is>
      </c>
      <c r="B1090" s="1" t="n">
        <v>43899</v>
      </c>
      <c r="C1090" s="1" t="n">
        <v>45744</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13976-2020</t>
        </is>
      </c>
      <c r="B1091" s="1" t="n">
        <v>43899</v>
      </c>
      <c r="C1091" s="1" t="n">
        <v>45744</v>
      </c>
      <c r="D1091" t="inlineStr">
        <is>
          <t>SKÅNE LÄN</t>
        </is>
      </c>
      <c r="E1091" t="inlineStr">
        <is>
          <t>HÄSSLEHOLM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13051-2020</t>
        </is>
      </c>
      <c r="B1092" s="1" t="n">
        <v>43900</v>
      </c>
      <c r="C1092" s="1" t="n">
        <v>45744</v>
      </c>
      <c r="D1092" t="inlineStr">
        <is>
          <t>SKÅNE LÄN</t>
        </is>
      </c>
      <c r="E1092" t="inlineStr">
        <is>
          <t>ÖSTRA GÖINGE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13144-2020</t>
        </is>
      </c>
      <c r="B1093" s="1" t="n">
        <v>43901</v>
      </c>
      <c r="C1093" s="1" t="n">
        <v>45744</v>
      </c>
      <c r="D1093" t="inlineStr">
        <is>
          <t>SKÅNE LÄN</t>
        </is>
      </c>
      <c r="E1093" t="inlineStr">
        <is>
          <t>ÖSTRA GÖINGE</t>
        </is>
      </c>
      <c r="G1093" t="n">
        <v>14.2</v>
      </c>
      <c r="H1093" t="n">
        <v>0</v>
      </c>
      <c r="I1093" t="n">
        <v>0</v>
      </c>
      <c r="J1093" t="n">
        <v>0</v>
      </c>
      <c r="K1093" t="n">
        <v>0</v>
      </c>
      <c r="L1093" t="n">
        <v>0</v>
      </c>
      <c r="M1093" t="n">
        <v>0</v>
      </c>
      <c r="N1093" t="n">
        <v>0</v>
      </c>
      <c r="O1093" t="n">
        <v>0</v>
      </c>
      <c r="P1093" t="n">
        <v>0</v>
      </c>
      <c r="Q1093" t="n">
        <v>0</v>
      </c>
      <c r="R1093" s="2" t="inlineStr"/>
    </row>
    <row r="1094" ht="15" customHeight="1">
      <c r="A1094" t="inlineStr">
        <is>
          <t>A 13149-2020</t>
        </is>
      </c>
      <c r="B1094" s="1" t="n">
        <v>43901</v>
      </c>
      <c r="C1094" s="1" t="n">
        <v>45744</v>
      </c>
      <c r="D1094" t="inlineStr">
        <is>
          <t>SKÅNE LÄN</t>
        </is>
      </c>
      <c r="E1094" t="inlineStr">
        <is>
          <t>ÖSTRA GÖINGE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13373-2020</t>
        </is>
      </c>
      <c r="B1095" s="1" t="n">
        <v>43902</v>
      </c>
      <c r="C1095" s="1" t="n">
        <v>45744</v>
      </c>
      <c r="D1095" t="inlineStr">
        <is>
          <t>SKÅNE LÄN</t>
        </is>
      </c>
      <c r="E1095" t="inlineStr">
        <is>
          <t>ÖSTRA GÖINGE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13896-2020</t>
        </is>
      </c>
      <c r="B1096" s="1" t="n">
        <v>43906</v>
      </c>
      <c r="C1096" s="1" t="n">
        <v>45744</v>
      </c>
      <c r="D1096" t="inlineStr">
        <is>
          <t>SKÅNE LÄN</t>
        </is>
      </c>
      <c r="E1096" t="inlineStr">
        <is>
          <t>HÄSSLEHOLM</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13941-2020</t>
        </is>
      </c>
      <c r="B1097" s="1" t="n">
        <v>43906</v>
      </c>
      <c r="C1097" s="1" t="n">
        <v>45744</v>
      </c>
      <c r="D1097" t="inlineStr">
        <is>
          <t>SKÅNE LÄN</t>
        </is>
      </c>
      <c r="E1097" t="inlineStr">
        <is>
          <t>PERSTORP</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14040-2020</t>
        </is>
      </c>
      <c r="B1098" s="1" t="n">
        <v>43906</v>
      </c>
      <c r="C1098" s="1" t="n">
        <v>45744</v>
      </c>
      <c r="D1098" t="inlineStr">
        <is>
          <t>SKÅNE LÄN</t>
        </is>
      </c>
      <c r="E1098" t="inlineStr">
        <is>
          <t>HÄSSLEHOLM</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13977-2020</t>
        </is>
      </c>
      <c r="B1099" s="1" t="n">
        <v>43906</v>
      </c>
      <c r="C1099" s="1" t="n">
        <v>45744</v>
      </c>
      <c r="D1099" t="inlineStr">
        <is>
          <t>SKÅNE LÄN</t>
        </is>
      </c>
      <c r="E1099" t="inlineStr">
        <is>
          <t>OSBY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14148-2020</t>
        </is>
      </c>
      <c r="B1100" s="1" t="n">
        <v>43907</v>
      </c>
      <c r="C1100" s="1" t="n">
        <v>45744</v>
      </c>
      <c r="D1100" t="inlineStr">
        <is>
          <t>SKÅNE LÄN</t>
        </is>
      </c>
      <c r="E1100" t="inlineStr">
        <is>
          <t>SIMRISHAMN</t>
        </is>
      </c>
      <c r="F1100" t="inlineStr">
        <is>
          <t>Övriga Aktiebolag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14075-2020</t>
        </is>
      </c>
      <c r="B1101" s="1" t="n">
        <v>43907</v>
      </c>
      <c r="C1101" s="1" t="n">
        <v>45744</v>
      </c>
      <c r="D1101" t="inlineStr">
        <is>
          <t>SKÅNE LÄN</t>
        </is>
      </c>
      <c r="E1101" t="inlineStr">
        <is>
          <t>OSBY</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14107-2020</t>
        </is>
      </c>
      <c r="B1102" s="1" t="n">
        <v>43907</v>
      </c>
      <c r="C1102" s="1" t="n">
        <v>45744</v>
      </c>
      <c r="D1102" t="inlineStr">
        <is>
          <t>SKÅNE LÄN</t>
        </is>
      </c>
      <c r="E1102" t="inlineStr">
        <is>
          <t>SIMRISHAMN</t>
        </is>
      </c>
      <c r="F1102" t="inlineStr">
        <is>
          <t>Övriga Aktiebolag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14538-2020</t>
        </is>
      </c>
      <c r="B1103" s="1" t="n">
        <v>43908</v>
      </c>
      <c r="C1103" s="1" t="n">
        <v>45744</v>
      </c>
      <c r="D1103" t="inlineStr">
        <is>
          <t>SKÅNE LÄN</t>
        </is>
      </c>
      <c r="E1103" t="inlineStr">
        <is>
          <t>OSBY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14668-2020</t>
        </is>
      </c>
      <c r="B1104" s="1" t="n">
        <v>43909</v>
      </c>
      <c r="C1104" s="1" t="n">
        <v>45744</v>
      </c>
      <c r="D1104" t="inlineStr">
        <is>
          <t>SKÅNE LÄN</t>
        </is>
      </c>
      <c r="E1104" t="inlineStr">
        <is>
          <t>BROMÖLLA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14822-2020</t>
        </is>
      </c>
      <c r="B1105" s="1" t="n">
        <v>43909</v>
      </c>
      <c r="C1105" s="1" t="n">
        <v>45744</v>
      </c>
      <c r="D1105" t="inlineStr">
        <is>
          <t>SKÅNE LÄN</t>
        </is>
      </c>
      <c r="E1105" t="inlineStr">
        <is>
          <t>ÖSTRA GÖINGE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16450-2020</t>
        </is>
      </c>
      <c r="B1106" s="1" t="n">
        <v>43909</v>
      </c>
      <c r="C1106" s="1" t="n">
        <v>45744</v>
      </c>
      <c r="D1106" t="inlineStr">
        <is>
          <t>SKÅNE LÄN</t>
        </is>
      </c>
      <c r="E1106" t="inlineStr">
        <is>
          <t>HÖÖR</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16521-2020</t>
        </is>
      </c>
      <c r="B1107" s="1" t="n">
        <v>43909</v>
      </c>
      <c r="C1107" s="1" t="n">
        <v>45744</v>
      </c>
      <c r="D1107" t="inlineStr">
        <is>
          <t>SKÅNE LÄN</t>
        </is>
      </c>
      <c r="E1107" t="inlineStr">
        <is>
          <t>ESLÖV</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15860-2020</t>
        </is>
      </c>
      <c r="B1108" s="1" t="n">
        <v>43910</v>
      </c>
      <c r="C1108" s="1" t="n">
        <v>45744</v>
      </c>
      <c r="D1108" t="inlineStr">
        <is>
          <t>SKÅNE LÄN</t>
        </is>
      </c>
      <c r="E1108" t="inlineStr">
        <is>
          <t>HÄSSLEHOLM</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16870-2020</t>
        </is>
      </c>
      <c r="B1109" s="1" t="n">
        <v>43910</v>
      </c>
      <c r="C1109" s="1" t="n">
        <v>45744</v>
      </c>
      <c r="D1109" t="inlineStr">
        <is>
          <t>SKÅNE LÄN</t>
        </is>
      </c>
      <c r="E1109" t="inlineStr">
        <is>
          <t>HÖÖR</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15166-2020</t>
        </is>
      </c>
      <c r="B1110" s="1" t="n">
        <v>43912</v>
      </c>
      <c r="C1110" s="1" t="n">
        <v>45744</v>
      </c>
      <c r="D1110" t="inlineStr">
        <is>
          <t>SKÅNE LÄN</t>
        </is>
      </c>
      <c r="E1110" t="inlineStr">
        <is>
          <t>HÖGANÄS</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15271-2020</t>
        </is>
      </c>
      <c r="B1111" s="1" t="n">
        <v>43913</v>
      </c>
      <c r="C1111" s="1" t="n">
        <v>45744</v>
      </c>
      <c r="D1111" t="inlineStr">
        <is>
          <t>SKÅNE LÄN</t>
        </is>
      </c>
      <c r="E1111" t="inlineStr">
        <is>
          <t>KLIPPAN</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15257-2020</t>
        </is>
      </c>
      <c r="B1112" s="1" t="n">
        <v>43913</v>
      </c>
      <c r="C1112" s="1" t="n">
        <v>45744</v>
      </c>
      <c r="D1112" t="inlineStr">
        <is>
          <t>SKÅNE LÄN</t>
        </is>
      </c>
      <c r="E1112" t="inlineStr">
        <is>
          <t>KLIPPAN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17022-2020</t>
        </is>
      </c>
      <c r="B1113" s="1" t="n">
        <v>43913</v>
      </c>
      <c r="C1113" s="1" t="n">
        <v>45744</v>
      </c>
      <c r="D1113" t="inlineStr">
        <is>
          <t>SKÅNE LÄN</t>
        </is>
      </c>
      <c r="E1113" t="inlineStr">
        <is>
          <t>ÖSTRA GÖINGE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16998-2020</t>
        </is>
      </c>
      <c r="B1114" s="1" t="n">
        <v>43913</v>
      </c>
      <c r="C1114" s="1" t="n">
        <v>45744</v>
      </c>
      <c r="D1114" t="inlineStr">
        <is>
          <t>SKÅNE LÄN</t>
        </is>
      </c>
      <c r="E1114" t="inlineStr">
        <is>
          <t>ÖSTRA GÖINGE</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15778-2020</t>
        </is>
      </c>
      <c r="B1115" s="1" t="n">
        <v>43915</v>
      </c>
      <c r="C1115" s="1" t="n">
        <v>45744</v>
      </c>
      <c r="D1115" t="inlineStr">
        <is>
          <t>SKÅNE LÄN</t>
        </is>
      </c>
      <c r="E1115" t="inlineStr">
        <is>
          <t>OSBY</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15678-2020</t>
        </is>
      </c>
      <c r="B1116" s="1" t="n">
        <v>43915</v>
      </c>
      <c r="C1116" s="1" t="n">
        <v>45744</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17290-2020</t>
        </is>
      </c>
      <c r="B1117" s="1" t="n">
        <v>43915</v>
      </c>
      <c r="C1117" s="1" t="n">
        <v>45744</v>
      </c>
      <c r="D1117" t="inlineStr">
        <is>
          <t>SKÅNE LÄN</t>
        </is>
      </c>
      <c r="E1117" t="inlineStr">
        <is>
          <t>KRISTIANSTAD</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15979-2020</t>
        </is>
      </c>
      <c r="B1118" s="1" t="n">
        <v>43916</v>
      </c>
      <c r="C1118" s="1" t="n">
        <v>45744</v>
      </c>
      <c r="D1118" t="inlineStr">
        <is>
          <t>SKÅNE LÄN</t>
        </is>
      </c>
      <c r="E1118" t="inlineStr">
        <is>
          <t>KLIPPAN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16036-2020</t>
        </is>
      </c>
      <c r="B1119" s="1" t="n">
        <v>43916</v>
      </c>
      <c r="C1119" s="1" t="n">
        <v>45744</v>
      </c>
      <c r="D1119" t="inlineStr">
        <is>
          <t>SKÅNE LÄN</t>
        </is>
      </c>
      <c r="E1119" t="inlineStr">
        <is>
          <t>SJÖBO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16252-2020</t>
        </is>
      </c>
      <c r="B1120" s="1" t="n">
        <v>43917</v>
      </c>
      <c r="C1120" s="1" t="n">
        <v>45744</v>
      </c>
      <c r="D1120" t="inlineStr">
        <is>
          <t>SKÅNE LÄN</t>
        </is>
      </c>
      <c r="E1120" t="inlineStr">
        <is>
          <t>KLIPPAN</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16172-2020</t>
        </is>
      </c>
      <c r="B1121" s="1" t="n">
        <v>43917</v>
      </c>
      <c r="C1121" s="1" t="n">
        <v>45744</v>
      </c>
      <c r="D1121" t="inlineStr">
        <is>
          <t>SKÅNE LÄN</t>
        </is>
      </c>
      <c r="E1121" t="inlineStr">
        <is>
          <t>HÖÖR</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16380-2020</t>
        </is>
      </c>
      <c r="B1122" s="1" t="n">
        <v>43917</v>
      </c>
      <c r="C1122" s="1" t="n">
        <v>45744</v>
      </c>
      <c r="D1122" t="inlineStr">
        <is>
          <t>SKÅNE LÄN</t>
        </is>
      </c>
      <c r="E1122" t="inlineStr">
        <is>
          <t>ÖSTRA GÖINGE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17421-2020</t>
        </is>
      </c>
      <c r="B1123" s="1" t="n">
        <v>43917</v>
      </c>
      <c r="C1123" s="1" t="n">
        <v>45744</v>
      </c>
      <c r="D1123" t="inlineStr">
        <is>
          <t>SKÅNE LÄN</t>
        </is>
      </c>
      <c r="E1123" t="inlineStr">
        <is>
          <t>HÄSSLEHOLM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16388-2020</t>
        </is>
      </c>
      <c r="B1124" s="1" t="n">
        <v>43917</v>
      </c>
      <c r="C1124" s="1" t="n">
        <v>45744</v>
      </c>
      <c r="D1124" t="inlineStr">
        <is>
          <t>SKÅNE LÄN</t>
        </is>
      </c>
      <c r="E1124" t="inlineStr">
        <is>
          <t>KRISTIANSTAD</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16638-2020</t>
        </is>
      </c>
      <c r="B1125" s="1" t="n">
        <v>43920</v>
      </c>
      <c r="C1125" s="1" t="n">
        <v>45744</v>
      </c>
      <c r="D1125" t="inlineStr">
        <is>
          <t>SKÅNE LÄN</t>
        </is>
      </c>
      <c r="E1125" t="inlineStr">
        <is>
          <t>HÖÖR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17120-2020</t>
        </is>
      </c>
      <c r="B1126" s="1" t="n">
        <v>43922</v>
      </c>
      <c r="C1126" s="1" t="n">
        <v>45744</v>
      </c>
      <c r="D1126" t="inlineStr">
        <is>
          <t>SKÅNE LÄN</t>
        </is>
      </c>
      <c r="E1126" t="inlineStr">
        <is>
          <t>ÖSTRA GÖINGE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17226-2020</t>
        </is>
      </c>
      <c r="B1127" s="1" t="n">
        <v>43922</v>
      </c>
      <c r="C1127" s="1" t="n">
        <v>45744</v>
      </c>
      <c r="D1127" t="inlineStr">
        <is>
          <t>SKÅNE LÄN</t>
        </is>
      </c>
      <c r="E1127" t="inlineStr">
        <is>
          <t>BROMÖLLA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17271-2020</t>
        </is>
      </c>
      <c r="B1128" s="1" t="n">
        <v>43922</v>
      </c>
      <c r="C1128" s="1" t="n">
        <v>45744</v>
      </c>
      <c r="D1128" t="inlineStr">
        <is>
          <t>SKÅNE LÄN</t>
        </is>
      </c>
      <c r="E1128" t="inlineStr">
        <is>
          <t>OSBY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17348-2020</t>
        </is>
      </c>
      <c r="B1129" s="1" t="n">
        <v>43923</v>
      </c>
      <c r="C1129" s="1" t="n">
        <v>45744</v>
      </c>
      <c r="D1129" t="inlineStr">
        <is>
          <t>SKÅNE LÄN</t>
        </is>
      </c>
      <c r="E1129" t="inlineStr">
        <is>
          <t>HÄSSLEHOLM</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17884-2020</t>
        </is>
      </c>
      <c r="B1130" s="1" t="n">
        <v>43923</v>
      </c>
      <c r="C1130" s="1" t="n">
        <v>45744</v>
      </c>
      <c r="D1130" t="inlineStr">
        <is>
          <t>SKÅNE LÄN</t>
        </is>
      </c>
      <c r="E1130" t="inlineStr">
        <is>
          <t>ÖSTRA GÖINGE</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17983-2020</t>
        </is>
      </c>
      <c r="B1131" s="1" t="n">
        <v>43926</v>
      </c>
      <c r="C1131" s="1" t="n">
        <v>45744</v>
      </c>
      <c r="D1131" t="inlineStr">
        <is>
          <t>SKÅNE LÄN</t>
        </is>
      </c>
      <c r="E1131" t="inlineStr">
        <is>
          <t>OSBY</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18198-2020</t>
        </is>
      </c>
      <c r="B1132" s="1" t="n">
        <v>43927</v>
      </c>
      <c r="C1132" s="1" t="n">
        <v>45744</v>
      </c>
      <c r="D1132" t="inlineStr">
        <is>
          <t>SKÅNE LÄN</t>
        </is>
      </c>
      <c r="E1132" t="inlineStr">
        <is>
          <t>BÅSTAD</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18406-2020</t>
        </is>
      </c>
      <c r="B1133" s="1" t="n">
        <v>43928</v>
      </c>
      <c r="C1133" s="1" t="n">
        <v>45744</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18642-2020</t>
        </is>
      </c>
      <c r="B1134" s="1" t="n">
        <v>43929</v>
      </c>
      <c r="C1134" s="1" t="n">
        <v>45744</v>
      </c>
      <c r="D1134" t="inlineStr">
        <is>
          <t>SKÅNE LÄN</t>
        </is>
      </c>
      <c r="E1134" t="inlineStr">
        <is>
          <t>SVEDALA</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18516-2020</t>
        </is>
      </c>
      <c r="B1135" s="1" t="n">
        <v>43929</v>
      </c>
      <c r="C1135" s="1" t="n">
        <v>45744</v>
      </c>
      <c r="D1135" t="inlineStr">
        <is>
          <t>SKÅNE LÄN</t>
        </is>
      </c>
      <c r="E1135" t="inlineStr">
        <is>
          <t>TOMELILLA</t>
        </is>
      </c>
      <c r="F1135" t="inlineStr">
        <is>
          <t>Övriga Aktiebolag</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18658-2020</t>
        </is>
      </c>
      <c r="B1136" s="1" t="n">
        <v>43930</v>
      </c>
      <c r="C1136" s="1" t="n">
        <v>45744</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18677-2020</t>
        </is>
      </c>
      <c r="B1137" s="1" t="n">
        <v>43930</v>
      </c>
      <c r="C1137" s="1" t="n">
        <v>45744</v>
      </c>
      <c r="D1137" t="inlineStr">
        <is>
          <t>SKÅNE LÄN</t>
        </is>
      </c>
      <c r="E1137" t="inlineStr">
        <is>
          <t>KRISTIANSTAD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18809-2020</t>
        </is>
      </c>
      <c r="B1138" s="1" t="n">
        <v>43934</v>
      </c>
      <c r="C1138" s="1" t="n">
        <v>45744</v>
      </c>
      <c r="D1138" t="inlineStr">
        <is>
          <t>SKÅNE LÄN</t>
        </is>
      </c>
      <c r="E1138" t="inlineStr">
        <is>
          <t>PERSTORP</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18838-2020</t>
        </is>
      </c>
      <c r="B1139" s="1" t="n">
        <v>43935</v>
      </c>
      <c r="C1139" s="1" t="n">
        <v>45744</v>
      </c>
      <c r="D1139" t="inlineStr">
        <is>
          <t>SKÅNE LÄN</t>
        </is>
      </c>
      <c r="E1139" t="inlineStr">
        <is>
          <t>OSBY</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18846-2020</t>
        </is>
      </c>
      <c r="B1140" s="1" t="n">
        <v>43935</v>
      </c>
      <c r="C1140" s="1" t="n">
        <v>45744</v>
      </c>
      <c r="D1140" t="inlineStr">
        <is>
          <t>SKÅNE LÄN</t>
        </is>
      </c>
      <c r="E1140" t="inlineStr">
        <is>
          <t>HÄSSLEHOLM</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18881-2020</t>
        </is>
      </c>
      <c r="B1141" s="1" t="n">
        <v>43935</v>
      </c>
      <c r="C1141" s="1" t="n">
        <v>45744</v>
      </c>
      <c r="D1141" t="inlineStr">
        <is>
          <t>SKÅNE LÄN</t>
        </is>
      </c>
      <c r="E1141" t="inlineStr">
        <is>
          <t>KRISTIANSTAD</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19126-2020</t>
        </is>
      </c>
      <c r="B1142" s="1" t="n">
        <v>43936</v>
      </c>
      <c r="C1142" s="1" t="n">
        <v>45744</v>
      </c>
      <c r="D1142" t="inlineStr">
        <is>
          <t>SKÅNE LÄN</t>
        </is>
      </c>
      <c r="E1142" t="inlineStr">
        <is>
          <t>ÖRKELLJUNGA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19614-2020</t>
        </is>
      </c>
      <c r="B1143" s="1" t="n">
        <v>43936</v>
      </c>
      <c r="C1143" s="1" t="n">
        <v>45744</v>
      </c>
      <c r="D1143" t="inlineStr">
        <is>
          <t>SKÅNE LÄN</t>
        </is>
      </c>
      <c r="E1143" t="inlineStr">
        <is>
          <t>SVALÖV</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19456-2020</t>
        </is>
      </c>
      <c r="B1144" s="1" t="n">
        <v>43938</v>
      </c>
      <c r="C1144" s="1" t="n">
        <v>45744</v>
      </c>
      <c r="D1144" t="inlineStr">
        <is>
          <t>SKÅNE LÄN</t>
        </is>
      </c>
      <c r="E1144" t="inlineStr">
        <is>
          <t>ÖSTRA GÖINGE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19795-2020</t>
        </is>
      </c>
      <c r="B1145" s="1" t="n">
        <v>43942</v>
      </c>
      <c r="C1145" s="1" t="n">
        <v>45744</v>
      </c>
      <c r="D1145" t="inlineStr">
        <is>
          <t>SKÅNE LÄN</t>
        </is>
      </c>
      <c r="E1145" t="inlineStr">
        <is>
          <t>KLIPPAN</t>
        </is>
      </c>
      <c r="F1145" t="inlineStr">
        <is>
          <t>Övriga Aktiebolag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19801-2020</t>
        </is>
      </c>
      <c r="B1146" s="1" t="n">
        <v>43942</v>
      </c>
      <c r="C1146" s="1" t="n">
        <v>45744</v>
      </c>
      <c r="D1146" t="inlineStr">
        <is>
          <t>SKÅNE LÄN</t>
        </is>
      </c>
      <c r="E1146" t="inlineStr">
        <is>
          <t>KLIPPAN</t>
        </is>
      </c>
      <c r="F1146" t="inlineStr">
        <is>
          <t>Övriga Aktiebolag</t>
        </is>
      </c>
      <c r="G1146" t="n">
        <v>12.2</v>
      </c>
      <c r="H1146" t="n">
        <v>0</v>
      </c>
      <c r="I1146" t="n">
        <v>0</v>
      </c>
      <c r="J1146" t="n">
        <v>0</v>
      </c>
      <c r="K1146" t="n">
        <v>0</v>
      </c>
      <c r="L1146" t="n">
        <v>0</v>
      </c>
      <c r="M1146" t="n">
        <v>0</v>
      </c>
      <c r="N1146" t="n">
        <v>0</v>
      </c>
      <c r="O1146" t="n">
        <v>0</v>
      </c>
      <c r="P1146" t="n">
        <v>0</v>
      </c>
      <c r="Q1146" t="n">
        <v>0</v>
      </c>
      <c r="R1146" s="2" t="inlineStr"/>
    </row>
    <row r="1147" ht="15" customHeight="1">
      <c r="A1147" t="inlineStr">
        <is>
          <t>A 20052-2020</t>
        </is>
      </c>
      <c r="B1147" s="1" t="n">
        <v>43942</v>
      </c>
      <c r="C1147" s="1" t="n">
        <v>45744</v>
      </c>
      <c r="D1147" t="inlineStr">
        <is>
          <t>SKÅNE LÄN</t>
        </is>
      </c>
      <c r="E1147" t="inlineStr">
        <is>
          <t>ÖRKELLJUNGA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19781-2020</t>
        </is>
      </c>
      <c r="B1148" s="1" t="n">
        <v>43942</v>
      </c>
      <c r="C1148" s="1" t="n">
        <v>45744</v>
      </c>
      <c r="D1148" t="inlineStr">
        <is>
          <t>SKÅNE LÄN</t>
        </is>
      </c>
      <c r="E1148" t="inlineStr">
        <is>
          <t>OSBY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20031-2020</t>
        </is>
      </c>
      <c r="B1149" s="1" t="n">
        <v>43943</v>
      </c>
      <c r="C1149" s="1" t="n">
        <v>45744</v>
      </c>
      <c r="D1149" t="inlineStr">
        <is>
          <t>SKÅNE LÄN</t>
        </is>
      </c>
      <c r="E1149" t="inlineStr">
        <is>
          <t>SVALÖV</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20271-2020</t>
        </is>
      </c>
      <c r="B1150" s="1" t="n">
        <v>43945</v>
      </c>
      <c r="C1150" s="1" t="n">
        <v>45744</v>
      </c>
      <c r="D1150" t="inlineStr">
        <is>
          <t>SKÅNE LÄN</t>
        </is>
      </c>
      <c r="E1150" t="inlineStr">
        <is>
          <t>KLIPPAN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20305-2020</t>
        </is>
      </c>
      <c r="B1151" s="1" t="n">
        <v>43945</v>
      </c>
      <c r="C1151" s="1" t="n">
        <v>45744</v>
      </c>
      <c r="D1151" t="inlineStr">
        <is>
          <t>SKÅNE LÄN</t>
        </is>
      </c>
      <c r="E1151" t="inlineStr">
        <is>
          <t>KLIPPAN</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20555-2020</t>
        </is>
      </c>
      <c r="B1152" s="1" t="n">
        <v>43948</v>
      </c>
      <c r="C1152" s="1" t="n">
        <v>45744</v>
      </c>
      <c r="D1152" t="inlineStr">
        <is>
          <t>SKÅNE LÄN</t>
        </is>
      </c>
      <c r="E1152" t="inlineStr">
        <is>
          <t>OSBY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20948-2020</t>
        </is>
      </c>
      <c r="B1153" s="1" t="n">
        <v>43949</v>
      </c>
      <c r="C1153" s="1" t="n">
        <v>45744</v>
      </c>
      <c r="D1153" t="inlineStr">
        <is>
          <t>SKÅNE LÄN</t>
        </is>
      </c>
      <c r="E1153" t="inlineStr">
        <is>
          <t>TOMELILLA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20715-2020</t>
        </is>
      </c>
      <c r="B1154" s="1" t="n">
        <v>43949</v>
      </c>
      <c r="C1154" s="1" t="n">
        <v>45744</v>
      </c>
      <c r="D1154" t="inlineStr">
        <is>
          <t>SKÅNE LÄN</t>
        </is>
      </c>
      <c r="E1154" t="inlineStr">
        <is>
          <t>OSBY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20799-2020</t>
        </is>
      </c>
      <c r="B1155" s="1" t="n">
        <v>43949</v>
      </c>
      <c r="C1155" s="1" t="n">
        <v>45744</v>
      </c>
      <c r="D1155" t="inlineStr">
        <is>
          <t>SKÅNE LÄN</t>
        </is>
      </c>
      <c r="E1155" t="inlineStr">
        <is>
          <t>HÄSSLEHOLM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20973-2020</t>
        </is>
      </c>
      <c r="B1156" s="1" t="n">
        <v>43950</v>
      </c>
      <c r="C1156" s="1" t="n">
        <v>45744</v>
      </c>
      <c r="D1156" t="inlineStr">
        <is>
          <t>SKÅNE LÄN</t>
        </is>
      </c>
      <c r="E1156" t="inlineStr">
        <is>
          <t>KLIPPAN</t>
        </is>
      </c>
      <c r="F1156" t="inlineStr">
        <is>
          <t>Övriga Aktiebolag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20967-2020</t>
        </is>
      </c>
      <c r="B1157" s="1" t="n">
        <v>43950</v>
      </c>
      <c r="C1157" s="1" t="n">
        <v>45744</v>
      </c>
      <c r="D1157" t="inlineStr">
        <is>
          <t>SKÅNE LÄN</t>
        </is>
      </c>
      <c r="E1157" t="inlineStr">
        <is>
          <t>HÄSSLEHOLM</t>
        </is>
      </c>
      <c r="F1157" t="inlineStr">
        <is>
          <t>Övriga Aktiebolag</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20977-2020</t>
        </is>
      </c>
      <c r="B1158" s="1" t="n">
        <v>43950</v>
      </c>
      <c r="C1158" s="1" t="n">
        <v>45744</v>
      </c>
      <c r="D1158" t="inlineStr">
        <is>
          <t>SKÅNE LÄN</t>
        </is>
      </c>
      <c r="E1158" t="inlineStr">
        <is>
          <t>HÄSSLEHOLM</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21011-2020</t>
        </is>
      </c>
      <c r="B1159" s="1" t="n">
        <v>43950</v>
      </c>
      <c r="C1159" s="1" t="n">
        <v>45744</v>
      </c>
      <c r="D1159" t="inlineStr">
        <is>
          <t>SKÅNE LÄN</t>
        </is>
      </c>
      <c r="E1159" t="inlineStr">
        <is>
          <t>OSBY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20993-2020</t>
        </is>
      </c>
      <c r="B1160" s="1" t="n">
        <v>43950</v>
      </c>
      <c r="C1160" s="1" t="n">
        <v>45744</v>
      </c>
      <c r="D1160" t="inlineStr">
        <is>
          <t>SKÅNE LÄN</t>
        </is>
      </c>
      <c r="E1160" t="inlineStr">
        <is>
          <t>HÄSSLEHOLM</t>
        </is>
      </c>
      <c r="F1160" t="inlineStr">
        <is>
          <t>Övriga Aktiebolag</t>
        </is>
      </c>
      <c r="G1160" t="n">
        <v>10.5</v>
      </c>
      <c r="H1160" t="n">
        <v>0</v>
      </c>
      <c r="I1160" t="n">
        <v>0</v>
      </c>
      <c r="J1160" t="n">
        <v>0</v>
      </c>
      <c r="K1160" t="n">
        <v>0</v>
      </c>
      <c r="L1160" t="n">
        <v>0</v>
      </c>
      <c r="M1160" t="n">
        <v>0</v>
      </c>
      <c r="N1160" t="n">
        <v>0</v>
      </c>
      <c r="O1160" t="n">
        <v>0</v>
      </c>
      <c r="P1160" t="n">
        <v>0</v>
      </c>
      <c r="Q1160" t="n">
        <v>0</v>
      </c>
      <c r="R1160" s="2" t="inlineStr"/>
    </row>
    <row r="1161" ht="15" customHeight="1">
      <c r="A1161" t="inlineStr">
        <is>
          <t>A 21263-2020</t>
        </is>
      </c>
      <c r="B1161" s="1" t="n">
        <v>43951</v>
      </c>
      <c r="C1161" s="1" t="n">
        <v>45744</v>
      </c>
      <c r="D1161" t="inlineStr">
        <is>
          <t>SKÅNE LÄN</t>
        </is>
      </c>
      <c r="E1161" t="inlineStr">
        <is>
          <t>HÄSSLEHOLM</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21318-2020</t>
        </is>
      </c>
      <c r="B1162" s="1" t="n">
        <v>43955</v>
      </c>
      <c r="C1162" s="1" t="n">
        <v>45744</v>
      </c>
      <c r="D1162" t="inlineStr">
        <is>
          <t>SKÅNE LÄN</t>
        </is>
      </c>
      <c r="E1162" t="inlineStr">
        <is>
          <t>ÖRKELLJUNGA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21356-2020</t>
        </is>
      </c>
      <c r="B1163" s="1" t="n">
        <v>43955</v>
      </c>
      <c r="C1163" s="1" t="n">
        <v>45744</v>
      </c>
      <c r="D1163" t="inlineStr">
        <is>
          <t>SKÅNE LÄN</t>
        </is>
      </c>
      <c r="E1163" t="inlineStr">
        <is>
          <t>KRISTIANSTAD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21396-2020</t>
        </is>
      </c>
      <c r="B1164" s="1" t="n">
        <v>43955</v>
      </c>
      <c r="C1164" s="1" t="n">
        <v>45744</v>
      </c>
      <c r="D1164" t="inlineStr">
        <is>
          <t>SKÅNE LÄN</t>
        </is>
      </c>
      <c r="E1164" t="inlineStr">
        <is>
          <t>ÖRKELLJUNGA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21286-2020</t>
        </is>
      </c>
      <c r="B1165" s="1" t="n">
        <v>43955</v>
      </c>
      <c r="C1165" s="1" t="n">
        <v>45744</v>
      </c>
      <c r="D1165" t="inlineStr">
        <is>
          <t>SKÅNE LÄN</t>
        </is>
      </c>
      <c r="E1165" t="inlineStr">
        <is>
          <t>ÖSTRA GÖINGE</t>
        </is>
      </c>
      <c r="F1165" t="inlineStr">
        <is>
          <t>Sveaskog</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21452-2020</t>
        </is>
      </c>
      <c r="B1166" s="1" t="n">
        <v>43955</v>
      </c>
      <c r="C1166" s="1" t="n">
        <v>45744</v>
      </c>
      <c r="D1166" t="inlineStr">
        <is>
          <t>SKÅNE LÄN</t>
        </is>
      </c>
      <c r="E1166" t="inlineStr">
        <is>
          <t>HÄSSLEHOLM</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21532-2020</t>
        </is>
      </c>
      <c r="B1167" s="1" t="n">
        <v>43955</v>
      </c>
      <c r="C1167" s="1" t="n">
        <v>45744</v>
      </c>
      <c r="D1167" t="inlineStr">
        <is>
          <t>SKÅNE LÄN</t>
        </is>
      </c>
      <c r="E1167" t="inlineStr">
        <is>
          <t>KLIPPAN</t>
        </is>
      </c>
      <c r="F1167" t="inlineStr">
        <is>
          <t>Övriga Aktiebolag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21522-2020</t>
        </is>
      </c>
      <c r="B1168" s="1" t="n">
        <v>43955</v>
      </c>
      <c r="C1168" s="1" t="n">
        <v>45744</v>
      </c>
      <c r="D1168" t="inlineStr">
        <is>
          <t>SKÅNE LÄN</t>
        </is>
      </c>
      <c r="E1168" t="inlineStr">
        <is>
          <t>HÄSSLEHOLM</t>
        </is>
      </c>
      <c r="F1168" t="inlineStr">
        <is>
          <t>Övriga Aktiebolag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21699-2020</t>
        </is>
      </c>
      <c r="B1169" s="1" t="n">
        <v>43957</v>
      </c>
      <c r="C1169" s="1" t="n">
        <v>45744</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21636-2020</t>
        </is>
      </c>
      <c r="B1170" s="1" t="n">
        <v>43957</v>
      </c>
      <c r="C1170" s="1" t="n">
        <v>45744</v>
      </c>
      <c r="D1170" t="inlineStr">
        <is>
          <t>SKÅNE LÄN</t>
        </is>
      </c>
      <c r="E1170" t="inlineStr">
        <is>
          <t>ESLÖV</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21776-2020</t>
        </is>
      </c>
      <c r="B1171" s="1" t="n">
        <v>43957</v>
      </c>
      <c r="C1171" s="1" t="n">
        <v>45744</v>
      </c>
      <c r="D1171" t="inlineStr">
        <is>
          <t>SKÅNE LÄN</t>
        </is>
      </c>
      <c r="E1171" t="inlineStr">
        <is>
          <t>OSBY</t>
        </is>
      </c>
      <c r="F1171" t="inlineStr">
        <is>
          <t>Naturvårdsverket</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21697-2020</t>
        </is>
      </c>
      <c r="B1172" s="1" t="n">
        <v>43957</v>
      </c>
      <c r="C1172" s="1" t="n">
        <v>45744</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21854-2020</t>
        </is>
      </c>
      <c r="B1173" s="1" t="n">
        <v>43957</v>
      </c>
      <c r="C1173" s="1" t="n">
        <v>45744</v>
      </c>
      <c r="D1173" t="inlineStr">
        <is>
          <t>SKÅNE LÄN</t>
        </is>
      </c>
      <c r="E1173" t="inlineStr">
        <is>
          <t>HÄSSLEHOLM</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22342-2020</t>
        </is>
      </c>
      <c r="B1174" s="1" t="n">
        <v>43957</v>
      </c>
      <c r="C1174" s="1" t="n">
        <v>45744</v>
      </c>
      <c r="D1174" t="inlineStr">
        <is>
          <t>SKÅNE LÄN</t>
        </is>
      </c>
      <c r="E1174" t="inlineStr">
        <is>
          <t>KLIPPAN</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22340-2020</t>
        </is>
      </c>
      <c r="B1175" s="1" t="n">
        <v>43957</v>
      </c>
      <c r="C1175" s="1" t="n">
        <v>45744</v>
      </c>
      <c r="D1175" t="inlineStr">
        <is>
          <t>SKÅNE LÄN</t>
        </is>
      </c>
      <c r="E1175" t="inlineStr">
        <is>
          <t>KLIPPAN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22543-2020</t>
        </is>
      </c>
      <c r="B1176" s="1" t="n">
        <v>43959</v>
      </c>
      <c r="C1176" s="1" t="n">
        <v>45744</v>
      </c>
      <c r="D1176" t="inlineStr">
        <is>
          <t>SKÅNE LÄN</t>
        </is>
      </c>
      <c r="E1176" t="inlineStr">
        <is>
          <t>KLIPPAN</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22312-2020</t>
        </is>
      </c>
      <c r="B1177" s="1" t="n">
        <v>43962</v>
      </c>
      <c r="C1177" s="1" t="n">
        <v>45744</v>
      </c>
      <c r="D1177" t="inlineStr">
        <is>
          <t>SKÅNE LÄN</t>
        </is>
      </c>
      <c r="E1177" t="inlineStr">
        <is>
          <t>ÖRKELLJUNGA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22790-2020</t>
        </is>
      </c>
      <c r="B1178" s="1" t="n">
        <v>43962</v>
      </c>
      <c r="C1178" s="1" t="n">
        <v>45744</v>
      </c>
      <c r="D1178" t="inlineStr">
        <is>
          <t>SKÅNE LÄN</t>
        </is>
      </c>
      <c r="E1178" t="inlineStr">
        <is>
          <t>SJÖBO</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22732-2020</t>
        </is>
      </c>
      <c r="B1179" s="1" t="n">
        <v>43963</v>
      </c>
      <c r="C1179" s="1" t="n">
        <v>45744</v>
      </c>
      <c r="D1179" t="inlineStr">
        <is>
          <t>SKÅNE LÄN</t>
        </is>
      </c>
      <c r="E1179" t="inlineStr">
        <is>
          <t>SIMRISHAMN</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22870-2020</t>
        </is>
      </c>
      <c r="B1180" s="1" t="n">
        <v>43964</v>
      </c>
      <c r="C1180" s="1" t="n">
        <v>45744</v>
      </c>
      <c r="D1180" t="inlineStr">
        <is>
          <t>SKÅNE LÄN</t>
        </is>
      </c>
      <c r="E1180" t="inlineStr">
        <is>
          <t>ÖRKELLJUNGA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23043-2020</t>
        </is>
      </c>
      <c r="B1181" s="1" t="n">
        <v>43965</v>
      </c>
      <c r="C1181" s="1" t="n">
        <v>45744</v>
      </c>
      <c r="D1181" t="inlineStr">
        <is>
          <t>SKÅNE LÄN</t>
        </is>
      </c>
      <c r="E1181" t="inlineStr">
        <is>
          <t>ÖRKELLJUNGA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23228-2020</t>
        </is>
      </c>
      <c r="B1182" s="1" t="n">
        <v>43966</v>
      </c>
      <c r="C1182" s="1" t="n">
        <v>45744</v>
      </c>
      <c r="D1182" t="inlineStr">
        <is>
          <t>SKÅNE LÄN</t>
        </is>
      </c>
      <c r="E1182" t="inlineStr">
        <is>
          <t>SJÖBO</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23235-2020</t>
        </is>
      </c>
      <c r="B1183" s="1" t="n">
        <v>43966</v>
      </c>
      <c r="C1183" s="1" t="n">
        <v>45744</v>
      </c>
      <c r="D1183" t="inlineStr">
        <is>
          <t>SKÅNE LÄN</t>
        </is>
      </c>
      <c r="E1183" t="inlineStr">
        <is>
          <t>HÄSSLEHOLM</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23264-2020</t>
        </is>
      </c>
      <c r="B1184" s="1" t="n">
        <v>43966</v>
      </c>
      <c r="C1184" s="1" t="n">
        <v>45744</v>
      </c>
      <c r="D1184" t="inlineStr">
        <is>
          <t>SKÅNE LÄN</t>
        </is>
      </c>
      <c r="E1184" t="inlineStr">
        <is>
          <t>ÖSTRA GÖINGE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23266-2020</t>
        </is>
      </c>
      <c r="B1185" s="1" t="n">
        <v>43966</v>
      </c>
      <c r="C1185" s="1" t="n">
        <v>45744</v>
      </c>
      <c r="D1185" t="inlineStr">
        <is>
          <t>SKÅNE LÄN</t>
        </is>
      </c>
      <c r="E1185" t="inlineStr">
        <is>
          <t>ÖSTRA GÖINGE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23238-2020</t>
        </is>
      </c>
      <c r="B1186" s="1" t="n">
        <v>43966</v>
      </c>
      <c r="C1186" s="1" t="n">
        <v>45744</v>
      </c>
      <c r="D1186" t="inlineStr">
        <is>
          <t>SKÅNE LÄN</t>
        </is>
      </c>
      <c r="E1186" t="inlineStr">
        <is>
          <t>OSBY</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23319-2020</t>
        </is>
      </c>
      <c r="B1187" s="1" t="n">
        <v>43966</v>
      </c>
      <c r="C1187" s="1" t="n">
        <v>45744</v>
      </c>
      <c r="D1187" t="inlineStr">
        <is>
          <t>SKÅNE LÄN</t>
        </is>
      </c>
      <c r="E1187" t="inlineStr">
        <is>
          <t>ÖSTRA GÖINGE</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23405-2020</t>
        </is>
      </c>
      <c r="B1188" s="1" t="n">
        <v>43968</v>
      </c>
      <c r="C1188" s="1" t="n">
        <v>45744</v>
      </c>
      <c r="D1188" t="inlineStr">
        <is>
          <t>SKÅNE LÄN</t>
        </is>
      </c>
      <c r="E1188" t="inlineStr">
        <is>
          <t>ÖSTRA GÖINGE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23478-2020</t>
        </is>
      </c>
      <c r="B1189" s="1" t="n">
        <v>43969</v>
      </c>
      <c r="C1189" s="1" t="n">
        <v>45744</v>
      </c>
      <c r="D1189" t="inlineStr">
        <is>
          <t>SKÅNE LÄN</t>
        </is>
      </c>
      <c r="E1189" t="inlineStr">
        <is>
          <t>ESLÖV</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23513-2020</t>
        </is>
      </c>
      <c r="B1190" s="1" t="n">
        <v>43969</v>
      </c>
      <c r="C1190" s="1" t="n">
        <v>45744</v>
      </c>
      <c r="D1190" t="inlineStr">
        <is>
          <t>SKÅNE LÄN</t>
        </is>
      </c>
      <c r="E1190" t="inlineStr">
        <is>
          <t>TOMELILLA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23476-2020</t>
        </is>
      </c>
      <c r="B1191" s="1" t="n">
        <v>43969</v>
      </c>
      <c r="C1191" s="1" t="n">
        <v>45744</v>
      </c>
      <c r="D1191" t="inlineStr">
        <is>
          <t>SKÅNE LÄN</t>
        </is>
      </c>
      <c r="E1191" t="inlineStr">
        <is>
          <t>ESLÖV</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23536-2020</t>
        </is>
      </c>
      <c r="B1192" s="1" t="n">
        <v>43969</v>
      </c>
      <c r="C1192" s="1" t="n">
        <v>45744</v>
      </c>
      <c r="D1192" t="inlineStr">
        <is>
          <t>SKÅNE LÄN</t>
        </is>
      </c>
      <c r="E1192" t="inlineStr">
        <is>
          <t>HÖÖR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23715-2020</t>
        </is>
      </c>
      <c r="B1193" s="1" t="n">
        <v>43970</v>
      </c>
      <c r="C1193" s="1" t="n">
        <v>45744</v>
      </c>
      <c r="D1193" t="inlineStr">
        <is>
          <t>SKÅNE LÄN</t>
        </is>
      </c>
      <c r="E1193" t="inlineStr">
        <is>
          <t>SKURUP</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23714-2020</t>
        </is>
      </c>
      <c r="B1194" s="1" t="n">
        <v>43970</v>
      </c>
      <c r="C1194" s="1" t="n">
        <v>45744</v>
      </c>
      <c r="D1194" t="inlineStr">
        <is>
          <t>SKÅNE LÄN</t>
        </is>
      </c>
      <c r="E1194" t="inlineStr">
        <is>
          <t>ÄNGELHOLM</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23707-2020</t>
        </is>
      </c>
      <c r="B1195" s="1" t="n">
        <v>43970</v>
      </c>
      <c r="C1195" s="1" t="n">
        <v>45744</v>
      </c>
      <c r="D1195" t="inlineStr">
        <is>
          <t>SKÅNE LÄN</t>
        </is>
      </c>
      <c r="E1195" t="inlineStr">
        <is>
          <t>SKURUP</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24227-2020</t>
        </is>
      </c>
      <c r="B1196" s="1" t="n">
        <v>43970</v>
      </c>
      <c r="C1196" s="1" t="n">
        <v>45744</v>
      </c>
      <c r="D1196" t="inlineStr">
        <is>
          <t>SKÅNE LÄN</t>
        </is>
      </c>
      <c r="E1196" t="inlineStr">
        <is>
          <t>HÄSSLEHOLM</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23787-2020</t>
        </is>
      </c>
      <c r="B1197" s="1" t="n">
        <v>43970</v>
      </c>
      <c r="C1197" s="1" t="n">
        <v>45744</v>
      </c>
      <c r="D1197" t="inlineStr">
        <is>
          <t>SKÅNE LÄN</t>
        </is>
      </c>
      <c r="E1197" t="inlineStr">
        <is>
          <t>ÖRKELLJUNGA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24233-2020</t>
        </is>
      </c>
      <c r="B1198" s="1" t="n">
        <v>43970</v>
      </c>
      <c r="C1198" s="1" t="n">
        <v>45744</v>
      </c>
      <c r="D1198" t="inlineStr">
        <is>
          <t>SKÅNE LÄN</t>
        </is>
      </c>
      <c r="E1198" t="inlineStr">
        <is>
          <t>HÄSSLEHOLM</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24115-2020</t>
        </is>
      </c>
      <c r="B1199" s="1" t="n">
        <v>43973</v>
      </c>
      <c r="C1199" s="1" t="n">
        <v>45744</v>
      </c>
      <c r="D1199" t="inlineStr">
        <is>
          <t>SKÅNE LÄN</t>
        </is>
      </c>
      <c r="E1199" t="inlineStr">
        <is>
          <t>HÄSSLEHOLM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24299-2020</t>
        </is>
      </c>
      <c r="B1200" s="1" t="n">
        <v>43976</v>
      </c>
      <c r="C1200" s="1" t="n">
        <v>45744</v>
      </c>
      <c r="D1200" t="inlineStr">
        <is>
          <t>SKÅNE LÄN</t>
        </is>
      </c>
      <c r="E1200" t="inlineStr">
        <is>
          <t>OSBY</t>
        </is>
      </c>
      <c r="F1200" t="inlineStr">
        <is>
          <t>Kyrkan</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24332-2020</t>
        </is>
      </c>
      <c r="B1201" s="1" t="n">
        <v>43976</v>
      </c>
      <c r="C1201" s="1" t="n">
        <v>45744</v>
      </c>
      <c r="D1201" t="inlineStr">
        <is>
          <t>SKÅNE LÄN</t>
        </is>
      </c>
      <c r="E1201" t="inlineStr">
        <is>
          <t>OSBY</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24344-2020</t>
        </is>
      </c>
      <c r="B1202" s="1" t="n">
        <v>43976</v>
      </c>
      <c r="C1202" s="1" t="n">
        <v>45744</v>
      </c>
      <c r="D1202" t="inlineStr">
        <is>
          <t>SKÅNE LÄN</t>
        </is>
      </c>
      <c r="E1202" t="inlineStr">
        <is>
          <t>OSBY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24297-2020</t>
        </is>
      </c>
      <c r="B1203" s="1" t="n">
        <v>43976</v>
      </c>
      <c r="C1203" s="1" t="n">
        <v>45744</v>
      </c>
      <c r="D1203" t="inlineStr">
        <is>
          <t>SKÅNE LÄN</t>
        </is>
      </c>
      <c r="E1203" t="inlineStr">
        <is>
          <t>OSBY</t>
        </is>
      </c>
      <c r="F1203" t="inlineStr">
        <is>
          <t>Kyrkan</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24450-2020</t>
        </is>
      </c>
      <c r="B1204" s="1" t="n">
        <v>43976</v>
      </c>
      <c r="C1204" s="1" t="n">
        <v>45744</v>
      </c>
      <c r="D1204" t="inlineStr">
        <is>
          <t>SKÅNE LÄN</t>
        </is>
      </c>
      <c r="E1204" t="inlineStr">
        <is>
          <t>OSBY</t>
        </is>
      </c>
      <c r="F1204" t="inlineStr">
        <is>
          <t>Naturvårdsverket</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24486-2020</t>
        </is>
      </c>
      <c r="B1205" s="1" t="n">
        <v>43976</v>
      </c>
      <c r="C1205" s="1" t="n">
        <v>45744</v>
      </c>
      <c r="D1205" t="inlineStr">
        <is>
          <t>SKÅNE LÄN</t>
        </is>
      </c>
      <c r="E1205" t="inlineStr">
        <is>
          <t>OSBY</t>
        </is>
      </c>
      <c r="F1205" t="inlineStr">
        <is>
          <t>Naturvårdsverket</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24612-2020</t>
        </is>
      </c>
      <c r="B1206" s="1" t="n">
        <v>43977</v>
      </c>
      <c r="C1206" s="1" t="n">
        <v>45744</v>
      </c>
      <c r="D1206" t="inlineStr">
        <is>
          <t>SKÅNE LÄN</t>
        </is>
      </c>
      <c r="E1206" t="inlineStr">
        <is>
          <t>SKURUP</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24628-2020</t>
        </is>
      </c>
      <c r="B1207" s="1" t="n">
        <v>43977</v>
      </c>
      <c r="C1207" s="1" t="n">
        <v>45744</v>
      </c>
      <c r="D1207" t="inlineStr">
        <is>
          <t>SKÅNE LÄN</t>
        </is>
      </c>
      <c r="E1207" t="inlineStr">
        <is>
          <t>HÖÖR</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24614-2020</t>
        </is>
      </c>
      <c r="B1208" s="1" t="n">
        <v>43977</v>
      </c>
      <c r="C1208" s="1" t="n">
        <v>45744</v>
      </c>
      <c r="D1208" t="inlineStr">
        <is>
          <t>SKÅNE LÄN</t>
        </is>
      </c>
      <c r="E1208" t="inlineStr">
        <is>
          <t>SKURUP</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24659-2020</t>
        </is>
      </c>
      <c r="B1209" s="1" t="n">
        <v>43977</v>
      </c>
      <c r="C1209" s="1" t="n">
        <v>45744</v>
      </c>
      <c r="D1209" t="inlineStr">
        <is>
          <t>SKÅNE LÄN</t>
        </is>
      </c>
      <c r="E1209" t="inlineStr">
        <is>
          <t>KRISTIANSTAD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24669-2020</t>
        </is>
      </c>
      <c r="B1210" s="1" t="n">
        <v>43977</v>
      </c>
      <c r="C1210" s="1" t="n">
        <v>45744</v>
      </c>
      <c r="D1210" t="inlineStr">
        <is>
          <t>SKÅNE LÄN</t>
        </is>
      </c>
      <c r="E1210" t="inlineStr">
        <is>
          <t>HÄSSLEHOLM</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24667-2020</t>
        </is>
      </c>
      <c r="B1211" s="1" t="n">
        <v>43977</v>
      </c>
      <c r="C1211" s="1" t="n">
        <v>45744</v>
      </c>
      <c r="D1211" t="inlineStr">
        <is>
          <t>SKÅNE LÄN</t>
        </is>
      </c>
      <c r="E1211" t="inlineStr">
        <is>
          <t>KRISTIANSTAD</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24668-2020</t>
        </is>
      </c>
      <c r="B1212" s="1" t="n">
        <v>43977</v>
      </c>
      <c r="C1212" s="1" t="n">
        <v>45744</v>
      </c>
      <c r="D1212" t="inlineStr">
        <is>
          <t>SKÅNE LÄN</t>
        </is>
      </c>
      <c r="E1212" t="inlineStr">
        <is>
          <t>HÄSSLEHOLM</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25171-2020</t>
        </is>
      </c>
      <c r="B1213" s="1" t="n">
        <v>43978</v>
      </c>
      <c r="C1213" s="1" t="n">
        <v>45744</v>
      </c>
      <c r="D1213" t="inlineStr">
        <is>
          <t>SKÅNE LÄN</t>
        </is>
      </c>
      <c r="E1213" t="inlineStr">
        <is>
          <t>TOMELILLA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24991-2020</t>
        </is>
      </c>
      <c r="B1214" s="1" t="n">
        <v>43978</v>
      </c>
      <c r="C1214" s="1" t="n">
        <v>45744</v>
      </c>
      <c r="D1214" t="inlineStr">
        <is>
          <t>SKÅNE LÄN</t>
        </is>
      </c>
      <c r="E1214" t="inlineStr">
        <is>
          <t>TOMELILLA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24916-2020</t>
        </is>
      </c>
      <c r="B1215" s="1" t="n">
        <v>43979</v>
      </c>
      <c r="C1215" s="1" t="n">
        <v>45744</v>
      </c>
      <c r="D1215" t="inlineStr">
        <is>
          <t>SKÅNE LÄN</t>
        </is>
      </c>
      <c r="E1215" t="inlineStr">
        <is>
          <t>ÖSTRA GÖINGE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25071-2020</t>
        </is>
      </c>
      <c r="B1216" s="1" t="n">
        <v>43979</v>
      </c>
      <c r="C1216" s="1" t="n">
        <v>45744</v>
      </c>
      <c r="D1216" t="inlineStr">
        <is>
          <t>SKÅNE LÄN</t>
        </is>
      </c>
      <c r="E1216" t="inlineStr">
        <is>
          <t>HÄSSLEHOLM</t>
        </is>
      </c>
      <c r="F1216" t="inlineStr">
        <is>
          <t>Övriga Aktiebolag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24928-2020</t>
        </is>
      </c>
      <c r="B1217" s="1" t="n">
        <v>43979</v>
      </c>
      <c r="C1217" s="1" t="n">
        <v>45744</v>
      </c>
      <c r="D1217" t="inlineStr">
        <is>
          <t>SKÅNE LÄN</t>
        </is>
      </c>
      <c r="E1217" t="inlineStr">
        <is>
          <t>OSBY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25301-2020</t>
        </is>
      </c>
      <c r="B1218" s="1" t="n">
        <v>43979</v>
      </c>
      <c r="C1218" s="1" t="n">
        <v>45744</v>
      </c>
      <c r="D1218" t="inlineStr">
        <is>
          <t>SKÅNE LÄN</t>
        </is>
      </c>
      <c r="E1218" t="inlineStr">
        <is>
          <t>SVALÖV</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25292-2020</t>
        </is>
      </c>
      <c r="B1219" s="1" t="n">
        <v>43979</v>
      </c>
      <c r="C1219" s="1" t="n">
        <v>45744</v>
      </c>
      <c r="D1219" t="inlineStr">
        <is>
          <t>SKÅNE LÄN</t>
        </is>
      </c>
      <c r="E1219" t="inlineStr">
        <is>
          <t>ESLÖV</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25362-2020</t>
        </is>
      </c>
      <c r="B1220" s="1" t="n">
        <v>43980</v>
      </c>
      <c r="C1220" s="1" t="n">
        <v>45744</v>
      </c>
      <c r="D1220" t="inlineStr">
        <is>
          <t>SKÅNE LÄN</t>
        </is>
      </c>
      <c r="E1220" t="inlineStr">
        <is>
          <t>TRELLEBORG</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25567-2020</t>
        </is>
      </c>
      <c r="B1221" s="1" t="n">
        <v>43983</v>
      </c>
      <c r="C1221" s="1" t="n">
        <v>45744</v>
      </c>
      <c r="D1221" t="inlineStr">
        <is>
          <t>SKÅNE LÄN</t>
        </is>
      </c>
      <c r="E1221" t="inlineStr">
        <is>
          <t>ÖSTRA GÖINGE</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25519-2020</t>
        </is>
      </c>
      <c r="B1222" s="1" t="n">
        <v>43983</v>
      </c>
      <c r="C1222" s="1" t="n">
        <v>45744</v>
      </c>
      <c r="D1222" t="inlineStr">
        <is>
          <t>SKÅNE LÄN</t>
        </is>
      </c>
      <c r="E1222" t="inlineStr">
        <is>
          <t>HÄSSLEHOLM</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25599-2020</t>
        </is>
      </c>
      <c r="B1223" s="1" t="n">
        <v>43983</v>
      </c>
      <c r="C1223" s="1" t="n">
        <v>45744</v>
      </c>
      <c r="D1223" t="inlineStr">
        <is>
          <t>SKÅNE LÄN</t>
        </is>
      </c>
      <c r="E1223" t="inlineStr">
        <is>
          <t>KLIPPAN</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25633-2020</t>
        </is>
      </c>
      <c r="B1224" s="1" t="n">
        <v>43983</v>
      </c>
      <c r="C1224" s="1" t="n">
        <v>45744</v>
      </c>
      <c r="D1224" t="inlineStr">
        <is>
          <t>SKÅNE LÄN</t>
        </is>
      </c>
      <c r="E1224" t="inlineStr">
        <is>
          <t>PERSTORP</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25723-2020</t>
        </is>
      </c>
      <c r="B1225" s="1" t="n">
        <v>43984</v>
      </c>
      <c r="C1225" s="1" t="n">
        <v>45744</v>
      </c>
      <c r="D1225" t="inlineStr">
        <is>
          <t>SKÅNE LÄN</t>
        </is>
      </c>
      <c r="E1225" t="inlineStr">
        <is>
          <t>ÄNGELHOLM</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25876-2020</t>
        </is>
      </c>
      <c r="B1226" s="1" t="n">
        <v>43984</v>
      </c>
      <c r="C1226" s="1" t="n">
        <v>45744</v>
      </c>
      <c r="D1226" t="inlineStr">
        <is>
          <t>SKÅNE LÄN</t>
        </is>
      </c>
      <c r="E1226" t="inlineStr">
        <is>
          <t>BROMÖLLA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25893-2020</t>
        </is>
      </c>
      <c r="B1227" s="1" t="n">
        <v>43984</v>
      </c>
      <c r="C1227" s="1" t="n">
        <v>45744</v>
      </c>
      <c r="D1227" t="inlineStr">
        <is>
          <t>SKÅNE LÄN</t>
        </is>
      </c>
      <c r="E1227" t="inlineStr">
        <is>
          <t>KRISTIANSTAD</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25692-2020</t>
        </is>
      </c>
      <c r="B1228" s="1" t="n">
        <v>43984</v>
      </c>
      <c r="C1228" s="1" t="n">
        <v>45744</v>
      </c>
      <c r="D1228" t="inlineStr">
        <is>
          <t>SKÅNE LÄN</t>
        </is>
      </c>
      <c r="E1228" t="inlineStr">
        <is>
          <t>BROMÖLLA</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25794-2020</t>
        </is>
      </c>
      <c r="B1229" s="1" t="n">
        <v>43984</v>
      </c>
      <c r="C1229" s="1" t="n">
        <v>45744</v>
      </c>
      <c r="D1229" t="inlineStr">
        <is>
          <t>SKÅNE LÄN</t>
        </is>
      </c>
      <c r="E1229" t="inlineStr">
        <is>
          <t>ÖSTRA GÖINGE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25808-2020</t>
        </is>
      </c>
      <c r="B1230" s="1" t="n">
        <v>43984</v>
      </c>
      <c r="C1230" s="1" t="n">
        <v>45744</v>
      </c>
      <c r="D1230" t="inlineStr">
        <is>
          <t>SKÅNE LÄN</t>
        </is>
      </c>
      <c r="E1230" t="inlineStr">
        <is>
          <t>ÖSTRA GÖINGE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25849-2020</t>
        </is>
      </c>
      <c r="B1231" s="1" t="n">
        <v>43984</v>
      </c>
      <c r="C1231" s="1" t="n">
        <v>45744</v>
      </c>
      <c r="D1231" t="inlineStr">
        <is>
          <t>SKÅNE LÄN</t>
        </is>
      </c>
      <c r="E1231" t="inlineStr">
        <is>
          <t>OSBY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26020-2020</t>
        </is>
      </c>
      <c r="B1232" s="1" t="n">
        <v>43985</v>
      </c>
      <c r="C1232" s="1" t="n">
        <v>45744</v>
      </c>
      <c r="D1232" t="inlineStr">
        <is>
          <t>SKÅNE LÄN</t>
        </is>
      </c>
      <c r="E1232" t="inlineStr">
        <is>
          <t>HÄSSLEHOLM</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26147-2020</t>
        </is>
      </c>
      <c r="B1233" s="1" t="n">
        <v>43985</v>
      </c>
      <c r="C1233" s="1" t="n">
        <v>45744</v>
      </c>
      <c r="D1233" t="inlineStr">
        <is>
          <t>SKÅNE LÄN</t>
        </is>
      </c>
      <c r="E1233" t="inlineStr">
        <is>
          <t>HÄSSLEHOLM</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26019-2020</t>
        </is>
      </c>
      <c r="B1234" s="1" t="n">
        <v>43985</v>
      </c>
      <c r="C1234" s="1" t="n">
        <v>45744</v>
      </c>
      <c r="D1234" t="inlineStr">
        <is>
          <t>SKÅNE LÄN</t>
        </is>
      </c>
      <c r="E1234" t="inlineStr">
        <is>
          <t>HÄSSLEHOLM</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26112-2020</t>
        </is>
      </c>
      <c r="B1235" s="1" t="n">
        <v>43985</v>
      </c>
      <c r="C1235" s="1" t="n">
        <v>45744</v>
      </c>
      <c r="D1235" t="inlineStr">
        <is>
          <t>SKÅNE LÄN</t>
        </is>
      </c>
      <c r="E1235" t="inlineStr">
        <is>
          <t>ÖSTRA GÖINGE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26160-2020</t>
        </is>
      </c>
      <c r="B1236" s="1" t="n">
        <v>43985</v>
      </c>
      <c r="C1236" s="1" t="n">
        <v>45744</v>
      </c>
      <c r="D1236" t="inlineStr">
        <is>
          <t>SKÅNE LÄN</t>
        </is>
      </c>
      <c r="E1236" t="inlineStr">
        <is>
          <t>KLIPPAN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25983-2020</t>
        </is>
      </c>
      <c r="B1237" s="1" t="n">
        <v>43985</v>
      </c>
      <c r="C1237" s="1" t="n">
        <v>45744</v>
      </c>
      <c r="D1237" t="inlineStr">
        <is>
          <t>SKÅNE LÄN</t>
        </is>
      </c>
      <c r="E1237" t="inlineStr">
        <is>
          <t>OSBY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26363-2020</t>
        </is>
      </c>
      <c r="B1238" s="1" t="n">
        <v>43986</v>
      </c>
      <c r="C1238" s="1" t="n">
        <v>45744</v>
      </c>
      <c r="D1238" t="inlineStr">
        <is>
          <t>SKÅNE LÄN</t>
        </is>
      </c>
      <c r="E1238" t="inlineStr">
        <is>
          <t>KLIPPAN</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26338-2020</t>
        </is>
      </c>
      <c r="B1239" s="1" t="n">
        <v>43986</v>
      </c>
      <c r="C1239" s="1" t="n">
        <v>45744</v>
      </c>
      <c r="D1239" t="inlineStr">
        <is>
          <t>SKÅNE LÄN</t>
        </is>
      </c>
      <c r="E1239" t="inlineStr">
        <is>
          <t>OSBY</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26267-2020</t>
        </is>
      </c>
      <c r="B1240" s="1" t="n">
        <v>43986</v>
      </c>
      <c r="C1240" s="1" t="n">
        <v>45744</v>
      </c>
      <c r="D1240" t="inlineStr">
        <is>
          <t>SKÅNE LÄN</t>
        </is>
      </c>
      <c r="E1240" t="inlineStr">
        <is>
          <t>SKURUP</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26335-2020</t>
        </is>
      </c>
      <c r="B1241" s="1" t="n">
        <v>43986</v>
      </c>
      <c r="C1241" s="1" t="n">
        <v>45744</v>
      </c>
      <c r="D1241" t="inlineStr">
        <is>
          <t>SKÅNE LÄN</t>
        </is>
      </c>
      <c r="E1241" t="inlineStr">
        <is>
          <t>OSBY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26451-2020</t>
        </is>
      </c>
      <c r="B1242" s="1" t="n">
        <v>43987</v>
      </c>
      <c r="C1242" s="1" t="n">
        <v>45744</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26598-2020</t>
        </is>
      </c>
      <c r="B1243" s="1" t="n">
        <v>43987</v>
      </c>
      <c r="C1243" s="1" t="n">
        <v>45744</v>
      </c>
      <c r="D1243" t="inlineStr">
        <is>
          <t>SKÅNE LÄN</t>
        </is>
      </c>
      <c r="E1243" t="inlineStr">
        <is>
          <t>ÖSTRA GÖINGE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26524-2020</t>
        </is>
      </c>
      <c r="B1244" s="1" t="n">
        <v>43987</v>
      </c>
      <c r="C1244" s="1" t="n">
        <v>45744</v>
      </c>
      <c r="D1244" t="inlineStr">
        <is>
          <t>SKÅNE LÄN</t>
        </is>
      </c>
      <c r="E1244" t="inlineStr">
        <is>
          <t>ÖSTRA GÖINGE</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26679-2020</t>
        </is>
      </c>
      <c r="B1245" s="1" t="n">
        <v>43989</v>
      </c>
      <c r="C1245" s="1" t="n">
        <v>45744</v>
      </c>
      <c r="D1245" t="inlineStr">
        <is>
          <t>SKÅNE LÄN</t>
        </is>
      </c>
      <c r="E1245" t="inlineStr">
        <is>
          <t>KLIPPAN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26884-2020</t>
        </is>
      </c>
      <c r="B1246" s="1" t="n">
        <v>43990</v>
      </c>
      <c r="C1246" s="1" t="n">
        <v>45744</v>
      </c>
      <c r="D1246" t="inlineStr">
        <is>
          <t>SKÅNE LÄN</t>
        </is>
      </c>
      <c r="E1246" t="inlineStr">
        <is>
          <t>PERSTORP</t>
        </is>
      </c>
      <c r="F1246" t="inlineStr">
        <is>
          <t>Övriga Aktiebolag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26936-2020</t>
        </is>
      </c>
      <c r="B1247" s="1" t="n">
        <v>43990</v>
      </c>
      <c r="C1247" s="1" t="n">
        <v>45744</v>
      </c>
      <c r="D1247" t="inlineStr">
        <is>
          <t>SKÅNE LÄN</t>
        </is>
      </c>
      <c r="E1247" t="inlineStr">
        <is>
          <t>ÖSTRA GÖINGE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26942-2020</t>
        </is>
      </c>
      <c r="B1248" s="1" t="n">
        <v>43990</v>
      </c>
      <c r="C1248" s="1" t="n">
        <v>45744</v>
      </c>
      <c r="D1248" t="inlineStr">
        <is>
          <t>SKÅNE LÄN</t>
        </is>
      </c>
      <c r="E1248" t="inlineStr">
        <is>
          <t>ÖSTRA GÖINGE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26991-2020</t>
        </is>
      </c>
      <c r="B1249" s="1" t="n">
        <v>43991</v>
      </c>
      <c r="C1249" s="1" t="n">
        <v>45744</v>
      </c>
      <c r="D1249" t="inlineStr">
        <is>
          <t>SKÅNE LÄN</t>
        </is>
      </c>
      <c r="E1249" t="inlineStr">
        <is>
          <t>KRISTIANSTAD</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27243-2020</t>
        </is>
      </c>
      <c r="B1250" s="1" t="n">
        <v>43992</v>
      </c>
      <c r="C1250" s="1" t="n">
        <v>45744</v>
      </c>
      <c r="D1250" t="inlineStr">
        <is>
          <t>SKÅNE LÄN</t>
        </is>
      </c>
      <c r="E1250" t="inlineStr">
        <is>
          <t>HÄSSLEHOLM</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27453-2020</t>
        </is>
      </c>
      <c r="B1251" s="1" t="n">
        <v>43993</v>
      </c>
      <c r="C1251" s="1" t="n">
        <v>45744</v>
      </c>
      <c r="D1251" t="inlineStr">
        <is>
          <t>SKÅNE LÄN</t>
        </is>
      </c>
      <c r="E1251" t="inlineStr">
        <is>
          <t>HÖÖR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27935-2020</t>
        </is>
      </c>
      <c r="B1252" s="1" t="n">
        <v>43993</v>
      </c>
      <c r="C1252" s="1" t="n">
        <v>45744</v>
      </c>
      <c r="D1252" t="inlineStr">
        <is>
          <t>SKÅNE LÄN</t>
        </is>
      </c>
      <c r="E1252" t="inlineStr">
        <is>
          <t>HÄSSLEHOLM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28022-2020</t>
        </is>
      </c>
      <c r="B1253" s="1" t="n">
        <v>43994</v>
      </c>
      <c r="C1253" s="1" t="n">
        <v>45744</v>
      </c>
      <c r="D1253" t="inlineStr">
        <is>
          <t>SKÅNE LÄN</t>
        </is>
      </c>
      <c r="E1253" t="inlineStr">
        <is>
          <t>SVALÖV</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28126-2020</t>
        </is>
      </c>
      <c r="B1254" s="1" t="n">
        <v>43994</v>
      </c>
      <c r="C1254" s="1" t="n">
        <v>45744</v>
      </c>
      <c r="D1254" t="inlineStr">
        <is>
          <t>SKÅNE LÄN</t>
        </is>
      </c>
      <c r="E1254" t="inlineStr">
        <is>
          <t>KLIPPAN</t>
        </is>
      </c>
      <c r="F1254" t="inlineStr">
        <is>
          <t>Övriga Aktiebolag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28113-2020</t>
        </is>
      </c>
      <c r="B1255" s="1" t="n">
        <v>43994</v>
      </c>
      <c r="C1255" s="1" t="n">
        <v>45744</v>
      </c>
      <c r="D1255" t="inlineStr">
        <is>
          <t>SKÅNE LÄN</t>
        </is>
      </c>
      <c r="E1255" t="inlineStr">
        <is>
          <t>KLIPPAN</t>
        </is>
      </c>
      <c r="F1255" t="inlineStr">
        <is>
          <t>Övriga Aktiebolag</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27897-2020</t>
        </is>
      </c>
      <c r="B1256" s="1" t="n">
        <v>43996</v>
      </c>
      <c r="C1256" s="1" t="n">
        <v>45744</v>
      </c>
      <c r="D1256" t="inlineStr">
        <is>
          <t>SKÅNE LÄN</t>
        </is>
      </c>
      <c r="E1256" t="inlineStr">
        <is>
          <t>OSBY</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27892-2020</t>
        </is>
      </c>
      <c r="B1257" s="1" t="n">
        <v>43996</v>
      </c>
      <c r="C1257" s="1" t="n">
        <v>45744</v>
      </c>
      <c r="D1257" t="inlineStr">
        <is>
          <t>SKÅNE LÄN</t>
        </is>
      </c>
      <c r="E1257" t="inlineStr">
        <is>
          <t>ÖSTRA GÖINGE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28003-2020</t>
        </is>
      </c>
      <c r="B1258" s="1" t="n">
        <v>43997</v>
      </c>
      <c r="C1258" s="1" t="n">
        <v>45744</v>
      </c>
      <c r="D1258" t="inlineStr">
        <is>
          <t>SKÅNE LÄN</t>
        </is>
      </c>
      <c r="E1258" t="inlineStr">
        <is>
          <t>KRISTIANSTAD</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28063-2020</t>
        </is>
      </c>
      <c r="B1259" s="1" t="n">
        <v>43997</v>
      </c>
      <c r="C1259" s="1" t="n">
        <v>45744</v>
      </c>
      <c r="D1259" t="inlineStr">
        <is>
          <t>SKÅNE LÄN</t>
        </is>
      </c>
      <c r="E1259" t="inlineStr">
        <is>
          <t>ÖRKELLJUNGA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28068-2020</t>
        </is>
      </c>
      <c r="B1260" s="1" t="n">
        <v>43997</v>
      </c>
      <c r="C1260" s="1" t="n">
        <v>45744</v>
      </c>
      <c r="D1260" t="inlineStr">
        <is>
          <t>SKÅNE LÄN</t>
        </is>
      </c>
      <c r="E1260" t="inlineStr">
        <is>
          <t>ÖRKELLJUNGA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28023-2020</t>
        </is>
      </c>
      <c r="B1261" s="1" t="n">
        <v>43997</v>
      </c>
      <c r="C1261" s="1" t="n">
        <v>45744</v>
      </c>
      <c r="D1261" t="inlineStr">
        <is>
          <t>SKÅNE LÄN</t>
        </is>
      </c>
      <c r="E1261" t="inlineStr">
        <is>
          <t>HÄSSLEHOLM</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28339-2020</t>
        </is>
      </c>
      <c r="B1262" s="1" t="n">
        <v>43998</v>
      </c>
      <c r="C1262" s="1" t="n">
        <v>45744</v>
      </c>
      <c r="D1262" t="inlineStr">
        <is>
          <t>SKÅNE LÄN</t>
        </is>
      </c>
      <c r="E1262" t="inlineStr">
        <is>
          <t>ESLÖV</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28338-2020</t>
        </is>
      </c>
      <c r="B1263" s="1" t="n">
        <v>43998</v>
      </c>
      <c r="C1263" s="1" t="n">
        <v>45744</v>
      </c>
      <c r="D1263" t="inlineStr">
        <is>
          <t>SKÅNE LÄN</t>
        </is>
      </c>
      <c r="E1263" t="inlineStr">
        <is>
          <t>TOMELILLA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28567-2020</t>
        </is>
      </c>
      <c r="B1264" s="1" t="n">
        <v>43998</v>
      </c>
      <c r="C1264" s="1" t="n">
        <v>45744</v>
      </c>
      <c r="D1264" t="inlineStr">
        <is>
          <t>SKÅNE LÄN</t>
        </is>
      </c>
      <c r="E1264" t="inlineStr">
        <is>
          <t>ÖRKELLJUNGA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28530-2020</t>
        </is>
      </c>
      <c r="B1265" s="1" t="n">
        <v>43998</v>
      </c>
      <c r="C1265" s="1" t="n">
        <v>45744</v>
      </c>
      <c r="D1265" t="inlineStr">
        <is>
          <t>SKÅNE LÄN</t>
        </is>
      </c>
      <c r="E1265" t="inlineStr">
        <is>
          <t>ESLÖV</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28739-2020</t>
        </is>
      </c>
      <c r="B1266" s="1" t="n">
        <v>43999</v>
      </c>
      <c r="C1266" s="1" t="n">
        <v>45744</v>
      </c>
      <c r="D1266" t="inlineStr">
        <is>
          <t>SKÅNE LÄN</t>
        </is>
      </c>
      <c r="E1266" t="inlineStr">
        <is>
          <t>OSBY</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29016-2020</t>
        </is>
      </c>
      <c r="B1267" s="1" t="n">
        <v>43999</v>
      </c>
      <c r="C1267" s="1" t="n">
        <v>45744</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28884-2020</t>
        </is>
      </c>
      <c r="B1268" s="1" t="n">
        <v>43999</v>
      </c>
      <c r="C1268" s="1" t="n">
        <v>45744</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28863-2020</t>
        </is>
      </c>
      <c r="B1269" s="1" t="n">
        <v>43999</v>
      </c>
      <c r="C1269" s="1" t="n">
        <v>45744</v>
      </c>
      <c r="D1269" t="inlineStr">
        <is>
          <t>SKÅNE LÄN</t>
        </is>
      </c>
      <c r="E1269" t="inlineStr">
        <is>
          <t>HÄSSLEHOLM</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29391-2020</t>
        </is>
      </c>
      <c r="B1270" s="1" t="n">
        <v>44000</v>
      </c>
      <c r="C1270" s="1" t="n">
        <v>45744</v>
      </c>
      <c r="D1270" t="inlineStr">
        <is>
          <t>SKÅNE LÄN</t>
        </is>
      </c>
      <c r="E1270" t="inlineStr">
        <is>
          <t>YSTAD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29377-2020</t>
        </is>
      </c>
      <c r="B1271" s="1" t="n">
        <v>44000</v>
      </c>
      <c r="C1271" s="1" t="n">
        <v>45744</v>
      </c>
      <c r="D1271" t="inlineStr">
        <is>
          <t>SKÅNE LÄN</t>
        </is>
      </c>
      <c r="E1271" t="inlineStr">
        <is>
          <t>YSTAD</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29399-2020</t>
        </is>
      </c>
      <c r="B1272" s="1" t="n">
        <v>44000</v>
      </c>
      <c r="C1272" s="1" t="n">
        <v>45744</v>
      </c>
      <c r="D1272" t="inlineStr">
        <is>
          <t>SKÅNE LÄN</t>
        </is>
      </c>
      <c r="E1272" t="inlineStr">
        <is>
          <t>ESLÖV</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29395-2020</t>
        </is>
      </c>
      <c r="B1273" s="1" t="n">
        <v>44000</v>
      </c>
      <c r="C1273" s="1" t="n">
        <v>45744</v>
      </c>
      <c r="D1273" t="inlineStr">
        <is>
          <t>SKÅNE LÄN</t>
        </is>
      </c>
      <c r="E1273" t="inlineStr">
        <is>
          <t>YSTAD</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29106-2020</t>
        </is>
      </c>
      <c r="B1274" s="1" t="n">
        <v>44003</v>
      </c>
      <c r="C1274" s="1" t="n">
        <v>45744</v>
      </c>
      <c r="D1274" t="inlineStr">
        <is>
          <t>SKÅNE LÄN</t>
        </is>
      </c>
      <c r="E1274" t="inlineStr">
        <is>
          <t>ÖSTRA GÖINGE</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29230-2020</t>
        </is>
      </c>
      <c r="B1275" s="1" t="n">
        <v>44004</v>
      </c>
      <c r="C1275" s="1" t="n">
        <v>45744</v>
      </c>
      <c r="D1275" t="inlineStr">
        <is>
          <t>SKÅNE LÄN</t>
        </is>
      </c>
      <c r="E1275" t="inlineStr">
        <is>
          <t>HÄSSLEHOLM</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29462-2020</t>
        </is>
      </c>
      <c r="B1276" s="1" t="n">
        <v>44004</v>
      </c>
      <c r="C1276" s="1" t="n">
        <v>45744</v>
      </c>
      <c r="D1276" t="inlineStr">
        <is>
          <t>SKÅNE LÄN</t>
        </is>
      </c>
      <c r="E1276" t="inlineStr">
        <is>
          <t>KRISTIANSTAD</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29719-2020</t>
        </is>
      </c>
      <c r="B1277" s="1" t="n">
        <v>44005</v>
      </c>
      <c r="C1277" s="1" t="n">
        <v>45744</v>
      </c>
      <c r="D1277" t="inlineStr">
        <is>
          <t>SKÅNE LÄN</t>
        </is>
      </c>
      <c r="E1277" t="inlineStr">
        <is>
          <t>HÄSSLEHOLM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29818-2020</t>
        </is>
      </c>
      <c r="B1278" s="1" t="n">
        <v>44005</v>
      </c>
      <c r="C1278" s="1" t="n">
        <v>45744</v>
      </c>
      <c r="D1278" t="inlineStr">
        <is>
          <t>SKÅNE LÄN</t>
        </is>
      </c>
      <c r="E1278" t="inlineStr">
        <is>
          <t>ÖSTRA GÖINGE</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29822-2020</t>
        </is>
      </c>
      <c r="B1279" s="1" t="n">
        <v>44005</v>
      </c>
      <c r="C1279" s="1" t="n">
        <v>45744</v>
      </c>
      <c r="D1279" t="inlineStr">
        <is>
          <t>SKÅNE LÄN</t>
        </is>
      </c>
      <c r="E1279" t="inlineStr">
        <is>
          <t>OSBY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29932-2020</t>
        </is>
      </c>
      <c r="B1280" s="1" t="n">
        <v>44006</v>
      </c>
      <c r="C1280" s="1" t="n">
        <v>45744</v>
      </c>
      <c r="D1280" t="inlineStr">
        <is>
          <t>SKÅNE LÄN</t>
        </is>
      </c>
      <c r="E1280" t="inlineStr">
        <is>
          <t>HÄSSLEHOLM</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30011-2020</t>
        </is>
      </c>
      <c r="B1281" s="1" t="n">
        <v>44006</v>
      </c>
      <c r="C1281" s="1" t="n">
        <v>45744</v>
      </c>
      <c r="D1281" t="inlineStr">
        <is>
          <t>SKÅNE LÄN</t>
        </is>
      </c>
      <c r="E1281" t="inlineStr">
        <is>
          <t>HÖRBY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30292-2020</t>
        </is>
      </c>
      <c r="B1282" s="1" t="n">
        <v>44007</v>
      </c>
      <c r="C1282" s="1" t="n">
        <v>45744</v>
      </c>
      <c r="D1282" t="inlineStr">
        <is>
          <t>SKÅNE LÄN</t>
        </is>
      </c>
      <c r="E1282" t="inlineStr">
        <is>
          <t>HÄSSLEHOLM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30515-2020</t>
        </is>
      </c>
      <c r="B1283" s="1" t="n">
        <v>44008</v>
      </c>
      <c r="C1283" s="1" t="n">
        <v>45744</v>
      </c>
      <c r="D1283" t="inlineStr">
        <is>
          <t>SKÅNE LÄN</t>
        </is>
      </c>
      <c r="E1283" t="inlineStr">
        <is>
          <t>TOMELILLA</t>
        </is>
      </c>
      <c r="F1283" t="inlineStr">
        <is>
          <t>Övriga Aktiebolag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30719-2020</t>
        </is>
      </c>
      <c r="B1284" s="1" t="n">
        <v>44008</v>
      </c>
      <c r="C1284" s="1" t="n">
        <v>45744</v>
      </c>
      <c r="D1284" t="inlineStr">
        <is>
          <t>SKÅNE LÄN</t>
        </is>
      </c>
      <c r="E1284" t="inlineStr">
        <is>
          <t>HÄSSLEHOLM</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30731-2020</t>
        </is>
      </c>
      <c r="B1285" s="1" t="n">
        <v>44008</v>
      </c>
      <c r="C1285" s="1" t="n">
        <v>45744</v>
      </c>
      <c r="D1285" t="inlineStr">
        <is>
          <t>SKÅNE LÄN</t>
        </is>
      </c>
      <c r="E1285" t="inlineStr">
        <is>
          <t>OSBY</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30816-2020</t>
        </is>
      </c>
      <c r="B1286" s="1" t="n">
        <v>44011</v>
      </c>
      <c r="C1286" s="1" t="n">
        <v>45744</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31165-2020</t>
        </is>
      </c>
      <c r="B1287" s="1" t="n">
        <v>44011</v>
      </c>
      <c r="C1287" s="1" t="n">
        <v>45744</v>
      </c>
      <c r="D1287" t="inlineStr">
        <is>
          <t>SKÅNE LÄN</t>
        </is>
      </c>
      <c r="E1287" t="inlineStr">
        <is>
          <t>TOMELILLA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31172-2020</t>
        </is>
      </c>
      <c r="B1288" s="1" t="n">
        <v>44011</v>
      </c>
      <c r="C1288" s="1" t="n">
        <v>45744</v>
      </c>
      <c r="D1288" t="inlineStr">
        <is>
          <t>SKÅNE LÄN</t>
        </is>
      </c>
      <c r="E1288" t="inlineStr">
        <is>
          <t>TOMELILLA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31069-2020</t>
        </is>
      </c>
      <c r="B1289" s="1" t="n">
        <v>44012</v>
      </c>
      <c r="C1289" s="1" t="n">
        <v>45744</v>
      </c>
      <c r="D1289" t="inlineStr">
        <is>
          <t>SKÅNE LÄN</t>
        </is>
      </c>
      <c r="E1289" t="inlineStr">
        <is>
          <t>HÄSSLEHOLM</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31542-2020</t>
        </is>
      </c>
      <c r="B1290" s="1" t="n">
        <v>44013</v>
      </c>
      <c r="C1290" s="1" t="n">
        <v>45744</v>
      </c>
      <c r="D1290" t="inlineStr">
        <is>
          <t>SKÅNE LÄN</t>
        </is>
      </c>
      <c r="E1290" t="inlineStr">
        <is>
          <t>PERSTORP</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31451-2020</t>
        </is>
      </c>
      <c r="B1291" s="1" t="n">
        <v>44013</v>
      </c>
      <c r="C1291" s="1" t="n">
        <v>45744</v>
      </c>
      <c r="D1291" t="inlineStr">
        <is>
          <t>SKÅNE LÄN</t>
        </is>
      </c>
      <c r="E1291" t="inlineStr">
        <is>
          <t>KLIPPAN</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31617-2020</t>
        </is>
      </c>
      <c r="B1292" s="1" t="n">
        <v>44013</v>
      </c>
      <c r="C1292" s="1" t="n">
        <v>45744</v>
      </c>
      <c r="D1292" t="inlineStr">
        <is>
          <t>SKÅNE LÄN</t>
        </is>
      </c>
      <c r="E1292" t="inlineStr">
        <is>
          <t>HÄSSLEHOLM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31628-2020</t>
        </is>
      </c>
      <c r="B1293" s="1" t="n">
        <v>44013</v>
      </c>
      <c r="C1293" s="1" t="n">
        <v>45744</v>
      </c>
      <c r="D1293" t="inlineStr">
        <is>
          <t>SKÅNE LÄN</t>
        </is>
      </c>
      <c r="E1293" t="inlineStr">
        <is>
          <t>HÄSSLEHOLM</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31625-2020</t>
        </is>
      </c>
      <c r="B1294" s="1" t="n">
        <v>44013</v>
      </c>
      <c r="C1294" s="1" t="n">
        <v>45744</v>
      </c>
      <c r="D1294" t="inlineStr">
        <is>
          <t>SKÅNE LÄN</t>
        </is>
      </c>
      <c r="E1294" t="inlineStr">
        <is>
          <t>HÄSSLEHOLM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31691-2020</t>
        </is>
      </c>
      <c r="B1295" s="1" t="n">
        <v>44013</v>
      </c>
      <c r="C1295" s="1" t="n">
        <v>45744</v>
      </c>
      <c r="D1295" t="inlineStr">
        <is>
          <t>SKÅNE LÄN</t>
        </is>
      </c>
      <c r="E1295" t="inlineStr">
        <is>
          <t>ESLÖV</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31686-2020</t>
        </is>
      </c>
      <c r="B1296" s="1" t="n">
        <v>44013</v>
      </c>
      <c r="C1296" s="1" t="n">
        <v>45744</v>
      </c>
      <c r="D1296" t="inlineStr">
        <is>
          <t>SKÅNE LÄN</t>
        </is>
      </c>
      <c r="E1296" t="inlineStr">
        <is>
          <t>SVALÖV</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31774-2020</t>
        </is>
      </c>
      <c r="B1297" s="1" t="n">
        <v>44014</v>
      </c>
      <c r="C1297" s="1" t="n">
        <v>45744</v>
      </c>
      <c r="D1297" t="inlineStr">
        <is>
          <t>SKÅNE LÄN</t>
        </is>
      </c>
      <c r="E1297" t="inlineStr">
        <is>
          <t>OSBY</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31787-2020</t>
        </is>
      </c>
      <c r="B1298" s="1" t="n">
        <v>44014</v>
      </c>
      <c r="C1298" s="1" t="n">
        <v>45744</v>
      </c>
      <c r="D1298" t="inlineStr">
        <is>
          <t>SKÅNE LÄN</t>
        </is>
      </c>
      <c r="E1298" t="inlineStr">
        <is>
          <t>OSBY</t>
        </is>
      </c>
      <c r="G1298" t="n">
        <v>13.3</v>
      </c>
      <c r="H1298" t="n">
        <v>0</v>
      </c>
      <c r="I1298" t="n">
        <v>0</v>
      </c>
      <c r="J1298" t="n">
        <v>0</v>
      </c>
      <c r="K1298" t="n">
        <v>0</v>
      </c>
      <c r="L1298" t="n">
        <v>0</v>
      </c>
      <c r="M1298" t="n">
        <v>0</v>
      </c>
      <c r="N1298" t="n">
        <v>0</v>
      </c>
      <c r="O1298" t="n">
        <v>0</v>
      </c>
      <c r="P1298" t="n">
        <v>0</v>
      </c>
      <c r="Q1298" t="n">
        <v>0</v>
      </c>
      <c r="R1298" s="2" t="inlineStr"/>
    </row>
    <row r="1299" ht="15" customHeight="1">
      <c r="A1299" t="inlineStr">
        <is>
          <t>A 31961-2020</t>
        </is>
      </c>
      <c r="B1299" s="1" t="n">
        <v>44014</v>
      </c>
      <c r="C1299" s="1" t="n">
        <v>45744</v>
      </c>
      <c r="D1299" t="inlineStr">
        <is>
          <t>SKÅNE LÄN</t>
        </is>
      </c>
      <c r="E1299" t="inlineStr">
        <is>
          <t>OSBY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32280-2020</t>
        </is>
      </c>
      <c r="B1300" s="1" t="n">
        <v>44015</v>
      </c>
      <c r="C1300" s="1" t="n">
        <v>45744</v>
      </c>
      <c r="D1300" t="inlineStr">
        <is>
          <t>SKÅNE LÄN</t>
        </is>
      </c>
      <c r="E1300" t="inlineStr">
        <is>
          <t>OSBY</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32281-2020</t>
        </is>
      </c>
      <c r="B1301" s="1" t="n">
        <v>44015</v>
      </c>
      <c r="C1301" s="1" t="n">
        <v>45744</v>
      </c>
      <c r="D1301" t="inlineStr">
        <is>
          <t>SKÅNE LÄN</t>
        </is>
      </c>
      <c r="E1301" t="inlineStr">
        <is>
          <t>OSBY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32287-2020</t>
        </is>
      </c>
      <c r="B1302" s="1" t="n">
        <v>44015</v>
      </c>
      <c r="C1302" s="1" t="n">
        <v>45744</v>
      </c>
      <c r="D1302" t="inlineStr">
        <is>
          <t>SKÅNE LÄN</t>
        </is>
      </c>
      <c r="E1302" t="inlineStr">
        <is>
          <t>OSBY</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32081-2020</t>
        </is>
      </c>
      <c r="B1303" s="1" t="n">
        <v>44015</v>
      </c>
      <c r="C1303" s="1" t="n">
        <v>45744</v>
      </c>
      <c r="D1303" t="inlineStr">
        <is>
          <t>SKÅNE LÄN</t>
        </is>
      </c>
      <c r="E1303" t="inlineStr">
        <is>
          <t>BROMÖLLA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32460-2020</t>
        </is>
      </c>
      <c r="B1304" s="1" t="n">
        <v>44018</v>
      </c>
      <c r="C1304" s="1" t="n">
        <v>45744</v>
      </c>
      <c r="D1304" t="inlineStr">
        <is>
          <t>SKÅNE LÄN</t>
        </is>
      </c>
      <c r="E1304" t="inlineStr">
        <is>
          <t>ÖSTRA GÖINGE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32517-2020</t>
        </is>
      </c>
      <c r="B1305" s="1" t="n">
        <v>44018</v>
      </c>
      <c r="C1305" s="1" t="n">
        <v>45744</v>
      </c>
      <c r="D1305" t="inlineStr">
        <is>
          <t>SKÅNE LÄN</t>
        </is>
      </c>
      <c r="E1305" t="inlineStr">
        <is>
          <t>KRISTIANSTAD</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32499-2020</t>
        </is>
      </c>
      <c r="B1306" s="1" t="n">
        <v>44018</v>
      </c>
      <c r="C1306" s="1" t="n">
        <v>45744</v>
      </c>
      <c r="D1306" t="inlineStr">
        <is>
          <t>SKÅNE LÄN</t>
        </is>
      </c>
      <c r="E1306" t="inlineStr">
        <is>
          <t>HÖRBY</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32616-2020</t>
        </is>
      </c>
      <c r="B1307" s="1" t="n">
        <v>44019</v>
      </c>
      <c r="C1307" s="1" t="n">
        <v>45744</v>
      </c>
      <c r="D1307" t="inlineStr">
        <is>
          <t>SKÅNE LÄN</t>
        </is>
      </c>
      <c r="E1307" t="inlineStr">
        <is>
          <t>ESLÖV</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32593-2020</t>
        </is>
      </c>
      <c r="B1308" s="1" t="n">
        <v>44019</v>
      </c>
      <c r="C1308" s="1" t="n">
        <v>45744</v>
      </c>
      <c r="D1308" t="inlineStr">
        <is>
          <t>SKÅNE LÄN</t>
        </is>
      </c>
      <c r="E1308" t="inlineStr">
        <is>
          <t>KRISTIANSTAD</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32687-2020</t>
        </is>
      </c>
      <c r="B1309" s="1" t="n">
        <v>44019</v>
      </c>
      <c r="C1309" s="1" t="n">
        <v>45744</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32727-2020</t>
        </is>
      </c>
      <c r="B1310" s="1" t="n">
        <v>44019</v>
      </c>
      <c r="C1310" s="1" t="n">
        <v>45744</v>
      </c>
      <c r="D1310" t="inlineStr">
        <is>
          <t>SKÅNE LÄN</t>
        </is>
      </c>
      <c r="E1310" t="inlineStr">
        <is>
          <t>HÄSSLEHOLM</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33029-2020</t>
        </is>
      </c>
      <c r="B1311" s="1" t="n">
        <v>44019</v>
      </c>
      <c r="C1311" s="1" t="n">
        <v>45744</v>
      </c>
      <c r="D1311" t="inlineStr">
        <is>
          <t>SKÅNE LÄN</t>
        </is>
      </c>
      <c r="E1311" t="inlineStr">
        <is>
          <t>ÖSTRA GÖINGE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33030-2020</t>
        </is>
      </c>
      <c r="B1312" s="1" t="n">
        <v>44019</v>
      </c>
      <c r="C1312" s="1" t="n">
        <v>45744</v>
      </c>
      <c r="D1312" t="inlineStr">
        <is>
          <t>SKÅNE LÄN</t>
        </is>
      </c>
      <c r="E1312" t="inlineStr">
        <is>
          <t>ÖSTRA GÖINGE</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32912-2020</t>
        </is>
      </c>
      <c r="B1313" s="1" t="n">
        <v>44020</v>
      </c>
      <c r="C1313" s="1" t="n">
        <v>45744</v>
      </c>
      <c r="D1313" t="inlineStr">
        <is>
          <t>SKÅNE LÄN</t>
        </is>
      </c>
      <c r="E1313" t="inlineStr">
        <is>
          <t>ÖRKELLJUNGA</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32910-2020</t>
        </is>
      </c>
      <c r="B1314" s="1" t="n">
        <v>44020</v>
      </c>
      <c r="C1314" s="1" t="n">
        <v>45744</v>
      </c>
      <c r="D1314" t="inlineStr">
        <is>
          <t>SKÅNE LÄN</t>
        </is>
      </c>
      <c r="E1314" t="inlineStr">
        <is>
          <t>ÖRKELLJUNGA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33176-2020</t>
        </is>
      </c>
      <c r="B1315" s="1" t="n">
        <v>44021</v>
      </c>
      <c r="C1315" s="1" t="n">
        <v>45744</v>
      </c>
      <c r="D1315" t="inlineStr">
        <is>
          <t>SKÅNE LÄN</t>
        </is>
      </c>
      <c r="E1315" t="inlineStr">
        <is>
          <t>ÖRKELLJUNGA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33550-2020</t>
        </is>
      </c>
      <c r="B1316" s="1" t="n">
        <v>44021</v>
      </c>
      <c r="C1316" s="1" t="n">
        <v>45744</v>
      </c>
      <c r="D1316" t="inlineStr">
        <is>
          <t>SKÅNE LÄN</t>
        </is>
      </c>
      <c r="E1316" t="inlineStr">
        <is>
          <t>ÖRKELLJUNGA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34426-2020</t>
        </is>
      </c>
      <c r="B1317" s="1" t="n">
        <v>44021</v>
      </c>
      <c r="C1317" s="1" t="n">
        <v>45744</v>
      </c>
      <c r="D1317" t="inlineStr">
        <is>
          <t>SKÅNE LÄN</t>
        </is>
      </c>
      <c r="E1317" t="inlineStr">
        <is>
          <t>ÖRKELLJUNGA</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33302-2020</t>
        </is>
      </c>
      <c r="B1318" s="1" t="n">
        <v>44022</v>
      </c>
      <c r="C1318" s="1" t="n">
        <v>45744</v>
      </c>
      <c r="D1318" t="inlineStr">
        <is>
          <t>SKÅNE LÄN</t>
        </is>
      </c>
      <c r="E1318" t="inlineStr">
        <is>
          <t>HÄSSLEHOLM</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33516-2020</t>
        </is>
      </c>
      <c r="B1319" s="1" t="n">
        <v>44022</v>
      </c>
      <c r="C1319" s="1" t="n">
        <v>45744</v>
      </c>
      <c r="D1319" t="inlineStr">
        <is>
          <t>SKÅNE LÄN</t>
        </is>
      </c>
      <c r="E1319" t="inlineStr">
        <is>
          <t>KRISTIANSTAD</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33300-2020</t>
        </is>
      </c>
      <c r="B1320" s="1" t="n">
        <v>44022</v>
      </c>
      <c r="C1320" s="1" t="n">
        <v>45744</v>
      </c>
      <c r="D1320" t="inlineStr">
        <is>
          <t>SKÅNE LÄN</t>
        </is>
      </c>
      <c r="E1320" t="inlineStr">
        <is>
          <t>HÄSSLEHOLM</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33511-2020</t>
        </is>
      </c>
      <c r="B1321" s="1" t="n">
        <v>44022</v>
      </c>
      <c r="C1321" s="1" t="n">
        <v>45744</v>
      </c>
      <c r="D1321" t="inlineStr">
        <is>
          <t>SKÅNE LÄN</t>
        </is>
      </c>
      <c r="E1321" t="inlineStr">
        <is>
          <t>KRISTIANSTAD</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33515-2020</t>
        </is>
      </c>
      <c r="B1322" s="1" t="n">
        <v>44022</v>
      </c>
      <c r="C1322" s="1" t="n">
        <v>45744</v>
      </c>
      <c r="D1322" t="inlineStr">
        <is>
          <t>SKÅNE LÄN</t>
        </is>
      </c>
      <c r="E1322" t="inlineStr">
        <is>
          <t>KRISTIANSTAD</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33739-2020</t>
        </is>
      </c>
      <c r="B1323" s="1" t="n">
        <v>44025</v>
      </c>
      <c r="C1323" s="1" t="n">
        <v>45744</v>
      </c>
      <c r="D1323" t="inlineStr">
        <is>
          <t>SKÅNE LÄN</t>
        </is>
      </c>
      <c r="E1323" t="inlineStr">
        <is>
          <t>KRISTIANSTAD</t>
        </is>
      </c>
      <c r="F1323" t="inlineStr">
        <is>
          <t>Övriga Aktiebolag</t>
        </is>
      </c>
      <c r="G1323" t="n">
        <v>18.3</v>
      </c>
      <c r="H1323" t="n">
        <v>0</v>
      </c>
      <c r="I1323" t="n">
        <v>0</v>
      </c>
      <c r="J1323" t="n">
        <v>0</v>
      </c>
      <c r="K1323" t="n">
        <v>0</v>
      </c>
      <c r="L1323" t="n">
        <v>0</v>
      </c>
      <c r="M1323" t="n">
        <v>0</v>
      </c>
      <c r="N1323" t="n">
        <v>0</v>
      </c>
      <c r="O1323" t="n">
        <v>0</v>
      </c>
      <c r="P1323" t="n">
        <v>0</v>
      </c>
      <c r="Q1323" t="n">
        <v>0</v>
      </c>
      <c r="R1323" s="2" t="inlineStr"/>
    </row>
    <row r="1324" ht="15" customHeight="1">
      <c r="A1324" t="inlineStr">
        <is>
          <t>A 33505-2020</t>
        </is>
      </c>
      <c r="B1324" s="1" t="n">
        <v>44025</v>
      </c>
      <c r="C1324" s="1" t="n">
        <v>45744</v>
      </c>
      <c r="D1324" t="inlineStr">
        <is>
          <t>SKÅNE LÄN</t>
        </is>
      </c>
      <c r="E1324" t="inlineStr">
        <is>
          <t>PERSTORP</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33544-2020</t>
        </is>
      </c>
      <c r="B1325" s="1" t="n">
        <v>44025</v>
      </c>
      <c r="C1325" s="1" t="n">
        <v>45744</v>
      </c>
      <c r="D1325" t="inlineStr">
        <is>
          <t>SKÅNE LÄN</t>
        </is>
      </c>
      <c r="E1325" t="inlineStr">
        <is>
          <t>HÄSSLEHOLM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33742-2020</t>
        </is>
      </c>
      <c r="B1326" s="1" t="n">
        <v>44025</v>
      </c>
      <c r="C1326" s="1" t="n">
        <v>45744</v>
      </c>
      <c r="D1326" t="inlineStr">
        <is>
          <t>SKÅNE LÄN</t>
        </is>
      </c>
      <c r="E1326" t="inlineStr">
        <is>
          <t>KRISTIANSTAD</t>
        </is>
      </c>
      <c r="F1326" t="inlineStr">
        <is>
          <t>Övriga Aktiebolag</t>
        </is>
      </c>
      <c r="G1326" t="n">
        <v>8.5</v>
      </c>
      <c r="H1326" t="n">
        <v>0</v>
      </c>
      <c r="I1326" t="n">
        <v>0</v>
      </c>
      <c r="J1326" t="n">
        <v>0</v>
      </c>
      <c r="K1326" t="n">
        <v>0</v>
      </c>
      <c r="L1326" t="n">
        <v>0</v>
      </c>
      <c r="M1326" t="n">
        <v>0</v>
      </c>
      <c r="N1326" t="n">
        <v>0</v>
      </c>
      <c r="O1326" t="n">
        <v>0</v>
      </c>
      <c r="P1326" t="n">
        <v>0</v>
      </c>
      <c r="Q1326" t="n">
        <v>0</v>
      </c>
      <c r="R1326" s="2" t="inlineStr"/>
    </row>
    <row r="1327" ht="15" customHeight="1">
      <c r="A1327" t="inlineStr">
        <is>
          <t>A 33737-2020</t>
        </is>
      </c>
      <c r="B1327" s="1" t="n">
        <v>44025</v>
      </c>
      <c r="C1327" s="1" t="n">
        <v>45744</v>
      </c>
      <c r="D1327" t="inlineStr">
        <is>
          <t>SKÅNE LÄN</t>
        </is>
      </c>
      <c r="E1327" t="inlineStr">
        <is>
          <t>KRISTIANSTAD</t>
        </is>
      </c>
      <c r="F1327" t="inlineStr">
        <is>
          <t>Övriga Aktiebolag</t>
        </is>
      </c>
      <c r="G1327" t="n">
        <v>20.3</v>
      </c>
      <c r="H1327" t="n">
        <v>0</v>
      </c>
      <c r="I1327" t="n">
        <v>0</v>
      </c>
      <c r="J1327" t="n">
        <v>0</v>
      </c>
      <c r="K1327" t="n">
        <v>0</v>
      </c>
      <c r="L1327" t="n">
        <v>0</v>
      </c>
      <c r="M1327" t="n">
        <v>0</v>
      </c>
      <c r="N1327" t="n">
        <v>0</v>
      </c>
      <c r="O1327" t="n">
        <v>0</v>
      </c>
      <c r="P1327" t="n">
        <v>0</v>
      </c>
      <c r="Q1327" t="n">
        <v>0</v>
      </c>
      <c r="R1327" s="2" t="inlineStr"/>
    </row>
    <row r="1328" ht="15" customHeight="1">
      <c r="A1328" t="inlineStr">
        <is>
          <t>A 33866-2020</t>
        </is>
      </c>
      <c r="B1328" s="1" t="n">
        <v>44025</v>
      </c>
      <c r="C1328" s="1" t="n">
        <v>45744</v>
      </c>
      <c r="D1328" t="inlineStr">
        <is>
          <t>SKÅNE LÄN</t>
        </is>
      </c>
      <c r="E1328" t="inlineStr">
        <is>
          <t>KRISTIANSTAD</t>
        </is>
      </c>
      <c r="F1328" t="inlineStr">
        <is>
          <t>Övriga Aktiebolag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33696-2020</t>
        </is>
      </c>
      <c r="B1329" s="1" t="n">
        <v>44026</v>
      </c>
      <c r="C1329" s="1" t="n">
        <v>45744</v>
      </c>
      <c r="D1329" t="inlineStr">
        <is>
          <t>SKÅNE LÄN</t>
        </is>
      </c>
      <c r="E1329" t="inlineStr">
        <is>
          <t>KRISTIANSTAD</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33807-2020</t>
        </is>
      </c>
      <c r="B1330" s="1" t="n">
        <v>44026</v>
      </c>
      <c r="C1330" s="1" t="n">
        <v>45744</v>
      </c>
      <c r="D1330" t="inlineStr">
        <is>
          <t>SKÅNE LÄN</t>
        </is>
      </c>
      <c r="E1330" t="inlineStr">
        <is>
          <t>SKURUP</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33697-2020</t>
        </is>
      </c>
      <c r="B1331" s="1" t="n">
        <v>44026</v>
      </c>
      <c r="C1331" s="1" t="n">
        <v>45744</v>
      </c>
      <c r="D1331" t="inlineStr">
        <is>
          <t>SKÅNE LÄN</t>
        </is>
      </c>
      <c r="E1331" t="inlineStr">
        <is>
          <t>HÖRBY</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33824-2020</t>
        </is>
      </c>
      <c r="B1332" s="1" t="n">
        <v>44027</v>
      </c>
      <c r="C1332" s="1" t="n">
        <v>45744</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33854-2020</t>
        </is>
      </c>
      <c r="B1333" s="1" t="n">
        <v>44027</v>
      </c>
      <c r="C1333" s="1" t="n">
        <v>45744</v>
      </c>
      <c r="D1333" t="inlineStr">
        <is>
          <t>SKÅNE LÄN</t>
        </is>
      </c>
      <c r="E1333" t="inlineStr">
        <is>
          <t>HÄSSLEHOLM</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34038-2020</t>
        </is>
      </c>
      <c r="B1334" s="1" t="n">
        <v>44028</v>
      </c>
      <c r="C1334" s="1" t="n">
        <v>45744</v>
      </c>
      <c r="D1334" t="inlineStr">
        <is>
          <t>SKÅNE LÄN</t>
        </is>
      </c>
      <c r="E1334" t="inlineStr">
        <is>
          <t>KLIPPAN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34032-2020</t>
        </is>
      </c>
      <c r="B1335" s="1" t="n">
        <v>44028</v>
      </c>
      <c r="C1335" s="1" t="n">
        <v>45744</v>
      </c>
      <c r="D1335" t="inlineStr">
        <is>
          <t>SKÅNE LÄN</t>
        </is>
      </c>
      <c r="E1335" t="inlineStr">
        <is>
          <t>KLIPPAN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34355-2020</t>
        </is>
      </c>
      <c r="B1336" s="1" t="n">
        <v>44028</v>
      </c>
      <c r="C1336" s="1" t="n">
        <v>45744</v>
      </c>
      <c r="D1336" t="inlineStr">
        <is>
          <t>SKÅNE LÄN</t>
        </is>
      </c>
      <c r="E1336" t="inlineStr">
        <is>
          <t>OSBY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34375-2020</t>
        </is>
      </c>
      <c r="B1337" s="1" t="n">
        <v>44032</v>
      </c>
      <c r="C1337" s="1" t="n">
        <v>45744</v>
      </c>
      <c r="D1337" t="inlineStr">
        <is>
          <t>SKÅNE LÄN</t>
        </is>
      </c>
      <c r="E1337" t="inlineStr">
        <is>
          <t>ÖSTRA GÖINGE</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34433-2020</t>
        </is>
      </c>
      <c r="B1338" s="1" t="n">
        <v>44032</v>
      </c>
      <c r="C1338" s="1" t="n">
        <v>45744</v>
      </c>
      <c r="D1338" t="inlineStr">
        <is>
          <t>SKÅNE LÄN</t>
        </is>
      </c>
      <c r="E1338" t="inlineStr">
        <is>
          <t>ÖSTRA GÖINGE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34548-2020</t>
        </is>
      </c>
      <c r="B1339" s="1" t="n">
        <v>44033</v>
      </c>
      <c r="C1339" s="1" t="n">
        <v>45744</v>
      </c>
      <c r="D1339" t="inlineStr">
        <is>
          <t>SKÅNE LÄN</t>
        </is>
      </c>
      <c r="E1339" t="inlineStr">
        <is>
          <t>KRISTIANSTAD</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34533-2020</t>
        </is>
      </c>
      <c r="B1340" s="1" t="n">
        <v>44033</v>
      </c>
      <c r="C1340" s="1" t="n">
        <v>45744</v>
      </c>
      <c r="D1340" t="inlineStr">
        <is>
          <t>SKÅNE LÄN</t>
        </is>
      </c>
      <c r="E1340" t="inlineStr">
        <is>
          <t>KLIPPAN</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34871-2020</t>
        </is>
      </c>
      <c r="B1341" s="1" t="n">
        <v>44036</v>
      </c>
      <c r="C1341" s="1" t="n">
        <v>45744</v>
      </c>
      <c r="D1341" t="inlineStr">
        <is>
          <t>SKÅNE LÄN</t>
        </is>
      </c>
      <c r="E1341" t="inlineStr">
        <is>
          <t>HÄSSLEHOLM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34873-2020</t>
        </is>
      </c>
      <c r="B1342" s="1" t="n">
        <v>44036</v>
      </c>
      <c r="C1342" s="1" t="n">
        <v>45744</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35188-2020</t>
        </is>
      </c>
      <c r="B1343" s="1" t="n">
        <v>44040</v>
      </c>
      <c r="C1343" s="1" t="n">
        <v>45744</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35175-2020</t>
        </is>
      </c>
      <c r="B1344" s="1" t="n">
        <v>44040</v>
      </c>
      <c r="C1344" s="1" t="n">
        <v>45744</v>
      </c>
      <c r="D1344" t="inlineStr">
        <is>
          <t>SKÅNE LÄN</t>
        </is>
      </c>
      <c r="E1344" t="inlineStr">
        <is>
          <t>HÄSSLEHOLM</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35399-2020</t>
        </is>
      </c>
      <c r="B1345" s="1" t="n">
        <v>44042</v>
      </c>
      <c r="C1345" s="1" t="n">
        <v>45744</v>
      </c>
      <c r="D1345" t="inlineStr">
        <is>
          <t>SKÅNE LÄN</t>
        </is>
      </c>
      <c r="E1345" t="inlineStr">
        <is>
          <t>HÄSSLEHOLM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35435-2020</t>
        </is>
      </c>
      <c r="B1346" s="1" t="n">
        <v>44042</v>
      </c>
      <c r="C1346" s="1" t="n">
        <v>45744</v>
      </c>
      <c r="D1346" t="inlineStr">
        <is>
          <t>SKÅNE LÄN</t>
        </is>
      </c>
      <c r="E1346" t="inlineStr">
        <is>
          <t>ÄNGELHOLM</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35442-2020</t>
        </is>
      </c>
      <c r="B1347" s="1" t="n">
        <v>44042</v>
      </c>
      <c r="C1347" s="1" t="n">
        <v>45744</v>
      </c>
      <c r="D1347" t="inlineStr">
        <is>
          <t>SKÅNE LÄN</t>
        </is>
      </c>
      <c r="E1347" t="inlineStr">
        <is>
          <t>ÄNGELHOLM</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35463-2020</t>
        </is>
      </c>
      <c r="B1348" s="1" t="n">
        <v>44042</v>
      </c>
      <c r="C1348" s="1" t="n">
        <v>45744</v>
      </c>
      <c r="D1348" t="inlineStr">
        <is>
          <t>SKÅNE LÄN</t>
        </is>
      </c>
      <c r="E1348" t="inlineStr">
        <is>
          <t>KRISTIANSTAD</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35439-2020</t>
        </is>
      </c>
      <c r="B1349" s="1" t="n">
        <v>44042</v>
      </c>
      <c r="C1349" s="1" t="n">
        <v>45744</v>
      </c>
      <c r="D1349" t="inlineStr">
        <is>
          <t>SKÅNE LÄN</t>
        </is>
      </c>
      <c r="E1349" t="inlineStr">
        <is>
          <t>ÄNGELHOLM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35460-2020</t>
        </is>
      </c>
      <c r="B1350" s="1" t="n">
        <v>44042</v>
      </c>
      <c r="C1350" s="1" t="n">
        <v>45744</v>
      </c>
      <c r="D1350" t="inlineStr">
        <is>
          <t>SKÅNE LÄN</t>
        </is>
      </c>
      <c r="E1350" t="inlineStr">
        <is>
          <t>OSBY</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35572-2020</t>
        </is>
      </c>
      <c r="B1351" s="1" t="n">
        <v>44043</v>
      </c>
      <c r="C1351" s="1" t="n">
        <v>45744</v>
      </c>
      <c r="D1351" t="inlineStr">
        <is>
          <t>SKÅNE LÄN</t>
        </is>
      </c>
      <c r="E1351" t="inlineStr">
        <is>
          <t>KLIPPAN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35732-2020</t>
        </is>
      </c>
      <c r="B1352" s="1" t="n">
        <v>44046</v>
      </c>
      <c r="C1352" s="1" t="n">
        <v>45744</v>
      </c>
      <c r="D1352" t="inlineStr">
        <is>
          <t>SKÅNE LÄN</t>
        </is>
      </c>
      <c r="E1352" t="inlineStr">
        <is>
          <t>ÖSTRA GÖINGE</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35728-2020</t>
        </is>
      </c>
      <c r="B1353" s="1" t="n">
        <v>44046</v>
      </c>
      <c r="C1353" s="1" t="n">
        <v>45744</v>
      </c>
      <c r="D1353" t="inlineStr">
        <is>
          <t>SKÅNE LÄN</t>
        </is>
      </c>
      <c r="E1353" t="inlineStr">
        <is>
          <t>ÖSTRA GÖINGE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35857-2020</t>
        </is>
      </c>
      <c r="B1354" s="1" t="n">
        <v>44047</v>
      </c>
      <c r="C1354" s="1" t="n">
        <v>45744</v>
      </c>
      <c r="D1354" t="inlineStr">
        <is>
          <t>SKÅNE LÄN</t>
        </is>
      </c>
      <c r="E1354" t="inlineStr">
        <is>
          <t>HÄSSLEHOLM</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35912-2020</t>
        </is>
      </c>
      <c r="B1355" s="1" t="n">
        <v>44047</v>
      </c>
      <c r="C1355" s="1" t="n">
        <v>45744</v>
      </c>
      <c r="D1355" t="inlineStr">
        <is>
          <t>SKÅNE LÄN</t>
        </is>
      </c>
      <c r="E1355" t="inlineStr">
        <is>
          <t>SVEDALA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35872-2020</t>
        </is>
      </c>
      <c r="B1356" s="1" t="n">
        <v>44047</v>
      </c>
      <c r="C1356" s="1" t="n">
        <v>45744</v>
      </c>
      <c r="D1356" t="inlineStr">
        <is>
          <t>SKÅNE LÄN</t>
        </is>
      </c>
      <c r="E1356" t="inlineStr">
        <is>
          <t>HÖRBY</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35973-2020</t>
        </is>
      </c>
      <c r="B1357" s="1" t="n">
        <v>44047</v>
      </c>
      <c r="C1357" s="1" t="n">
        <v>45744</v>
      </c>
      <c r="D1357" t="inlineStr">
        <is>
          <t>SKÅNE LÄN</t>
        </is>
      </c>
      <c r="E1357" t="inlineStr">
        <is>
          <t>ÖSTRA GÖINGE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36178-2020</t>
        </is>
      </c>
      <c r="B1358" s="1" t="n">
        <v>44048</v>
      </c>
      <c r="C1358" s="1" t="n">
        <v>45744</v>
      </c>
      <c r="D1358" t="inlineStr">
        <is>
          <t>SKÅNE LÄN</t>
        </is>
      </c>
      <c r="E1358" t="inlineStr">
        <is>
          <t>OSBY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36232-2020</t>
        </is>
      </c>
      <c r="B1359" s="1" t="n">
        <v>44049</v>
      </c>
      <c r="C1359" s="1" t="n">
        <v>45744</v>
      </c>
      <c r="D1359" t="inlineStr">
        <is>
          <t>SKÅNE LÄN</t>
        </is>
      </c>
      <c r="E1359" t="inlineStr">
        <is>
          <t>ÖSTRA GÖINGE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36281-2020</t>
        </is>
      </c>
      <c r="B1360" s="1" t="n">
        <v>44049</v>
      </c>
      <c r="C1360" s="1" t="n">
        <v>45744</v>
      </c>
      <c r="D1360" t="inlineStr">
        <is>
          <t>SKÅNE LÄN</t>
        </is>
      </c>
      <c r="E1360" t="inlineStr">
        <is>
          <t>HÖRBY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36231-2020</t>
        </is>
      </c>
      <c r="B1361" s="1" t="n">
        <v>44049</v>
      </c>
      <c r="C1361" s="1" t="n">
        <v>45744</v>
      </c>
      <c r="D1361" t="inlineStr">
        <is>
          <t>SKÅNE LÄN</t>
        </is>
      </c>
      <c r="E1361" t="inlineStr">
        <is>
          <t>ÖSTRA GÖINGE</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36319-2020</t>
        </is>
      </c>
      <c r="B1362" s="1" t="n">
        <v>44049</v>
      </c>
      <c r="C1362" s="1" t="n">
        <v>45744</v>
      </c>
      <c r="D1362" t="inlineStr">
        <is>
          <t>SKÅNE LÄN</t>
        </is>
      </c>
      <c r="E1362" t="inlineStr">
        <is>
          <t>OSBY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36397-2020</t>
        </is>
      </c>
      <c r="B1363" s="1" t="n">
        <v>44049</v>
      </c>
      <c r="C1363" s="1" t="n">
        <v>45744</v>
      </c>
      <c r="D1363" t="inlineStr">
        <is>
          <t>SKÅNE LÄN</t>
        </is>
      </c>
      <c r="E1363" t="inlineStr">
        <is>
          <t>ÖRKELLJUNGA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36591-2020</t>
        </is>
      </c>
      <c r="B1364" s="1" t="n">
        <v>44050</v>
      </c>
      <c r="C1364" s="1" t="n">
        <v>45744</v>
      </c>
      <c r="D1364" t="inlineStr">
        <is>
          <t>SKÅNE LÄN</t>
        </is>
      </c>
      <c r="E1364" t="inlineStr">
        <is>
          <t>ÖSTRA GÖINGE</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36595-2020</t>
        </is>
      </c>
      <c r="B1365" s="1" t="n">
        <v>44050</v>
      </c>
      <c r="C1365" s="1" t="n">
        <v>45744</v>
      </c>
      <c r="D1365" t="inlineStr">
        <is>
          <t>SKÅNE LÄN</t>
        </is>
      </c>
      <c r="E1365" t="inlineStr">
        <is>
          <t>ÖSTRA GÖINGE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36721-2020</t>
        </is>
      </c>
      <c r="B1366" s="1" t="n">
        <v>44053</v>
      </c>
      <c r="C1366" s="1" t="n">
        <v>45744</v>
      </c>
      <c r="D1366" t="inlineStr">
        <is>
          <t>SKÅNE LÄN</t>
        </is>
      </c>
      <c r="E1366" t="inlineStr">
        <is>
          <t>HÄSSLEHOLM</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36728-2020</t>
        </is>
      </c>
      <c r="B1367" s="1" t="n">
        <v>44053</v>
      </c>
      <c r="C1367" s="1" t="n">
        <v>45744</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37180-2020</t>
        </is>
      </c>
      <c r="B1368" s="1" t="n">
        <v>44054</v>
      </c>
      <c r="C1368" s="1" t="n">
        <v>45744</v>
      </c>
      <c r="D1368" t="inlineStr">
        <is>
          <t>SKÅNE LÄN</t>
        </is>
      </c>
      <c r="E1368" t="inlineStr">
        <is>
          <t>KRISTIANSTAD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37351-2020</t>
        </is>
      </c>
      <c r="B1369" s="1" t="n">
        <v>44055</v>
      </c>
      <c r="C1369" s="1" t="n">
        <v>45744</v>
      </c>
      <c r="D1369" t="inlineStr">
        <is>
          <t>SKÅNE LÄN</t>
        </is>
      </c>
      <c r="E1369" t="inlineStr">
        <is>
          <t>HÖÖR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37311-2020</t>
        </is>
      </c>
      <c r="B1370" s="1" t="n">
        <v>44055</v>
      </c>
      <c r="C1370" s="1" t="n">
        <v>45744</v>
      </c>
      <c r="D1370" t="inlineStr">
        <is>
          <t>SKÅNE LÄN</t>
        </is>
      </c>
      <c r="E1370" t="inlineStr">
        <is>
          <t>OSBY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37358-2020</t>
        </is>
      </c>
      <c r="B1371" s="1" t="n">
        <v>44055</v>
      </c>
      <c r="C1371" s="1" t="n">
        <v>45744</v>
      </c>
      <c r="D1371" t="inlineStr">
        <is>
          <t>SKÅNE LÄN</t>
        </is>
      </c>
      <c r="E1371" t="inlineStr">
        <is>
          <t>HÖÖR</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37655-2020</t>
        </is>
      </c>
      <c r="B1372" s="1" t="n">
        <v>44056</v>
      </c>
      <c r="C1372" s="1" t="n">
        <v>45744</v>
      </c>
      <c r="D1372" t="inlineStr">
        <is>
          <t>SKÅNE LÄN</t>
        </is>
      </c>
      <c r="E1372" t="inlineStr">
        <is>
          <t>HÄSSLEHOLM</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37825-2020</t>
        </is>
      </c>
      <c r="B1373" s="1" t="n">
        <v>44057</v>
      </c>
      <c r="C1373" s="1" t="n">
        <v>45744</v>
      </c>
      <c r="D1373" t="inlineStr">
        <is>
          <t>SKÅNE LÄN</t>
        </is>
      </c>
      <c r="E1373" t="inlineStr">
        <is>
          <t>OSBY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38110-2020</t>
        </is>
      </c>
      <c r="B1374" s="1" t="n">
        <v>44058</v>
      </c>
      <c r="C1374" s="1" t="n">
        <v>45744</v>
      </c>
      <c r="D1374" t="inlineStr">
        <is>
          <t>SKÅNE LÄN</t>
        </is>
      </c>
      <c r="E1374" t="inlineStr">
        <is>
          <t>HÄSSLEHOLM</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38138-2020</t>
        </is>
      </c>
      <c r="B1375" s="1" t="n">
        <v>44060</v>
      </c>
      <c r="C1375" s="1" t="n">
        <v>45744</v>
      </c>
      <c r="D1375" t="inlineStr">
        <is>
          <t>SKÅNE LÄN</t>
        </is>
      </c>
      <c r="E1375" t="inlineStr">
        <is>
          <t>HÄSSLEHOLM</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38350-2020</t>
        </is>
      </c>
      <c r="B1376" s="1" t="n">
        <v>44060</v>
      </c>
      <c r="C1376" s="1" t="n">
        <v>45744</v>
      </c>
      <c r="D1376" t="inlineStr">
        <is>
          <t>SKÅNE LÄN</t>
        </is>
      </c>
      <c r="E1376" t="inlineStr">
        <is>
          <t>OSBY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38356-2020</t>
        </is>
      </c>
      <c r="B1377" s="1" t="n">
        <v>44060</v>
      </c>
      <c r="C1377" s="1" t="n">
        <v>45744</v>
      </c>
      <c r="D1377" t="inlineStr">
        <is>
          <t>SKÅNE LÄN</t>
        </is>
      </c>
      <c r="E1377" t="inlineStr">
        <is>
          <t>OSBY</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38354-2020</t>
        </is>
      </c>
      <c r="B1378" s="1" t="n">
        <v>44060</v>
      </c>
      <c r="C1378" s="1" t="n">
        <v>45744</v>
      </c>
      <c r="D1378" t="inlineStr">
        <is>
          <t>SKÅNE LÄN</t>
        </is>
      </c>
      <c r="E1378" t="inlineStr">
        <is>
          <t>OSBY</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38589-2020</t>
        </is>
      </c>
      <c r="B1379" s="1" t="n">
        <v>44061</v>
      </c>
      <c r="C1379" s="1" t="n">
        <v>45744</v>
      </c>
      <c r="D1379" t="inlineStr">
        <is>
          <t>SKÅNE LÄN</t>
        </is>
      </c>
      <c r="E1379" t="inlineStr">
        <is>
          <t>OSBY</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38491-2020</t>
        </is>
      </c>
      <c r="B1380" s="1" t="n">
        <v>44061</v>
      </c>
      <c r="C1380" s="1" t="n">
        <v>45744</v>
      </c>
      <c r="D1380" t="inlineStr">
        <is>
          <t>SKÅNE LÄN</t>
        </is>
      </c>
      <c r="E1380" t="inlineStr">
        <is>
          <t>HÖRBY</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38688-2020</t>
        </is>
      </c>
      <c r="B1381" s="1" t="n">
        <v>44061</v>
      </c>
      <c r="C1381" s="1" t="n">
        <v>45744</v>
      </c>
      <c r="D1381" t="inlineStr">
        <is>
          <t>SKÅNE LÄN</t>
        </is>
      </c>
      <c r="E1381" t="inlineStr">
        <is>
          <t>LUND</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39241-2020</t>
        </is>
      </c>
      <c r="B1382" s="1" t="n">
        <v>44063</v>
      </c>
      <c r="C1382" s="1" t="n">
        <v>45744</v>
      </c>
      <c r="D1382" t="inlineStr">
        <is>
          <t>SKÅNE LÄN</t>
        </is>
      </c>
      <c r="E1382" t="inlineStr">
        <is>
          <t>ÖSTRA GÖINGE</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39895-2020</t>
        </is>
      </c>
      <c r="B1383" s="1" t="n">
        <v>44063</v>
      </c>
      <c r="C1383" s="1" t="n">
        <v>45744</v>
      </c>
      <c r="D1383" t="inlineStr">
        <is>
          <t>SKÅNE LÄN</t>
        </is>
      </c>
      <c r="E1383" t="inlineStr">
        <is>
          <t>HÖRBY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39672-2020</t>
        </is>
      </c>
      <c r="B1384" s="1" t="n">
        <v>44065</v>
      </c>
      <c r="C1384" s="1" t="n">
        <v>45744</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40041-2020</t>
        </is>
      </c>
      <c r="B1385" s="1" t="n">
        <v>44067</v>
      </c>
      <c r="C1385" s="1" t="n">
        <v>45744</v>
      </c>
      <c r="D1385" t="inlineStr">
        <is>
          <t>SKÅNE LÄN</t>
        </is>
      </c>
      <c r="E1385" t="inlineStr">
        <is>
          <t>KLIPPAN</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40286-2020</t>
        </is>
      </c>
      <c r="B1386" s="1" t="n">
        <v>44067</v>
      </c>
      <c r="C1386" s="1" t="n">
        <v>45744</v>
      </c>
      <c r="D1386" t="inlineStr">
        <is>
          <t>SKÅNE LÄN</t>
        </is>
      </c>
      <c r="E1386" t="inlineStr">
        <is>
          <t>ÖRKELLJUNGA</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40260-2020</t>
        </is>
      </c>
      <c r="B1387" s="1" t="n">
        <v>44067</v>
      </c>
      <c r="C1387" s="1" t="n">
        <v>45744</v>
      </c>
      <c r="D1387" t="inlineStr">
        <is>
          <t>SKÅNE LÄN</t>
        </is>
      </c>
      <c r="E1387" t="inlineStr">
        <is>
          <t>ÖRKELLJUNGA</t>
        </is>
      </c>
      <c r="G1387" t="n">
        <v>12.9</v>
      </c>
      <c r="H1387" t="n">
        <v>0</v>
      </c>
      <c r="I1387" t="n">
        <v>0</v>
      </c>
      <c r="J1387" t="n">
        <v>0</v>
      </c>
      <c r="K1387" t="n">
        <v>0</v>
      </c>
      <c r="L1387" t="n">
        <v>0</v>
      </c>
      <c r="M1387" t="n">
        <v>0</v>
      </c>
      <c r="N1387" t="n">
        <v>0</v>
      </c>
      <c r="O1387" t="n">
        <v>0</v>
      </c>
      <c r="P1387" t="n">
        <v>0</v>
      </c>
      <c r="Q1387" t="n">
        <v>0</v>
      </c>
      <c r="R1387" s="2" t="inlineStr"/>
    </row>
    <row r="1388" ht="15" customHeight="1">
      <c r="A1388" t="inlineStr">
        <is>
          <t>A 40304-2020</t>
        </is>
      </c>
      <c r="B1388" s="1" t="n">
        <v>44067</v>
      </c>
      <c r="C1388" s="1" t="n">
        <v>45744</v>
      </c>
      <c r="D1388" t="inlineStr">
        <is>
          <t>SKÅNE LÄN</t>
        </is>
      </c>
      <c r="E1388" t="inlineStr">
        <is>
          <t>KLIPPAN</t>
        </is>
      </c>
      <c r="F1388" t="inlineStr">
        <is>
          <t>Övriga Aktiebolag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40315-2020</t>
        </is>
      </c>
      <c r="B1389" s="1" t="n">
        <v>44067</v>
      </c>
      <c r="C1389" s="1" t="n">
        <v>45744</v>
      </c>
      <c r="D1389" t="inlineStr">
        <is>
          <t>SKÅNE LÄN</t>
        </is>
      </c>
      <c r="E1389" t="inlineStr">
        <is>
          <t>SJÖBO</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40256-2020</t>
        </is>
      </c>
      <c r="B1390" s="1" t="n">
        <v>44067</v>
      </c>
      <c r="C1390" s="1" t="n">
        <v>45744</v>
      </c>
      <c r="D1390" t="inlineStr">
        <is>
          <t>SKÅNE LÄN</t>
        </is>
      </c>
      <c r="E1390" t="inlineStr">
        <is>
          <t>ÖRKELLJUNGA</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40329-2020</t>
        </is>
      </c>
      <c r="B1391" s="1" t="n">
        <v>44067</v>
      </c>
      <c r="C1391" s="1" t="n">
        <v>45744</v>
      </c>
      <c r="D1391" t="inlineStr">
        <is>
          <t>SKÅNE LÄN</t>
        </is>
      </c>
      <c r="E1391" t="inlineStr">
        <is>
          <t>HÄSSLEHOLM</t>
        </is>
      </c>
      <c r="F1391" t="inlineStr">
        <is>
          <t>Övriga Aktiebolag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39746-2020</t>
        </is>
      </c>
      <c r="B1392" s="1" t="n">
        <v>44067</v>
      </c>
      <c r="C1392" s="1" t="n">
        <v>45744</v>
      </c>
      <c r="D1392" t="inlineStr">
        <is>
          <t>SKÅNE LÄN</t>
        </is>
      </c>
      <c r="E1392" t="inlineStr">
        <is>
          <t>OSBY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40319-2020</t>
        </is>
      </c>
      <c r="B1393" s="1" t="n">
        <v>44068</v>
      </c>
      <c r="C1393" s="1" t="n">
        <v>45744</v>
      </c>
      <c r="D1393" t="inlineStr">
        <is>
          <t>SKÅNE LÄN</t>
        </is>
      </c>
      <c r="E1393" t="inlineStr">
        <is>
          <t>HÄSSLEHOLM</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40292-2020</t>
        </is>
      </c>
      <c r="B1394" s="1" t="n">
        <v>44068</v>
      </c>
      <c r="C1394" s="1" t="n">
        <v>45744</v>
      </c>
      <c r="D1394" t="inlineStr">
        <is>
          <t>SKÅNE LÄN</t>
        </is>
      </c>
      <c r="E1394" t="inlineStr">
        <is>
          <t>HÄSSLEHOLM</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40864-2020</t>
        </is>
      </c>
      <c r="B1395" s="1" t="n">
        <v>44068</v>
      </c>
      <c r="C1395" s="1" t="n">
        <v>45744</v>
      </c>
      <c r="D1395" t="inlineStr">
        <is>
          <t>SKÅNE LÄN</t>
        </is>
      </c>
      <c r="E1395" t="inlineStr">
        <is>
          <t>KLIPPAN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41733-2020</t>
        </is>
      </c>
      <c r="B1396" s="1" t="n">
        <v>44070</v>
      </c>
      <c r="C1396" s="1" t="n">
        <v>45744</v>
      </c>
      <c r="D1396" t="inlineStr">
        <is>
          <t>SKÅNE LÄN</t>
        </is>
      </c>
      <c r="E1396" t="inlineStr">
        <is>
          <t>ESLÖV</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41795-2020</t>
        </is>
      </c>
      <c r="B1397" s="1" t="n">
        <v>44070</v>
      </c>
      <c r="C1397" s="1" t="n">
        <v>45744</v>
      </c>
      <c r="D1397" t="inlineStr">
        <is>
          <t>SKÅNE LÄN</t>
        </is>
      </c>
      <c r="E1397" t="inlineStr">
        <is>
          <t>SVALÖV</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41312-2020</t>
        </is>
      </c>
      <c r="B1398" s="1" t="n">
        <v>44071</v>
      </c>
      <c r="C1398" s="1" t="n">
        <v>45744</v>
      </c>
      <c r="D1398" t="inlineStr">
        <is>
          <t>SKÅNE LÄN</t>
        </is>
      </c>
      <c r="E1398" t="inlineStr">
        <is>
          <t>ÖSTRA GÖINGE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41309-2020</t>
        </is>
      </c>
      <c r="B1399" s="1" t="n">
        <v>44071</v>
      </c>
      <c r="C1399" s="1" t="n">
        <v>45744</v>
      </c>
      <c r="D1399" t="inlineStr">
        <is>
          <t>SKÅNE LÄN</t>
        </is>
      </c>
      <c r="E1399" t="inlineStr">
        <is>
          <t>ÖSTRA GÖINGE</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41315-2020</t>
        </is>
      </c>
      <c r="B1400" s="1" t="n">
        <v>44071</v>
      </c>
      <c r="C1400" s="1" t="n">
        <v>45744</v>
      </c>
      <c r="D1400" t="inlineStr">
        <is>
          <t>SKÅNE LÄN</t>
        </is>
      </c>
      <c r="E1400" t="inlineStr">
        <is>
          <t>ÖSTRA GÖINGE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42262-2020</t>
        </is>
      </c>
      <c r="B1401" s="1" t="n">
        <v>44074</v>
      </c>
      <c r="C1401" s="1" t="n">
        <v>45744</v>
      </c>
      <c r="D1401" t="inlineStr">
        <is>
          <t>SKÅNE LÄN</t>
        </is>
      </c>
      <c r="E1401" t="inlineStr">
        <is>
          <t>KRISTIANSTAD</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42363-2020</t>
        </is>
      </c>
      <c r="B1402" s="1" t="n">
        <v>44074</v>
      </c>
      <c r="C1402" s="1" t="n">
        <v>45744</v>
      </c>
      <c r="D1402" t="inlineStr">
        <is>
          <t>SKÅNE LÄN</t>
        </is>
      </c>
      <c r="E1402" t="inlineStr">
        <is>
          <t>SJÖBO</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42311-2020</t>
        </is>
      </c>
      <c r="B1403" s="1" t="n">
        <v>44076</v>
      </c>
      <c r="C1403" s="1" t="n">
        <v>45744</v>
      </c>
      <c r="D1403" t="inlineStr">
        <is>
          <t>SKÅNE LÄN</t>
        </is>
      </c>
      <c r="E1403" t="inlineStr">
        <is>
          <t>KLIPPAN</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42353-2020</t>
        </is>
      </c>
      <c r="B1404" s="1" t="n">
        <v>44076</v>
      </c>
      <c r="C1404" s="1" t="n">
        <v>45744</v>
      </c>
      <c r="D1404" t="inlineStr">
        <is>
          <t>SKÅNE LÄN</t>
        </is>
      </c>
      <c r="E1404" t="inlineStr">
        <is>
          <t>KRISTIANSTAD</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42565-2020</t>
        </is>
      </c>
      <c r="B1405" s="1" t="n">
        <v>44077</v>
      </c>
      <c r="C1405" s="1" t="n">
        <v>45744</v>
      </c>
      <c r="D1405" t="inlineStr">
        <is>
          <t>SKÅNE LÄN</t>
        </is>
      </c>
      <c r="E1405" t="inlineStr">
        <is>
          <t>ÄNGELHOLM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42729-2020</t>
        </is>
      </c>
      <c r="B1406" s="1" t="n">
        <v>44077</v>
      </c>
      <c r="C1406" s="1" t="n">
        <v>45744</v>
      </c>
      <c r="D1406" t="inlineStr">
        <is>
          <t>SKÅNE LÄN</t>
        </is>
      </c>
      <c r="E1406" t="inlineStr">
        <is>
          <t>OSBY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43414-2020</t>
        </is>
      </c>
      <c r="B1407" s="1" t="n">
        <v>44077</v>
      </c>
      <c r="C1407" s="1" t="n">
        <v>45744</v>
      </c>
      <c r="D1407" t="inlineStr">
        <is>
          <t>SKÅNE LÄN</t>
        </is>
      </c>
      <c r="E1407" t="inlineStr">
        <is>
          <t>KRISTIANSTAD</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42839-2020</t>
        </is>
      </c>
      <c r="B1408" s="1" t="n">
        <v>44078</v>
      </c>
      <c r="C1408" s="1" t="n">
        <v>45744</v>
      </c>
      <c r="D1408" t="inlineStr">
        <is>
          <t>SKÅNE LÄN</t>
        </is>
      </c>
      <c r="E1408" t="inlineStr">
        <is>
          <t>HÄSSLEHOLM</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43572-2020</t>
        </is>
      </c>
      <c r="B1409" s="1" t="n">
        <v>44078</v>
      </c>
      <c r="C1409" s="1" t="n">
        <v>45744</v>
      </c>
      <c r="D1409" t="inlineStr">
        <is>
          <t>SKÅNE LÄN</t>
        </is>
      </c>
      <c r="E1409" t="inlineStr">
        <is>
          <t>ÖSTRA GÖINGE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42812-2020</t>
        </is>
      </c>
      <c r="B1410" s="1" t="n">
        <v>44078</v>
      </c>
      <c r="C1410" s="1" t="n">
        <v>45744</v>
      </c>
      <c r="D1410" t="inlineStr">
        <is>
          <t>SKÅNE LÄN</t>
        </is>
      </c>
      <c r="E1410" t="inlineStr">
        <is>
          <t>HÄSSLEHOLM</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42815-2020</t>
        </is>
      </c>
      <c r="B1411" s="1" t="n">
        <v>44078</v>
      </c>
      <c r="C1411" s="1" t="n">
        <v>45744</v>
      </c>
      <c r="D1411" t="inlineStr">
        <is>
          <t>SKÅNE LÄN</t>
        </is>
      </c>
      <c r="E1411" t="inlineStr">
        <is>
          <t>HÄSSLEHOLM</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43045-2020</t>
        </is>
      </c>
      <c r="B1412" s="1" t="n">
        <v>44078</v>
      </c>
      <c r="C1412" s="1" t="n">
        <v>45744</v>
      </c>
      <c r="D1412" t="inlineStr">
        <is>
          <t>SKÅNE LÄN</t>
        </is>
      </c>
      <c r="E1412" t="inlineStr">
        <is>
          <t>HÄSSLEHOLM</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43574-2020</t>
        </is>
      </c>
      <c r="B1413" s="1" t="n">
        <v>44078</v>
      </c>
      <c r="C1413" s="1" t="n">
        <v>45744</v>
      </c>
      <c r="D1413" t="inlineStr">
        <is>
          <t>SKÅNE LÄN</t>
        </is>
      </c>
      <c r="E1413" t="inlineStr">
        <is>
          <t>ÖSTRA GÖINGE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43645-2020</t>
        </is>
      </c>
      <c r="B1414" s="1" t="n">
        <v>44078</v>
      </c>
      <c r="C1414" s="1" t="n">
        <v>45744</v>
      </c>
      <c r="D1414" t="inlineStr">
        <is>
          <t>SKÅNE LÄN</t>
        </is>
      </c>
      <c r="E1414" t="inlineStr">
        <is>
          <t>ÄNGELHOLM</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43409-2020</t>
        </is>
      </c>
      <c r="B1415" s="1" t="n">
        <v>44081</v>
      </c>
      <c r="C1415" s="1" t="n">
        <v>45744</v>
      </c>
      <c r="D1415" t="inlineStr">
        <is>
          <t>SKÅNE LÄN</t>
        </is>
      </c>
      <c r="E1415" t="inlineStr">
        <is>
          <t>BJUV</t>
        </is>
      </c>
      <c r="F1415" t="inlineStr">
        <is>
          <t>Kyrkan</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43419-2020</t>
        </is>
      </c>
      <c r="B1416" s="1" t="n">
        <v>44081</v>
      </c>
      <c r="C1416" s="1" t="n">
        <v>45744</v>
      </c>
      <c r="D1416" t="inlineStr">
        <is>
          <t>SKÅNE LÄN</t>
        </is>
      </c>
      <c r="E1416" t="inlineStr">
        <is>
          <t>ÖSTRA GÖINGE</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44079-2020</t>
        </is>
      </c>
      <c r="B1417" s="1" t="n">
        <v>44081</v>
      </c>
      <c r="C1417" s="1" t="n">
        <v>45744</v>
      </c>
      <c r="D1417" t="inlineStr">
        <is>
          <t>SKÅNE LÄN</t>
        </is>
      </c>
      <c r="E1417" t="inlineStr">
        <is>
          <t>HÖRBY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43580-2020</t>
        </is>
      </c>
      <c r="B1418" s="1" t="n">
        <v>44082</v>
      </c>
      <c r="C1418" s="1" t="n">
        <v>45744</v>
      </c>
      <c r="D1418" t="inlineStr">
        <is>
          <t>SKÅNE LÄN</t>
        </is>
      </c>
      <c r="E1418" t="inlineStr">
        <is>
          <t>HÄSSLEHOLM</t>
        </is>
      </c>
      <c r="F1418" t="inlineStr">
        <is>
          <t>Kyrkan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43595-2020</t>
        </is>
      </c>
      <c r="B1419" s="1" t="n">
        <v>44082</v>
      </c>
      <c r="C1419" s="1" t="n">
        <v>45744</v>
      </c>
      <c r="D1419" t="inlineStr">
        <is>
          <t>SKÅNE LÄN</t>
        </is>
      </c>
      <c r="E1419" t="inlineStr">
        <is>
          <t>HÄSSLEHOLM</t>
        </is>
      </c>
      <c r="F1419" t="inlineStr">
        <is>
          <t>Kyrkan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43600-2020</t>
        </is>
      </c>
      <c r="B1420" s="1" t="n">
        <v>44082</v>
      </c>
      <c r="C1420" s="1" t="n">
        <v>45744</v>
      </c>
      <c r="D1420" t="inlineStr">
        <is>
          <t>SKÅNE LÄN</t>
        </is>
      </c>
      <c r="E1420" t="inlineStr">
        <is>
          <t>HÄSSLEHOLM</t>
        </is>
      </c>
      <c r="F1420" t="inlineStr">
        <is>
          <t>Kyrkan</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43795-2020</t>
        </is>
      </c>
      <c r="B1421" s="1" t="n">
        <v>44082</v>
      </c>
      <c r="C1421" s="1" t="n">
        <v>45744</v>
      </c>
      <c r="D1421" t="inlineStr">
        <is>
          <t>SKÅNE LÄN</t>
        </is>
      </c>
      <c r="E1421" t="inlineStr">
        <is>
          <t>OSBY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44297-2020</t>
        </is>
      </c>
      <c r="B1422" s="1" t="n">
        <v>44082</v>
      </c>
      <c r="C1422" s="1" t="n">
        <v>45744</v>
      </c>
      <c r="D1422" t="inlineStr">
        <is>
          <t>SKÅNE LÄN</t>
        </is>
      </c>
      <c r="E1422" t="inlineStr">
        <is>
          <t>KLIPPAN</t>
        </is>
      </c>
      <c r="F1422" t="inlineStr">
        <is>
          <t>Övriga Aktiebolag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44318-2020</t>
        </is>
      </c>
      <c r="B1423" s="1" t="n">
        <v>44082</v>
      </c>
      <c r="C1423" s="1" t="n">
        <v>45744</v>
      </c>
      <c r="D1423" t="inlineStr">
        <is>
          <t>SKÅNE LÄN</t>
        </is>
      </c>
      <c r="E1423" t="inlineStr">
        <is>
          <t>KLIPPAN</t>
        </is>
      </c>
      <c r="F1423" t="inlineStr">
        <is>
          <t>Övriga Aktiebolag</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44228-2020</t>
        </is>
      </c>
      <c r="B1424" s="1" t="n">
        <v>44082</v>
      </c>
      <c r="C1424" s="1" t="n">
        <v>45744</v>
      </c>
      <c r="D1424" t="inlineStr">
        <is>
          <t>SKÅNE LÄN</t>
        </is>
      </c>
      <c r="E1424" t="inlineStr">
        <is>
          <t>HÄSSLEHOLM</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44327-2020</t>
        </is>
      </c>
      <c r="B1425" s="1" t="n">
        <v>44082</v>
      </c>
      <c r="C1425" s="1" t="n">
        <v>45744</v>
      </c>
      <c r="D1425" t="inlineStr">
        <is>
          <t>SKÅNE LÄN</t>
        </is>
      </c>
      <c r="E1425" t="inlineStr">
        <is>
          <t>ESLÖV</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44316-2020</t>
        </is>
      </c>
      <c r="B1426" s="1" t="n">
        <v>44084</v>
      </c>
      <c r="C1426" s="1" t="n">
        <v>45744</v>
      </c>
      <c r="D1426" t="inlineStr">
        <is>
          <t>SKÅNE LÄN</t>
        </is>
      </c>
      <c r="E1426" t="inlineStr">
        <is>
          <t>KRISTIANSTAD</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44403-2020</t>
        </is>
      </c>
      <c r="B1427" s="1" t="n">
        <v>44084</v>
      </c>
      <c r="C1427" s="1" t="n">
        <v>45744</v>
      </c>
      <c r="D1427" t="inlineStr">
        <is>
          <t>SKÅNE LÄN</t>
        </is>
      </c>
      <c r="E1427" t="inlineStr">
        <is>
          <t>ÖSTRA GÖINGE</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44463-2020</t>
        </is>
      </c>
      <c r="B1428" s="1" t="n">
        <v>44084</v>
      </c>
      <c r="C1428" s="1" t="n">
        <v>45744</v>
      </c>
      <c r="D1428" t="inlineStr">
        <is>
          <t>SKÅNE LÄN</t>
        </is>
      </c>
      <c r="E1428" t="inlineStr">
        <is>
          <t>KRISTIANSTAD</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44464-2020</t>
        </is>
      </c>
      <c r="B1429" s="1" t="n">
        <v>44084</v>
      </c>
      <c r="C1429" s="1" t="n">
        <v>45744</v>
      </c>
      <c r="D1429" t="inlineStr">
        <is>
          <t>SKÅNE LÄN</t>
        </is>
      </c>
      <c r="E1429" t="inlineStr">
        <is>
          <t>KRISTIANSTAD</t>
        </is>
      </c>
      <c r="G1429" t="n">
        <v>11.6</v>
      </c>
      <c r="H1429" t="n">
        <v>0</v>
      </c>
      <c r="I1429" t="n">
        <v>0</v>
      </c>
      <c r="J1429" t="n">
        <v>0</v>
      </c>
      <c r="K1429" t="n">
        <v>0</v>
      </c>
      <c r="L1429" t="n">
        <v>0</v>
      </c>
      <c r="M1429" t="n">
        <v>0</v>
      </c>
      <c r="N1429" t="n">
        <v>0</v>
      </c>
      <c r="O1429" t="n">
        <v>0</v>
      </c>
      <c r="P1429" t="n">
        <v>0</v>
      </c>
      <c r="Q1429" t="n">
        <v>0</v>
      </c>
      <c r="R1429" s="2" t="inlineStr"/>
    </row>
    <row r="1430" ht="15" customHeight="1">
      <c r="A1430" t="inlineStr">
        <is>
          <t>A 44527-2020</t>
        </is>
      </c>
      <c r="B1430" s="1" t="n">
        <v>44085</v>
      </c>
      <c r="C1430" s="1" t="n">
        <v>45744</v>
      </c>
      <c r="D1430" t="inlineStr">
        <is>
          <t>SKÅNE LÄN</t>
        </is>
      </c>
      <c r="E1430" t="inlineStr">
        <is>
          <t>HÄSSLEHOLM</t>
        </is>
      </c>
      <c r="F1430" t="inlineStr">
        <is>
          <t>Kommuner</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44515-2020</t>
        </is>
      </c>
      <c r="B1431" s="1" t="n">
        <v>44085</v>
      </c>
      <c r="C1431" s="1" t="n">
        <v>45744</v>
      </c>
      <c r="D1431" t="inlineStr">
        <is>
          <t>SKÅNE LÄN</t>
        </is>
      </c>
      <c r="E1431" t="inlineStr">
        <is>
          <t>OSBY</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44651-2020</t>
        </is>
      </c>
      <c r="B1432" s="1" t="n">
        <v>44085</v>
      </c>
      <c r="C1432" s="1" t="n">
        <v>45744</v>
      </c>
      <c r="D1432" t="inlineStr">
        <is>
          <t>SKÅNE LÄN</t>
        </is>
      </c>
      <c r="E1432" t="inlineStr">
        <is>
          <t>OSBY</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44704-2020</t>
        </is>
      </c>
      <c r="B1433" s="1" t="n">
        <v>44085</v>
      </c>
      <c r="C1433" s="1" t="n">
        <v>45744</v>
      </c>
      <c r="D1433" t="inlineStr">
        <is>
          <t>SKÅNE LÄN</t>
        </is>
      </c>
      <c r="E1433" t="inlineStr">
        <is>
          <t>ÖRKELLJUNGA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44717-2020</t>
        </is>
      </c>
      <c r="B1434" s="1" t="n">
        <v>44085</v>
      </c>
      <c r="C1434" s="1" t="n">
        <v>45744</v>
      </c>
      <c r="D1434" t="inlineStr">
        <is>
          <t>SKÅNE LÄN</t>
        </is>
      </c>
      <c r="E1434" t="inlineStr">
        <is>
          <t>BROMÖLLA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44698-2020</t>
        </is>
      </c>
      <c r="B1435" s="1" t="n">
        <v>44085</v>
      </c>
      <c r="C1435" s="1" t="n">
        <v>45744</v>
      </c>
      <c r="D1435" t="inlineStr">
        <is>
          <t>SKÅNE LÄN</t>
        </is>
      </c>
      <c r="E1435" t="inlineStr">
        <is>
          <t>ÖRKELLJUNGA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45138-2020</t>
        </is>
      </c>
      <c r="B1436" s="1" t="n">
        <v>44088</v>
      </c>
      <c r="C1436" s="1" t="n">
        <v>45744</v>
      </c>
      <c r="D1436" t="inlineStr">
        <is>
          <t>SKÅNE LÄN</t>
        </is>
      </c>
      <c r="E1436" t="inlineStr">
        <is>
          <t>OSBY</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45512-2020</t>
        </is>
      </c>
      <c r="B1437" s="1" t="n">
        <v>44089</v>
      </c>
      <c r="C1437" s="1" t="n">
        <v>45744</v>
      </c>
      <c r="D1437" t="inlineStr">
        <is>
          <t>SKÅNE LÄN</t>
        </is>
      </c>
      <c r="E1437" t="inlineStr">
        <is>
          <t>SVALÖV</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45555-2020</t>
        </is>
      </c>
      <c r="B1438" s="1" t="n">
        <v>44089</v>
      </c>
      <c r="C1438" s="1" t="n">
        <v>45744</v>
      </c>
      <c r="D1438" t="inlineStr">
        <is>
          <t>SKÅNE LÄN</t>
        </is>
      </c>
      <c r="E1438" t="inlineStr">
        <is>
          <t>HÄSSLEHOLM</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46619-2020</t>
        </is>
      </c>
      <c r="B1439" s="1" t="n">
        <v>44089</v>
      </c>
      <c r="C1439" s="1" t="n">
        <v>45744</v>
      </c>
      <c r="D1439" t="inlineStr">
        <is>
          <t>SKÅNE LÄN</t>
        </is>
      </c>
      <c r="E1439" t="inlineStr">
        <is>
          <t>OSBY</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45632-2020</t>
        </is>
      </c>
      <c r="B1440" s="1" t="n">
        <v>44090</v>
      </c>
      <c r="C1440" s="1" t="n">
        <v>45744</v>
      </c>
      <c r="D1440" t="inlineStr">
        <is>
          <t>SKÅNE LÄN</t>
        </is>
      </c>
      <c r="E1440" t="inlineStr">
        <is>
          <t>ÖSTRA GÖINGE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45814-2020</t>
        </is>
      </c>
      <c r="B1441" s="1" t="n">
        <v>44090</v>
      </c>
      <c r="C1441" s="1" t="n">
        <v>45744</v>
      </c>
      <c r="D1441" t="inlineStr">
        <is>
          <t>SKÅNE LÄN</t>
        </is>
      </c>
      <c r="E1441" t="inlineStr">
        <is>
          <t>HÄSSLEHOLM</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45815-2020</t>
        </is>
      </c>
      <c r="B1442" s="1" t="n">
        <v>44090</v>
      </c>
      <c r="C1442" s="1" t="n">
        <v>45744</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45882-2020</t>
        </is>
      </c>
      <c r="B1443" s="1" t="n">
        <v>44091</v>
      </c>
      <c r="C1443" s="1" t="n">
        <v>45744</v>
      </c>
      <c r="D1443" t="inlineStr">
        <is>
          <t>SKÅNE LÄN</t>
        </is>
      </c>
      <c r="E1443" t="inlineStr">
        <is>
          <t>ÖRKELLJUNGA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46125-2020</t>
        </is>
      </c>
      <c r="B1444" s="1" t="n">
        <v>44091</v>
      </c>
      <c r="C1444" s="1" t="n">
        <v>45744</v>
      </c>
      <c r="D1444" t="inlineStr">
        <is>
          <t>SKÅNE LÄN</t>
        </is>
      </c>
      <c r="E1444" t="inlineStr">
        <is>
          <t>HÄSSLEHOLM</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46145-2020</t>
        </is>
      </c>
      <c r="B1445" s="1" t="n">
        <v>44091</v>
      </c>
      <c r="C1445" s="1" t="n">
        <v>45744</v>
      </c>
      <c r="D1445" t="inlineStr">
        <is>
          <t>SKÅNE LÄN</t>
        </is>
      </c>
      <c r="E1445" t="inlineStr">
        <is>
          <t>HÄSSLEHOLM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46170-2020</t>
        </is>
      </c>
      <c r="B1446" s="1" t="n">
        <v>44092</v>
      </c>
      <c r="C1446" s="1" t="n">
        <v>45744</v>
      </c>
      <c r="D1446" t="inlineStr">
        <is>
          <t>SKÅNE LÄN</t>
        </is>
      </c>
      <c r="E1446" t="inlineStr">
        <is>
          <t>OSBY</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46172-2020</t>
        </is>
      </c>
      <c r="B1447" s="1" t="n">
        <v>44092</v>
      </c>
      <c r="C1447" s="1" t="n">
        <v>45744</v>
      </c>
      <c r="D1447" t="inlineStr">
        <is>
          <t>SKÅNE LÄN</t>
        </is>
      </c>
      <c r="E1447" t="inlineStr">
        <is>
          <t>OSBY</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46465-2020</t>
        </is>
      </c>
      <c r="B1448" s="1" t="n">
        <v>44092</v>
      </c>
      <c r="C1448" s="1" t="n">
        <v>45744</v>
      </c>
      <c r="D1448" t="inlineStr">
        <is>
          <t>SKÅNE LÄN</t>
        </is>
      </c>
      <c r="E1448" t="inlineStr">
        <is>
          <t>ÖSTRA GÖINGE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46452-2020</t>
        </is>
      </c>
      <c r="B1449" s="1" t="n">
        <v>44092</v>
      </c>
      <c r="C1449" s="1" t="n">
        <v>45744</v>
      </c>
      <c r="D1449" t="inlineStr">
        <is>
          <t>SKÅNE LÄN</t>
        </is>
      </c>
      <c r="E1449" t="inlineStr">
        <is>
          <t>ÖSTRA GÖINGE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46472-2020</t>
        </is>
      </c>
      <c r="B1450" s="1" t="n">
        <v>44092</v>
      </c>
      <c r="C1450" s="1" t="n">
        <v>45744</v>
      </c>
      <c r="D1450" t="inlineStr">
        <is>
          <t>SKÅNE LÄN</t>
        </is>
      </c>
      <c r="E1450" t="inlineStr">
        <is>
          <t>ÖSTRA GÖINGE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46606-2020</t>
        </is>
      </c>
      <c r="B1451" s="1" t="n">
        <v>44092</v>
      </c>
      <c r="C1451" s="1" t="n">
        <v>45744</v>
      </c>
      <c r="D1451" t="inlineStr">
        <is>
          <t>SKÅNE LÄN</t>
        </is>
      </c>
      <c r="E1451" t="inlineStr">
        <is>
          <t>ÖSTRA GÖINGE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46480-2020</t>
        </is>
      </c>
      <c r="B1452" s="1" t="n">
        <v>44092</v>
      </c>
      <c r="C1452" s="1" t="n">
        <v>45744</v>
      </c>
      <c r="D1452" t="inlineStr">
        <is>
          <t>SKÅNE LÄN</t>
        </is>
      </c>
      <c r="E1452" t="inlineStr">
        <is>
          <t>ÖSTRA GÖINGE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46476-2020</t>
        </is>
      </c>
      <c r="B1453" s="1" t="n">
        <v>44092</v>
      </c>
      <c r="C1453" s="1" t="n">
        <v>45744</v>
      </c>
      <c r="D1453" t="inlineStr">
        <is>
          <t>SKÅNE LÄN</t>
        </is>
      </c>
      <c r="E1453" t="inlineStr">
        <is>
          <t>ÖSTRA GÖINGE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46609-2020</t>
        </is>
      </c>
      <c r="B1454" s="1" t="n">
        <v>44092</v>
      </c>
      <c r="C1454" s="1" t="n">
        <v>45744</v>
      </c>
      <c r="D1454" t="inlineStr">
        <is>
          <t>SKÅNE LÄN</t>
        </is>
      </c>
      <c r="E1454" t="inlineStr">
        <is>
          <t>ÖSTRA GÖINGE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46515-2020</t>
        </is>
      </c>
      <c r="B1455" s="1" t="n">
        <v>44092</v>
      </c>
      <c r="C1455" s="1" t="n">
        <v>45744</v>
      </c>
      <c r="D1455" t="inlineStr">
        <is>
          <t>SKÅNE LÄN</t>
        </is>
      </c>
      <c r="E1455" t="inlineStr">
        <is>
          <t>ÖSTRA GÖINGE</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46479-2020</t>
        </is>
      </c>
      <c r="B1456" s="1" t="n">
        <v>44095</v>
      </c>
      <c r="C1456" s="1" t="n">
        <v>45744</v>
      </c>
      <c r="D1456" t="inlineStr">
        <is>
          <t>SKÅNE LÄN</t>
        </is>
      </c>
      <c r="E1456" t="inlineStr">
        <is>
          <t>HÄSSLEHOLM</t>
        </is>
      </c>
      <c r="F1456" t="inlineStr">
        <is>
          <t>Kyrkan</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47693-2020</t>
        </is>
      </c>
      <c r="B1457" s="1" t="n">
        <v>44095</v>
      </c>
      <c r="C1457" s="1" t="n">
        <v>45744</v>
      </c>
      <c r="D1457" t="inlineStr">
        <is>
          <t>SKÅNE LÄN</t>
        </is>
      </c>
      <c r="E1457" t="inlineStr">
        <is>
          <t>KRISTIANSTAD</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47613-2020</t>
        </is>
      </c>
      <c r="B1458" s="1" t="n">
        <v>44095</v>
      </c>
      <c r="C1458" s="1" t="n">
        <v>45744</v>
      </c>
      <c r="D1458" t="inlineStr">
        <is>
          <t>SKÅNE LÄN</t>
        </is>
      </c>
      <c r="E1458" t="inlineStr">
        <is>
          <t>KRISTIANSTAD</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47594-2020</t>
        </is>
      </c>
      <c r="B1459" s="1" t="n">
        <v>44095</v>
      </c>
      <c r="C1459" s="1" t="n">
        <v>45744</v>
      </c>
      <c r="D1459" t="inlineStr">
        <is>
          <t>SKÅNE LÄN</t>
        </is>
      </c>
      <c r="E1459" t="inlineStr">
        <is>
          <t>KRISTIANSTAD</t>
        </is>
      </c>
      <c r="G1459" t="n">
        <v>13.5</v>
      </c>
      <c r="H1459" t="n">
        <v>0</v>
      </c>
      <c r="I1459" t="n">
        <v>0</v>
      </c>
      <c r="J1459" t="n">
        <v>0</v>
      </c>
      <c r="K1459" t="n">
        <v>0</v>
      </c>
      <c r="L1459" t="n">
        <v>0</v>
      </c>
      <c r="M1459" t="n">
        <v>0</v>
      </c>
      <c r="N1459" t="n">
        <v>0</v>
      </c>
      <c r="O1459" t="n">
        <v>0</v>
      </c>
      <c r="P1459" t="n">
        <v>0</v>
      </c>
      <c r="Q1459" t="n">
        <v>0</v>
      </c>
      <c r="R1459" s="2" t="inlineStr"/>
    </row>
    <row r="1460" ht="15" customHeight="1">
      <c r="A1460" t="inlineStr">
        <is>
          <t>A 47715-2020</t>
        </is>
      </c>
      <c r="B1460" s="1" t="n">
        <v>44095</v>
      </c>
      <c r="C1460" s="1" t="n">
        <v>45744</v>
      </c>
      <c r="D1460" t="inlineStr">
        <is>
          <t>SKÅNE LÄN</t>
        </is>
      </c>
      <c r="E1460" t="inlineStr">
        <is>
          <t>KRISTIANSTAD</t>
        </is>
      </c>
      <c r="G1460" t="n">
        <v>9.1</v>
      </c>
      <c r="H1460" t="n">
        <v>0</v>
      </c>
      <c r="I1460" t="n">
        <v>0</v>
      </c>
      <c r="J1460" t="n">
        <v>0</v>
      </c>
      <c r="K1460" t="n">
        <v>0</v>
      </c>
      <c r="L1460" t="n">
        <v>0</v>
      </c>
      <c r="M1460" t="n">
        <v>0</v>
      </c>
      <c r="N1460" t="n">
        <v>0</v>
      </c>
      <c r="O1460" t="n">
        <v>0</v>
      </c>
      <c r="P1460" t="n">
        <v>0</v>
      </c>
      <c r="Q1460" t="n">
        <v>0</v>
      </c>
      <c r="R1460" s="2" t="inlineStr"/>
    </row>
    <row r="1461" ht="15" customHeight="1">
      <c r="A1461" t="inlineStr">
        <is>
          <t>A 47011-2020</t>
        </is>
      </c>
      <c r="B1461" s="1" t="n">
        <v>44096</v>
      </c>
      <c r="C1461" s="1" t="n">
        <v>45744</v>
      </c>
      <c r="D1461" t="inlineStr">
        <is>
          <t>SKÅNE LÄN</t>
        </is>
      </c>
      <c r="E1461" t="inlineStr">
        <is>
          <t>YSTAD</t>
        </is>
      </c>
      <c r="G1461" t="n">
        <v>12.4</v>
      </c>
      <c r="H1461" t="n">
        <v>0</v>
      </c>
      <c r="I1461" t="n">
        <v>0</v>
      </c>
      <c r="J1461" t="n">
        <v>0</v>
      </c>
      <c r="K1461" t="n">
        <v>0</v>
      </c>
      <c r="L1461" t="n">
        <v>0</v>
      </c>
      <c r="M1461" t="n">
        <v>0</v>
      </c>
      <c r="N1461" t="n">
        <v>0</v>
      </c>
      <c r="O1461" t="n">
        <v>0</v>
      </c>
      <c r="P1461" t="n">
        <v>0</v>
      </c>
      <c r="Q1461" t="n">
        <v>0</v>
      </c>
      <c r="R1461" s="2" t="inlineStr"/>
    </row>
    <row r="1462" ht="15" customHeight="1">
      <c r="A1462" t="inlineStr">
        <is>
          <t>A 47121-2020</t>
        </is>
      </c>
      <c r="B1462" s="1" t="n">
        <v>44096</v>
      </c>
      <c r="C1462" s="1" t="n">
        <v>45744</v>
      </c>
      <c r="D1462" t="inlineStr">
        <is>
          <t>SKÅNE LÄN</t>
        </is>
      </c>
      <c r="E1462" t="inlineStr">
        <is>
          <t>HÄSSLEHOLM</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47007-2020</t>
        </is>
      </c>
      <c r="B1463" s="1" t="n">
        <v>44096</v>
      </c>
      <c r="C1463" s="1" t="n">
        <v>45744</v>
      </c>
      <c r="D1463" t="inlineStr">
        <is>
          <t>SKÅNE LÄN</t>
        </is>
      </c>
      <c r="E1463" t="inlineStr">
        <is>
          <t>HÄSSLEHOLM</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48397-2020</t>
        </is>
      </c>
      <c r="B1464" s="1" t="n">
        <v>44097</v>
      </c>
      <c r="C1464" s="1" t="n">
        <v>45744</v>
      </c>
      <c r="D1464" t="inlineStr">
        <is>
          <t>SKÅNE LÄN</t>
        </is>
      </c>
      <c r="E1464" t="inlineStr">
        <is>
          <t>HÄSSLEHOLM</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47283-2020</t>
        </is>
      </c>
      <c r="B1465" s="1" t="n">
        <v>44097</v>
      </c>
      <c r="C1465" s="1" t="n">
        <v>45744</v>
      </c>
      <c r="D1465" t="inlineStr">
        <is>
          <t>SKÅNE LÄN</t>
        </is>
      </c>
      <c r="E1465" t="inlineStr">
        <is>
          <t>HÄSSLEHOLM</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47245-2020</t>
        </is>
      </c>
      <c r="B1466" s="1" t="n">
        <v>44097</v>
      </c>
      <c r="C1466" s="1" t="n">
        <v>45744</v>
      </c>
      <c r="D1466" t="inlineStr">
        <is>
          <t>SKÅNE LÄN</t>
        </is>
      </c>
      <c r="E1466" t="inlineStr">
        <is>
          <t>KLIPPAN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47521-2020</t>
        </is>
      </c>
      <c r="B1467" s="1" t="n">
        <v>44098</v>
      </c>
      <c r="C1467" s="1" t="n">
        <v>45744</v>
      </c>
      <c r="D1467" t="inlineStr">
        <is>
          <t>SKÅNE LÄN</t>
        </is>
      </c>
      <c r="E1467" t="inlineStr">
        <is>
          <t>HÄSSLEHOLM</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47566-2020</t>
        </is>
      </c>
      <c r="B1468" s="1" t="n">
        <v>44098</v>
      </c>
      <c r="C1468" s="1" t="n">
        <v>45744</v>
      </c>
      <c r="D1468" t="inlineStr">
        <is>
          <t>SKÅNE LÄN</t>
        </is>
      </c>
      <c r="E1468" t="inlineStr">
        <is>
          <t>ÄNGELHOLM</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48627-2020</t>
        </is>
      </c>
      <c r="B1469" s="1" t="n">
        <v>44098</v>
      </c>
      <c r="C1469" s="1" t="n">
        <v>45744</v>
      </c>
      <c r="D1469" t="inlineStr">
        <is>
          <t>SKÅNE LÄN</t>
        </is>
      </c>
      <c r="E1469" t="inlineStr">
        <is>
          <t>KLIPPAN</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47531-2020</t>
        </is>
      </c>
      <c r="B1470" s="1" t="n">
        <v>44098</v>
      </c>
      <c r="C1470" s="1" t="n">
        <v>45744</v>
      </c>
      <c r="D1470" t="inlineStr">
        <is>
          <t>SKÅNE LÄN</t>
        </is>
      </c>
      <c r="E1470" t="inlineStr">
        <is>
          <t>HÄSSLEHOLM</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47925-2020</t>
        </is>
      </c>
      <c r="B1471" s="1" t="n">
        <v>44099</v>
      </c>
      <c r="C1471" s="1" t="n">
        <v>45744</v>
      </c>
      <c r="D1471" t="inlineStr">
        <is>
          <t>SKÅNE LÄN</t>
        </is>
      </c>
      <c r="E1471" t="inlineStr">
        <is>
          <t>ÖSTRA GÖINGE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47931-2020</t>
        </is>
      </c>
      <c r="B1472" s="1" t="n">
        <v>44099</v>
      </c>
      <c r="C1472" s="1" t="n">
        <v>45744</v>
      </c>
      <c r="D1472" t="inlineStr">
        <is>
          <t>SKÅNE LÄN</t>
        </is>
      </c>
      <c r="E1472" t="inlineStr">
        <is>
          <t>ÖSTRA GÖINGE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48220-2020</t>
        </is>
      </c>
      <c r="B1473" s="1" t="n">
        <v>44102</v>
      </c>
      <c r="C1473" s="1" t="n">
        <v>45744</v>
      </c>
      <c r="D1473" t="inlineStr">
        <is>
          <t>SKÅNE LÄN</t>
        </is>
      </c>
      <c r="E1473" t="inlineStr">
        <is>
          <t>ÖSTRA GÖINGE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48311-2020</t>
        </is>
      </c>
      <c r="B1474" s="1" t="n">
        <v>44102</v>
      </c>
      <c r="C1474" s="1" t="n">
        <v>45744</v>
      </c>
      <c r="D1474" t="inlineStr">
        <is>
          <t>SKÅNE LÄN</t>
        </is>
      </c>
      <c r="E1474" t="inlineStr">
        <is>
          <t>ÖSTRA GÖINGE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48223-2020</t>
        </is>
      </c>
      <c r="B1475" s="1" t="n">
        <v>44102</v>
      </c>
      <c r="C1475" s="1" t="n">
        <v>45744</v>
      </c>
      <c r="D1475" t="inlineStr">
        <is>
          <t>SKÅNE LÄN</t>
        </is>
      </c>
      <c r="E1475" t="inlineStr">
        <is>
          <t>OSBY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48295-2020</t>
        </is>
      </c>
      <c r="B1476" s="1" t="n">
        <v>44102</v>
      </c>
      <c r="C1476" s="1" t="n">
        <v>45744</v>
      </c>
      <c r="D1476" t="inlineStr">
        <is>
          <t>SKÅNE LÄN</t>
        </is>
      </c>
      <c r="E1476" t="inlineStr">
        <is>
          <t>LUND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48212-2020</t>
        </is>
      </c>
      <c r="B1477" s="1" t="n">
        <v>44102</v>
      </c>
      <c r="C1477" s="1" t="n">
        <v>45744</v>
      </c>
      <c r="D1477" t="inlineStr">
        <is>
          <t>SKÅNE LÄN</t>
        </is>
      </c>
      <c r="E1477" t="inlineStr">
        <is>
          <t>HÄSSLEHOLM</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48268-2020</t>
        </is>
      </c>
      <c r="B1478" s="1" t="n">
        <v>44102</v>
      </c>
      <c r="C1478" s="1" t="n">
        <v>45744</v>
      </c>
      <c r="D1478" t="inlineStr">
        <is>
          <t>SKÅNE LÄN</t>
        </is>
      </c>
      <c r="E1478" t="inlineStr">
        <is>
          <t>OSBY</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48412-2020</t>
        </is>
      </c>
      <c r="B1479" s="1" t="n">
        <v>44102</v>
      </c>
      <c r="C1479" s="1" t="n">
        <v>45744</v>
      </c>
      <c r="D1479" t="inlineStr">
        <is>
          <t>SKÅNE LÄN</t>
        </is>
      </c>
      <c r="E1479" t="inlineStr">
        <is>
          <t>OSBY</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48792-2020</t>
        </is>
      </c>
      <c r="B1480" s="1" t="n">
        <v>44103</v>
      </c>
      <c r="C1480" s="1" t="n">
        <v>45744</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48486-2020</t>
        </is>
      </c>
      <c r="B1481" s="1" t="n">
        <v>44103</v>
      </c>
      <c r="C1481" s="1" t="n">
        <v>45744</v>
      </c>
      <c r="D1481" t="inlineStr">
        <is>
          <t>SKÅNE LÄN</t>
        </is>
      </c>
      <c r="E1481" t="inlineStr">
        <is>
          <t>HÄSSLEHOLM</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49786-2020</t>
        </is>
      </c>
      <c r="B1482" s="1" t="n">
        <v>44103</v>
      </c>
      <c r="C1482" s="1" t="n">
        <v>45744</v>
      </c>
      <c r="D1482" t="inlineStr">
        <is>
          <t>SKÅNE LÄN</t>
        </is>
      </c>
      <c r="E1482" t="inlineStr">
        <is>
          <t>HÄSSLEHOLM</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49132-2020</t>
        </is>
      </c>
      <c r="B1483" s="1" t="n">
        <v>44104</v>
      </c>
      <c r="C1483" s="1" t="n">
        <v>45744</v>
      </c>
      <c r="D1483" t="inlineStr">
        <is>
          <t>SKÅNE LÄN</t>
        </is>
      </c>
      <c r="E1483" t="inlineStr">
        <is>
          <t>ÖSTRA GÖINGE</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49389-2020</t>
        </is>
      </c>
      <c r="B1484" s="1" t="n">
        <v>44105</v>
      </c>
      <c r="C1484" s="1" t="n">
        <v>45744</v>
      </c>
      <c r="D1484" t="inlineStr">
        <is>
          <t>SKÅNE LÄN</t>
        </is>
      </c>
      <c r="E1484" t="inlineStr">
        <is>
          <t>HÄSSLEHOLM</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49577-2020</t>
        </is>
      </c>
      <c r="B1485" s="1" t="n">
        <v>44106</v>
      </c>
      <c r="C1485" s="1" t="n">
        <v>45744</v>
      </c>
      <c r="D1485" t="inlineStr">
        <is>
          <t>SKÅNE LÄN</t>
        </is>
      </c>
      <c r="E1485" t="inlineStr">
        <is>
          <t>ÖRKELLJUNGA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49823-2020</t>
        </is>
      </c>
      <c r="B1486" s="1" t="n">
        <v>44106</v>
      </c>
      <c r="C1486" s="1" t="n">
        <v>45744</v>
      </c>
      <c r="D1486" t="inlineStr">
        <is>
          <t>SKÅNE LÄN</t>
        </is>
      </c>
      <c r="E1486" t="inlineStr">
        <is>
          <t>OSBY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49865-2020</t>
        </is>
      </c>
      <c r="B1487" s="1" t="n">
        <v>44107</v>
      </c>
      <c r="C1487" s="1" t="n">
        <v>45744</v>
      </c>
      <c r="D1487" t="inlineStr">
        <is>
          <t>SKÅNE LÄN</t>
        </is>
      </c>
      <c r="E1487" t="inlineStr">
        <is>
          <t>HÄSSLEHOLM</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50039-2020</t>
        </is>
      </c>
      <c r="B1488" s="1" t="n">
        <v>44109</v>
      </c>
      <c r="C1488" s="1" t="n">
        <v>45744</v>
      </c>
      <c r="D1488" t="inlineStr">
        <is>
          <t>SKÅNE LÄN</t>
        </is>
      </c>
      <c r="E1488" t="inlineStr">
        <is>
          <t>ÖSTRA GÖINGE</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50094-2020</t>
        </is>
      </c>
      <c r="B1489" s="1" t="n">
        <v>44109</v>
      </c>
      <c r="C1489" s="1" t="n">
        <v>45744</v>
      </c>
      <c r="D1489" t="inlineStr">
        <is>
          <t>SKÅNE LÄN</t>
        </is>
      </c>
      <c r="E1489" t="inlineStr">
        <is>
          <t>OSBY</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50046-2020</t>
        </is>
      </c>
      <c r="B1490" s="1" t="n">
        <v>44109</v>
      </c>
      <c r="C1490" s="1" t="n">
        <v>45744</v>
      </c>
      <c r="D1490" t="inlineStr">
        <is>
          <t>SKÅNE LÄN</t>
        </is>
      </c>
      <c r="E1490" t="inlineStr">
        <is>
          <t>HÄSSLEHOLM</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50185-2020</t>
        </is>
      </c>
      <c r="B1491" s="1" t="n">
        <v>44109</v>
      </c>
      <c r="C1491" s="1" t="n">
        <v>45744</v>
      </c>
      <c r="D1491" t="inlineStr">
        <is>
          <t>SKÅNE LÄN</t>
        </is>
      </c>
      <c r="E1491" t="inlineStr">
        <is>
          <t>HÖÖR</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51470-2020</t>
        </is>
      </c>
      <c r="B1492" s="1" t="n">
        <v>44109</v>
      </c>
      <c r="C1492" s="1" t="n">
        <v>45744</v>
      </c>
      <c r="D1492" t="inlineStr">
        <is>
          <t>SKÅNE LÄN</t>
        </is>
      </c>
      <c r="E1492" t="inlineStr">
        <is>
          <t>ÖRKELLJUNGA</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51939-2020</t>
        </is>
      </c>
      <c r="B1493" s="1" t="n">
        <v>44109</v>
      </c>
      <c r="C1493" s="1" t="n">
        <v>45744</v>
      </c>
      <c r="D1493" t="inlineStr">
        <is>
          <t>SKÅNE LÄN</t>
        </is>
      </c>
      <c r="E1493" t="inlineStr">
        <is>
          <t>KLIPPAN</t>
        </is>
      </c>
      <c r="F1493" t="inlineStr">
        <is>
          <t>Övriga Aktiebolag</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51463-2020</t>
        </is>
      </c>
      <c r="B1494" s="1" t="n">
        <v>44109</v>
      </c>
      <c r="C1494" s="1" t="n">
        <v>45744</v>
      </c>
      <c r="D1494" t="inlineStr">
        <is>
          <t>SKÅNE LÄN</t>
        </is>
      </c>
      <c r="E1494" t="inlineStr">
        <is>
          <t>ÖRKELLJUNGA</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50372-2020</t>
        </is>
      </c>
      <c r="B1495" s="1" t="n">
        <v>44110</v>
      </c>
      <c r="C1495" s="1" t="n">
        <v>45744</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50371-2020</t>
        </is>
      </c>
      <c r="B1496" s="1" t="n">
        <v>44110</v>
      </c>
      <c r="C1496" s="1" t="n">
        <v>45744</v>
      </c>
      <c r="D1496" t="inlineStr">
        <is>
          <t>SKÅNE LÄN</t>
        </is>
      </c>
      <c r="E1496" t="inlineStr">
        <is>
          <t>HÄSSLEHOLM</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51046-2020</t>
        </is>
      </c>
      <c r="B1497" s="1" t="n">
        <v>44112</v>
      </c>
      <c r="C1497" s="1" t="n">
        <v>45744</v>
      </c>
      <c r="D1497" t="inlineStr">
        <is>
          <t>SKÅNE LÄN</t>
        </is>
      </c>
      <c r="E1497" t="inlineStr">
        <is>
          <t>KLIPPAN</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51052-2020</t>
        </is>
      </c>
      <c r="B1498" s="1" t="n">
        <v>44112</v>
      </c>
      <c r="C1498" s="1" t="n">
        <v>45744</v>
      </c>
      <c r="D1498" t="inlineStr">
        <is>
          <t>SKÅNE LÄN</t>
        </is>
      </c>
      <c r="E1498" t="inlineStr">
        <is>
          <t>KLIPPAN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52383-2020</t>
        </is>
      </c>
      <c r="B1499" s="1" t="n">
        <v>44112</v>
      </c>
      <c r="C1499" s="1" t="n">
        <v>45744</v>
      </c>
      <c r="D1499" t="inlineStr">
        <is>
          <t>SKÅNE LÄN</t>
        </is>
      </c>
      <c r="E1499" t="inlineStr">
        <is>
          <t>KRISTIANSTAD</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51588-2020</t>
        </is>
      </c>
      <c r="B1500" s="1" t="n">
        <v>44113</v>
      </c>
      <c r="C1500" s="1" t="n">
        <v>45744</v>
      </c>
      <c r="D1500" t="inlineStr">
        <is>
          <t>SKÅNE LÄN</t>
        </is>
      </c>
      <c r="E1500" t="inlineStr">
        <is>
          <t>OSBY</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51576-2020</t>
        </is>
      </c>
      <c r="B1501" s="1" t="n">
        <v>44113</v>
      </c>
      <c r="C1501" s="1" t="n">
        <v>45744</v>
      </c>
      <c r="D1501" t="inlineStr">
        <is>
          <t>SKÅNE LÄN</t>
        </is>
      </c>
      <c r="E1501" t="inlineStr">
        <is>
          <t>OSBY</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51844-2020</t>
        </is>
      </c>
      <c r="B1502" s="1" t="n">
        <v>44116</v>
      </c>
      <c r="C1502" s="1" t="n">
        <v>45744</v>
      </c>
      <c r="D1502" t="inlineStr">
        <is>
          <t>SKÅNE LÄN</t>
        </is>
      </c>
      <c r="E1502" t="inlineStr">
        <is>
          <t>HÖÖR</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52023-2020</t>
        </is>
      </c>
      <c r="B1503" s="1" t="n">
        <v>44116</v>
      </c>
      <c r="C1503" s="1" t="n">
        <v>45744</v>
      </c>
      <c r="D1503" t="inlineStr">
        <is>
          <t>SKÅNE LÄN</t>
        </is>
      </c>
      <c r="E1503" t="inlineStr">
        <is>
          <t>TOMELILLA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52561-2020</t>
        </is>
      </c>
      <c r="B1504" s="1" t="n">
        <v>44116</v>
      </c>
      <c r="C1504" s="1" t="n">
        <v>45744</v>
      </c>
      <c r="D1504" t="inlineStr">
        <is>
          <t>SKÅNE LÄN</t>
        </is>
      </c>
      <c r="E1504" t="inlineStr">
        <is>
          <t>HÄSSLEHOLM</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51857-2020</t>
        </is>
      </c>
      <c r="B1505" s="1" t="n">
        <v>44116</v>
      </c>
      <c r="C1505" s="1" t="n">
        <v>45744</v>
      </c>
      <c r="D1505" t="inlineStr">
        <is>
          <t>SKÅNE LÄN</t>
        </is>
      </c>
      <c r="E1505" t="inlineStr">
        <is>
          <t>HÖÖR</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52496-2020</t>
        </is>
      </c>
      <c r="B1506" s="1" t="n">
        <v>44116</v>
      </c>
      <c r="C1506" s="1" t="n">
        <v>45744</v>
      </c>
      <c r="D1506" t="inlineStr">
        <is>
          <t>SKÅNE LÄN</t>
        </is>
      </c>
      <c r="E1506" t="inlineStr">
        <is>
          <t>TOMELILLA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52708-2020</t>
        </is>
      </c>
      <c r="B1507" s="1" t="n">
        <v>44116</v>
      </c>
      <c r="C1507" s="1" t="n">
        <v>45744</v>
      </c>
      <c r="D1507" t="inlineStr">
        <is>
          <t>SKÅNE LÄN</t>
        </is>
      </c>
      <c r="E1507" t="inlineStr">
        <is>
          <t>HÖÖR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52132-2020</t>
        </is>
      </c>
      <c r="B1508" s="1" t="n">
        <v>44117</v>
      </c>
      <c r="C1508" s="1" t="n">
        <v>45744</v>
      </c>
      <c r="D1508" t="inlineStr">
        <is>
          <t>SKÅNE LÄN</t>
        </is>
      </c>
      <c r="E1508" t="inlineStr">
        <is>
          <t>ÖRKELLJUNGA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52145-2020</t>
        </is>
      </c>
      <c r="B1509" s="1" t="n">
        <v>44117</v>
      </c>
      <c r="C1509" s="1" t="n">
        <v>45744</v>
      </c>
      <c r="D1509" t="inlineStr">
        <is>
          <t>SKÅNE LÄN</t>
        </is>
      </c>
      <c r="E1509" t="inlineStr">
        <is>
          <t>ÖRKELLJUNGA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52653-2020</t>
        </is>
      </c>
      <c r="B1510" s="1" t="n">
        <v>44117</v>
      </c>
      <c r="C1510" s="1" t="n">
        <v>45744</v>
      </c>
      <c r="D1510" t="inlineStr">
        <is>
          <t>SKÅNE LÄN</t>
        </is>
      </c>
      <c r="E1510" t="inlineStr">
        <is>
          <t>KLIPPAN</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52266-2020</t>
        </is>
      </c>
      <c r="B1511" s="1" t="n">
        <v>44117</v>
      </c>
      <c r="C1511" s="1" t="n">
        <v>45744</v>
      </c>
      <c r="D1511" t="inlineStr">
        <is>
          <t>SKÅNE LÄN</t>
        </is>
      </c>
      <c r="E1511" t="inlineStr">
        <is>
          <t>HÖÖR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52852-2020</t>
        </is>
      </c>
      <c r="B1512" s="1" t="n">
        <v>44119</v>
      </c>
      <c r="C1512" s="1" t="n">
        <v>45744</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52863-2020</t>
        </is>
      </c>
      <c r="B1513" s="1" t="n">
        <v>44119</v>
      </c>
      <c r="C1513" s="1" t="n">
        <v>45744</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52860-2020</t>
        </is>
      </c>
      <c r="B1514" s="1" t="n">
        <v>44119</v>
      </c>
      <c r="C1514" s="1" t="n">
        <v>45744</v>
      </c>
      <c r="D1514" t="inlineStr">
        <is>
          <t>SKÅNE LÄN</t>
        </is>
      </c>
      <c r="E1514" t="inlineStr">
        <is>
          <t>HÄSSLEHOLM</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53159-2020</t>
        </is>
      </c>
      <c r="B1515" s="1" t="n">
        <v>44120</v>
      </c>
      <c r="C1515" s="1" t="n">
        <v>45744</v>
      </c>
      <c r="D1515" t="inlineStr">
        <is>
          <t>SKÅNE LÄN</t>
        </is>
      </c>
      <c r="E1515" t="inlineStr">
        <is>
          <t>OSBY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53252-2020</t>
        </is>
      </c>
      <c r="B1516" s="1" t="n">
        <v>44123</v>
      </c>
      <c r="C1516" s="1" t="n">
        <v>45744</v>
      </c>
      <c r="D1516" t="inlineStr">
        <is>
          <t>SKÅNE LÄN</t>
        </is>
      </c>
      <c r="E1516" t="inlineStr">
        <is>
          <t>BROMÖLLA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53328-2020</t>
        </is>
      </c>
      <c r="B1517" s="1" t="n">
        <v>44123</v>
      </c>
      <c r="C1517" s="1" t="n">
        <v>45744</v>
      </c>
      <c r="D1517" t="inlineStr">
        <is>
          <t>SKÅNE LÄN</t>
        </is>
      </c>
      <c r="E1517" t="inlineStr">
        <is>
          <t>ÖSTRA GÖINGE</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53658-2020</t>
        </is>
      </c>
      <c r="B1518" s="1" t="n">
        <v>44124</v>
      </c>
      <c r="C1518" s="1" t="n">
        <v>45744</v>
      </c>
      <c r="D1518" t="inlineStr">
        <is>
          <t>SKÅNE LÄN</t>
        </is>
      </c>
      <c r="E1518" t="inlineStr">
        <is>
          <t>OSBY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53656-2020</t>
        </is>
      </c>
      <c r="B1519" s="1" t="n">
        <v>44124</v>
      </c>
      <c r="C1519" s="1" t="n">
        <v>45744</v>
      </c>
      <c r="D1519" t="inlineStr">
        <is>
          <t>SKÅNE LÄN</t>
        </is>
      </c>
      <c r="E1519" t="inlineStr">
        <is>
          <t>OSBY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54081-2020</t>
        </is>
      </c>
      <c r="B1520" s="1" t="n">
        <v>44125</v>
      </c>
      <c r="C1520" s="1" t="n">
        <v>45744</v>
      </c>
      <c r="D1520" t="inlineStr">
        <is>
          <t>SKÅNE LÄN</t>
        </is>
      </c>
      <c r="E1520" t="inlineStr">
        <is>
          <t>HÄSSLEHOLM</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54079-2020</t>
        </is>
      </c>
      <c r="B1521" s="1" t="n">
        <v>44125</v>
      </c>
      <c r="C1521" s="1" t="n">
        <v>45744</v>
      </c>
      <c r="D1521" t="inlineStr">
        <is>
          <t>SKÅNE LÄN</t>
        </is>
      </c>
      <c r="E1521" t="inlineStr">
        <is>
          <t>HÄSSLEHOLM</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54046-2020</t>
        </is>
      </c>
      <c r="B1522" s="1" t="n">
        <v>44125</v>
      </c>
      <c r="C1522" s="1" t="n">
        <v>45744</v>
      </c>
      <c r="D1522" t="inlineStr">
        <is>
          <t>SKÅNE LÄN</t>
        </is>
      </c>
      <c r="E1522" t="inlineStr">
        <is>
          <t>BROMÖLLA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54084-2020</t>
        </is>
      </c>
      <c r="B1523" s="1" t="n">
        <v>44125</v>
      </c>
      <c r="C1523" s="1" t="n">
        <v>45744</v>
      </c>
      <c r="D1523" t="inlineStr">
        <is>
          <t>SKÅNE LÄN</t>
        </is>
      </c>
      <c r="E1523" t="inlineStr">
        <is>
          <t>HÄSSLEHOLM</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54371-2020</t>
        </is>
      </c>
      <c r="B1524" s="1" t="n">
        <v>44126</v>
      </c>
      <c r="C1524" s="1" t="n">
        <v>45744</v>
      </c>
      <c r="D1524" t="inlineStr">
        <is>
          <t>SKÅNE LÄN</t>
        </is>
      </c>
      <c r="E1524" t="inlineStr">
        <is>
          <t>HÄSSLEHOLM</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54363-2020</t>
        </is>
      </c>
      <c r="B1525" s="1" t="n">
        <v>44126</v>
      </c>
      <c r="C1525" s="1" t="n">
        <v>45744</v>
      </c>
      <c r="D1525" t="inlineStr">
        <is>
          <t>SKÅNE LÄN</t>
        </is>
      </c>
      <c r="E1525" t="inlineStr">
        <is>
          <t>HÄSSLEHOLM</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54493-2020</t>
        </is>
      </c>
      <c r="B1526" s="1" t="n">
        <v>44126</v>
      </c>
      <c r="C1526" s="1" t="n">
        <v>45744</v>
      </c>
      <c r="D1526" t="inlineStr">
        <is>
          <t>SKÅNE LÄN</t>
        </is>
      </c>
      <c r="E1526" t="inlineStr">
        <is>
          <t>HÄSSLEHOLM</t>
        </is>
      </c>
      <c r="F1526" t="inlineStr">
        <is>
          <t>Kyrkan</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54359-2020</t>
        </is>
      </c>
      <c r="B1527" s="1" t="n">
        <v>44126</v>
      </c>
      <c r="C1527" s="1" t="n">
        <v>45744</v>
      </c>
      <c r="D1527" t="inlineStr">
        <is>
          <t>SKÅNE LÄN</t>
        </is>
      </c>
      <c r="E1527" t="inlineStr">
        <is>
          <t>HÄSSLEHOLM</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54365-2020</t>
        </is>
      </c>
      <c r="B1528" s="1" t="n">
        <v>44126</v>
      </c>
      <c r="C1528" s="1" t="n">
        <v>45744</v>
      </c>
      <c r="D1528" t="inlineStr">
        <is>
          <t>SKÅNE LÄN</t>
        </is>
      </c>
      <c r="E1528" t="inlineStr">
        <is>
          <t>HÄSSLEHOLM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54374-2020</t>
        </is>
      </c>
      <c r="B1529" s="1" t="n">
        <v>44126</v>
      </c>
      <c r="C1529" s="1" t="n">
        <v>45744</v>
      </c>
      <c r="D1529" t="inlineStr">
        <is>
          <t>SKÅNE LÄN</t>
        </is>
      </c>
      <c r="E1529" t="inlineStr">
        <is>
          <t>HÄSSLEHOLM</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54544-2020</t>
        </is>
      </c>
      <c r="B1530" s="1" t="n">
        <v>44126</v>
      </c>
      <c r="C1530" s="1" t="n">
        <v>45744</v>
      </c>
      <c r="D1530" t="inlineStr">
        <is>
          <t>SKÅNE LÄN</t>
        </is>
      </c>
      <c r="E1530" t="inlineStr">
        <is>
          <t>OSBY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54545-2020</t>
        </is>
      </c>
      <c r="B1531" s="1" t="n">
        <v>44126</v>
      </c>
      <c r="C1531" s="1" t="n">
        <v>45744</v>
      </c>
      <c r="D1531" t="inlineStr">
        <is>
          <t>SKÅNE LÄN</t>
        </is>
      </c>
      <c r="E1531" t="inlineStr">
        <is>
          <t>OSBY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54362-2020</t>
        </is>
      </c>
      <c r="B1532" s="1" t="n">
        <v>44126</v>
      </c>
      <c r="C1532" s="1" t="n">
        <v>45744</v>
      </c>
      <c r="D1532" t="inlineStr">
        <is>
          <t>SKÅNE LÄN</t>
        </is>
      </c>
      <c r="E1532" t="inlineStr">
        <is>
          <t>HÄSSLEHOLM</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55066-2020</t>
        </is>
      </c>
      <c r="B1533" s="1" t="n">
        <v>44127</v>
      </c>
      <c r="C1533" s="1" t="n">
        <v>45744</v>
      </c>
      <c r="D1533" t="inlineStr">
        <is>
          <t>SKÅNE LÄN</t>
        </is>
      </c>
      <c r="E1533" t="inlineStr">
        <is>
          <t>YSTAD</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54937-2020</t>
        </is>
      </c>
      <c r="B1534" s="1" t="n">
        <v>44127</v>
      </c>
      <c r="C1534" s="1" t="n">
        <v>45744</v>
      </c>
      <c r="D1534" t="inlineStr">
        <is>
          <t>SKÅNE LÄN</t>
        </is>
      </c>
      <c r="E1534" t="inlineStr">
        <is>
          <t>SJÖBO</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54965-2020</t>
        </is>
      </c>
      <c r="B1535" s="1" t="n">
        <v>44130</v>
      </c>
      <c r="C1535" s="1" t="n">
        <v>45744</v>
      </c>
      <c r="D1535" t="inlineStr">
        <is>
          <t>SKÅNE LÄN</t>
        </is>
      </c>
      <c r="E1535" t="inlineStr">
        <is>
          <t>OSBY</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55638-2020</t>
        </is>
      </c>
      <c r="B1536" s="1" t="n">
        <v>44131</v>
      </c>
      <c r="C1536" s="1" t="n">
        <v>45744</v>
      </c>
      <c r="D1536" t="inlineStr">
        <is>
          <t>SKÅNE LÄN</t>
        </is>
      </c>
      <c r="E1536" t="inlineStr">
        <is>
          <t>HÖÖR</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55636-2020</t>
        </is>
      </c>
      <c r="B1537" s="1" t="n">
        <v>44131</v>
      </c>
      <c r="C1537" s="1" t="n">
        <v>45744</v>
      </c>
      <c r="D1537" t="inlineStr">
        <is>
          <t>SKÅNE LÄN</t>
        </is>
      </c>
      <c r="E1537" t="inlineStr">
        <is>
          <t>HÖÖR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55639-2020</t>
        </is>
      </c>
      <c r="B1538" s="1" t="n">
        <v>44131</v>
      </c>
      <c r="C1538" s="1" t="n">
        <v>45744</v>
      </c>
      <c r="D1538" t="inlineStr">
        <is>
          <t>SKÅNE LÄN</t>
        </is>
      </c>
      <c r="E1538" t="inlineStr">
        <is>
          <t>HÖÖR</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56158-2020</t>
        </is>
      </c>
      <c r="B1539" s="1" t="n">
        <v>44133</v>
      </c>
      <c r="C1539" s="1" t="n">
        <v>45744</v>
      </c>
      <c r="D1539" t="inlineStr">
        <is>
          <t>SKÅNE LÄN</t>
        </is>
      </c>
      <c r="E1539" t="inlineStr">
        <is>
          <t>HÄSSLEHOLM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55979-2020</t>
        </is>
      </c>
      <c r="B1540" s="1" t="n">
        <v>44133</v>
      </c>
      <c r="C1540" s="1" t="n">
        <v>45744</v>
      </c>
      <c r="D1540" t="inlineStr">
        <is>
          <t>SKÅNE LÄN</t>
        </is>
      </c>
      <c r="E1540" t="inlineStr">
        <is>
          <t>KRISTIANSTAD</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56150-2020</t>
        </is>
      </c>
      <c r="B1541" s="1" t="n">
        <v>44133</v>
      </c>
      <c r="C1541" s="1" t="n">
        <v>45744</v>
      </c>
      <c r="D1541" t="inlineStr">
        <is>
          <t>SKÅNE LÄN</t>
        </is>
      </c>
      <c r="E1541" t="inlineStr">
        <is>
          <t>ÖSTRA GÖINGE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56521-2020</t>
        </is>
      </c>
      <c r="B1542" s="1" t="n">
        <v>44133</v>
      </c>
      <c r="C1542" s="1" t="n">
        <v>45744</v>
      </c>
      <c r="D1542" t="inlineStr">
        <is>
          <t>SKÅNE LÄN</t>
        </is>
      </c>
      <c r="E1542" t="inlineStr">
        <is>
          <t>KRISTIANSTAD</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56462-2020</t>
        </is>
      </c>
      <c r="B1543" s="1" t="n">
        <v>44133</v>
      </c>
      <c r="C1543" s="1" t="n">
        <v>45744</v>
      </c>
      <c r="D1543" t="inlineStr">
        <is>
          <t>SKÅNE LÄN</t>
        </is>
      </c>
      <c r="E1543" t="inlineStr">
        <is>
          <t>TOMELILLA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56734-2020</t>
        </is>
      </c>
      <c r="B1544" s="1" t="n">
        <v>44137</v>
      </c>
      <c r="C1544" s="1" t="n">
        <v>45744</v>
      </c>
      <c r="D1544" t="inlineStr">
        <is>
          <t>SKÅNE LÄN</t>
        </is>
      </c>
      <c r="E1544" t="inlineStr">
        <is>
          <t>OSBY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57017-2020</t>
        </is>
      </c>
      <c r="B1545" s="1" t="n">
        <v>44138</v>
      </c>
      <c r="C1545" s="1" t="n">
        <v>45744</v>
      </c>
      <c r="D1545" t="inlineStr">
        <is>
          <t>SKÅNE LÄN</t>
        </is>
      </c>
      <c r="E1545" t="inlineStr">
        <is>
          <t>ÖSTRA GÖINGE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57452-2020</t>
        </is>
      </c>
      <c r="B1546" s="1" t="n">
        <v>44140</v>
      </c>
      <c r="C1546" s="1" t="n">
        <v>45744</v>
      </c>
      <c r="D1546" t="inlineStr">
        <is>
          <t>SKÅNE LÄN</t>
        </is>
      </c>
      <c r="E1546" t="inlineStr">
        <is>
          <t>PERSTORP</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57669-2020</t>
        </is>
      </c>
      <c r="B1547" s="1" t="n">
        <v>44140</v>
      </c>
      <c r="C1547" s="1" t="n">
        <v>45744</v>
      </c>
      <c r="D1547" t="inlineStr">
        <is>
          <t>SKÅNE LÄN</t>
        </is>
      </c>
      <c r="E1547" t="inlineStr">
        <is>
          <t>OSBY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57671-2020</t>
        </is>
      </c>
      <c r="B1548" s="1" t="n">
        <v>44140</v>
      </c>
      <c r="C1548" s="1" t="n">
        <v>45744</v>
      </c>
      <c r="D1548" t="inlineStr">
        <is>
          <t>SKÅNE LÄN</t>
        </is>
      </c>
      <c r="E1548" t="inlineStr">
        <is>
          <t>OSBY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57928-2020</t>
        </is>
      </c>
      <c r="B1549" s="1" t="n">
        <v>44141</v>
      </c>
      <c r="C1549" s="1" t="n">
        <v>45744</v>
      </c>
      <c r="D1549" t="inlineStr">
        <is>
          <t>SKÅNE LÄN</t>
        </is>
      </c>
      <c r="E1549" t="inlineStr">
        <is>
          <t>KRISTIANSTAD</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57832-2020</t>
        </is>
      </c>
      <c r="B1550" s="1" t="n">
        <v>44141</v>
      </c>
      <c r="C1550" s="1" t="n">
        <v>45744</v>
      </c>
      <c r="D1550" t="inlineStr">
        <is>
          <t>SKÅNE LÄN</t>
        </is>
      </c>
      <c r="E1550" t="inlineStr">
        <is>
          <t>KRISTIANSTAD</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57811-2020</t>
        </is>
      </c>
      <c r="B1551" s="1" t="n">
        <v>44141</v>
      </c>
      <c r="C1551" s="1" t="n">
        <v>45744</v>
      </c>
      <c r="D1551" t="inlineStr">
        <is>
          <t>SKÅNE LÄN</t>
        </is>
      </c>
      <c r="E1551" t="inlineStr">
        <is>
          <t>HÄSSLEHOLM</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57840-2020</t>
        </is>
      </c>
      <c r="B1552" s="1" t="n">
        <v>44141</v>
      </c>
      <c r="C1552" s="1" t="n">
        <v>45744</v>
      </c>
      <c r="D1552" t="inlineStr">
        <is>
          <t>SKÅNE LÄN</t>
        </is>
      </c>
      <c r="E1552" t="inlineStr">
        <is>
          <t>KRISTIANSTAD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57956-2020</t>
        </is>
      </c>
      <c r="B1553" s="1" t="n">
        <v>44143</v>
      </c>
      <c r="C1553" s="1" t="n">
        <v>45744</v>
      </c>
      <c r="D1553" t="inlineStr">
        <is>
          <t>SKÅNE LÄN</t>
        </is>
      </c>
      <c r="E1553" t="inlineStr">
        <is>
          <t>OSBY</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58091-2020</t>
        </is>
      </c>
      <c r="B1554" s="1" t="n">
        <v>44144</v>
      </c>
      <c r="C1554" s="1" t="n">
        <v>45744</v>
      </c>
      <c r="D1554" t="inlineStr">
        <is>
          <t>SKÅNE LÄN</t>
        </is>
      </c>
      <c r="E1554" t="inlineStr">
        <is>
          <t>HÄSSLEHOLM</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58297-2020</t>
        </is>
      </c>
      <c r="B1555" s="1" t="n">
        <v>44144</v>
      </c>
      <c r="C1555" s="1" t="n">
        <v>45744</v>
      </c>
      <c r="D1555" t="inlineStr">
        <is>
          <t>SKÅNE LÄN</t>
        </is>
      </c>
      <c r="E1555" t="inlineStr">
        <is>
          <t>KRISTIANSTAD</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58370-2020</t>
        </is>
      </c>
      <c r="B1556" s="1" t="n">
        <v>44144</v>
      </c>
      <c r="C1556" s="1" t="n">
        <v>45744</v>
      </c>
      <c r="D1556" t="inlineStr">
        <is>
          <t>SKÅNE LÄN</t>
        </is>
      </c>
      <c r="E1556" t="inlineStr">
        <is>
          <t>KLIPPAN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58509-2020</t>
        </is>
      </c>
      <c r="B1557" s="1" t="n">
        <v>44144</v>
      </c>
      <c r="C1557" s="1" t="n">
        <v>45744</v>
      </c>
      <c r="D1557" t="inlineStr">
        <is>
          <t>SKÅNE LÄN</t>
        </is>
      </c>
      <c r="E1557" t="inlineStr">
        <is>
          <t>HÄSSLEHOLM</t>
        </is>
      </c>
      <c r="G1557" t="n">
        <v>8.5</v>
      </c>
      <c r="H1557" t="n">
        <v>0</v>
      </c>
      <c r="I1557" t="n">
        <v>0</v>
      </c>
      <c r="J1557" t="n">
        <v>0</v>
      </c>
      <c r="K1557" t="n">
        <v>0</v>
      </c>
      <c r="L1557" t="n">
        <v>0</v>
      </c>
      <c r="M1557" t="n">
        <v>0</v>
      </c>
      <c r="N1557" t="n">
        <v>0</v>
      </c>
      <c r="O1557" t="n">
        <v>0</v>
      </c>
      <c r="P1557" t="n">
        <v>0</v>
      </c>
      <c r="Q1557" t="n">
        <v>0</v>
      </c>
      <c r="R1557" s="2" t="inlineStr"/>
    </row>
    <row r="1558" ht="15" customHeight="1">
      <c r="A1558" t="inlineStr">
        <is>
          <t>A 58595-2020</t>
        </is>
      </c>
      <c r="B1558" s="1" t="n">
        <v>44145</v>
      </c>
      <c r="C1558" s="1" t="n">
        <v>45744</v>
      </c>
      <c r="D1558" t="inlineStr">
        <is>
          <t>SKÅNE LÄN</t>
        </is>
      </c>
      <c r="E1558" t="inlineStr">
        <is>
          <t>HÖRBY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58887-2020</t>
        </is>
      </c>
      <c r="B1559" s="1" t="n">
        <v>44146</v>
      </c>
      <c r="C1559" s="1" t="n">
        <v>45744</v>
      </c>
      <c r="D1559" t="inlineStr">
        <is>
          <t>SKÅNE LÄN</t>
        </is>
      </c>
      <c r="E1559" t="inlineStr">
        <is>
          <t>KRISTIANSTAD</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58848-2020</t>
        </is>
      </c>
      <c r="B1560" s="1" t="n">
        <v>44146</v>
      </c>
      <c r="C1560" s="1" t="n">
        <v>45744</v>
      </c>
      <c r="D1560" t="inlineStr">
        <is>
          <t>SKÅNE LÄN</t>
        </is>
      </c>
      <c r="E1560" t="inlineStr">
        <is>
          <t>KRISTIANSTAD</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59145-2020</t>
        </is>
      </c>
      <c r="B1561" s="1" t="n">
        <v>44147</v>
      </c>
      <c r="C1561" s="1" t="n">
        <v>45744</v>
      </c>
      <c r="D1561" t="inlineStr">
        <is>
          <t>SKÅNE LÄN</t>
        </is>
      </c>
      <c r="E1561" t="inlineStr">
        <is>
          <t>HÖÖR</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59295-2020</t>
        </is>
      </c>
      <c r="B1562" s="1" t="n">
        <v>44147</v>
      </c>
      <c r="C1562" s="1" t="n">
        <v>45744</v>
      </c>
      <c r="D1562" t="inlineStr">
        <is>
          <t>SKÅNE LÄN</t>
        </is>
      </c>
      <c r="E1562" t="inlineStr">
        <is>
          <t>HÄSSLEHOLM</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59302-2020</t>
        </is>
      </c>
      <c r="B1563" s="1" t="n">
        <v>44147</v>
      </c>
      <c r="C1563" s="1" t="n">
        <v>45744</v>
      </c>
      <c r="D1563" t="inlineStr">
        <is>
          <t>SKÅNE LÄN</t>
        </is>
      </c>
      <c r="E1563" t="inlineStr">
        <is>
          <t>HÄSSLEHOLM</t>
        </is>
      </c>
      <c r="G1563" t="n">
        <v>11.2</v>
      </c>
      <c r="H1563" t="n">
        <v>0</v>
      </c>
      <c r="I1563" t="n">
        <v>0</v>
      </c>
      <c r="J1563" t="n">
        <v>0</v>
      </c>
      <c r="K1563" t="n">
        <v>0</v>
      </c>
      <c r="L1563" t="n">
        <v>0</v>
      </c>
      <c r="M1563" t="n">
        <v>0</v>
      </c>
      <c r="N1563" t="n">
        <v>0</v>
      </c>
      <c r="O1563" t="n">
        <v>0</v>
      </c>
      <c r="P1563" t="n">
        <v>0</v>
      </c>
      <c r="Q1563" t="n">
        <v>0</v>
      </c>
      <c r="R1563" s="2" t="inlineStr"/>
    </row>
    <row r="1564" ht="15" customHeight="1">
      <c r="A1564" t="inlineStr">
        <is>
          <t>A 59418-2020</t>
        </is>
      </c>
      <c r="B1564" s="1" t="n">
        <v>44148</v>
      </c>
      <c r="C1564" s="1" t="n">
        <v>45744</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59542-2020</t>
        </is>
      </c>
      <c r="B1565" s="1" t="n">
        <v>44148</v>
      </c>
      <c r="C1565" s="1" t="n">
        <v>45744</v>
      </c>
      <c r="D1565" t="inlineStr">
        <is>
          <t>SKÅNE LÄN</t>
        </is>
      </c>
      <c r="E1565" t="inlineStr">
        <is>
          <t>HÄSSLEHOLM</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59341-2020</t>
        </is>
      </c>
      <c r="B1566" s="1" t="n">
        <v>44148</v>
      </c>
      <c r="C1566" s="1" t="n">
        <v>45744</v>
      </c>
      <c r="D1566" t="inlineStr">
        <is>
          <t>SKÅNE LÄN</t>
        </is>
      </c>
      <c r="E1566" t="inlineStr">
        <is>
          <t>ÖRKELLJUNGA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59744-2020</t>
        </is>
      </c>
      <c r="B1567" s="1" t="n">
        <v>44151</v>
      </c>
      <c r="C1567" s="1" t="n">
        <v>45744</v>
      </c>
      <c r="D1567" t="inlineStr">
        <is>
          <t>SKÅNE LÄN</t>
        </is>
      </c>
      <c r="E1567" t="inlineStr">
        <is>
          <t>SVALÖV</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60206-2020</t>
        </is>
      </c>
      <c r="B1568" s="1" t="n">
        <v>44152</v>
      </c>
      <c r="C1568" s="1" t="n">
        <v>45744</v>
      </c>
      <c r="D1568" t="inlineStr">
        <is>
          <t>SKÅNE LÄN</t>
        </is>
      </c>
      <c r="E1568" t="inlineStr">
        <is>
          <t>ÖSTRA GÖINGE</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60597-2020</t>
        </is>
      </c>
      <c r="B1569" s="1" t="n">
        <v>44152</v>
      </c>
      <c r="C1569" s="1" t="n">
        <v>45744</v>
      </c>
      <c r="D1569" t="inlineStr">
        <is>
          <t>SKÅNE LÄN</t>
        </is>
      </c>
      <c r="E1569" t="inlineStr">
        <is>
          <t>HÄSSLEHOLM</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60449-2020</t>
        </is>
      </c>
      <c r="B1570" s="1" t="n">
        <v>44153</v>
      </c>
      <c r="C1570" s="1" t="n">
        <v>45744</v>
      </c>
      <c r="D1570" t="inlineStr">
        <is>
          <t>SKÅNE LÄN</t>
        </is>
      </c>
      <c r="E1570" t="inlineStr">
        <is>
          <t>BROMÖLLA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60682-2020</t>
        </is>
      </c>
      <c r="B1571" s="1" t="n">
        <v>44153</v>
      </c>
      <c r="C1571" s="1" t="n">
        <v>45744</v>
      </c>
      <c r="D1571" t="inlineStr">
        <is>
          <t>SKÅNE LÄN</t>
        </is>
      </c>
      <c r="E1571" t="inlineStr">
        <is>
          <t>OSBY</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61038-2020</t>
        </is>
      </c>
      <c r="B1572" s="1" t="n">
        <v>44154</v>
      </c>
      <c r="C1572" s="1" t="n">
        <v>45744</v>
      </c>
      <c r="D1572" t="inlineStr">
        <is>
          <t>SKÅNE LÄN</t>
        </is>
      </c>
      <c r="E1572" t="inlineStr">
        <is>
          <t>KLIPPAN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60837-2020</t>
        </is>
      </c>
      <c r="B1573" s="1" t="n">
        <v>44154</v>
      </c>
      <c r="C1573" s="1" t="n">
        <v>45744</v>
      </c>
      <c r="D1573" t="inlineStr">
        <is>
          <t>SKÅNE LÄN</t>
        </is>
      </c>
      <c r="E1573" t="inlineStr">
        <is>
          <t>ÖSTRA GÖINGE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60875-2020</t>
        </is>
      </c>
      <c r="B1574" s="1" t="n">
        <v>44154</v>
      </c>
      <c r="C1574" s="1" t="n">
        <v>45744</v>
      </c>
      <c r="D1574" t="inlineStr">
        <is>
          <t>SKÅNE LÄN</t>
        </is>
      </c>
      <c r="E1574" t="inlineStr">
        <is>
          <t>ÖRKELLJUNGA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60879-2020</t>
        </is>
      </c>
      <c r="B1575" s="1" t="n">
        <v>44154</v>
      </c>
      <c r="C1575" s="1" t="n">
        <v>45744</v>
      </c>
      <c r="D1575" t="inlineStr">
        <is>
          <t>SKÅNE LÄN</t>
        </is>
      </c>
      <c r="E1575" t="inlineStr">
        <is>
          <t>ÖRKELLJUNGA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60840-2020</t>
        </is>
      </c>
      <c r="B1576" s="1" t="n">
        <v>44154</v>
      </c>
      <c r="C1576" s="1" t="n">
        <v>45744</v>
      </c>
      <c r="D1576" t="inlineStr">
        <is>
          <t>SKÅNE LÄN</t>
        </is>
      </c>
      <c r="E1576" t="inlineStr">
        <is>
          <t>ÖSTRA GÖINGE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61108-2020</t>
        </is>
      </c>
      <c r="B1577" s="1" t="n">
        <v>44154</v>
      </c>
      <c r="C1577" s="1" t="n">
        <v>45744</v>
      </c>
      <c r="D1577" t="inlineStr">
        <is>
          <t>SKÅNE LÄN</t>
        </is>
      </c>
      <c r="E1577" t="inlineStr">
        <is>
          <t>ÖRKELLJUNGA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61276-2020</t>
        </is>
      </c>
      <c r="B1578" s="1" t="n">
        <v>44155</v>
      </c>
      <c r="C1578" s="1" t="n">
        <v>45744</v>
      </c>
      <c r="D1578" t="inlineStr">
        <is>
          <t>SKÅNE LÄN</t>
        </is>
      </c>
      <c r="E1578" t="inlineStr">
        <is>
          <t>ÖSTRA GÖINGE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61211-2020</t>
        </is>
      </c>
      <c r="B1579" s="1" t="n">
        <v>44155</v>
      </c>
      <c r="C1579" s="1" t="n">
        <v>45744</v>
      </c>
      <c r="D1579" t="inlineStr">
        <is>
          <t>SKÅNE LÄN</t>
        </is>
      </c>
      <c r="E1579" t="inlineStr">
        <is>
          <t>ÖRKELLJUNGA</t>
        </is>
      </c>
      <c r="F1579" t="inlineStr">
        <is>
          <t>Kyrkan</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61223-2020</t>
        </is>
      </c>
      <c r="B1580" s="1" t="n">
        <v>44155</v>
      </c>
      <c r="C1580" s="1" t="n">
        <v>45744</v>
      </c>
      <c r="D1580" t="inlineStr">
        <is>
          <t>SKÅNE LÄN</t>
        </is>
      </c>
      <c r="E1580" t="inlineStr">
        <is>
          <t>SVALÖV</t>
        </is>
      </c>
      <c r="F1580" t="inlineStr">
        <is>
          <t>Kyrkan</t>
        </is>
      </c>
      <c r="G1580" t="n">
        <v>11.1</v>
      </c>
      <c r="H1580" t="n">
        <v>0</v>
      </c>
      <c r="I1580" t="n">
        <v>0</v>
      </c>
      <c r="J1580" t="n">
        <v>0</v>
      </c>
      <c r="K1580" t="n">
        <v>0</v>
      </c>
      <c r="L1580" t="n">
        <v>0</v>
      </c>
      <c r="M1580" t="n">
        <v>0</v>
      </c>
      <c r="N1580" t="n">
        <v>0</v>
      </c>
      <c r="O1580" t="n">
        <v>0</v>
      </c>
      <c r="P1580" t="n">
        <v>0</v>
      </c>
      <c r="Q1580" t="n">
        <v>0</v>
      </c>
      <c r="R1580" s="2" t="inlineStr"/>
    </row>
    <row r="1581" ht="15" customHeight="1">
      <c r="A1581" t="inlineStr">
        <is>
          <t>A 61238-2020</t>
        </is>
      </c>
      <c r="B1581" s="1" t="n">
        <v>44155</v>
      </c>
      <c r="C1581" s="1" t="n">
        <v>45744</v>
      </c>
      <c r="D1581" t="inlineStr">
        <is>
          <t>SKÅNE LÄN</t>
        </is>
      </c>
      <c r="E1581" t="inlineStr">
        <is>
          <t>HÖRBY</t>
        </is>
      </c>
      <c r="F1581" t="inlineStr">
        <is>
          <t>Kyrkan</t>
        </is>
      </c>
      <c r="G1581" t="n">
        <v>8.1</v>
      </c>
      <c r="H1581" t="n">
        <v>0</v>
      </c>
      <c r="I1581" t="n">
        <v>0</v>
      </c>
      <c r="J1581" t="n">
        <v>0</v>
      </c>
      <c r="K1581" t="n">
        <v>0</v>
      </c>
      <c r="L1581" t="n">
        <v>0</v>
      </c>
      <c r="M1581" t="n">
        <v>0</v>
      </c>
      <c r="N1581" t="n">
        <v>0</v>
      </c>
      <c r="O1581" t="n">
        <v>0</v>
      </c>
      <c r="P1581" t="n">
        <v>0</v>
      </c>
      <c r="Q1581" t="n">
        <v>0</v>
      </c>
      <c r="R1581" s="2" t="inlineStr"/>
    </row>
    <row r="1582" ht="15" customHeight="1">
      <c r="A1582" t="inlineStr">
        <is>
          <t>A 61216-2020</t>
        </is>
      </c>
      <c r="B1582" s="1" t="n">
        <v>44155</v>
      </c>
      <c r="C1582" s="1" t="n">
        <v>45744</v>
      </c>
      <c r="D1582" t="inlineStr">
        <is>
          <t>SKÅNE LÄN</t>
        </is>
      </c>
      <c r="E1582" t="inlineStr">
        <is>
          <t>HÄSSLEHOLM</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61233-2020</t>
        </is>
      </c>
      <c r="B1583" s="1" t="n">
        <v>44155</v>
      </c>
      <c r="C1583" s="1" t="n">
        <v>45744</v>
      </c>
      <c r="D1583" t="inlineStr">
        <is>
          <t>SKÅNE LÄN</t>
        </is>
      </c>
      <c r="E1583" t="inlineStr">
        <is>
          <t>HÄSSLEHOLM</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61779-2020</t>
        </is>
      </c>
      <c r="B1584" s="1" t="n">
        <v>44158</v>
      </c>
      <c r="C1584" s="1" t="n">
        <v>45744</v>
      </c>
      <c r="D1584" t="inlineStr">
        <is>
          <t>SKÅNE LÄN</t>
        </is>
      </c>
      <c r="E1584" t="inlineStr">
        <is>
          <t>KLIPPAN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61592-2020</t>
        </is>
      </c>
      <c r="B1585" s="1" t="n">
        <v>44158</v>
      </c>
      <c r="C1585" s="1" t="n">
        <v>45744</v>
      </c>
      <c r="D1585" t="inlineStr">
        <is>
          <t>SKÅNE LÄN</t>
        </is>
      </c>
      <c r="E1585" t="inlineStr">
        <is>
          <t>OSBY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62300-2020</t>
        </is>
      </c>
      <c r="B1586" s="1" t="n">
        <v>44158</v>
      </c>
      <c r="C1586" s="1" t="n">
        <v>45744</v>
      </c>
      <c r="D1586" t="inlineStr">
        <is>
          <t>SKÅNE LÄN</t>
        </is>
      </c>
      <c r="E1586" t="inlineStr">
        <is>
          <t>SVEDALA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62111-2020</t>
        </is>
      </c>
      <c r="B1587" s="1" t="n">
        <v>44159</v>
      </c>
      <c r="C1587" s="1" t="n">
        <v>45744</v>
      </c>
      <c r="D1587" t="inlineStr">
        <is>
          <t>SKÅNE LÄN</t>
        </is>
      </c>
      <c r="E1587" t="inlineStr">
        <is>
          <t>OSBY</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62122-2020</t>
        </is>
      </c>
      <c r="B1588" s="1" t="n">
        <v>44159</v>
      </c>
      <c r="C1588" s="1" t="n">
        <v>45744</v>
      </c>
      <c r="D1588" t="inlineStr">
        <is>
          <t>SKÅNE LÄN</t>
        </is>
      </c>
      <c r="E1588" t="inlineStr">
        <is>
          <t>OSBY</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62425-2020</t>
        </is>
      </c>
      <c r="B1589" s="1" t="n">
        <v>44159</v>
      </c>
      <c r="C1589" s="1" t="n">
        <v>45744</v>
      </c>
      <c r="D1589" t="inlineStr">
        <is>
          <t>SKÅNE LÄN</t>
        </is>
      </c>
      <c r="E1589" t="inlineStr">
        <is>
          <t>SVALÖV</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62422-2020</t>
        </is>
      </c>
      <c r="B1590" s="1" t="n">
        <v>44159</v>
      </c>
      <c r="C1590" s="1" t="n">
        <v>45744</v>
      </c>
      <c r="D1590" t="inlineStr">
        <is>
          <t>SKÅNE LÄN</t>
        </is>
      </c>
      <c r="E1590" t="inlineStr">
        <is>
          <t>ESLÖV</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62447-2020</t>
        </is>
      </c>
      <c r="B1591" s="1" t="n">
        <v>44159</v>
      </c>
      <c r="C1591" s="1" t="n">
        <v>45744</v>
      </c>
      <c r="D1591" t="inlineStr">
        <is>
          <t>SKÅNE LÄN</t>
        </is>
      </c>
      <c r="E1591" t="inlineStr">
        <is>
          <t>KRISTIANSTAD</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62347-2020</t>
        </is>
      </c>
      <c r="B1592" s="1" t="n">
        <v>44159</v>
      </c>
      <c r="C1592" s="1" t="n">
        <v>45744</v>
      </c>
      <c r="D1592" t="inlineStr">
        <is>
          <t>SKÅNE LÄN</t>
        </is>
      </c>
      <c r="E1592" t="inlineStr">
        <is>
          <t>HÄSSLEHOLM</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62420-2020</t>
        </is>
      </c>
      <c r="B1593" s="1" t="n">
        <v>44159</v>
      </c>
      <c r="C1593" s="1" t="n">
        <v>45744</v>
      </c>
      <c r="D1593" t="inlineStr">
        <is>
          <t>SKÅNE LÄN</t>
        </is>
      </c>
      <c r="E1593" t="inlineStr">
        <is>
          <t>ESLÖV</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62802-2020</t>
        </is>
      </c>
      <c r="B1594" s="1" t="n">
        <v>44161</v>
      </c>
      <c r="C1594" s="1" t="n">
        <v>45744</v>
      </c>
      <c r="D1594" t="inlineStr">
        <is>
          <t>SKÅNE LÄN</t>
        </is>
      </c>
      <c r="E1594" t="inlineStr">
        <is>
          <t>HÄSSLEHOLM</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62648-2020</t>
        </is>
      </c>
      <c r="B1595" s="1" t="n">
        <v>44161</v>
      </c>
      <c r="C1595" s="1" t="n">
        <v>45744</v>
      </c>
      <c r="D1595" t="inlineStr">
        <is>
          <t>SKÅNE LÄN</t>
        </is>
      </c>
      <c r="E1595" t="inlineStr">
        <is>
          <t>OSBY</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62734-2020</t>
        </is>
      </c>
      <c r="B1596" s="1" t="n">
        <v>44161</v>
      </c>
      <c r="C1596" s="1" t="n">
        <v>45744</v>
      </c>
      <c r="D1596" t="inlineStr">
        <is>
          <t>SKÅNE LÄN</t>
        </is>
      </c>
      <c r="E1596" t="inlineStr">
        <is>
          <t>BROMÖLLA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62781-2020</t>
        </is>
      </c>
      <c r="B1597" s="1" t="n">
        <v>44161</v>
      </c>
      <c r="C1597" s="1" t="n">
        <v>45744</v>
      </c>
      <c r="D1597" t="inlineStr">
        <is>
          <t>SKÅNE LÄN</t>
        </is>
      </c>
      <c r="E1597" t="inlineStr">
        <is>
          <t>ÖRKELLJUNGA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62782-2020</t>
        </is>
      </c>
      <c r="B1598" s="1" t="n">
        <v>44161</v>
      </c>
      <c r="C1598" s="1" t="n">
        <v>45744</v>
      </c>
      <c r="D1598" t="inlineStr">
        <is>
          <t>SKÅNE LÄN</t>
        </is>
      </c>
      <c r="E1598" t="inlineStr">
        <is>
          <t>HÄSSLEHOLM</t>
        </is>
      </c>
      <c r="F1598" t="inlineStr">
        <is>
          <t>Kyrkan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62783-2020</t>
        </is>
      </c>
      <c r="B1599" s="1" t="n">
        <v>44161</v>
      </c>
      <c r="C1599" s="1" t="n">
        <v>45744</v>
      </c>
      <c r="D1599" t="inlineStr">
        <is>
          <t>SKÅNE LÄN</t>
        </is>
      </c>
      <c r="E1599" t="inlineStr">
        <is>
          <t>ÖRKELLJUNGA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62858-2020</t>
        </is>
      </c>
      <c r="B1600" s="1" t="n">
        <v>44161</v>
      </c>
      <c r="C1600" s="1" t="n">
        <v>45744</v>
      </c>
      <c r="D1600" t="inlineStr">
        <is>
          <t>SKÅNE LÄN</t>
        </is>
      </c>
      <c r="E1600" t="inlineStr">
        <is>
          <t>HÄSSLEHOLM</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63456-2020</t>
        </is>
      </c>
      <c r="B1601" s="1" t="n">
        <v>44161</v>
      </c>
      <c r="C1601" s="1" t="n">
        <v>45744</v>
      </c>
      <c r="D1601" t="inlineStr">
        <is>
          <t>SKÅNE LÄN</t>
        </is>
      </c>
      <c r="E1601" t="inlineStr">
        <is>
          <t>KRISTIANSTAD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63389-2020</t>
        </is>
      </c>
      <c r="B1602" s="1" t="n">
        <v>44161</v>
      </c>
      <c r="C1602" s="1" t="n">
        <v>45744</v>
      </c>
      <c r="D1602" t="inlineStr">
        <is>
          <t>SKÅNE LÄN</t>
        </is>
      </c>
      <c r="E1602" t="inlineStr">
        <is>
          <t>KRISTIANSTAD</t>
        </is>
      </c>
      <c r="G1602" t="n">
        <v>11.2</v>
      </c>
      <c r="H1602" t="n">
        <v>0</v>
      </c>
      <c r="I1602" t="n">
        <v>0</v>
      </c>
      <c r="J1602" t="n">
        <v>0</v>
      </c>
      <c r="K1602" t="n">
        <v>0</v>
      </c>
      <c r="L1602" t="n">
        <v>0</v>
      </c>
      <c r="M1602" t="n">
        <v>0</v>
      </c>
      <c r="N1602" t="n">
        <v>0</v>
      </c>
      <c r="O1602" t="n">
        <v>0</v>
      </c>
      <c r="P1602" t="n">
        <v>0</v>
      </c>
      <c r="Q1602" t="n">
        <v>0</v>
      </c>
      <c r="R1602" s="2" t="inlineStr"/>
    </row>
    <row r="1603" ht="15" customHeight="1">
      <c r="A1603" t="inlineStr">
        <is>
          <t>A 63073-2020</t>
        </is>
      </c>
      <c r="B1603" s="1" t="n">
        <v>44162</v>
      </c>
      <c r="C1603" s="1" t="n">
        <v>45744</v>
      </c>
      <c r="D1603" t="inlineStr">
        <is>
          <t>SKÅNE LÄN</t>
        </is>
      </c>
      <c r="E1603" t="inlineStr">
        <is>
          <t>KLIPPAN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63082-2020</t>
        </is>
      </c>
      <c r="B1604" s="1" t="n">
        <v>44162</v>
      </c>
      <c r="C1604" s="1" t="n">
        <v>45744</v>
      </c>
      <c r="D1604" t="inlineStr">
        <is>
          <t>SKÅNE LÄN</t>
        </is>
      </c>
      <c r="E1604" t="inlineStr">
        <is>
          <t>KLIPPAN</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63109-2020</t>
        </is>
      </c>
      <c r="B1605" s="1" t="n">
        <v>44162</v>
      </c>
      <c r="C1605" s="1" t="n">
        <v>45744</v>
      </c>
      <c r="D1605" t="inlineStr">
        <is>
          <t>SKÅNE LÄN</t>
        </is>
      </c>
      <c r="E1605" t="inlineStr">
        <is>
          <t>SJÖBO</t>
        </is>
      </c>
      <c r="G1605" t="n">
        <v>16.1</v>
      </c>
      <c r="H1605" t="n">
        <v>0</v>
      </c>
      <c r="I1605" t="n">
        <v>0</v>
      </c>
      <c r="J1605" t="n">
        <v>0</v>
      </c>
      <c r="K1605" t="n">
        <v>0</v>
      </c>
      <c r="L1605" t="n">
        <v>0</v>
      </c>
      <c r="M1605" t="n">
        <v>0</v>
      </c>
      <c r="N1605" t="n">
        <v>0</v>
      </c>
      <c r="O1605" t="n">
        <v>0</v>
      </c>
      <c r="P1605" t="n">
        <v>0</v>
      </c>
      <c r="Q1605" t="n">
        <v>0</v>
      </c>
      <c r="R1605" s="2" t="inlineStr"/>
    </row>
    <row r="1606" ht="15" customHeight="1">
      <c r="A1606" t="inlineStr">
        <is>
          <t>A 64341-2020</t>
        </is>
      </c>
      <c r="B1606" s="1" t="n">
        <v>44165</v>
      </c>
      <c r="C1606" s="1" t="n">
        <v>45744</v>
      </c>
      <c r="D1606" t="inlineStr">
        <is>
          <t>SKÅNE LÄN</t>
        </is>
      </c>
      <c r="E1606" t="inlineStr">
        <is>
          <t>HÖRBY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64161-2020</t>
        </is>
      </c>
      <c r="B1607" s="1" t="n">
        <v>44167</v>
      </c>
      <c r="C1607" s="1" t="n">
        <v>45744</v>
      </c>
      <c r="D1607" t="inlineStr">
        <is>
          <t>SKÅNE LÄN</t>
        </is>
      </c>
      <c r="E1607" t="inlineStr">
        <is>
          <t>OSBY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65040-2020</t>
        </is>
      </c>
      <c r="B1608" s="1" t="n">
        <v>44167</v>
      </c>
      <c r="C1608" s="1" t="n">
        <v>45744</v>
      </c>
      <c r="D1608" t="inlineStr">
        <is>
          <t>SKÅNE LÄN</t>
        </is>
      </c>
      <c r="E1608" t="inlineStr">
        <is>
          <t>KRISTIANSTAD</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64361-2020</t>
        </is>
      </c>
      <c r="B1609" s="1" t="n">
        <v>44168</v>
      </c>
      <c r="C1609" s="1" t="n">
        <v>45744</v>
      </c>
      <c r="D1609" t="inlineStr">
        <is>
          <t>SKÅNE LÄN</t>
        </is>
      </c>
      <c r="E1609" t="inlineStr">
        <is>
          <t>HÄSSLEHOLM</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64211-2020</t>
        </is>
      </c>
      <c r="B1610" s="1" t="n">
        <v>44168</v>
      </c>
      <c r="C1610" s="1" t="n">
        <v>45744</v>
      </c>
      <c r="D1610" t="inlineStr">
        <is>
          <t>SKÅNE LÄN</t>
        </is>
      </c>
      <c r="E1610" t="inlineStr">
        <is>
          <t>HÄSSLEHOLM</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64342-2020</t>
        </is>
      </c>
      <c r="B1611" s="1" t="n">
        <v>44168</v>
      </c>
      <c r="C1611" s="1" t="n">
        <v>45744</v>
      </c>
      <c r="D1611" t="inlineStr">
        <is>
          <t>SKÅNE LÄN</t>
        </is>
      </c>
      <c r="E1611" t="inlineStr">
        <is>
          <t>HÄSSLEHOLM</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64601-2020</t>
        </is>
      </c>
      <c r="B1612" s="1" t="n">
        <v>44169</v>
      </c>
      <c r="C1612" s="1" t="n">
        <v>45744</v>
      </c>
      <c r="D1612" t="inlineStr">
        <is>
          <t>SKÅNE LÄN</t>
        </is>
      </c>
      <c r="E1612" t="inlineStr">
        <is>
          <t>ÖRKELLJUNGA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64694-2020</t>
        </is>
      </c>
      <c r="B1613" s="1" t="n">
        <v>44169</v>
      </c>
      <c r="C1613" s="1" t="n">
        <v>45744</v>
      </c>
      <c r="D1613" t="inlineStr">
        <is>
          <t>SKÅNE LÄN</t>
        </is>
      </c>
      <c r="E1613" t="inlineStr">
        <is>
          <t>ÖSTRA GÖINGE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64703-2020</t>
        </is>
      </c>
      <c r="B1614" s="1" t="n">
        <v>44169</v>
      </c>
      <c r="C1614" s="1" t="n">
        <v>45744</v>
      </c>
      <c r="D1614" t="inlineStr">
        <is>
          <t>SKÅNE LÄN</t>
        </is>
      </c>
      <c r="E1614" t="inlineStr">
        <is>
          <t>ÖSTRA GÖINGE</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65033-2020</t>
        </is>
      </c>
      <c r="B1615" s="1" t="n">
        <v>44172</v>
      </c>
      <c r="C1615" s="1" t="n">
        <v>45744</v>
      </c>
      <c r="D1615" t="inlineStr">
        <is>
          <t>SKÅNE LÄN</t>
        </is>
      </c>
      <c r="E1615" t="inlineStr">
        <is>
          <t>TOMELILLA</t>
        </is>
      </c>
      <c r="F1615" t="inlineStr">
        <is>
          <t>Kyrkan</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65173-2020</t>
        </is>
      </c>
      <c r="B1616" s="1" t="n">
        <v>44172</v>
      </c>
      <c r="C1616" s="1" t="n">
        <v>45744</v>
      </c>
      <c r="D1616" t="inlineStr">
        <is>
          <t>SKÅNE LÄN</t>
        </is>
      </c>
      <c r="E1616" t="inlineStr">
        <is>
          <t>ÖSTRA GÖINGE</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65863-2020</t>
        </is>
      </c>
      <c r="B1617" s="1" t="n">
        <v>44173</v>
      </c>
      <c r="C1617" s="1" t="n">
        <v>45744</v>
      </c>
      <c r="D1617" t="inlineStr">
        <is>
          <t>SKÅNE LÄN</t>
        </is>
      </c>
      <c r="E1617" t="inlineStr">
        <is>
          <t>SVALÖV</t>
        </is>
      </c>
      <c r="G1617" t="n">
        <v>12.2</v>
      </c>
      <c r="H1617" t="n">
        <v>0</v>
      </c>
      <c r="I1617" t="n">
        <v>0</v>
      </c>
      <c r="J1617" t="n">
        <v>0</v>
      </c>
      <c r="K1617" t="n">
        <v>0</v>
      </c>
      <c r="L1617" t="n">
        <v>0</v>
      </c>
      <c r="M1617" t="n">
        <v>0</v>
      </c>
      <c r="N1617" t="n">
        <v>0</v>
      </c>
      <c r="O1617" t="n">
        <v>0</v>
      </c>
      <c r="P1617" t="n">
        <v>0</v>
      </c>
      <c r="Q1617" t="n">
        <v>0</v>
      </c>
      <c r="R1617" s="2" t="inlineStr"/>
    </row>
    <row r="1618" ht="15" customHeight="1">
      <c r="A1618" t="inlineStr">
        <is>
          <t>A 65288-2020</t>
        </is>
      </c>
      <c r="B1618" s="1" t="n">
        <v>44173</v>
      </c>
      <c r="C1618" s="1" t="n">
        <v>45744</v>
      </c>
      <c r="D1618" t="inlineStr">
        <is>
          <t>SKÅNE LÄN</t>
        </is>
      </c>
      <c r="E1618" t="inlineStr">
        <is>
          <t>KRISTIANSTAD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65640-2020</t>
        </is>
      </c>
      <c r="B1619" s="1" t="n">
        <v>44174</v>
      </c>
      <c r="C1619" s="1" t="n">
        <v>45744</v>
      </c>
      <c r="D1619" t="inlineStr">
        <is>
          <t>SKÅNE LÄN</t>
        </is>
      </c>
      <c r="E1619" t="inlineStr">
        <is>
          <t>OSBY</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65753-2020</t>
        </is>
      </c>
      <c r="B1620" s="1" t="n">
        <v>44174</v>
      </c>
      <c r="C1620" s="1" t="n">
        <v>45744</v>
      </c>
      <c r="D1620" t="inlineStr">
        <is>
          <t>SKÅNE LÄN</t>
        </is>
      </c>
      <c r="E1620" t="inlineStr">
        <is>
          <t>ÖRKELLJUNGA</t>
        </is>
      </c>
      <c r="F1620" t="inlineStr">
        <is>
          <t>Kyrkan</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65760-2020</t>
        </is>
      </c>
      <c r="B1621" s="1" t="n">
        <v>44174</v>
      </c>
      <c r="C1621" s="1" t="n">
        <v>45744</v>
      </c>
      <c r="D1621" t="inlineStr">
        <is>
          <t>SKÅNE LÄN</t>
        </is>
      </c>
      <c r="E1621" t="inlineStr">
        <is>
          <t>ÖSTRA GÖINGE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65788-2020</t>
        </is>
      </c>
      <c r="B1622" s="1" t="n">
        <v>44174</v>
      </c>
      <c r="C1622" s="1" t="n">
        <v>45744</v>
      </c>
      <c r="D1622" t="inlineStr">
        <is>
          <t>SKÅNE LÄN</t>
        </is>
      </c>
      <c r="E1622" t="inlineStr">
        <is>
          <t>HÖRBY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66171-2020</t>
        </is>
      </c>
      <c r="B1623" s="1" t="n">
        <v>44174</v>
      </c>
      <c r="C1623" s="1" t="n">
        <v>45744</v>
      </c>
      <c r="D1623" t="inlineStr">
        <is>
          <t>SKÅNE LÄN</t>
        </is>
      </c>
      <c r="E1623" t="inlineStr">
        <is>
          <t>SJÖBO</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66177-2020</t>
        </is>
      </c>
      <c r="B1624" s="1" t="n">
        <v>44174</v>
      </c>
      <c r="C1624" s="1" t="n">
        <v>45744</v>
      </c>
      <c r="D1624" t="inlineStr">
        <is>
          <t>SKÅNE LÄN</t>
        </is>
      </c>
      <c r="E1624" t="inlineStr">
        <is>
          <t>SJÖBO</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66173-2020</t>
        </is>
      </c>
      <c r="B1625" s="1" t="n">
        <v>44174</v>
      </c>
      <c r="C1625" s="1" t="n">
        <v>45744</v>
      </c>
      <c r="D1625" t="inlineStr">
        <is>
          <t>SKÅNE LÄN</t>
        </is>
      </c>
      <c r="E1625" t="inlineStr">
        <is>
          <t>SJÖBO</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66045-2020</t>
        </is>
      </c>
      <c r="B1626" s="1" t="n">
        <v>44175</v>
      </c>
      <c r="C1626" s="1" t="n">
        <v>45744</v>
      </c>
      <c r="D1626" t="inlineStr">
        <is>
          <t>SKÅNE LÄN</t>
        </is>
      </c>
      <c r="E1626" t="inlineStr">
        <is>
          <t>TOMELILLA</t>
        </is>
      </c>
      <c r="F1626" t="inlineStr">
        <is>
          <t>Kyrkan</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66043-2020</t>
        </is>
      </c>
      <c r="B1627" s="1" t="n">
        <v>44175</v>
      </c>
      <c r="C1627" s="1" t="n">
        <v>45744</v>
      </c>
      <c r="D1627" t="inlineStr">
        <is>
          <t>SKÅNE LÄN</t>
        </is>
      </c>
      <c r="E1627" t="inlineStr">
        <is>
          <t>HÖÖR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66474-2020</t>
        </is>
      </c>
      <c r="B1628" s="1" t="n">
        <v>44177</v>
      </c>
      <c r="C1628" s="1" t="n">
        <v>45744</v>
      </c>
      <c r="D1628" t="inlineStr">
        <is>
          <t>SKÅNE LÄN</t>
        </is>
      </c>
      <c r="E1628" t="inlineStr">
        <is>
          <t>HÄSSLEHOLM</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66505-2020</t>
        </is>
      </c>
      <c r="B1629" s="1" t="n">
        <v>44178</v>
      </c>
      <c r="C1629" s="1" t="n">
        <v>45744</v>
      </c>
      <c r="D1629" t="inlineStr">
        <is>
          <t>SKÅNE LÄN</t>
        </is>
      </c>
      <c r="E1629" t="inlineStr">
        <is>
          <t>HÖÖR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66507-2020</t>
        </is>
      </c>
      <c r="B1630" s="1" t="n">
        <v>44178</v>
      </c>
      <c r="C1630" s="1" t="n">
        <v>45744</v>
      </c>
      <c r="D1630" t="inlineStr">
        <is>
          <t>SKÅNE LÄN</t>
        </is>
      </c>
      <c r="E1630" t="inlineStr">
        <is>
          <t>HÖÖR</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66520-2020</t>
        </is>
      </c>
      <c r="B1631" s="1" t="n">
        <v>44179</v>
      </c>
      <c r="C1631" s="1" t="n">
        <v>45744</v>
      </c>
      <c r="D1631" t="inlineStr">
        <is>
          <t>SKÅNE LÄN</t>
        </is>
      </c>
      <c r="E1631" t="inlineStr">
        <is>
          <t>HÄSSLEHOLM</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66543-2020</t>
        </is>
      </c>
      <c r="B1632" s="1" t="n">
        <v>44179</v>
      </c>
      <c r="C1632" s="1" t="n">
        <v>45744</v>
      </c>
      <c r="D1632" t="inlineStr">
        <is>
          <t>SKÅNE LÄN</t>
        </is>
      </c>
      <c r="E1632" t="inlineStr">
        <is>
          <t>OSBY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66666-2020</t>
        </is>
      </c>
      <c r="B1633" s="1" t="n">
        <v>44179</v>
      </c>
      <c r="C1633" s="1" t="n">
        <v>45744</v>
      </c>
      <c r="D1633" t="inlineStr">
        <is>
          <t>SKÅNE LÄN</t>
        </is>
      </c>
      <c r="E1633" t="inlineStr">
        <is>
          <t>PERSTORP</t>
        </is>
      </c>
      <c r="F1633" t="inlineStr">
        <is>
          <t>Kyrkan</t>
        </is>
      </c>
      <c r="G1633" t="n">
        <v>18.4</v>
      </c>
      <c r="H1633" t="n">
        <v>0</v>
      </c>
      <c r="I1633" t="n">
        <v>0</v>
      </c>
      <c r="J1633" t="n">
        <v>0</v>
      </c>
      <c r="K1633" t="n">
        <v>0</v>
      </c>
      <c r="L1633" t="n">
        <v>0</v>
      </c>
      <c r="M1633" t="n">
        <v>0</v>
      </c>
      <c r="N1633" t="n">
        <v>0</v>
      </c>
      <c r="O1633" t="n">
        <v>0</v>
      </c>
      <c r="P1633" t="n">
        <v>0</v>
      </c>
      <c r="Q1633" t="n">
        <v>0</v>
      </c>
      <c r="R1633" s="2" t="inlineStr"/>
    </row>
    <row r="1634" ht="15" customHeight="1">
      <c r="A1634" t="inlineStr">
        <is>
          <t>A 66668-2020</t>
        </is>
      </c>
      <c r="B1634" s="1" t="n">
        <v>44179</v>
      </c>
      <c r="C1634" s="1" t="n">
        <v>45744</v>
      </c>
      <c r="D1634" t="inlineStr">
        <is>
          <t>SKÅNE LÄN</t>
        </is>
      </c>
      <c r="E1634" t="inlineStr">
        <is>
          <t>PERSTORP</t>
        </is>
      </c>
      <c r="F1634" t="inlineStr">
        <is>
          <t>Kyrkan</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66941-2020</t>
        </is>
      </c>
      <c r="B1635" s="1" t="n">
        <v>44180</v>
      </c>
      <c r="C1635" s="1" t="n">
        <v>45744</v>
      </c>
      <c r="D1635" t="inlineStr">
        <is>
          <t>SKÅNE LÄN</t>
        </is>
      </c>
      <c r="E1635" t="inlineStr">
        <is>
          <t>OSBY</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67083-2020</t>
        </is>
      </c>
      <c r="B1636" s="1" t="n">
        <v>44180</v>
      </c>
      <c r="C1636" s="1" t="n">
        <v>45744</v>
      </c>
      <c r="D1636" t="inlineStr">
        <is>
          <t>SKÅNE LÄN</t>
        </is>
      </c>
      <c r="E1636" t="inlineStr">
        <is>
          <t>KRISTIANSTAD</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67778-2020</t>
        </is>
      </c>
      <c r="B1637" s="1" t="n">
        <v>44182</v>
      </c>
      <c r="C1637" s="1" t="n">
        <v>45744</v>
      </c>
      <c r="D1637" t="inlineStr">
        <is>
          <t>SKÅNE LÄN</t>
        </is>
      </c>
      <c r="E1637" t="inlineStr">
        <is>
          <t>SVEDALA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67630-2020</t>
        </is>
      </c>
      <c r="B1638" s="1" t="n">
        <v>44182</v>
      </c>
      <c r="C1638" s="1" t="n">
        <v>45744</v>
      </c>
      <c r="D1638" t="inlineStr">
        <is>
          <t>SKÅNE LÄN</t>
        </is>
      </c>
      <c r="E1638" t="inlineStr">
        <is>
          <t>PERSTORP</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67974-2020</t>
        </is>
      </c>
      <c r="B1639" s="1" t="n">
        <v>44182</v>
      </c>
      <c r="C1639" s="1" t="n">
        <v>45744</v>
      </c>
      <c r="D1639" t="inlineStr">
        <is>
          <t>SKÅNE LÄN</t>
        </is>
      </c>
      <c r="E1639" t="inlineStr">
        <is>
          <t>HÄSSLEHOLM</t>
        </is>
      </c>
      <c r="G1639" t="n">
        <v>9</v>
      </c>
      <c r="H1639" t="n">
        <v>0</v>
      </c>
      <c r="I1639" t="n">
        <v>0</v>
      </c>
      <c r="J1639" t="n">
        <v>0</v>
      </c>
      <c r="K1639" t="n">
        <v>0</v>
      </c>
      <c r="L1639" t="n">
        <v>0</v>
      </c>
      <c r="M1639" t="n">
        <v>0</v>
      </c>
      <c r="N1639" t="n">
        <v>0</v>
      </c>
      <c r="O1639" t="n">
        <v>0</v>
      </c>
      <c r="P1639" t="n">
        <v>0</v>
      </c>
      <c r="Q1639" t="n">
        <v>0</v>
      </c>
      <c r="R1639" s="2" t="inlineStr"/>
    </row>
    <row r="1640" ht="15" customHeight="1">
      <c r="A1640" t="inlineStr">
        <is>
          <t>A 68105-2020</t>
        </is>
      </c>
      <c r="B1640" s="1" t="n">
        <v>44183</v>
      </c>
      <c r="C1640" s="1" t="n">
        <v>45744</v>
      </c>
      <c r="D1640" t="inlineStr">
        <is>
          <t>SKÅNE LÄN</t>
        </is>
      </c>
      <c r="E1640" t="inlineStr">
        <is>
          <t>KRISTIANSTAD</t>
        </is>
      </c>
      <c r="F1640" t="inlineStr">
        <is>
          <t>Kyrkan</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68053-2020</t>
        </is>
      </c>
      <c r="B1641" s="1" t="n">
        <v>44183</v>
      </c>
      <c r="C1641" s="1" t="n">
        <v>45744</v>
      </c>
      <c r="D1641" t="inlineStr">
        <is>
          <t>SKÅNE LÄN</t>
        </is>
      </c>
      <c r="E1641" t="inlineStr">
        <is>
          <t>OSBY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68200-2020</t>
        </is>
      </c>
      <c r="B1642" s="1" t="n">
        <v>44183</v>
      </c>
      <c r="C1642" s="1" t="n">
        <v>45744</v>
      </c>
      <c r="D1642" t="inlineStr">
        <is>
          <t>SKÅNE LÄN</t>
        </is>
      </c>
      <c r="E1642" t="inlineStr">
        <is>
          <t>HÄSSLEHOLM</t>
        </is>
      </c>
      <c r="F1642" t="inlineStr">
        <is>
          <t>Kyrkan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68428-2020</t>
        </is>
      </c>
      <c r="B1643" s="1" t="n">
        <v>44183</v>
      </c>
      <c r="C1643" s="1" t="n">
        <v>45744</v>
      </c>
      <c r="D1643" t="inlineStr">
        <is>
          <t>SKÅNE LÄN</t>
        </is>
      </c>
      <c r="E1643" t="inlineStr">
        <is>
          <t>ÄNGELHOLM</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68508-2020</t>
        </is>
      </c>
      <c r="B1644" s="1" t="n">
        <v>44186</v>
      </c>
      <c r="C1644" s="1" t="n">
        <v>45744</v>
      </c>
      <c r="D1644" t="inlineStr">
        <is>
          <t>SKÅNE LÄN</t>
        </is>
      </c>
      <c r="E1644" t="inlineStr">
        <is>
          <t>ÖRKELLJUNGA</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68402-2020</t>
        </is>
      </c>
      <c r="B1645" s="1" t="n">
        <v>44186</v>
      </c>
      <c r="C1645" s="1" t="n">
        <v>45744</v>
      </c>
      <c r="D1645" t="inlineStr">
        <is>
          <t>SKÅNE LÄN</t>
        </is>
      </c>
      <c r="E1645" t="inlineStr">
        <is>
          <t>OSBY</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68502-2020</t>
        </is>
      </c>
      <c r="B1646" s="1" t="n">
        <v>44186</v>
      </c>
      <c r="C1646" s="1" t="n">
        <v>45744</v>
      </c>
      <c r="D1646" t="inlineStr">
        <is>
          <t>SKÅNE LÄN</t>
        </is>
      </c>
      <c r="E1646" t="inlineStr">
        <is>
          <t>ÖRKELLJUNGA</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68794-2020</t>
        </is>
      </c>
      <c r="B1647" s="1" t="n">
        <v>44186</v>
      </c>
      <c r="C1647" s="1" t="n">
        <v>45744</v>
      </c>
      <c r="D1647" t="inlineStr">
        <is>
          <t>SKÅNE LÄN</t>
        </is>
      </c>
      <c r="E1647" t="inlineStr">
        <is>
          <t>HÄSSLEHOLM</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68634-2020</t>
        </is>
      </c>
      <c r="B1648" s="1" t="n">
        <v>44186</v>
      </c>
      <c r="C1648" s="1" t="n">
        <v>45744</v>
      </c>
      <c r="D1648" t="inlineStr">
        <is>
          <t>SKÅNE LÄN</t>
        </is>
      </c>
      <c r="E1648" t="inlineStr">
        <is>
          <t>KRISTIANSTAD</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68838-2020</t>
        </is>
      </c>
      <c r="B1649" s="1" t="n">
        <v>44186</v>
      </c>
      <c r="C1649" s="1" t="n">
        <v>45744</v>
      </c>
      <c r="D1649" t="inlineStr">
        <is>
          <t>SKÅNE LÄN</t>
        </is>
      </c>
      <c r="E1649" t="inlineStr">
        <is>
          <t>ESLÖV</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68845-2020</t>
        </is>
      </c>
      <c r="B1650" s="1" t="n">
        <v>44186</v>
      </c>
      <c r="C1650" s="1" t="n">
        <v>45744</v>
      </c>
      <c r="D1650" t="inlineStr">
        <is>
          <t>SKÅNE LÄN</t>
        </is>
      </c>
      <c r="E1650" t="inlineStr">
        <is>
          <t>KRISTIANSTAD</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68840-2020</t>
        </is>
      </c>
      <c r="B1651" s="1" t="n">
        <v>44186</v>
      </c>
      <c r="C1651" s="1" t="n">
        <v>45744</v>
      </c>
      <c r="D1651" t="inlineStr">
        <is>
          <t>SKÅNE LÄN</t>
        </is>
      </c>
      <c r="E1651" t="inlineStr">
        <is>
          <t>KRISTIANSTAD</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68854-2020</t>
        </is>
      </c>
      <c r="B1652" s="1" t="n">
        <v>44187</v>
      </c>
      <c r="C1652" s="1" t="n">
        <v>45744</v>
      </c>
      <c r="D1652" t="inlineStr">
        <is>
          <t>SKÅNE LÄN</t>
        </is>
      </c>
      <c r="E1652" t="inlineStr">
        <is>
          <t>ÖSTRA GÖINGE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69103-2020</t>
        </is>
      </c>
      <c r="B1653" s="1" t="n">
        <v>44188</v>
      </c>
      <c r="C1653" s="1" t="n">
        <v>45744</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69109-2020</t>
        </is>
      </c>
      <c r="B1654" s="1" t="n">
        <v>44188</v>
      </c>
      <c r="C1654" s="1" t="n">
        <v>45744</v>
      </c>
      <c r="D1654" t="inlineStr">
        <is>
          <t>SKÅNE LÄN</t>
        </is>
      </c>
      <c r="E1654" t="inlineStr">
        <is>
          <t>HÄSSLEHOLM</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69160-2020</t>
        </is>
      </c>
      <c r="B1655" s="1" t="n">
        <v>44188</v>
      </c>
      <c r="C1655" s="1" t="n">
        <v>45744</v>
      </c>
      <c r="D1655" t="inlineStr">
        <is>
          <t>SKÅNE LÄN</t>
        </is>
      </c>
      <c r="E1655" t="inlineStr">
        <is>
          <t>OSBY</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69112-2020</t>
        </is>
      </c>
      <c r="B1656" s="1" t="n">
        <v>44188</v>
      </c>
      <c r="C1656" s="1" t="n">
        <v>45744</v>
      </c>
      <c r="D1656" t="inlineStr">
        <is>
          <t>SKÅNE LÄN</t>
        </is>
      </c>
      <c r="E1656" t="inlineStr">
        <is>
          <t>HÄSSLEHOLM</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69339-2020</t>
        </is>
      </c>
      <c r="B1657" s="1" t="n">
        <v>44188</v>
      </c>
      <c r="C1657" s="1" t="n">
        <v>45744</v>
      </c>
      <c r="D1657" t="inlineStr">
        <is>
          <t>SKÅNE LÄN</t>
        </is>
      </c>
      <c r="E1657" t="inlineStr">
        <is>
          <t>HÄSSLEHOLM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69201-2020</t>
        </is>
      </c>
      <c r="B1658" s="1" t="n">
        <v>44191</v>
      </c>
      <c r="C1658" s="1" t="n">
        <v>45744</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69198-2020</t>
        </is>
      </c>
      <c r="B1659" s="1" t="n">
        <v>44191</v>
      </c>
      <c r="C1659" s="1" t="n">
        <v>45744</v>
      </c>
      <c r="D1659" t="inlineStr">
        <is>
          <t>SKÅNE LÄN</t>
        </is>
      </c>
      <c r="E1659" t="inlineStr">
        <is>
          <t>HÄSSLEHOLM</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69190-2020</t>
        </is>
      </c>
      <c r="B1660" s="1" t="n">
        <v>44191</v>
      </c>
      <c r="C1660" s="1" t="n">
        <v>45744</v>
      </c>
      <c r="D1660" t="inlineStr">
        <is>
          <t>SKÅNE LÄN</t>
        </is>
      </c>
      <c r="E1660" t="inlineStr">
        <is>
          <t>BÅSTAD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69273-2020</t>
        </is>
      </c>
      <c r="B1661" s="1" t="n">
        <v>44193</v>
      </c>
      <c r="C1661" s="1" t="n">
        <v>45744</v>
      </c>
      <c r="D1661" t="inlineStr">
        <is>
          <t>SKÅNE LÄN</t>
        </is>
      </c>
      <c r="E1661" t="inlineStr">
        <is>
          <t>KRISTIANSTAD</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69461-2020</t>
        </is>
      </c>
      <c r="B1662" s="1" t="n">
        <v>44193</v>
      </c>
      <c r="C1662" s="1" t="n">
        <v>45744</v>
      </c>
      <c r="D1662" t="inlineStr">
        <is>
          <t>SKÅNE LÄN</t>
        </is>
      </c>
      <c r="E1662" t="inlineStr">
        <is>
          <t>ÖSTRA GÖINGE</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69462-2020</t>
        </is>
      </c>
      <c r="B1663" s="1" t="n">
        <v>44193</v>
      </c>
      <c r="C1663" s="1" t="n">
        <v>45744</v>
      </c>
      <c r="D1663" t="inlineStr">
        <is>
          <t>SKÅNE LÄN</t>
        </is>
      </c>
      <c r="E1663" t="inlineStr">
        <is>
          <t>ÖSTRA GÖINGE</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69463-2020</t>
        </is>
      </c>
      <c r="B1664" s="1" t="n">
        <v>44193</v>
      </c>
      <c r="C1664" s="1" t="n">
        <v>45744</v>
      </c>
      <c r="D1664" t="inlineStr">
        <is>
          <t>SKÅNE LÄN</t>
        </is>
      </c>
      <c r="E1664" t="inlineStr">
        <is>
          <t>ÖSTRA GÖINGE</t>
        </is>
      </c>
      <c r="G1664" t="n">
        <v>22.9</v>
      </c>
      <c r="H1664" t="n">
        <v>0</v>
      </c>
      <c r="I1664" t="n">
        <v>0</v>
      </c>
      <c r="J1664" t="n">
        <v>0</v>
      </c>
      <c r="K1664" t="n">
        <v>0</v>
      </c>
      <c r="L1664" t="n">
        <v>0</v>
      </c>
      <c r="M1664" t="n">
        <v>0</v>
      </c>
      <c r="N1664" t="n">
        <v>0</v>
      </c>
      <c r="O1664" t="n">
        <v>0</v>
      </c>
      <c r="P1664" t="n">
        <v>0</v>
      </c>
      <c r="Q1664" t="n">
        <v>0</v>
      </c>
      <c r="R1664" s="2" t="inlineStr"/>
    </row>
    <row r="1665" ht="15" customHeight="1">
      <c r="A1665" t="inlineStr">
        <is>
          <t>A 69530-2020</t>
        </is>
      </c>
      <c r="B1665" s="1" t="n">
        <v>44194</v>
      </c>
      <c r="C1665" s="1" t="n">
        <v>45744</v>
      </c>
      <c r="D1665" t="inlineStr">
        <is>
          <t>SKÅNE LÄN</t>
        </is>
      </c>
      <c r="E1665" t="inlineStr">
        <is>
          <t>OSBY</t>
        </is>
      </c>
      <c r="F1665" t="inlineStr">
        <is>
          <t>Kommuner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69505-2020</t>
        </is>
      </c>
      <c r="B1666" s="1" t="n">
        <v>44194</v>
      </c>
      <c r="C1666" s="1" t="n">
        <v>45744</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69504-2020</t>
        </is>
      </c>
      <c r="B1667" s="1" t="n">
        <v>44194</v>
      </c>
      <c r="C1667" s="1" t="n">
        <v>45744</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69500-2020</t>
        </is>
      </c>
      <c r="B1668" s="1" t="n">
        <v>44194</v>
      </c>
      <c r="C1668" s="1" t="n">
        <v>45744</v>
      </c>
      <c r="D1668" t="inlineStr">
        <is>
          <t>SKÅNE LÄN</t>
        </is>
      </c>
      <c r="E1668" t="inlineStr">
        <is>
          <t>HÄSSLEHOLM</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69609-2020</t>
        </is>
      </c>
      <c r="B1669" s="1" t="n">
        <v>44195</v>
      </c>
      <c r="C1669" s="1" t="n">
        <v>45744</v>
      </c>
      <c r="D1669" t="inlineStr">
        <is>
          <t>SKÅNE LÄN</t>
        </is>
      </c>
      <c r="E1669" t="inlineStr">
        <is>
          <t>KLIPPAN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49-2021</t>
        </is>
      </c>
      <c r="B1670" s="1" t="n">
        <v>44199</v>
      </c>
      <c r="C1670" s="1" t="n">
        <v>45744</v>
      </c>
      <c r="D1670" t="inlineStr">
        <is>
          <t>SKÅNE LÄN</t>
        </is>
      </c>
      <c r="E1670" t="inlineStr">
        <is>
          <t>KRISTIANSTAD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50-2021</t>
        </is>
      </c>
      <c r="B1671" s="1" t="n">
        <v>44199</v>
      </c>
      <c r="C1671" s="1" t="n">
        <v>45744</v>
      </c>
      <c r="D1671" t="inlineStr">
        <is>
          <t>SKÅNE LÄN</t>
        </is>
      </c>
      <c r="E1671" t="inlineStr">
        <is>
          <t>KRISTIANSTAD</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47-2021</t>
        </is>
      </c>
      <c r="B1672" s="1" t="n">
        <v>44199</v>
      </c>
      <c r="C1672" s="1" t="n">
        <v>45744</v>
      </c>
      <c r="D1672" t="inlineStr">
        <is>
          <t>SKÅNE LÄN</t>
        </is>
      </c>
      <c r="E1672" t="inlineStr">
        <is>
          <t>HÄSSLEHOLM</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121-2021</t>
        </is>
      </c>
      <c r="B1673" s="1" t="n">
        <v>44200</v>
      </c>
      <c r="C1673" s="1" t="n">
        <v>45744</v>
      </c>
      <c r="D1673" t="inlineStr">
        <is>
          <t>SKÅNE LÄN</t>
        </is>
      </c>
      <c r="E1673" t="inlineStr">
        <is>
          <t>OSBY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155-2021</t>
        </is>
      </c>
      <c r="B1674" s="1" t="n">
        <v>44200</v>
      </c>
      <c r="C1674" s="1" t="n">
        <v>45744</v>
      </c>
      <c r="D1674" t="inlineStr">
        <is>
          <t>SKÅNE LÄN</t>
        </is>
      </c>
      <c r="E1674" t="inlineStr">
        <is>
          <t>OSBY</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197-2021</t>
        </is>
      </c>
      <c r="B1675" s="1" t="n">
        <v>44200</v>
      </c>
      <c r="C1675" s="1" t="n">
        <v>45744</v>
      </c>
      <c r="D1675" t="inlineStr">
        <is>
          <t>SKÅNE LÄN</t>
        </is>
      </c>
      <c r="E1675" t="inlineStr">
        <is>
          <t>HÄSSLEHOLM</t>
        </is>
      </c>
      <c r="G1675" t="n">
        <v>12.9</v>
      </c>
      <c r="H1675" t="n">
        <v>0</v>
      </c>
      <c r="I1675" t="n">
        <v>0</v>
      </c>
      <c r="J1675" t="n">
        <v>0</v>
      </c>
      <c r="K1675" t="n">
        <v>0</v>
      </c>
      <c r="L1675" t="n">
        <v>0</v>
      </c>
      <c r="M1675" t="n">
        <v>0</v>
      </c>
      <c r="N1675" t="n">
        <v>0</v>
      </c>
      <c r="O1675" t="n">
        <v>0</v>
      </c>
      <c r="P1675" t="n">
        <v>0</v>
      </c>
      <c r="Q1675" t="n">
        <v>0</v>
      </c>
      <c r="R1675" s="2" t="inlineStr"/>
    </row>
    <row r="1676" ht="15" customHeight="1">
      <c r="A1676" t="inlineStr">
        <is>
          <t>A 157-2021</t>
        </is>
      </c>
      <c r="B1676" s="1" t="n">
        <v>44200</v>
      </c>
      <c r="C1676" s="1" t="n">
        <v>45744</v>
      </c>
      <c r="D1676" t="inlineStr">
        <is>
          <t>SKÅNE LÄN</t>
        </is>
      </c>
      <c r="E1676" t="inlineStr">
        <is>
          <t>OSBY</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771-2021</t>
        </is>
      </c>
      <c r="B1677" s="1" t="n">
        <v>44203</v>
      </c>
      <c r="C1677" s="1" t="n">
        <v>45744</v>
      </c>
      <c r="D1677" t="inlineStr">
        <is>
          <t>SKÅNE LÄN</t>
        </is>
      </c>
      <c r="E1677" t="inlineStr">
        <is>
          <t>SJÖBO</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964-2021</t>
        </is>
      </c>
      <c r="B1678" s="1" t="n">
        <v>44207</v>
      </c>
      <c r="C1678" s="1" t="n">
        <v>45744</v>
      </c>
      <c r="D1678" t="inlineStr">
        <is>
          <t>SKÅNE LÄN</t>
        </is>
      </c>
      <c r="E1678" t="inlineStr">
        <is>
          <t>HÄSSLEHOLM</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960-2021</t>
        </is>
      </c>
      <c r="B1679" s="1" t="n">
        <v>44207</v>
      </c>
      <c r="C1679" s="1" t="n">
        <v>45744</v>
      </c>
      <c r="D1679" t="inlineStr">
        <is>
          <t>SKÅNE LÄN</t>
        </is>
      </c>
      <c r="E1679" t="inlineStr">
        <is>
          <t>ÖSTRA GÖINGE</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1130-2021</t>
        </is>
      </c>
      <c r="B1680" s="1" t="n">
        <v>44207</v>
      </c>
      <c r="C1680" s="1" t="n">
        <v>45744</v>
      </c>
      <c r="D1680" t="inlineStr">
        <is>
          <t>SKÅNE LÄN</t>
        </is>
      </c>
      <c r="E1680" t="inlineStr">
        <is>
          <t>ÖRKELLJUNGA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1124-2021</t>
        </is>
      </c>
      <c r="B1681" s="1" t="n">
        <v>44207</v>
      </c>
      <c r="C1681" s="1" t="n">
        <v>45744</v>
      </c>
      <c r="D1681" t="inlineStr">
        <is>
          <t>SKÅNE LÄN</t>
        </is>
      </c>
      <c r="E1681" t="inlineStr">
        <is>
          <t>ÖRKELLJUNGA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1129-2021</t>
        </is>
      </c>
      <c r="B1682" s="1" t="n">
        <v>44207</v>
      </c>
      <c r="C1682" s="1" t="n">
        <v>45744</v>
      </c>
      <c r="D1682" t="inlineStr">
        <is>
          <t>SKÅNE LÄN</t>
        </is>
      </c>
      <c r="E1682" t="inlineStr">
        <is>
          <t>ÖRKELLJUNGA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1127-2021</t>
        </is>
      </c>
      <c r="B1683" s="1" t="n">
        <v>44207</v>
      </c>
      <c r="C1683" s="1" t="n">
        <v>45744</v>
      </c>
      <c r="D1683" t="inlineStr">
        <is>
          <t>SKÅNE LÄN</t>
        </is>
      </c>
      <c r="E1683" t="inlineStr">
        <is>
          <t>ÖRKELLJUNGA</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1136-2021</t>
        </is>
      </c>
      <c r="B1684" s="1" t="n">
        <v>44207</v>
      </c>
      <c r="C1684" s="1" t="n">
        <v>45744</v>
      </c>
      <c r="D1684" t="inlineStr">
        <is>
          <t>SKÅNE LÄN</t>
        </is>
      </c>
      <c r="E1684" t="inlineStr">
        <is>
          <t>ÖRKELLJUNGA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1318-2021</t>
        </is>
      </c>
      <c r="B1685" s="1" t="n">
        <v>44208</v>
      </c>
      <c r="C1685" s="1" t="n">
        <v>45744</v>
      </c>
      <c r="D1685" t="inlineStr">
        <is>
          <t>SKÅNE LÄN</t>
        </is>
      </c>
      <c r="E1685" t="inlineStr">
        <is>
          <t>OSBY</t>
        </is>
      </c>
      <c r="F1685" t="inlineStr">
        <is>
          <t>Sveaskog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1366-2021</t>
        </is>
      </c>
      <c r="B1686" s="1" t="n">
        <v>44208</v>
      </c>
      <c r="C1686" s="1" t="n">
        <v>45744</v>
      </c>
      <c r="D1686" t="inlineStr">
        <is>
          <t>SKÅNE LÄN</t>
        </is>
      </c>
      <c r="E1686" t="inlineStr">
        <is>
          <t>YSTAD</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1344-2021</t>
        </is>
      </c>
      <c r="B1687" s="1" t="n">
        <v>44208</v>
      </c>
      <c r="C1687" s="1" t="n">
        <v>45744</v>
      </c>
      <c r="D1687" t="inlineStr">
        <is>
          <t>SKÅNE LÄN</t>
        </is>
      </c>
      <c r="E1687" t="inlineStr">
        <is>
          <t>HÄSSLEHOLM</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1394-2021</t>
        </is>
      </c>
      <c r="B1688" s="1" t="n">
        <v>44208</v>
      </c>
      <c r="C1688" s="1" t="n">
        <v>45744</v>
      </c>
      <c r="D1688" t="inlineStr">
        <is>
          <t>SKÅNE LÄN</t>
        </is>
      </c>
      <c r="E1688" t="inlineStr">
        <is>
          <t>HÖRBY</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1428-2021</t>
        </is>
      </c>
      <c r="B1689" s="1" t="n">
        <v>44208</v>
      </c>
      <c r="C1689" s="1" t="n">
        <v>45744</v>
      </c>
      <c r="D1689" t="inlineStr">
        <is>
          <t>SKÅNE LÄN</t>
        </is>
      </c>
      <c r="E1689" t="inlineStr">
        <is>
          <t>TOMELILLA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1445-2021</t>
        </is>
      </c>
      <c r="B1690" s="1" t="n">
        <v>44208</v>
      </c>
      <c r="C1690" s="1" t="n">
        <v>45744</v>
      </c>
      <c r="D1690" t="inlineStr">
        <is>
          <t>SKÅNE LÄN</t>
        </is>
      </c>
      <c r="E1690" t="inlineStr">
        <is>
          <t>HÄSSLEHOLM</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1461-2021</t>
        </is>
      </c>
      <c r="B1691" s="1" t="n">
        <v>44208</v>
      </c>
      <c r="C1691" s="1" t="n">
        <v>45744</v>
      </c>
      <c r="D1691" t="inlineStr">
        <is>
          <t>SKÅNE LÄN</t>
        </is>
      </c>
      <c r="E1691" t="inlineStr">
        <is>
          <t>HÄSSLEHOLM</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1563-2021</t>
        </is>
      </c>
      <c r="B1692" s="1" t="n">
        <v>44209</v>
      </c>
      <c r="C1692" s="1" t="n">
        <v>45744</v>
      </c>
      <c r="D1692" t="inlineStr">
        <is>
          <t>SKÅNE LÄN</t>
        </is>
      </c>
      <c r="E1692" t="inlineStr">
        <is>
          <t>SJÖBO</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1620-2021</t>
        </is>
      </c>
      <c r="B1693" s="1" t="n">
        <v>44209</v>
      </c>
      <c r="C1693" s="1" t="n">
        <v>45744</v>
      </c>
      <c r="D1693" t="inlineStr">
        <is>
          <t>SKÅNE LÄN</t>
        </is>
      </c>
      <c r="E1693" t="inlineStr">
        <is>
          <t>ÄNGELHOLM</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1578-2021</t>
        </is>
      </c>
      <c r="B1694" s="1" t="n">
        <v>44209</v>
      </c>
      <c r="C1694" s="1" t="n">
        <v>45744</v>
      </c>
      <c r="D1694" t="inlineStr">
        <is>
          <t>SKÅNE LÄN</t>
        </is>
      </c>
      <c r="E1694" t="inlineStr">
        <is>
          <t>ÄNGELHOLM</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1824-2021</t>
        </is>
      </c>
      <c r="B1695" s="1" t="n">
        <v>44210</v>
      </c>
      <c r="C1695" s="1" t="n">
        <v>45744</v>
      </c>
      <c r="D1695" t="inlineStr">
        <is>
          <t>SKÅNE LÄN</t>
        </is>
      </c>
      <c r="E1695" t="inlineStr">
        <is>
          <t>ÖSTRA GÖINGE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1828-2021</t>
        </is>
      </c>
      <c r="B1696" s="1" t="n">
        <v>44210</v>
      </c>
      <c r="C1696" s="1" t="n">
        <v>45744</v>
      </c>
      <c r="D1696" t="inlineStr">
        <is>
          <t>SKÅNE LÄN</t>
        </is>
      </c>
      <c r="E1696" t="inlineStr">
        <is>
          <t>OSBY</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2272-2021</t>
        </is>
      </c>
      <c r="B1697" s="1" t="n">
        <v>44211</v>
      </c>
      <c r="C1697" s="1" t="n">
        <v>45744</v>
      </c>
      <c r="D1697" t="inlineStr">
        <is>
          <t>SKÅNE LÄN</t>
        </is>
      </c>
      <c r="E1697" t="inlineStr">
        <is>
          <t>KRISTIANSTAD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2424-2021</t>
        </is>
      </c>
      <c r="B1698" s="1" t="n">
        <v>44211</v>
      </c>
      <c r="C1698" s="1" t="n">
        <v>45744</v>
      </c>
      <c r="D1698" t="inlineStr">
        <is>
          <t>SKÅNE LÄN</t>
        </is>
      </c>
      <c r="E1698" t="inlineStr">
        <is>
          <t>KLIPPAN</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2462-2021</t>
        </is>
      </c>
      <c r="B1699" s="1" t="n">
        <v>44213</v>
      </c>
      <c r="C1699" s="1" t="n">
        <v>45744</v>
      </c>
      <c r="D1699" t="inlineStr">
        <is>
          <t>SKÅNE LÄN</t>
        </is>
      </c>
      <c r="E1699" t="inlineStr">
        <is>
          <t>ÖRKELLJUNGA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2399-2021</t>
        </is>
      </c>
      <c r="B1700" s="1" t="n">
        <v>44214</v>
      </c>
      <c r="C1700" s="1" t="n">
        <v>45744</v>
      </c>
      <c r="D1700" t="inlineStr">
        <is>
          <t>SKÅNE LÄN</t>
        </is>
      </c>
      <c r="E1700" t="inlineStr">
        <is>
          <t>OSBY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2412-2021</t>
        </is>
      </c>
      <c r="B1701" s="1" t="n">
        <v>44214</v>
      </c>
      <c r="C1701" s="1" t="n">
        <v>45744</v>
      </c>
      <c r="D1701" t="inlineStr">
        <is>
          <t>SKÅNE LÄN</t>
        </is>
      </c>
      <c r="E1701" t="inlineStr">
        <is>
          <t>OSBY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2408-2021</t>
        </is>
      </c>
      <c r="B1702" s="1" t="n">
        <v>44214</v>
      </c>
      <c r="C1702" s="1" t="n">
        <v>45744</v>
      </c>
      <c r="D1702" t="inlineStr">
        <is>
          <t>SKÅNE LÄN</t>
        </is>
      </c>
      <c r="E1702" t="inlineStr">
        <is>
          <t>OSBY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2514-2021</t>
        </is>
      </c>
      <c r="B1703" s="1" t="n">
        <v>44214</v>
      </c>
      <c r="C1703" s="1" t="n">
        <v>45744</v>
      </c>
      <c r="D1703" t="inlineStr">
        <is>
          <t>SKÅNE LÄN</t>
        </is>
      </c>
      <c r="E1703" t="inlineStr">
        <is>
          <t>HÄSSLEHOLM</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2509-2021</t>
        </is>
      </c>
      <c r="B1704" s="1" t="n">
        <v>44214</v>
      </c>
      <c r="C1704" s="1" t="n">
        <v>45744</v>
      </c>
      <c r="D1704" t="inlineStr">
        <is>
          <t>SKÅNE LÄN</t>
        </is>
      </c>
      <c r="E1704" t="inlineStr">
        <is>
          <t>HÄSSLEHOLM</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2519-2021</t>
        </is>
      </c>
      <c r="B1705" s="1" t="n">
        <v>44214</v>
      </c>
      <c r="C1705" s="1" t="n">
        <v>45744</v>
      </c>
      <c r="D1705" t="inlineStr">
        <is>
          <t>SKÅNE LÄN</t>
        </is>
      </c>
      <c r="E1705" t="inlineStr">
        <is>
          <t>ÖSTRA GÖINGE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2532-2021</t>
        </is>
      </c>
      <c r="B1706" s="1" t="n">
        <v>44214</v>
      </c>
      <c r="C1706" s="1" t="n">
        <v>45744</v>
      </c>
      <c r="D1706" t="inlineStr">
        <is>
          <t>SKÅNE LÄN</t>
        </is>
      </c>
      <c r="E1706" t="inlineStr">
        <is>
          <t>ÖSTRA GÖINGE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2770-2021</t>
        </is>
      </c>
      <c r="B1707" s="1" t="n">
        <v>44215</v>
      </c>
      <c r="C1707" s="1" t="n">
        <v>45744</v>
      </c>
      <c r="D1707" t="inlineStr">
        <is>
          <t>SKÅNE LÄN</t>
        </is>
      </c>
      <c r="E1707" t="inlineStr">
        <is>
          <t>ÖRKELLJUNGA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2781-2021</t>
        </is>
      </c>
      <c r="B1708" s="1" t="n">
        <v>44215</v>
      </c>
      <c r="C1708" s="1" t="n">
        <v>45744</v>
      </c>
      <c r="D1708" t="inlineStr">
        <is>
          <t>SKÅNE LÄN</t>
        </is>
      </c>
      <c r="E1708" t="inlineStr">
        <is>
          <t>ÖRKELLJUNGA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2788-2021</t>
        </is>
      </c>
      <c r="B1709" s="1" t="n">
        <v>44215</v>
      </c>
      <c r="C1709" s="1" t="n">
        <v>45744</v>
      </c>
      <c r="D1709" t="inlineStr">
        <is>
          <t>SKÅNE LÄN</t>
        </is>
      </c>
      <c r="E1709" t="inlineStr">
        <is>
          <t>ÖRKELLJUNGA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2813-2021</t>
        </is>
      </c>
      <c r="B1710" s="1" t="n">
        <v>44215</v>
      </c>
      <c r="C1710" s="1" t="n">
        <v>45744</v>
      </c>
      <c r="D1710" t="inlineStr">
        <is>
          <t>SKÅNE LÄN</t>
        </is>
      </c>
      <c r="E1710" t="inlineStr">
        <is>
          <t>HÄSSLEHOLM</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2625-2021</t>
        </is>
      </c>
      <c r="B1711" s="1" t="n">
        <v>44215</v>
      </c>
      <c r="C1711" s="1" t="n">
        <v>45744</v>
      </c>
      <c r="D1711" t="inlineStr">
        <is>
          <t>SKÅNE LÄN</t>
        </is>
      </c>
      <c r="E1711" t="inlineStr">
        <is>
          <t>ÖSTRA GÖINGE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2794-2021</t>
        </is>
      </c>
      <c r="B1712" s="1" t="n">
        <v>44215</v>
      </c>
      <c r="C1712" s="1" t="n">
        <v>45744</v>
      </c>
      <c r="D1712" t="inlineStr">
        <is>
          <t>SKÅNE LÄN</t>
        </is>
      </c>
      <c r="E1712" t="inlineStr">
        <is>
          <t>SVALÖV</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2692-2021</t>
        </is>
      </c>
      <c r="B1713" s="1" t="n">
        <v>44215</v>
      </c>
      <c r="C1713" s="1" t="n">
        <v>45744</v>
      </c>
      <c r="D1713" t="inlineStr">
        <is>
          <t>SKÅNE LÄN</t>
        </is>
      </c>
      <c r="E1713" t="inlineStr">
        <is>
          <t>HÄSSLEHOLM</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2721-2021</t>
        </is>
      </c>
      <c r="B1714" s="1" t="n">
        <v>44215</v>
      </c>
      <c r="C1714" s="1" t="n">
        <v>45744</v>
      </c>
      <c r="D1714" t="inlineStr">
        <is>
          <t>SKÅNE LÄN</t>
        </is>
      </c>
      <c r="E1714" t="inlineStr">
        <is>
          <t>HÖÖR</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2768-2021</t>
        </is>
      </c>
      <c r="B1715" s="1" t="n">
        <v>44215</v>
      </c>
      <c r="C1715" s="1" t="n">
        <v>45744</v>
      </c>
      <c r="D1715" t="inlineStr">
        <is>
          <t>SKÅNE LÄN</t>
        </is>
      </c>
      <c r="E1715" t="inlineStr">
        <is>
          <t>ÖRKELLJUNGA</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2787-2021</t>
        </is>
      </c>
      <c r="B1716" s="1" t="n">
        <v>44215</v>
      </c>
      <c r="C1716" s="1" t="n">
        <v>45744</v>
      </c>
      <c r="D1716" t="inlineStr">
        <is>
          <t>SKÅNE LÄN</t>
        </is>
      </c>
      <c r="E1716" t="inlineStr">
        <is>
          <t>ÖRKELLJUNGA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2708-2021</t>
        </is>
      </c>
      <c r="B1717" s="1" t="n">
        <v>44215</v>
      </c>
      <c r="C1717" s="1" t="n">
        <v>45744</v>
      </c>
      <c r="D1717" t="inlineStr">
        <is>
          <t>SKÅNE LÄN</t>
        </is>
      </c>
      <c r="E1717" t="inlineStr">
        <is>
          <t>ÖSTRA GÖINGE</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2774-2021</t>
        </is>
      </c>
      <c r="B1718" s="1" t="n">
        <v>44215</v>
      </c>
      <c r="C1718" s="1" t="n">
        <v>45744</v>
      </c>
      <c r="D1718" t="inlineStr">
        <is>
          <t>SKÅNE LÄN</t>
        </is>
      </c>
      <c r="E1718" t="inlineStr">
        <is>
          <t>ÖRKELLJUNGA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2784-2021</t>
        </is>
      </c>
      <c r="B1719" s="1" t="n">
        <v>44215</v>
      </c>
      <c r="C1719" s="1" t="n">
        <v>45744</v>
      </c>
      <c r="D1719" t="inlineStr">
        <is>
          <t>SKÅNE LÄN</t>
        </is>
      </c>
      <c r="E1719" t="inlineStr">
        <is>
          <t>ÖRKELLJUNGA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2790-2021</t>
        </is>
      </c>
      <c r="B1720" s="1" t="n">
        <v>44215</v>
      </c>
      <c r="C1720" s="1" t="n">
        <v>45744</v>
      </c>
      <c r="D1720" t="inlineStr">
        <is>
          <t>SKÅNE LÄN</t>
        </is>
      </c>
      <c r="E1720" t="inlineStr">
        <is>
          <t>ÖRKELLJUNGA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2952-2021</t>
        </is>
      </c>
      <c r="B1721" s="1" t="n">
        <v>44216</v>
      </c>
      <c r="C1721" s="1" t="n">
        <v>45744</v>
      </c>
      <c r="D1721" t="inlineStr">
        <is>
          <t>SKÅNE LÄN</t>
        </is>
      </c>
      <c r="E1721" t="inlineStr">
        <is>
          <t>HÄSSLEHOLM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3075-2021</t>
        </is>
      </c>
      <c r="B1722" s="1" t="n">
        <v>44216</v>
      </c>
      <c r="C1722" s="1" t="n">
        <v>45744</v>
      </c>
      <c r="D1722" t="inlineStr">
        <is>
          <t>SKÅNE LÄN</t>
        </is>
      </c>
      <c r="E1722" t="inlineStr">
        <is>
          <t>OSBY</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3044-2021</t>
        </is>
      </c>
      <c r="B1723" s="1" t="n">
        <v>44216</v>
      </c>
      <c r="C1723" s="1" t="n">
        <v>45744</v>
      </c>
      <c r="D1723" t="inlineStr">
        <is>
          <t>SKÅNE LÄN</t>
        </is>
      </c>
      <c r="E1723" t="inlineStr">
        <is>
          <t>HÄSSLEHOLM</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3365-2021</t>
        </is>
      </c>
      <c r="B1724" s="1" t="n">
        <v>44216</v>
      </c>
      <c r="C1724" s="1" t="n">
        <v>45744</v>
      </c>
      <c r="D1724" t="inlineStr">
        <is>
          <t>SKÅNE LÄN</t>
        </is>
      </c>
      <c r="E1724" t="inlineStr">
        <is>
          <t>HÄSSLEHOLM</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2980-2021</t>
        </is>
      </c>
      <c r="B1725" s="1" t="n">
        <v>44216</v>
      </c>
      <c r="C1725" s="1" t="n">
        <v>45744</v>
      </c>
      <c r="D1725" t="inlineStr">
        <is>
          <t>SKÅNE LÄN</t>
        </is>
      </c>
      <c r="E1725" t="inlineStr">
        <is>
          <t>ÖRKELLJUNGA</t>
        </is>
      </c>
      <c r="F1725" t="inlineStr">
        <is>
          <t>Kyrkan</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3113-2021</t>
        </is>
      </c>
      <c r="B1726" s="1" t="n">
        <v>44217</v>
      </c>
      <c r="C1726" s="1" t="n">
        <v>45744</v>
      </c>
      <c r="D1726" t="inlineStr">
        <is>
          <t>SKÅNE LÄN</t>
        </is>
      </c>
      <c r="E1726" t="inlineStr">
        <is>
          <t>OSBY</t>
        </is>
      </c>
      <c r="F1726" t="inlineStr">
        <is>
          <t>Sveaskog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3834-2021</t>
        </is>
      </c>
      <c r="B1727" s="1" t="n">
        <v>44217</v>
      </c>
      <c r="C1727" s="1" t="n">
        <v>45744</v>
      </c>
      <c r="D1727" t="inlineStr">
        <is>
          <t>SKÅNE LÄN</t>
        </is>
      </c>
      <c r="E1727" t="inlineStr">
        <is>
          <t>OSBY</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3516-2021</t>
        </is>
      </c>
      <c r="B1728" s="1" t="n">
        <v>44218</v>
      </c>
      <c r="C1728" s="1" t="n">
        <v>45744</v>
      </c>
      <c r="D1728" t="inlineStr">
        <is>
          <t>SKÅNE LÄN</t>
        </is>
      </c>
      <c r="E1728" t="inlineStr">
        <is>
          <t>OSBY</t>
        </is>
      </c>
      <c r="F1728" t="inlineStr">
        <is>
          <t>Kyrkan</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3402-2021</t>
        </is>
      </c>
      <c r="B1729" s="1" t="n">
        <v>44218</v>
      </c>
      <c r="C1729" s="1" t="n">
        <v>45744</v>
      </c>
      <c r="D1729" t="inlineStr">
        <is>
          <t>SKÅNE LÄN</t>
        </is>
      </c>
      <c r="E1729" t="inlineStr">
        <is>
          <t>OSBY</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3447-2021</t>
        </is>
      </c>
      <c r="B1730" s="1" t="n">
        <v>44218</v>
      </c>
      <c r="C1730" s="1" t="n">
        <v>45744</v>
      </c>
      <c r="D1730" t="inlineStr">
        <is>
          <t>SKÅNE LÄN</t>
        </is>
      </c>
      <c r="E1730" t="inlineStr">
        <is>
          <t>HÄSSLEHOLM</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3375-2021</t>
        </is>
      </c>
      <c r="B1731" s="1" t="n">
        <v>44218</v>
      </c>
      <c r="C1731" s="1" t="n">
        <v>45744</v>
      </c>
      <c r="D1731" t="inlineStr">
        <is>
          <t>SKÅNE LÄN</t>
        </is>
      </c>
      <c r="E1731" t="inlineStr">
        <is>
          <t>SIMRISHAMN</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3483-2021</t>
        </is>
      </c>
      <c r="B1732" s="1" t="n">
        <v>44218</v>
      </c>
      <c r="C1732" s="1" t="n">
        <v>45744</v>
      </c>
      <c r="D1732" t="inlineStr">
        <is>
          <t>SKÅNE LÄN</t>
        </is>
      </c>
      <c r="E1732" t="inlineStr">
        <is>
          <t>HÄSSLEHOLM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3373-2021</t>
        </is>
      </c>
      <c r="B1733" s="1" t="n">
        <v>44218</v>
      </c>
      <c r="C1733" s="1" t="n">
        <v>45744</v>
      </c>
      <c r="D1733" t="inlineStr">
        <is>
          <t>SKÅNE LÄN</t>
        </is>
      </c>
      <c r="E1733" t="inlineStr">
        <is>
          <t>SIMRISHAMN</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3472-2021</t>
        </is>
      </c>
      <c r="B1734" s="1" t="n">
        <v>44218</v>
      </c>
      <c r="C1734" s="1" t="n">
        <v>45744</v>
      </c>
      <c r="D1734" t="inlineStr">
        <is>
          <t>SKÅNE LÄN</t>
        </is>
      </c>
      <c r="E1734" t="inlineStr">
        <is>
          <t>OSBY</t>
        </is>
      </c>
      <c r="F1734" t="inlineStr">
        <is>
          <t>Naturvårdsverket</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3594-2021</t>
        </is>
      </c>
      <c r="B1735" s="1" t="n">
        <v>44220</v>
      </c>
      <c r="C1735" s="1" t="n">
        <v>45744</v>
      </c>
      <c r="D1735" t="inlineStr">
        <is>
          <t>SKÅNE LÄN</t>
        </is>
      </c>
      <c r="E1735" t="inlineStr">
        <is>
          <t>SVALÖV</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3593-2021</t>
        </is>
      </c>
      <c r="B1736" s="1" t="n">
        <v>44220</v>
      </c>
      <c r="C1736" s="1" t="n">
        <v>45744</v>
      </c>
      <c r="D1736" t="inlineStr">
        <is>
          <t>SKÅNE LÄN</t>
        </is>
      </c>
      <c r="E1736" t="inlineStr">
        <is>
          <t>SVALÖV</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3592-2021</t>
        </is>
      </c>
      <c r="B1737" s="1" t="n">
        <v>44220</v>
      </c>
      <c r="C1737" s="1" t="n">
        <v>45744</v>
      </c>
      <c r="D1737" t="inlineStr">
        <is>
          <t>SKÅNE LÄN</t>
        </is>
      </c>
      <c r="E1737" t="inlineStr">
        <is>
          <t>SVALÖV</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3714-2021</t>
        </is>
      </c>
      <c r="B1738" s="1" t="n">
        <v>44221</v>
      </c>
      <c r="C1738" s="1" t="n">
        <v>45744</v>
      </c>
      <c r="D1738" t="inlineStr">
        <is>
          <t>SKÅNE LÄN</t>
        </is>
      </c>
      <c r="E1738" t="inlineStr">
        <is>
          <t>HÄSSLEHOLM</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3792-2021</t>
        </is>
      </c>
      <c r="B1739" s="1" t="n">
        <v>44221</v>
      </c>
      <c r="C1739" s="1" t="n">
        <v>45744</v>
      </c>
      <c r="D1739" t="inlineStr">
        <is>
          <t>SKÅNE LÄN</t>
        </is>
      </c>
      <c r="E1739" t="inlineStr">
        <is>
          <t>BROMÖLLA</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3925-2021</t>
        </is>
      </c>
      <c r="B1740" s="1" t="n">
        <v>44222</v>
      </c>
      <c r="C1740" s="1" t="n">
        <v>45744</v>
      </c>
      <c r="D1740" t="inlineStr">
        <is>
          <t>SKÅNE LÄN</t>
        </is>
      </c>
      <c r="E1740" t="inlineStr">
        <is>
          <t>HÄSSLEHOLM</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3930-2021</t>
        </is>
      </c>
      <c r="B1741" s="1" t="n">
        <v>44222</v>
      </c>
      <c r="C1741" s="1" t="n">
        <v>45744</v>
      </c>
      <c r="D1741" t="inlineStr">
        <is>
          <t>SKÅNE LÄN</t>
        </is>
      </c>
      <c r="E1741" t="inlineStr">
        <is>
          <t>HÄSSLEHOLM</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4044-2021</t>
        </is>
      </c>
      <c r="B1742" s="1" t="n">
        <v>44222</v>
      </c>
      <c r="C1742" s="1" t="n">
        <v>45744</v>
      </c>
      <c r="D1742" t="inlineStr">
        <is>
          <t>SKÅNE LÄN</t>
        </is>
      </c>
      <c r="E1742" t="inlineStr">
        <is>
          <t>HÖRBY</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4244-2021</t>
        </is>
      </c>
      <c r="B1743" s="1" t="n">
        <v>44223</v>
      </c>
      <c r="C1743" s="1" t="n">
        <v>45744</v>
      </c>
      <c r="D1743" t="inlineStr">
        <is>
          <t>SKÅNE LÄN</t>
        </is>
      </c>
      <c r="E1743" t="inlineStr">
        <is>
          <t>ÄNGELHOLM</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4370-2021</t>
        </is>
      </c>
      <c r="B1744" s="1" t="n">
        <v>44223</v>
      </c>
      <c r="C1744" s="1" t="n">
        <v>45744</v>
      </c>
      <c r="D1744" t="inlineStr">
        <is>
          <t>SKÅNE LÄN</t>
        </is>
      </c>
      <c r="E1744" t="inlineStr">
        <is>
          <t>HÄSSLEHOLM</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4584-2021</t>
        </is>
      </c>
      <c r="B1745" s="1" t="n">
        <v>44224</v>
      </c>
      <c r="C1745" s="1" t="n">
        <v>45744</v>
      </c>
      <c r="D1745" t="inlineStr">
        <is>
          <t>SKÅNE LÄN</t>
        </is>
      </c>
      <c r="E1745" t="inlineStr">
        <is>
          <t>OSBY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4918-2021</t>
        </is>
      </c>
      <c r="B1746" s="1" t="n">
        <v>44226</v>
      </c>
      <c r="C1746" s="1" t="n">
        <v>45744</v>
      </c>
      <c r="D1746" t="inlineStr">
        <is>
          <t>SKÅNE LÄN</t>
        </is>
      </c>
      <c r="E1746" t="inlineStr">
        <is>
          <t>OSBY</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4933-2021</t>
        </is>
      </c>
      <c r="B1747" s="1" t="n">
        <v>44227</v>
      </c>
      <c r="C1747" s="1" t="n">
        <v>45744</v>
      </c>
      <c r="D1747" t="inlineStr">
        <is>
          <t>SKÅNE LÄN</t>
        </is>
      </c>
      <c r="E1747" t="inlineStr">
        <is>
          <t>ÄNGELHOLM</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5145-2021</t>
        </is>
      </c>
      <c r="B1748" s="1" t="n">
        <v>44228</v>
      </c>
      <c r="C1748" s="1" t="n">
        <v>45744</v>
      </c>
      <c r="D1748" t="inlineStr">
        <is>
          <t>SKÅNE LÄN</t>
        </is>
      </c>
      <c r="E1748" t="inlineStr">
        <is>
          <t>ÖSTRA GÖINGE</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5537-2021</t>
        </is>
      </c>
      <c r="B1749" s="1" t="n">
        <v>44228</v>
      </c>
      <c r="C1749" s="1" t="n">
        <v>45744</v>
      </c>
      <c r="D1749" t="inlineStr">
        <is>
          <t>SKÅNE LÄN</t>
        </is>
      </c>
      <c r="E1749" t="inlineStr">
        <is>
          <t>OSBY</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5476-2021</t>
        </is>
      </c>
      <c r="B1750" s="1" t="n">
        <v>44230</v>
      </c>
      <c r="C1750" s="1" t="n">
        <v>45744</v>
      </c>
      <c r="D1750" t="inlineStr">
        <is>
          <t>SKÅNE LÄN</t>
        </is>
      </c>
      <c r="E1750" t="inlineStr">
        <is>
          <t>HÄSSLEHOLM</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5478-2021</t>
        </is>
      </c>
      <c r="B1751" s="1" t="n">
        <v>44230</v>
      </c>
      <c r="C1751" s="1" t="n">
        <v>45744</v>
      </c>
      <c r="D1751" t="inlineStr">
        <is>
          <t>SKÅNE LÄN</t>
        </is>
      </c>
      <c r="E1751" t="inlineStr">
        <is>
          <t>HÄSSLEHOLM</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5678-2021</t>
        </is>
      </c>
      <c r="B1752" s="1" t="n">
        <v>44230</v>
      </c>
      <c r="C1752" s="1" t="n">
        <v>45744</v>
      </c>
      <c r="D1752" t="inlineStr">
        <is>
          <t>SKÅNE LÄN</t>
        </is>
      </c>
      <c r="E1752" t="inlineStr">
        <is>
          <t>ÖRKELLJUNGA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5773-2021</t>
        </is>
      </c>
      <c r="B1753" s="1" t="n">
        <v>44230</v>
      </c>
      <c r="C1753" s="1" t="n">
        <v>45744</v>
      </c>
      <c r="D1753" t="inlineStr">
        <is>
          <t>SKÅNE LÄN</t>
        </is>
      </c>
      <c r="E1753" t="inlineStr">
        <is>
          <t>ÖSTRA GÖINGE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6122-2021</t>
        </is>
      </c>
      <c r="B1754" s="1" t="n">
        <v>44232</v>
      </c>
      <c r="C1754" s="1" t="n">
        <v>45744</v>
      </c>
      <c r="D1754" t="inlineStr">
        <is>
          <t>SKÅNE LÄN</t>
        </is>
      </c>
      <c r="E1754" t="inlineStr">
        <is>
          <t>HÄSSLEHOLM</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6103-2021</t>
        </is>
      </c>
      <c r="B1755" s="1" t="n">
        <v>44232</v>
      </c>
      <c r="C1755" s="1" t="n">
        <v>45744</v>
      </c>
      <c r="D1755" t="inlineStr">
        <is>
          <t>SKÅNE LÄN</t>
        </is>
      </c>
      <c r="E1755" t="inlineStr">
        <is>
          <t>ÖSTRA GÖINGE</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6154-2021</t>
        </is>
      </c>
      <c r="B1756" s="1" t="n">
        <v>44232</v>
      </c>
      <c r="C1756" s="1" t="n">
        <v>45744</v>
      </c>
      <c r="D1756" t="inlineStr">
        <is>
          <t>SKÅNE LÄN</t>
        </is>
      </c>
      <c r="E1756" t="inlineStr">
        <is>
          <t>ÖRKELLJUNGA</t>
        </is>
      </c>
      <c r="G1756" t="n">
        <v>10.4</v>
      </c>
      <c r="H1756" t="n">
        <v>0</v>
      </c>
      <c r="I1756" t="n">
        <v>0</v>
      </c>
      <c r="J1756" t="n">
        <v>0</v>
      </c>
      <c r="K1756" t="n">
        <v>0</v>
      </c>
      <c r="L1756" t="n">
        <v>0</v>
      </c>
      <c r="M1756" t="n">
        <v>0</v>
      </c>
      <c r="N1756" t="n">
        <v>0</v>
      </c>
      <c r="O1756" t="n">
        <v>0</v>
      </c>
      <c r="P1756" t="n">
        <v>0</v>
      </c>
      <c r="Q1756" t="n">
        <v>0</v>
      </c>
      <c r="R1756" s="2" t="inlineStr"/>
    </row>
    <row r="1757" ht="15" customHeight="1">
      <c r="A1757" t="inlineStr">
        <is>
          <t>A 6170-2021</t>
        </is>
      </c>
      <c r="B1757" s="1" t="n">
        <v>44232</v>
      </c>
      <c r="C1757" s="1" t="n">
        <v>45744</v>
      </c>
      <c r="D1757" t="inlineStr">
        <is>
          <t>SKÅNE LÄN</t>
        </is>
      </c>
      <c r="E1757" t="inlineStr">
        <is>
          <t>BÅSTAD</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6180-2021</t>
        </is>
      </c>
      <c r="B1758" s="1" t="n">
        <v>44232</v>
      </c>
      <c r="C1758" s="1" t="n">
        <v>45744</v>
      </c>
      <c r="D1758" t="inlineStr">
        <is>
          <t>SKÅNE LÄN</t>
        </is>
      </c>
      <c r="E1758" t="inlineStr">
        <is>
          <t>HÄSSLEHOLM</t>
        </is>
      </c>
      <c r="F1758" t="inlineStr">
        <is>
          <t>Kyrkan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6327-2021</t>
        </is>
      </c>
      <c r="B1759" s="1" t="n">
        <v>44235</v>
      </c>
      <c r="C1759" s="1" t="n">
        <v>45744</v>
      </c>
      <c r="D1759" t="inlineStr">
        <is>
          <t>SKÅNE LÄN</t>
        </is>
      </c>
      <c r="E1759" t="inlineStr">
        <is>
          <t>HÄSSLEHOLM</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6237-2021</t>
        </is>
      </c>
      <c r="B1760" s="1" t="n">
        <v>44235</v>
      </c>
      <c r="C1760" s="1" t="n">
        <v>45744</v>
      </c>
      <c r="D1760" t="inlineStr">
        <is>
          <t>SKÅNE LÄN</t>
        </is>
      </c>
      <c r="E1760" t="inlineStr">
        <is>
          <t>ÖRKELLJUNGA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6397-2021</t>
        </is>
      </c>
      <c r="B1761" s="1" t="n">
        <v>44235</v>
      </c>
      <c r="C1761" s="1" t="n">
        <v>45744</v>
      </c>
      <c r="D1761" t="inlineStr">
        <is>
          <t>SKÅNE LÄN</t>
        </is>
      </c>
      <c r="E1761" t="inlineStr">
        <is>
          <t>OSBY</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6429-2021</t>
        </is>
      </c>
      <c r="B1762" s="1" t="n">
        <v>44235</v>
      </c>
      <c r="C1762" s="1" t="n">
        <v>45744</v>
      </c>
      <c r="D1762" t="inlineStr">
        <is>
          <t>SKÅNE LÄN</t>
        </is>
      </c>
      <c r="E1762" t="inlineStr">
        <is>
          <t>ÖRKELLJUNGA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6538-2021</t>
        </is>
      </c>
      <c r="B1763" s="1" t="n">
        <v>44235</v>
      </c>
      <c r="C1763" s="1" t="n">
        <v>45744</v>
      </c>
      <c r="D1763" t="inlineStr">
        <is>
          <t>SKÅNE LÄN</t>
        </is>
      </c>
      <c r="E1763" t="inlineStr">
        <is>
          <t>KLIPPAN</t>
        </is>
      </c>
      <c r="F1763" t="inlineStr">
        <is>
          <t>Övriga Aktiebolag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6638-2021</t>
        </is>
      </c>
      <c r="B1764" s="1" t="n">
        <v>44235</v>
      </c>
      <c r="C1764" s="1" t="n">
        <v>45744</v>
      </c>
      <c r="D1764" t="inlineStr">
        <is>
          <t>SKÅNE LÄN</t>
        </is>
      </c>
      <c r="E1764" t="inlineStr">
        <is>
          <t>HÄSSLEHOLM</t>
        </is>
      </c>
      <c r="G1764" t="n">
        <v>112.4</v>
      </c>
      <c r="H1764" t="n">
        <v>0</v>
      </c>
      <c r="I1764" t="n">
        <v>0</v>
      </c>
      <c r="J1764" t="n">
        <v>0</v>
      </c>
      <c r="K1764" t="n">
        <v>0</v>
      </c>
      <c r="L1764" t="n">
        <v>0</v>
      </c>
      <c r="M1764" t="n">
        <v>0</v>
      </c>
      <c r="N1764" t="n">
        <v>0</v>
      </c>
      <c r="O1764" t="n">
        <v>0</v>
      </c>
      <c r="P1764" t="n">
        <v>0</v>
      </c>
      <c r="Q1764" t="n">
        <v>0</v>
      </c>
      <c r="R1764" s="2" t="inlineStr"/>
    </row>
    <row r="1765" ht="15" customHeight="1">
      <c r="A1765" t="inlineStr">
        <is>
          <t>A 6528-2021</t>
        </is>
      </c>
      <c r="B1765" s="1" t="n">
        <v>44235</v>
      </c>
      <c r="C1765" s="1" t="n">
        <v>45744</v>
      </c>
      <c r="D1765" t="inlineStr">
        <is>
          <t>SKÅNE LÄN</t>
        </is>
      </c>
      <c r="E1765" t="inlineStr">
        <is>
          <t>PERSTORP</t>
        </is>
      </c>
      <c r="F1765" t="inlineStr">
        <is>
          <t>Övriga Aktiebolag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6540-2021</t>
        </is>
      </c>
      <c r="B1766" s="1" t="n">
        <v>44235</v>
      </c>
      <c r="C1766" s="1" t="n">
        <v>45744</v>
      </c>
      <c r="D1766" t="inlineStr">
        <is>
          <t>SKÅNE LÄN</t>
        </is>
      </c>
      <c r="E1766" t="inlineStr">
        <is>
          <t>PERSTORP</t>
        </is>
      </c>
      <c r="F1766" t="inlineStr">
        <is>
          <t>Övriga Aktiebolag</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6648-2021</t>
        </is>
      </c>
      <c r="B1767" s="1" t="n">
        <v>44235</v>
      </c>
      <c r="C1767" s="1" t="n">
        <v>45744</v>
      </c>
      <c r="D1767" t="inlineStr">
        <is>
          <t>SKÅNE LÄN</t>
        </is>
      </c>
      <c r="E1767" t="inlineStr">
        <is>
          <t>HÖÖR</t>
        </is>
      </c>
      <c r="F1767" t="inlineStr">
        <is>
          <t>Övriga statliga verk och myndigheter</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6574-2021</t>
        </is>
      </c>
      <c r="B1768" s="1" t="n">
        <v>44236</v>
      </c>
      <c r="C1768" s="1" t="n">
        <v>45744</v>
      </c>
      <c r="D1768" t="inlineStr">
        <is>
          <t>SKÅNE LÄN</t>
        </is>
      </c>
      <c r="E1768" t="inlineStr">
        <is>
          <t>ÄNGELHOLM</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6583-2021</t>
        </is>
      </c>
      <c r="B1769" s="1" t="n">
        <v>44236</v>
      </c>
      <c r="C1769" s="1" t="n">
        <v>45744</v>
      </c>
      <c r="D1769" t="inlineStr">
        <is>
          <t>SKÅNE LÄN</t>
        </is>
      </c>
      <c r="E1769" t="inlineStr">
        <is>
          <t>HÄSSLEHOLM</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6596-2021</t>
        </is>
      </c>
      <c r="B1770" s="1" t="n">
        <v>44236</v>
      </c>
      <c r="C1770" s="1" t="n">
        <v>45744</v>
      </c>
      <c r="D1770" t="inlineStr">
        <is>
          <t>SKÅNE LÄN</t>
        </is>
      </c>
      <c r="E1770" t="inlineStr">
        <is>
          <t>HÄSSLEHOLM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6769-2021</t>
        </is>
      </c>
      <c r="B1771" s="1" t="n">
        <v>44236</v>
      </c>
      <c r="C1771" s="1" t="n">
        <v>45744</v>
      </c>
      <c r="D1771" t="inlineStr">
        <is>
          <t>SKÅNE LÄN</t>
        </is>
      </c>
      <c r="E1771" t="inlineStr">
        <is>
          <t>HÖÖR</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6791-2021</t>
        </is>
      </c>
      <c r="B1772" s="1" t="n">
        <v>44236</v>
      </c>
      <c r="C1772" s="1" t="n">
        <v>45744</v>
      </c>
      <c r="D1772" t="inlineStr">
        <is>
          <t>SKÅNE LÄN</t>
        </is>
      </c>
      <c r="E1772" t="inlineStr">
        <is>
          <t>HÄSSLEHOLM</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6804-2021</t>
        </is>
      </c>
      <c r="B1773" s="1" t="n">
        <v>44236</v>
      </c>
      <c r="C1773" s="1" t="n">
        <v>45744</v>
      </c>
      <c r="D1773" t="inlineStr">
        <is>
          <t>SKÅNE LÄN</t>
        </is>
      </c>
      <c r="E1773" t="inlineStr">
        <is>
          <t>HÄSSLEHOLM</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6811-2021</t>
        </is>
      </c>
      <c r="B1774" s="1" t="n">
        <v>44236</v>
      </c>
      <c r="C1774" s="1" t="n">
        <v>45744</v>
      </c>
      <c r="D1774" t="inlineStr">
        <is>
          <t>SKÅNE LÄN</t>
        </is>
      </c>
      <c r="E1774" t="inlineStr">
        <is>
          <t>ÖSTRA GÖINGE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7248-2021</t>
        </is>
      </c>
      <c r="B1775" s="1" t="n">
        <v>44236</v>
      </c>
      <c r="C1775" s="1" t="n">
        <v>45744</v>
      </c>
      <c r="D1775" t="inlineStr">
        <is>
          <t>SKÅNE LÄN</t>
        </is>
      </c>
      <c r="E1775" t="inlineStr">
        <is>
          <t>HÄSSLEHOLM</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6962-2021</t>
        </is>
      </c>
      <c r="B1776" s="1" t="n">
        <v>44237</v>
      </c>
      <c r="C1776" s="1" t="n">
        <v>45744</v>
      </c>
      <c r="D1776" t="inlineStr">
        <is>
          <t>SKÅNE LÄN</t>
        </is>
      </c>
      <c r="E1776" t="inlineStr">
        <is>
          <t>HÄSSLEHOLM</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6967-2021</t>
        </is>
      </c>
      <c r="B1777" s="1" t="n">
        <v>44237</v>
      </c>
      <c r="C1777" s="1" t="n">
        <v>45744</v>
      </c>
      <c r="D1777" t="inlineStr">
        <is>
          <t>SKÅNE LÄN</t>
        </is>
      </c>
      <c r="E1777" t="inlineStr">
        <is>
          <t>HÄSSLEHOLM</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6973-2021</t>
        </is>
      </c>
      <c r="B1778" s="1" t="n">
        <v>44237</v>
      </c>
      <c r="C1778" s="1" t="n">
        <v>45744</v>
      </c>
      <c r="D1778" t="inlineStr">
        <is>
          <t>SKÅNE LÄN</t>
        </is>
      </c>
      <c r="E1778" t="inlineStr">
        <is>
          <t>HÄSSLEHOLM</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7245-2021</t>
        </is>
      </c>
      <c r="B1779" s="1" t="n">
        <v>44237</v>
      </c>
      <c r="C1779" s="1" t="n">
        <v>45744</v>
      </c>
      <c r="D1779" t="inlineStr">
        <is>
          <t>SKÅNE LÄN</t>
        </is>
      </c>
      <c r="E1779" t="inlineStr">
        <is>
          <t>KRISTIANSTAD</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7209-2021</t>
        </is>
      </c>
      <c r="B1780" s="1" t="n">
        <v>44237</v>
      </c>
      <c r="C1780" s="1" t="n">
        <v>45744</v>
      </c>
      <c r="D1780" t="inlineStr">
        <is>
          <t>SKÅNE LÄN</t>
        </is>
      </c>
      <c r="E1780" t="inlineStr">
        <is>
          <t>KRISTIANSTAD</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6965-2021</t>
        </is>
      </c>
      <c r="B1781" s="1" t="n">
        <v>44237</v>
      </c>
      <c r="C1781" s="1" t="n">
        <v>45744</v>
      </c>
      <c r="D1781" t="inlineStr">
        <is>
          <t>SKÅNE LÄN</t>
        </is>
      </c>
      <c r="E1781" t="inlineStr">
        <is>
          <t>HÄSSLEHOLM</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7231-2021</t>
        </is>
      </c>
      <c r="B1782" s="1" t="n">
        <v>44237</v>
      </c>
      <c r="C1782" s="1" t="n">
        <v>45744</v>
      </c>
      <c r="D1782" t="inlineStr">
        <is>
          <t>SKÅNE LÄN</t>
        </is>
      </c>
      <c r="E1782" t="inlineStr">
        <is>
          <t>KRISTIANSTAD</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7186-2021</t>
        </is>
      </c>
      <c r="B1783" s="1" t="n">
        <v>44238</v>
      </c>
      <c r="C1783" s="1" t="n">
        <v>45744</v>
      </c>
      <c r="D1783" t="inlineStr">
        <is>
          <t>SKÅNE LÄN</t>
        </is>
      </c>
      <c r="E1783" t="inlineStr">
        <is>
          <t>KRISTIANSTAD</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7522-2021</t>
        </is>
      </c>
      <c r="B1784" s="1" t="n">
        <v>44238</v>
      </c>
      <c r="C1784" s="1" t="n">
        <v>45744</v>
      </c>
      <c r="D1784" t="inlineStr">
        <is>
          <t>SKÅNE LÄN</t>
        </is>
      </c>
      <c r="E1784" t="inlineStr">
        <is>
          <t>HÄSSLEHOLM</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7701-2021</t>
        </is>
      </c>
      <c r="B1785" s="1" t="n">
        <v>44242</v>
      </c>
      <c r="C1785" s="1" t="n">
        <v>45744</v>
      </c>
      <c r="D1785" t="inlineStr">
        <is>
          <t>SKÅNE LÄN</t>
        </is>
      </c>
      <c r="E1785" t="inlineStr">
        <is>
          <t>HÄSSLEHOLM</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7655-2021</t>
        </is>
      </c>
      <c r="B1786" s="1" t="n">
        <v>44242</v>
      </c>
      <c r="C1786" s="1" t="n">
        <v>45744</v>
      </c>
      <c r="D1786" t="inlineStr">
        <is>
          <t>SKÅNE LÄN</t>
        </is>
      </c>
      <c r="E1786" t="inlineStr">
        <is>
          <t>HÄSSLEHOLM</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7692-2021</t>
        </is>
      </c>
      <c r="B1787" s="1" t="n">
        <v>44242</v>
      </c>
      <c r="C1787" s="1" t="n">
        <v>45744</v>
      </c>
      <c r="D1787" t="inlineStr">
        <is>
          <t>SKÅNE LÄN</t>
        </is>
      </c>
      <c r="E1787" t="inlineStr">
        <is>
          <t>HÄSSLEHOLM</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7729-2021</t>
        </is>
      </c>
      <c r="B1788" s="1" t="n">
        <v>44242</v>
      </c>
      <c r="C1788" s="1" t="n">
        <v>45744</v>
      </c>
      <c r="D1788" t="inlineStr">
        <is>
          <t>SKÅNE LÄN</t>
        </is>
      </c>
      <c r="E1788" t="inlineStr">
        <is>
          <t>HÄSSLEHOLM</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7707-2021</t>
        </is>
      </c>
      <c r="B1789" s="1" t="n">
        <v>44242</v>
      </c>
      <c r="C1789" s="1" t="n">
        <v>45744</v>
      </c>
      <c r="D1789" t="inlineStr">
        <is>
          <t>SKÅNE LÄN</t>
        </is>
      </c>
      <c r="E1789" t="inlineStr">
        <is>
          <t>ÖRKELLJUNGA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7771-2021</t>
        </is>
      </c>
      <c r="B1790" s="1" t="n">
        <v>44242</v>
      </c>
      <c r="C1790" s="1" t="n">
        <v>45744</v>
      </c>
      <c r="D1790" t="inlineStr">
        <is>
          <t>SKÅNE LÄN</t>
        </is>
      </c>
      <c r="E1790" t="inlineStr">
        <is>
          <t>HÄSSLEHOLM</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8201-2021</t>
        </is>
      </c>
      <c r="B1791" s="1" t="n">
        <v>44244</v>
      </c>
      <c r="C1791" s="1" t="n">
        <v>45744</v>
      </c>
      <c r="D1791" t="inlineStr">
        <is>
          <t>SKÅNE LÄN</t>
        </is>
      </c>
      <c r="E1791" t="inlineStr">
        <is>
          <t>SVALÖV</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8160-2021</t>
        </is>
      </c>
      <c r="B1792" s="1" t="n">
        <v>44244</v>
      </c>
      <c r="C1792" s="1" t="n">
        <v>45744</v>
      </c>
      <c r="D1792" t="inlineStr">
        <is>
          <t>SKÅNE LÄN</t>
        </is>
      </c>
      <c r="E1792" t="inlineStr">
        <is>
          <t>SVALÖV</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8204-2021</t>
        </is>
      </c>
      <c r="B1793" s="1" t="n">
        <v>44244</v>
      </c>
      <c r="C1793" s="1" t="n">
        <v>45744</v>
      </c>
      <c r="D1793" t="inlineStr">
        <is>
          <t>SKÅNE LÄN</t>
        </is>
      </c>
      <c r="E1793" t="inlineStr">
        <is>
          <t>KLIPPAN</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8278-2021</t>
        </is>
      </c>
      <c r="B1794" s="1" t="n">
        <v>44244</v>
      </c>
      <c r="C1794" s="1" t="n">
        <v>45744</v>
      </c>
      <c r="D1794" t="inlineStr">
        <is>
          <t>SKÅNE LÄN</t>
        </is>
      </c>
      <c r="E1794" t="inlineStr">
        <is>
          <t>HÄSSLEHOLM</t>
        </is>
      </c>
      <c r="F1794" t="inlineStr">
        <is>
          <t>Kyrkan</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8683-2021</t>
        </is>
      </c>
      <c r="B1795" s="1" t="n">
        <v>44245</v>
      </c>
      <c r="C1795" s="1" t="n">
        <v>45744</v>
      </c>
      <c r="D1795" t="inlineStr">
        <is>
          <t>SKÅNE LÄN</t>
        </is>
      </c>
      <c r="E1795" t="inlineStr">
        <is>
          <t>PERSTORP</t>
        </is>
      </c>
      <c r="F1795" t="inlineStr">
        <is>
          <t>Övriga Aktiebolag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8680-2021</t>
        </is>
      </c>
      <c r="B1796" s="1" t="n">
        <v>44245</v>
      </c>
      <c r="C1796" s="1" t="n">
        <v>45744</v>
      </c>
      <c r="D1796" t="inlineStr">
        <is>
          <t>SKÅNE LÄN</t>
        </is>
      </c>
      <c r="E1796" t="inlineStr">
        <is>
          <t>KLIPPAN</t>
        </is>
      </c>
      <c r="F1796" t="inlineStr">
        <is>
          <t>Övriga Aktiebolag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8686-2021</t>
        </is>
      </c>
      <c r="B1797" s="1" t="n">
        <v>44245</v>
      </c>
      <c r="C1797" s="1" t="n">
        <v>45744</v>
      </c>
      <c r="D1797" t="inlineStr">
        <is>
          <t>SKÅNE LÄN</t>
        </is>
      </c>
      <c r="E1797" t="inlineStr">
        <is>
          <t>KLIPPAN</t>
        </is>
      </c>
      <c r="F1797" t="inlineStr">
        <is>
          <t>Övriga Aktiebolag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8752-2021</t>
        </is>
      </c>
      <c r="B1798" s="1" t="n">
        <v>44246</v>
      </c>
      <c r="C1798" s="1" t="n">
        <v>45744</v>
      </c>
      <c r="D1798" t="inlineStr">
        <is>
          <t>SKÅNE LÄN</t>
        </is>
      </c>
      <c r="E1798" t="inlineStr">
        <is>
          <t>ÖRKELLJUNGA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8790-2021</t>
        </is>
      </c>
      <c r="B1799" s="1" t="n">
        <v>44246</v>
      </c>
      <c r="C1799" s="1" t="n">
        <v>45744</v>
      </c>
      <c r="D1799" t="inlineStr">
        <is>
          <t>SKÅNE LÄN</t>
        </is>
      </c>
      <c r="E1799" t="inlineStr">
        <is>
          <t>HÖÖR</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8741-2021</t>
        </is>
      </c>
      <c r="B1800" s="1" t="n">
        <v>44246</v>
      </c>
      <c r="C1800" s="1" t="n">
        <v>45744</v>
      </c>
      <c r="D1800" t="inlineStr">
        <is>
          <t>SKÅNE LÄN</t>
        </is>
      </c>
      <c r="E1800" t="inlineStr">
        <is>
          <t>PERSTORP</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8972-2021</t>
        </is>
      </c>
      <c r="B1801" s="1" t="n">
        <v>44246</v>
      </c>
      <c r="C1801" s="1" t="n">
        <v>45744</v>
      </c>
      <c r="D1801" t="inlineStr">
        <is>
          <t>SKÅNE LÄN</t>
        </is>
      </c>
      <c r="E1801" t="inlineStr">
        <is>
          <t>OSBY</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8966-2021</t>
        </is>
      </c>
      <c r="B1802" s="1" t="n">
        <v>44246</v>
      </c>
      <c r="C1802" s="1" t="n">
        <v>45744</v>
      </c>
      <c r="D1802" t="inlineStr">
        <is>
          <t>SKÅNE LÄN</t>
        </is>
      </c>
      <c r="E1802" t="inlineStr">
        <is>
          <t>OSBY</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8695-2021</t>
        </is>
      </c>
      <c r="B1803" s="1" t="n">
        <v>44246</v>
      </c>
      <c r="C1803" s="1" t="n">
        <v>45744</v>
      </c>
      <c r="D1803" t="inlineStr">
        <is>
          <t>SKÅNE LÄN</t>
        </is>
      </c>
      <c r="E1803" t="inlineStr">
        <is>
          <t>HÄSSLEHOLM</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8961-2021</t>
        </is>
      </c>
      <c r="B1804" s="1" t="n">
        <v>44246</v>
      </c>
      <c r="C1804" s="1" t="n">
        <v>45744</v>
      </c>
      <c r="D1804" t="inlineStr">
        <is>
          <t>SKÅNE LÄN</t>
        </is>
      </c>
      <c r="E1804" t="inlineStr">
        <is>
          <t>OSBY</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9046-2021</t>
        </is>
      </c>
      <c r="B1805" s="1" t="n">
        <v>44246</v>
      </c>
      <c r="C1805" s="1" t="n">
        <v>45744</v>
      </c>
      <c r="D1805" t="inlineStr">
        <is>
          <t>SKÅNE LÄN</t>
        </is>
      </c>
      <c r="E1805" t="inlineStr">
        <is>
          <t>KLIPPAN</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8865-2021</t>
        </is>
      </c>
      <c r="B1806" s="1" t="n">
        <v>44247</v>
      </c>
      <c r="C1806" s="1" t="n">
        <v>45744</v>
      </c>
      <c r="D1806" t="inlineStr">
        <is>
          <t>SKÅNE LÄN</t>
        </is>
      </c>
      <c r="E1806" t="inlineStr">
        <is>
          <t>OSBY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8968-2021</t>
        </is>
      </c>
      <c r="B1807" s="1" t="n">
        <v>44249</v>
      </c>
      <c r="C1807" s="1" t="n">
        <v>45744</v>
      </c>
      <c r="D1807" t="inlineStr">
        <is>
          <t>SKÅNE LÄN</t>
        </is>
      </c>
      <c r="E1807" t="inlineStr">
        <is>
          <t>KRISTIANSTAD</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9100-2021</t>
        </is>
      </c>
      <c r="B1808" s="1" t="n">
        <v>44249</v>
      </c>
      <c r="C1808" s="1" t="n">
        <v>45744</v>
      </c>
      <c r="D1808" t="inlineStr">
        <is>
          <t>SKÅNE LÄN</t>
        </is>
      </c>
      <c r="E1808" t="inlineStr">
        <is>
          <t>OSBY</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9238-2021</t>
        </is>
      </c>
      <c r="B1809" s="1" t="n">
        <v>44250</v>
      </c>
      <c r="C1809" s="1" t="n">
        <v>45744</v>
      </c>
      <c r="D1809" t="inlineStr">
        <is>
          <t>SKÅNE LÄN</t>
        </is>
      </c>
      <c r="E1809" t="inlineStr">
        <is>
          <t>TOMELILLA</t>
        </is>
      </c>
      <c r="F1809" t="inlineStr">
        <is>
          <t>Övriga Aktiebolag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9257-2021</t>
        </is>
      </c>
      <c r="B1810" s="1" t="n">
        <v>44250</v>
      </c>
      <c r="C1810" s="1" t="n">
        <v>45744</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9180-2021</t>
        </is>
      </c>
      <c r="B1811" s="1" t="n">
        <v>44250</v>
      </c>
      <c r="C1811" s="1" t="n">
        <v>45744</v>
      </c>
      <c r="D1811" t="inlineStr">
        <is>
          <t>SKÅNE LÄN</t>
        </is>
      </c>
      <c r="E1811" t="inlineStr">
        <is>
          <t>TOMELILLA</t>
        </is>
      </c>
      <c r="F1811" t="inlineStr">
        <is>
          <t>Övriga Aktiebolag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9301-2021</t>
        </is>
      </c>
      <c r="B1812" s="1" t="n">
        <v>44250</v>
      </c>
      <c r="C1812" s="1" t="n">
        <v>45744</v>
      </c>
      <c r="D1812" t="inlineStr">
        <is>
          <t>SKÅNE LÄN</t>
        </is>
      </c>
      <c r="E1812" t="inlineStr">
        <is>
          <t>OSBY</t>
        </is>
      </c>
      <c r="F1812" t="inlineStr">
        <is>
          <t>Naturvårdsverket</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9459-2021</t>
        </is>
      </c>
      <c r="B1813" s="1" t="n">
        <v>44251</v>
      </c>
      <c r="C1813" s="1" t="n">
        <v>45744</v>
      </c>
      <c r="D1813" t="inlineStr">
        <is>
          <t>SKÅNE LÄN</t>
        </is>
      </c>
      <c r="E1813" t="inlineStr">
        <is>
          <t>ÖSTRA GÖINGE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9535-2021</t>
        </is>
      </c>
      <c r="B1814" s="1" t="n">
        <v>44251</v>
      </c>
      <c r="C1814" s="1" t="n">
        <v>45744</v>
      </c>
      <c r="D1814" t="inlineStr">
        <is>
          <t>SKÅNE LÄN</t>
        </is>
      </c>
      <c r="E1814" t="inlineStr">
        <is>
          <t>KLIPPAN</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9453-2021</t>
        </is>
      </c>
      <c r="B1815" s="1" t="n">
        <v>44251</v>
      </c>
      <c r="C1815" s="1" t="n">
        <v>45744</v>
      </c>
      <c r="D1815" t="inlineStr">
        <is>
          <t>SKÅNE LÄN</t>
        </is>
      </c>
      <c r="E1815" t="inlineStr">
        <is>
          <t>HÄSSLEHOLM</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9510-2021</t>
        </is>
      </c>
      <c r="B1816" s="1" t="n">
        <v>44251</v>
      </c>
      <c r="C1816" s="1" t="n">
        <v>45744</v>
      </c>
      <c r="D1816" t="inlineStr">
        <is>
          <t>SKÅNE LÄN</t>
        </is>
      </c>
      <c r="E1816" t="inlineStr">
        <is>
          <t>TOMELILLA</t>
        </is>
      </c>
      <c r="F1816" t="inlineStr">
        <is>
          <t>Övriga Aktiebolag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9659-2021</t>
        </is>
      </c>
      <c r="B1817" s="1" t="n">
        <v>44252</v>
      </c>
      <c r="C1817" s="1" t="n">
        <v>45744</v>
      </c>
      <c r="D1817" t="inlineStr">
        <is>
          <t>SKÅNE LÄN</t>
        </is>
      </c>
      <c r="E1817" t="inlineStr">
        <is>
          <t>OSBY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9885-2021</t>
        </is>
      </c>
      <c r="B1818" s="1" t="n">
        <v>44253</v>
      </c>
      <c r="C1818" s="1" t="n">
        <v>45744</v>
      </c>
      <c r="D1818" t="inlineStr">
        <is>
          <t>SKÅNE LÄN</t>
        </is>
      </c>
      <c r="E1818" t="inlineStr">
        <is>
          <t>HÄSSLEHOLM</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9880-2021</t>
        </is>
      </c>
      <c r="B1819" s="1" t="n">
        <v>44253</v>
      </c>
      <c r="C1819" s="1" t="n">
        <v>45744</v>
      </c>
      <c r="D1819" t="inlineStr">
        <is>
          <t>SKÅNE LÄN</t>
        </is>
      </c>
      <c r="E1819" t="inlineStr">
        <is>
          <t>HÄSSLEHOLM</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10013-2021</t>
        </is>
      </c>
      <c r="B1820" s="1" t="n">
        <v>44253</v>
      </c>
      <c r="C1820" s="1" t="n">
        <v>45744</v>
      </c>
      <c r="D1820" t="inlineStr">
        <is>
          <t>SKÅNE LÄN</t>
        </is>
      </c>
      <c r="E1820" t="inlineStr">
        <is>
          <t>HÖÖR</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10081-2021</t>
        </is>
      </c>
      <c r="B1821" s="1" t="n">
        <v>44256</v>
      </c>
      <c r="C1821" s="1" t="n">
        <v>45744</v>
      </c>
      <c r="D1821" t="inlineStr">
        <is>
          <t>SKÅNE LÄN</t>
        </is>
      </c>
      <c r="E1821" t="inlineStr">
        <is>
          <t>KRISTIANSTAD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10377-2021</t>
        </is>
      </c>
      <c r="B1822" s="1" t="n">
        <v>44257</v>
      </c>
      <c r="C1822" s="1" t="n">
        <v>45744</v>
      </c>
      <c r="D1822" t="inlineStr">
        <is>
          <t>SKÅNE LÄN</t>
        </is>
      </c>
      <c r="E1822" t="inlineStr">
        <is>
          <t>ÄNGELHOLM</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10833-2021</t>
        </is>
      </c>
      <c r="B1823" s="1" t="n">
        <v>44259</v>
      </c>
      <c r="C1823" s="1" t="n">
        <v>45744</v>
      </c>
      <c r="D1823" t="inlineStr">
        <is>
          <t>SKÅNE LÄN</t>
        </is>
      </c>
      <c r="E1823" t="inlineStr">
        <is>
          <t>ÄNGELHOLM</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10864-2021</t>
        </is>
      </c>
      <c r="B1824" s="1" t="n">
        <v>44259</v>
      </c>
      <c r="C1824" s="1" t="n">
        <v>45744</v>
      </c>
      <c r="D1824" t="inlineStr">
        <is>
          <t>SKÅNE LÄN</t>
        </is>
      </c>
      <c r="E1824" t="inlineStr">
        <is>
          <t>PERSTORP</t>
        </is>
      </c>
      <c r="F1824" t="inlineStr">
        <is>
          <t>Kyrkan</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11105-2021</t>
        </is>
      </c>
      <c r="B1825" s="1" t="n">
        <v>44259</v>
      </c>
      <c r="C1825" s="1" t="n">
        <v>45744</v>
      </c>
      <c r="D1825" t="inlineStr">
        <is>
          <t>SKÅNE LÄN</t>
        </is>
      </c>
      <c r="E1825" t="inlineStr">
        <is>
          <t>KLIPPAN</t>
        </is>
      </c>
      <c r="F1825" t="inlineStr">
        <is>
          <t>Övriga Aktiebolag</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11212-2021</t>
        </is>
      </c>
      <c r="B1826" s="1" t="n">
        <v>44263</v>
      </c>
      <c r="C1826" s="1" t="n">
        <v>45744</v>
      </c>
      <c r="D1826" t="inlineStr">
        <is>
          <t>SKÅNE LÄN</t>
        </is>
      </c>
      <c r="E1826" t="inlineStr">
        <is>
          <t>OSBY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11260-2021</t>
        </is>
      </c>
      <c r="B1827" s="1" t="n">
        <v>44263</v>
      </c>
      <c r="C1827" s="1" t="n">
        <v>45744</v>
      </c>
      <c r="D1827" t="inlineStr">
        <is>
          <t>SKÅNE LÄN</t>
        </is>
      </c>
      <c r="E1827" t="inlineStr">
        <is>
          <t>HÄSSLEHOLM</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11384-2021</t>
        </is>
      </c>
      <c r="B1828" s="1" t="n">
        <v>44263</v>
      </c>
      <c r="C1828" s="1" t="n">
        <v>45744</v>
      </c>
      <c r="D1828" t="inlineStr">
        <is>
          <t>SKÅNE LÄN</t>
        </is>
      </c>
      <c r="E1828" t="inlineStr">
        <is>
          <t>ÖSTRA GÖINGE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11506-2021</t>
        </is>
      </c>
      <c r="B1829" s="1" t="n">
        <v>44264</v>
      </c>
      <c r="C1829" s="1" t="n">
        <v>45744</v>
      </c>
      <c r="D1829" t="inlineStr">
        <is>
          <t>SKÅNE LÄN</t>
        </is>
      </c>
      <c r="E1829" t="inlineStr">
        <is>
          <t>HÖÖR</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11511-2021</t>
        </is>
      </c>
      <c r="B1830" s="1" t="n">
        <v>44264</v>
      </c>
      <c r="C1830" s="1" t="n">
        <v>45744</v>
      </c>
      <c r="D1830" t="inlineStr">
        <is>
          <t>SKÅNE LÄN</t>
        </is>
      </c>
      <c r="E1830" t="inlineStr">
        <is>
          <t>HÖÖR</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11616-2021</t>
        </is>
      </c>
      <c r="B1831" s="1" t="n">
        <v>44264</v>
      </c>
      <c r="C1831" s="1" t="n">
        <v>45744</v>
      </c>
      <c r="D1831" t="inlineStr">
        <is>
          <t>SKÅNE LÄN</t>
        </is>
      </c>
      <c r="E1831" t="inlineStr">
        <is>
          <t>HÄSSLEHOLM</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11764-2021</t>
        </is>
      </c>
      <c r="B1832" s="1" t="n">
        <v>44265</v>
      </c>
      <c r="C1832" s="1" t="n">
        <v>45744</v>
      </c>
      <c r="D1832" t="inlineStr">
        <is>
          <t>SKÅNE LÄN</t>
        </is>
      </c>
      <c r="E1832" t="inlineStr">
        <is>
          <t>SVALÖV</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12067-2021</t>
        </is>
      </c>
      <c r="B1833" s="1" t="n">
        <v>44266</v>
      </c>
      <c r="C1833" s="1" t="n">
        <v>45744</v>
      </c>
      <c r="D1833" t="inlineStr">
        <is>
          <t>SKÅNE LÄN</t>
        </is>
      </c>
      <c r="E1833" t="inlineStr">
        <is>
          <t>HÖÖR</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12174-2021</t>
        </is>
      </c>
      <c r="B1834" s="1" t="n">
        <v>44266</v>
      </c>
      <c r="C1834" s="1" t="n">
        <v>45744</v>
      </c>
      <c r="D1834" t="inlineStr">
        <is>
          <t>SKÅNE LÄN</t>
        </is>
      </c>
      <c r="E1834" t="inlineStr">
        <is>
          <t>HÖRBY</t>
        </is>
      </c>
      <c r="G1834" t="n">
        <v>9.300000000000001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11919-2021</t>
        </is>
      </c>
      <c r="B1835" s="1" t="n">
        <v>44266</v>
      </c>
      <c r="C1835" s="1" t="n">
        <v>45744</v>
      </c>
      <c r="D1835" t="inlineStr">
        <is>
          <t>SKÅNE LÄN</t>
        </is>
      </c>
      <c r="E1835" t="inlineStr">
        <is>
          <t>TOMELILLA</t>
        </is>
      </c>
      <c r="F1835" t="inlineStr">
        <is>
          <t>Övriga Aktiebolag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12684-2021</t>
        </is>
      </c>
      <c r="B1836" s="1" t="n">
        <v>44270</v>
      </c>
      <c r="C1836" s="1" t="n">
        <v>45744</v>
      </c>
      <c r="D1836" t="inlineStr">
        <is>
          <t>SKÅNE LÄN</t>
        </is>
      </c>
      <c r="E1836" t="inlineStr">
        <is>
          <t>ÖRKELLJUNGA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12634-2021</t>
        </is>
      </c>
      <c r="B1837" s="1" t="n">
        <v>44270</v>
      </c>
      <c r="C1837" s="1" t="n">
        <v>45744</v>
      </c>
      <c r="D1837" t="inlineStr">
        <is>
          <t>SKÅNE LÄN</t>
        </is>
      </c>
      <c r="E1837" t="inlineStr">
        <is>
          <t>ÖRKELLJUNGA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12617-2021</t>
        </is>
      </c>
      <c r="B1838" s="1" t="n">
        <v>44270</v>
      </c>
      <c r="C1838" s="1" t="n">
        <v>45744</v>
      </c>
      <c r="D1838" t="inlineStr">
        <is>
          <t>SKÅNE LÄN</t>
        </is>
      </c>
      <c r="E1838" t="inlineStr">
        <is>
          <t>HÄSSLEHOLM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12625-2021</t>
        </is>
      </c>
      <c r="B1839" s="1" t="n">
        <v>44270</v>
      </c>
      <c r="C1839" s="1" t="n">
        <v>45744</v>
      </c>
      <c r="D1839" t="inlineStr">
        <is>
          <t>SKÅNE LÄN</t>
        </is>
      </c>
      <c r="E1839" t="inlineStr">
        <is>
          <t>ÖRKELLJUNGA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12631-2021</t>
        </is>
      </c>
      <c r="B1840" s="1" t="n">
        <v>44270</v>
      </c>
      <c r="C1840" s="1" t="n">
        <v>45744</v>
      </c>
      <c r="D1840" t="inlineStr">
        <is>
          <t>SKÅNE LÄN</t>
        </is>
      </c>
      <c r="E1840" t="inlineStr">
        <is>
          <t>ÖRKELLJUNGA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12996-2021</t>
        </is>
      </c>
      <c r="B1841" s="1" t="n">
        <v>44271</v>
      </c>
      <c r="C1841" s="1" t="n">
        <v>45744</v>
      </c>
      <c r="D1841" t="inlineStr">
        <is>
          <t>SKÅNE LÄN</t>
        </is>
      </c>
      <c r="E1841" t="inlineStr">
        <is>
          <t>OSBY</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12880-2021</t>
        </is>
      </c>
      <c r="B1842" s="1" t="n">
        <v>44271</v>
      </c>
      <c r="C1842" s="1" t="n">
        <v>45744</v>
      </c>
      <c r="D1842" t="inlineStr">
        <is>
          <t>SKÅNE LÄN</t>
        </is>
      </c>
      <c r="E1842" t="inlineStr">
        <is>
          <t>OSBY</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13063-2021</t>
        </is>
      </c>
      <c r="B1843" s="1" t="n">
        <v>44272</v>
      </c>
      <c r="C1843" s="1" t="n">
        <v>45744</v>
      </c>
      <c r="D1843" t="inlineStr">
        <is>
          <t>SKÅNE LÄN</t>
        </is>
      </c>
      <c r="E1843" t="inlineStr">
        <is>
          <t>HÄSSLEHOLM</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13223-2021</t>
        </is>
      </c>
      <c r="B1844" s="1" t="n">
        <v>44272</v>
      </c>
      <c r="C1844" s="1" t="n">
        <v>45744</v>
      </c>
      <c r="D1844" t="inlineStr">
        <is>
          <t>SKÅNE LÄN</t>
        </is>
      </c>
      <c r="E1844" t="inlineStr">
        <is>
          <t>SIMRISHAMN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13194-2021</t>
        </is>
      </c>
      <c r="B1845" s="1" t="n">
        <v>44272</v>
      </c>
      <c r="C1845" s="1" t="n">
        <v>45744</v>
      </c>
      <c r="D1845" t="inlineStr">
        <is>
          <t>SKÅNE LÄN</t>
        </is>
      </c>
      <c r="E1845" t="inlineStr">
        <is>
          <t>LUND</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13208-2021</t>
        </is>
      </c>
      <c r="B1846" s="1" t="n">
        <v>44272</v>
      </c>
      <c r="C1846" s="1" t="n">
        <v>45744</v>
      </c>
      <c r="D1846" t="inlineStr">
        <is>
          <t>SKÅNE LÄN</t>
        </is>
      </c>
      <c r="E1846" t="inlineStr">
        <is>
          <t>TOMELILLA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13255-2021</t>
        </is>
      </c>
      <c r="B1847" s="1" t="n">
        <v>44272</v>
      </c>
      <c r="C1847" s="1" t="n">
        <v>45744</v>
      </c>
      <c r="D1847" t="inlineStr">
        <is>
          <t>SKÅNE LÄN</t>
        </is>
      </c>
      <c r="E1847" t="inlineStr">
        <is>
          <t>KRISTIANSTAD</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13440-2021</t>
        </is>
      </c>
      <c r="B1848" s="1" t="n">
        <v>44273</v>
      </c>
      <c r="C1848" s="1" t="n">
        <v>45744</v>
      </c>
      <c r="D1848" t="inlineStr">
        <is>
          <t>SKÅNE LÄN</t>
        </is>
      </c>
      <c r="E1848" t="inlineStr">
        <is>
          <t>HÖÖR</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13548-2021</t>
        </is>
      </c>
      <c r="B1849" s="1" t="n">
        <v>44273</v>
      </c>
      <c r="C1849" s="1" t="n">
        <v>45744</v>
      </c>
      <c r="D1849" t="inlineStr">
        <is>
          <t>SKÅNE LÄN</t>
        </is>
      </c>
      <c r="E1849" t="inlineStr">
        <is>
          <t>HÖRBY</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13550-2021</t>
        </is>
      </c>
      <c r="B1850" s="1" t="n">
        <v>44273</v>
      </c>
      <c r="C1850" s="1" t="n">
        <v>45744</v>
      </c>
      <c r="D1850" t="inlineStr">
        <is>
          <t>SKÅNE LÄN</t>
        </is>
      </c>
      <c r="E1850" t="inlineStr">
        <is>
          <t>HÖRBY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13585-2021</t>
        </is>
      </c>
      <c r="B1851" s="1" t="n">
        <v>44274</v>
      </c>
      <c r="C1851" s="1" t="n">
        <v>45744</v>
      </c>
      <c r="D1851" t="inlineStr">
        <is>
          <t>SKÅNE LÄN</t>
        </is>
      </c>
      <c r="E1851" t="inlineStr">
        <is>
          <t>ÖSTRA GÖINGE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13591-2021</t>
        </is>
      </c>
      <c r="B1852" s="1" t="n">
        <v>44274</v>
      </c>
      <c r="C1852" s="1" t="n">
        <v>45744</v>
      </c>
      <c r="D1852" t="inlineStr">
        <is>
          <t>SKÅNE LÄN</t>
        </is>
      </c>
      <c r="E1852" t="inlineStr">
        <is>
          <t>KRISTIANSTAD</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13711-2021</t>
        </is>
      </c>
      <c r="B1853" s="1" t="n">
        <v>44274</v>
      </c>
      <c r="C1853" s="1" t="n">
        <v>45744</v>
      </c>
      <c r="D1853" t="inlineStr">
        <is>
          <t>SKÅNE LÄN</t>
        </is>
      </c>
      <c r="E1853" t="inlineStr">
        <is>
          <t>HÄSSLEHOLM</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13808-2021</t>
        </is>
      </c>
      <c r="B1854" s="1" t="n">
        <v>44276</v>
      </c>
      <c r="C1854" s="1" t="n">
        <v>45744</v>
      </c>
      <c r="D1854" t="inlineStr">
        <is>
          <t>SKÅNE LÄN</t>
        </is>
      </c>
      <c r="E1854" t="inlineStr">
        <is>
          <t>HÄSSLEHOLM</t>
        </is>
      </c>
      <c r="G1854" t="n">
        <v>10.3</v>
      </c>
      <c r="H1854" t="n">
        <v>0</v>
      </c>
      <c r="I1854" t="n">
        <v>0</v>
      </c>
      <c r="J1854" t="n">
        <v>0</v>
      </c>
      <c r="K1854" t="n">
        <v>0</v>
      </c>
      <c r="L1854" t="n">
        <v>0</v>
      </c>
      <c r="M1854" t="n">
        <v>0</v>
      </c>
      <c r="N1854" t="n">
        <v>0</v>
      </c>
      <c r="O1854" t="n">
        <v>0</v>
      </c>
      <c r="P1854" t="n">
        <v>0</v>
      </c>
      <c r="Q1854" t="n">
        <v>0</v>
      </c>
      <c r="R1854" s="2" t="inlineStr"/>
    </row>
    <row r="1855" ht="15" customHeight="1">
      <c r="A1855" t="inlineStr">
        <is>
          <t>A 13811-2021</t>
        </is>
      </c>
      <c r="B1855" s="1" t="n">
        <v>44276</v>
      </c>
      <c r="C1855" s="1" t="n">
        <v>45744</v>
      </c>
      <c r="D1855" t="inlineStr">
        <is>
          <t>SKÅNE LÄN</t>
        </is>
      </c>
      <c r="E1855" t="inlineStr">
        <is>
          <t>HÄSSLEHOLM</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13876-2021</t>
        </is>
      </c>
      <c r="B1856" s="1" t="n">
        <v>44277</v>
      </c>
      <c r="C1856" s="1" t="n">
        <v>45744</v>
      </c>
      <c r="D1856" t="inlineStr">
        <is>
          <t>SKÅNE LÄN</t>
        </is>
      </c>
      <c r="E1856" t="inlineStr">
        <is>
          <t>ÄNGELHOLM</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13873-2021</t>
        </is>
      </c>
      <c r="B1857" s="1" t="n">
        <v>44277</v>
      </c>
      <c r="C1857" s="1" t="n">
        <v>45744</v>
      </c>
      <c r="D1857" t="inlineStr">
        <is>
          <t>SKÅNE LÄN</t>
        </is>
      </c>
      <c r="E1857" t="inlineStr">
        <is>
          <t>ÄNGELHOLM</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14054-2021</t>
        </is>
      </c>
      <c r="B1858" s="1" t="n">
        <v>44277</v>
      </c>
      <c r="C1858" s="1" t="n">
        <v>45744</v>
      </c>
      <c r="D1858" t="inlineStr">
        <is>
          <t>SKÅNE LÄN</t>
        </is>
      </c>
      <c r="E1858" t="inlineStr">
        <is>
          <t>HÄSSLEHOLM</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13982-2021</t>
        </is>
      </c>
      <c r="B1859" s="1" t="n">
        <v>44277</v>
      </c>
      <c r="C1859" s="1" t="n">
        <v>45744</v>
      </c>
      <c r="D1859" t="inlineStr">
        <is>
          <t>SKÅNE LÄN</t>
        </is>
      </c>
      <c r="E1859" t="inlineStr">
        <is>
          <t>HÄSSLEHOLM</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14055-2021</t>
        </is>
      </c>
      <c r="B1860" s="1" t="n">
        <v>44277</v>
      </c>
      <c r="C1860" s="1" t="n">
        <v>45744</v>
      </c>
      <c r="D1860" t="inlineStr">
        <is>
          <t>SKÅNE LÄN</t>
        </is>
      </c>
      <c r="E1860" t="inlineStr">
        <is>
          <t>ÖSTRA GÖINGE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14157-2021</t>
        </is>
      </c>
      <c r="B1861" s="1" t="n">
        <v>44278</v>
      </c>
      <c r="C1861" s="1" t="n">
        <v>45744</v>
      </c>
      <c r="D1861" t="inlineStr">
        <is>
          <t>SKÅNE LÄN</t>
        </is>
      </c>
      <c r="E1861" t="inlineStr">
        <is>
          <t>HÄSSLEHOLM</t>
        </is>
      </c>
      <c r="G1861" t="n">
        <v>10.5</v>
      </c>
      <c r="H1861" t="n">
        <v>0</v>
      </c>
      <c r="I1861" t="n">
        <v>0</v>
      </c>
      <c r="J1861" t="n">
        <v>0</v>
      </c>
      <c r="K1861" t="n">
        <v>0</v>
      </c>
      <c r="L1861" t="n">
        <v>0</v>
      </c>
      <c r="M1861" t="n">
        <v>0</v>
      </c>
      <c r="N1861" t="n">
        <v>0</v>
      </c>
      <c r="O1861" t="n">
        <v>0</v>
      </c>
      <c r="P1861" t="n">
        <v>0</v>
      </c>
      <c r="Q1861" t="n">
        <v>0</v>
      </c>
      <c r="R1861" s="2" t="inlineStr"/>
    </row>
    <row r="1862" ht="15" customHeight="1">
      <c r="A1862" t="inlineStr">
        <is>
          <t>A 14095-2021</t>
        </is>
      </c>
      <c r="B1862" s="1" t="n">
        <v>44278</v>
      </c>
      <c r="C1862" s="1" t="n">
        <v>45744</v>
      </c>
      <c r="D1862" t="inlineStr">
        <is>
          <t>SKÅNE LÄN</t>
        </is>
      </c>
      <c r="E1862" t="inlineStr">
        <is>
          <t>SJÖBO</t>
        </is>
      </c>
      <c r="F1862" t="inlineStr">
        <is>
          <t>Övriga Aktiebolag</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14529-2021</t>
        </is>
      </c>
      <c r="B1863" s="1" t="n">
        <v>44279</v>
      </c>
      <c r="C1863" s="1" t="n">
        <v>45744</v>
      </c>
      <c r="D1863" t="inlineStr">
        <is>
          <t>SKÅNE LÄN</t>
        </is>
      </c>
      <c r="E1863" t="inlineStr">
        <is>
          <t>ÖSTRA GÖINGE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14731-2021</t>
        </is>
      </c>
      <c r="B1864" s="1" t="n">
        <v>44280</v>
      </c>
      <c r="C1864" s="1" t="n">
        <v>45744</v>
      </c>
      <c r="D1864" t="inlineStr">
        <is>
          <t>SKÅNE LÄN</t>
        </is>
      </c>
      <c r="E1864" t="inlineStr">
        <is>
          <t>OSBY</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15056-2021</t>
        </is>
      </c>
      <c r="B1865" s="1" t="n">
        <v>44281</v>
      </c>
      <c r="C1865" s="1" t="n">
        <v>45744</v>
      </c>
      <c r="D1865" t="inlineStr">
        <is>
          <t>SKÅNE LÄN</t>
        </is>
      </c>
      <c r="E1865" t="inlineStr">
        <is>
          <t>HÖÖR</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15007-2021</t>
        </is>
      </c>
      <c r="B1866" s="1" t="n">
        <v>44281</v>
      </c>
      <c r="C1866" s="1" t="n">
        <v>45744</v>
      </c>
      <c r="D1866" t="inlineStr">
        <is>
          <t>SKÅNE LÄN</t>
        </is>
      </c>
      <c r="E1866" t="inlineStr">
        <is>
          <t>SVALÖV</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15120-2021</t>
        </is>
      </c>
      <c r="B1867" s="1" t="n">
        <v>44283</v>
      </c>
      <c r="C1867" s="1" t="n">
        <v>45744</v>
      </c>
      <c r="D1867" t="inlineStr">
        <is>
          <t>SKÅNE LÄN</t>
        </is>
      </c>
      <c r="E1867" t="inlineStr">
        <is>
          <t>ÖSTRA GÖINGE</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15122-2021</t>
        </is>
      </c>
      <c r="B1868" s="1" t="n">
        <v>44283</v>
      </c>
      <c r="C1868" s="1" t="n">
        <v>45744</v>
      </c>
      <c r="D1868" t="inlineStr">
        <is>
          <t>SKÅNE LÄN</t>
        </is>
      </c>
      <c r="E1868" t="inlineStr">
        <is>
          <t>ÖSTRA GÖINGE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15172-2021</t>
        </is>
      </c>
      <c r="B1869" s="1" t="n">
        <v>44284</v>
      </c>
      <c r="C1869" s="1" t="n">
        <v>45744</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15154-2021</t>
        </is>
      </c>
      <c r="B1870" s="1" t="n">
        <v>44284</v>
      </c>
      <c r="C1870" s="1" t="n">
        <v>45744</v>
      </c>
      <c r="D1870" t="inlineStr">
        <is>
          <t>SKÅNE LÄN</t>
        </is>
      </c>
      <c r="E1870" t="inlineStr">
        <is>
          <t>SJÖBO</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15288-2021</t>
        </is>
      </c>
      <c r="B1871" s="1" t="n">
        <v>44284</v>
      </c>
      <c r="C1871" s="1" t="n">
        <v>45744</v>
      </c>
      <c r="D1871" t="inlineStr">
        <is>
          <t>SKÅNE LÄN</t>
        </is>
      </c>
      <c r="E1871" t="inlineStr">
        <is>
          <t>TOMELILLA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15330-2021</t>
        </is>
      </c>
      <c r="B1872" s="1" t="n">
        <v>44284</v>
      </c>
      <c r="C1872" s="1" t="n">
        <v>45744</v>
      </c>
      <c r="D1872" t="inlineStr">
        <is>
          <t>SKÅNE LÄN</t>
        </is>
      </c>
      <c r="E1872" t="inlineStr">
        <is>
          <t>HÖÖR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15510-2021</t>
        </is>
      </c>
      <c r="B1873" s="1" t="n">
        <v>44285</v>
      </c>
      <c r="C1873" s="1" t="n">
        <v>45744</v>
      </c>
      <c r="D1873" t="inlineStr">
        <is>
          <t>SKÅNE LÄN</t>
        </is>
      </c>
      <c r="E1873" t="inlineStr">
        <is>
          <t>OSBY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15509-2021</t>
        </is>
      </c>
      <c r="B1874" s="1" t="n">
        <v>44285</v>
      </c>
      <c r="C1874" s="1" t="n">
        <v>45744</v>
      </c>
      <c r="D1874" t="inlineStr">
        <is>
          <t>SKÅNE LÄN</t>
        </is>
      </c>
      <c r="E1874" t="inlineStr">
        <is>
          <t>OSBY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15665-2021</t>
        </is>
      </c>
      <c r="B1875" s="1" t="n">
        <v>44286</v>
      </c>
      <c r="C1875" s="1" t="n">
        <v>45744</v>
      </c>
      <c r="D1875" t="inlineStr">
        <is>
          <t>SKÅNE LÄN</t>
        </is>
      </c>
      <c r="E1875" t="inlineStr">
        <is>
          <t>PERSTORP</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15768-2021</t>
        </is>
      </c>
      <c r="B1876" s="1" t="n">
        <v>44286</v>
      </c>
      <c r="C1876" s="1" t="n">
        <v>45744</v>
      </c>
      <c r="D1876" t="inlineStr">
        <is>
          <t>SKÅNE LÄN</t>
        </is>
      </c>
      <c r="E1876" t="inlineStr">
        <is>
          <t>HÖRBY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15712-2021</t>
        </is>
      </c>
      <c r="B1877" s="1" t="n">
        <v>44286</v>
      </c>
      <c r="C1877" s="1" t="n">
        <v>45744</v>
      </c>
      <c r="D1877" t="inlineStr">
        <is>
          <t>SKÅNE LÄN</t>
        </is>
      </c>
      <c r="E1877" t="inlineStr">
        <is>
          <t>KRISTIANSTAD</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15784-2021</t>
        </is>
      </c>
      <c r="B1878" s="1" t="n">
        <v>44286</v>
      </c>
      <c r="C1878" s="1" t="n">
        <v>45744</v>
      </c>
      <c r="D1878" t="inlineStr">
        <is>
          <t>SKÅNE LÄN</t>
        </is>
      </c>
      <c r="E1878" t="inlineStr">
        <is>
          <t>BROMÖLLA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16048-2021</t>
        </is>
      </c>
      <c r="B1879" s="1" t="n">
        <v>44287</v>
      </c>
      <c r="C1879" s="1" t="n">
        <v>45744</v>
      </c>
      <c r="D1879" t="inlineStr">
        <is>
          <t>SKÅNE LÄN</t>
        </is>
      </c>
      <c r="E1879" t="inlineStr">
        <is>
          <t>PERSTORP</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16170-2021</t>
        </is>
      </c>
      <c r="B1880" s="1" t="n">
        <v>44287</v>
      </c>
      <c r="C1880" s="1" t="n">
        <v>45744</v>
      </c>
      <c r="D1880" t="inlineStr">
        <is>
          <t>SKÅNE LÄN</t>
        </is>
      </c>
      <c r="E1880" t="inlineStr">
        <is>
          <t>SVALÖV</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16050-2021</t>
        </is>
      </c>
      <c r="B1881" s="1" t="n">
        <v>44287</v>
      </c>
      <c r="C1881" s="1" t="n">
        <v>45744</v>
      </c>
      <c r="D1881" t="inlineStr">
        <is>
          <t>SKÅNE LÄN</t>
        </is>
      </c>
      <c r="E1881" t="inlineStr">
        <is>
          <t>PERSTORP</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16189-2021</t>
        </is>
      </c>
      <c r="B1882" s="1" t="n">
        <v>44287</v>
      </c>
      <c r="C1882" s="1" t="n">
        <v>45744</v>
      </c>
      <c r="D1882" t="inlineStr">
        <is>
          <t>SKÅNE LÄN</t>
        </is>
      </c>
      <c r="E1882" t="inlineStr">
        <is>
          <t>KLIPPAN</t>
        </is>
      </c>
      <c r="F1882" t="inlineStr">
        <is>
          <t>Övriga Aktiebolag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16220-2021</t>
        </is>
      </c>
      <c r="B1883" s="1" t="n">
        <v>44287</v>
      </c>
      <c r="C1883" s="1" t="n">
        <v>45744</v>
      </c>
      <c r="D1883" t="inlineStr">
        <is>
          <t>SKÅNE LÄN</t>
        </is>
      </c>
      <c r="E1883" t="inlineStr">
        <is>
          <t>ÖSTRA GÖINGE</t>
        </is>
      </c>
      <c r="G1883" t="n">
        <v>13.9</v>
      </c>
      <c r="H1883" t="n">
        <v>0</v>
      </c>
      <c r="I1883" t="n">
        <v>0</v>
      </c>
      <c r="J1883" t="n">
        <v>0</v>
      </c>
      <c r="K1883" t="n">
        <v>0</v>
      </c>
      <c r="L1883" t="n">
        <v>0</v>
      </c>
      <c r="M1883" t="n">
        <v>0</v>
      </c>
      <c r="N1883" t="n">
        <v>0</v>
      </c>
      <c r="O1883" t="n">
        <v>0</v>
      </c>
      <c r="P1883" t="n">
        <v>0</v>
      </c>
      <c r="Q1883" t="n">
        <v>0</v>
      </c>
      <c r="R1883" s="2" t="inlineStr"/>
    </row>
    <row r="1884" ht="15" customHeight="1">
      <c r="A1884" t="inlineStr">
        <is>
          <t>A 16082-2021</t>
        </is>
      </c>
      <c r="B1884" s="1" t="n">
        <v>44288</v>
      </c>
      <c r="C1884" s="1" t="n">
        <v>45744</v>
      </c>
      <c r="D1884" t="inlineStr">
        <is>
          <t>SKÅNE LÄN</t>
        </is>
      </c>
      <c r="E1884" t="inlineStr">
        <is>
          <t>KRISTIANSTAD</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16300-2021</t>
        </is>
      </c>
      <c r="B1885" s="1" t="n">
        <v>44292</v>
      </c>
      <c r="C1885" s="1" t="n">
        <v>45744</v>
      </c>
      <c r="D1885" t="inlineStr">
        <is>
          <t>SKÅNE LÄN</t>
        </is>
      </c>
      <c r="E1885" t="inlineStr">
        <is>
          <t>SVALÖV</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17006-2021</t>
        </is>
      </c>
      <c r="B1886" s="1" t="n">
        <v>44295</v>
      </c>
      <c r="C1886" s="1" t="n">
        <v>45744</v>
      </c>
      <c r="D1886" t="inlineStr">
        <is>
          <t>SKÅNE LÄN</t>
        </is>
      </c>
      <c r="E1886" t="inlineStr">
        <is>
          <t>SVALÖV</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17060-2021</t>
        </is>
      </c>
      <c r="B1887" s="1" t="n">
        <v>44296</v>
      </c>
      <c r="C1887" s="1" t="n">
        <v>45744</v>
      </c>
      <c r="D1887" t="inlineStr">
        <is>
          <t>SKÅNE LÄN</t>
        </is>
      </c>
      <c r="E1887" t="inlineStr">
        <is>
          <t>KLIPPAN</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17205-2021</t>
        </is>
      </c>
      <c r="B1888" s="1" t="n">
        <v>44298</v>
      </c>
      <c r="C1888" s="1" t="n">
        <v>45744</v>
      </c>
      <c r="D1888" t="inlineStr">
        <is>
          <t>SKÅNE LÄN</t>
        </is>
      </c>
      <c r="E1888" t="inlineStr">
        <is>
          <t>TOMELILLA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17387-2021</t>
        </is>
      </c>
      <c r="B1889" s="1" t="n">
        <v>44298</v>
      </c>
      <c r="C1889" s="1" t="n">
        <v>45744</v>
      </c>
      <c r="D1889" t="inlineStr">
        <is>
          <t>SKÅNE LÄN</t>
        </is>
      </c>
      <c r="E1889" t="inlineStr">
        <is>
          <t>KRISTIANSTAD</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17318-2021</t>
        </is>
      </c>
      <c r="B1890" s="1" t="n">
        <v>44298</v>
      </c>
      <c r="C1890" s="1" t="n">
        <v>45744</v>
      </c>
      <c r="D1890" t="inlineStr">
        <is>
          <t>SKÅNE LÄN</t>
        </is>
      </c>
      <c r="E1890" t="inlineStr">
        <is>
          <t>ÖRKELLJUNGA</t>
        </is>
      </c>
      <c r="F1890" t="inlineStr">
        <is>
          <t>Kommuner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17497-2021</t>
        </is>
      </c>
      <c r="B1891" s="1" t="n">
        <v>44299</v>
      </c>
      <c r="C1891" s="1" t="n">
        <v>45744</v>
      </c>
      <c r="D1891" t="inlineStr">
        <is>
          <t>SKÅNE LÄN</t>
        </is>
      </c>
      <c r="E1891" t="inlineStr">
        <is>
          <t>HÄSSLEHOLM</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17792-2021</t>
        </is>
      </c>
      <c r="B1892" s="1" t="n">
        <v>44300</v>
      </c>
      <c r="C1892" s="1" t="n">
        <v>45744</v>
      </c>
      <c r="D1892" t="inlineStr">
        <is>
          <t>SKÅNE LÄN</t>
        </is>
      </c>
      <c r="E1892" t="inlineStr">
        <is>
          <t>KLIPPAN</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17908-2021</t>
        </is>
      </c>
      <c r="B1893" s="1" t="n">
        <v>44301</v>
      </c>
      <c r="C1893" s="1" t="n">
        <v>45744</v>
      </c>
      <c r="D1893" t="inlineStr">
        <is>
          <t>SKÅNE LÄN</t>
        </is>
      </c>
      <c r="E1893" t="inlineStr">
        <is>
          <t>SKURUP</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17916-2021</t>
        </is>
      </c>
      <c r="B1894" s="1" t="n">
        <v>44301</v>
      </c>
      <c r="C1894" s="1" t="n">
        <v>45744</v>
      </c>
      <c r="D1894" t="inlineStr">
        <is>
          <t>SKÅNE LÄN</t>
        </is>
      </c>
      <c r="E1894" t="inlineStr">
        <is>
          <t>SJÖBO</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18011-2021</t>
        </is>
      </c>
      <c r="B1895" s="1" t="n">
        <v>44302</v>
      </c>
      <c r="C1895" s="1" t="n">
        <v>45744</v>
      </c>
      <c r="D1895" t="inlineStr">
        <is>
          <t>SKÅNE LÄN</t>
        </is>
      </c>
      <c r="E1895" t="inlineStr">
        <is>
          <t>HÄSSLEHOLM</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18509-2021</t>
        </is>
      </c>
      <c r="B1896" s="1" t="n">
        <v>44305</v>
      </c>
      <c r="C1896" s="1" t="n">
        <v>45744</v>
      </c>
      <c r="D1896" t="inlineStr">
        <is>
          <t>SKÅNE LÄN</t>
        </is>
      </c>
      <c r="E1896" t="inlineStr">
        <is>
          <t>PERSTORP</t>
        </is>
      </c>
      <c r="F1896" t="inlineStr">
        <is>
          <t>Övriga Aktiebolag</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18512-2021</t>
        </is>
      </c>
      <c r="B1897" s="1" t="n">
        <v>44305</v>
      </c>
      <c r="C1897" s="1" t="n">
        <v>45744</v>
      </c>
      <c r="D1897" t="inlineStr">
        <is>
          <t>SKÅNE LÄN</t>
        </is>
      </c>
      <c r="E1897" t="inlineStr">
        <is>
          <t>PERSTORP</t>
        </is>
      </c>
      <c r="F1897" t="inlineStr">
        <is>
          <t>Övriga Aktiebolag</t>
        </is>
      </c>
      <c r="G1897" t="n">
        <v>13.5</v>
      </c>
      <c r="H1897" t="n">
        <v>0</v>
      </c>
      <c r="I1897" t="n">
        <v>0</v>
      </c>
      <c r="J1897" t="n">
        <v>0</v>
      </c>
      <c r="K1897" t="n">
        <v>0</v>
      </c>
      <c r="L1897" t="n">
        <v>0</v>
      </c>
      <c r="M1897" t="n">
        <v>0</v>
      </c>
      <c r="N1897" t="n">
        <v>0</v>
      </c>
      <c r="O1897" t="n">
        <v>0</v>
      </c>
      <c r="P1897" t="n">
        <v>0</v>
      </c>
      <c r="Q1897" t="n">
        <v>0</v>
      </c>
      <c r="R1897" s="2" t="inlineStr"/>
    </row>
    <row r="1898" ht="15" customHeight="1">
      <c r="A1898" t="inlineStr">
        <is>
          <t>A 18520-2021</t>
        </is>
      </c>
      <c r="B1898" s="1" t="n">
        <v>44305</v>
      </c>
      <c r="C1898" s="1" t="n">
        <v>45744</v>
      </c>
      <c r="D1898" t="inlineStr">
        <is>
          <t>SKÅNE LÄN</t>
        </is>
      </c>
      <c r="E1898" t="inlineStr">
        <is>
          <t>KLIPPAN</t>
        </is>
      </c>
      <c r="F1898" t="inlineStr">
        <is>
          <t>Övriga Aktiebolag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18514-2021</t>
        </is>
      </c>
      <c r="B1899" s="1" t="n">
        <v>44305</v>
      </c>
      <c r="C1899" s="1" t="n">
        <v>45744</v>
      </c>
      <c r="D1899" t="inlineStr">
        <is>
          <t>SKÅNE LÄN</t>
        </is>
      </c>
      <c r="E1899" t="inlineStr">
        <is>
          <t>PERSTORP</t>
        </is>
      </c>
      <c r="F1899" t="inlineStr">
        <is>
          <t>Övriga Aktiebolag</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18523-2021</t>
        </is>
      </c>
      <c r="B1900" s="1" t="n">
        <v>44305</v>
      </c>
      <c r="C1900" s="1" t="n">
        <v>45744</v>
      </c>
      <c r="D1900" t="inlineStr">
        <is>
          <t>SKÅNE LÄN</t>
        </is>
      </c>
      <c r="E1900" t="inlineStr">
        <is>
          <t>HÄSSLEHOLM</t>
        </is>
      </c>
      <c r="F1900" t="inlineStr">
        <is>
          <t>Övriga Aktiebolag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18511-2021</t>
        </is>
      </c>
      <c r="B1901" s="1" t="n">
        <v>44305</v>
      </c>
      <c r="C1901" s="1" t="n">
        <v>45744</v>
      </c>
      <c r="D1901" t="inlineStr">
        <is>
          <t>SKÅNE LÄN</t>
        </is>
      </c>
      <c r="E1901" t="inlineStr">
        <is>
          <t>HÄSSLEHOLM</t>
        </is>
      </c>
      <c r="F1901" t="inlineStr">
        <is>
          <t>Övriga Aktiebolag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18516-2021</t>
        </is>
      </c>
      <c r="B1902" s="1" t="n">
        <v>44305</v>
      </c>
      <c r="C1902" s="1" t="n">
        <v>45744</v>
      </c>
      <c r="D1902" t="inlineStr">
        <is>
          <t>SKÅNE LÄN</t>
        </is>
      </c>
      <c r="E1902" t="inlineStr">
        <is>
          <t>KLIPPAN</t>
        </is>
      </c>
      <c r="F1902" t="inlineStr">
        <is>
          <t>Övriga Aktiebolag</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18515-2021</t>
        </is>
      </c>
      <c r="B1903" s="1" t="n">
        <v>44305</v>
      </c>
      <c r="C1903" s="1" t="n">
        <v>45744</v>
      </c>
      <c r="D1903" t="inlineStr">
        <is>
          <t>SKÅNE LÄN</t>
        </is>
      </c>
      <c r="E1903" t="inlineStr">
        <is>
          <t>HÄSSLEHOLM</t>
        </is>
      </c>
      <c r="F1903" t="inlineStr">
        <is>
          <t>Övriga Aktiebolag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18528-2021</t>
        </is>
      </c>
      <c r="B1904" s="1" t="n">
        <v>44305</v>
      </c>
      <c r="C1904" s="1" t="n">
        <v>45744</v>
      </c>
      <c r="D1904" t="inlineStr">
        <is>
          <t>SKÅNE LÄN</t>
        </is>
      </c>
      <c r="E1904" t="inlineStr">
        <is>
          <t>HÄSSLEHOLM</t>
        </is>
      </c>
      <c r="F1904" t="inlineStr">
        <is>
          <t>Övriga Aktiebolag</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18472-2021</t>
        </is>
      </c>
      <c r="B1905" s="1" t="n">
        <v>44306</v>
      </c>
      <c r="C1905" s="1" t="n">
        <v>45744</v>
      </c>
      <c r="D1905" t="inlineStr">
        <is>
          <t>SKÅNE LÄN</t>
        </is>
      </c>
      <c r="E1905" t="inlineStr">
        <is>
          <t>TOMELILLA</t>
        </is>
      </c>
      <c r="F1905" t="inlineStr">
        <is>
          <t>Övriga Aktiebolag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18491-2021</t>
        </is>
      </c>
      <c r="B1906" s="1" t="n">
        <v>44306</v>
      </c>
      <c r="C1906" s="1" t="n">
        <v>45744</v>
      </c>
      <c r="D1906" t="inlineStr">
        <is>
          <t>SKÅNE LÄN</t>
        </is>
      </c>
      <c r="E1906" t="inlineStr">
        <is>
          <t>SVEDALA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18616-2021</t>
        </is>
      </c>
      <c r="B1907" s="1" t="n">
        <v>44306</v>
      </c>
      <c r="C1907" s="1" t="n">
        <v>45744</v>
      </c>
      <c r="D1907" t="inlineStr">
        <is>
          <t>SKÅNE LÄN</t>
        </is>
      </c>
      <c r="E1907" t="inlineStr">
        <is>
          <t>PERSTORP</t>
        </is>
      </c>
      <c r="F1907" t="inlineStr">
        <is>
          <t>Övriga Aktiebolag</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18612-2021</t>
        </is>
      </c>
      <c r="B1908" s="1" t="n">
        <v>44306</v>
      </c>
      <c r="C1908" s="1" t="n">
        <v>45744</v>
      </c>
      <c r="D1908" t="inlineStr">
        <is>
          <t>SKÅNE LÄN</t>
        </is>
      </c>
      <c r="E1908" t="inlineStr">
        <is>
          <t>PERSTORP</t>
        </is>
      </c>
      <c r="F1908" t="inlineStr">
        <is>
          <t>Övriga Aktiebolag</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18648-2021</t>
        </is>
      </c>
      <c r="B1909" s="1" t="n">
        <v>44306</v>
      </c>
      <c r="C1909" s="1" t="n">
        <v>45744</v>
      </c>
      <c r="D1909" t="inlineStr">
        <is>
          <t>SKÅNE LÄN</t>
        </is>
      </c>
      <c r="E1909" t="inlineStr">
        <is>
          <t>HÄSSLEHOLM</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18830-2021</t>
        </is>
      </c>
      <c r="B1910" s="1" t="n">
        <v>44307</v>
      </c>
      <c r="C1910" s="1" t="n">
        <v>45744</v>
      </c>
      <c r="D1910" t="inlineStr">
        <is>
          <t>SKÅNE LÄN</t>
        </is>
      </c>
      <c r="E1910" t="inlineStr">
        <is>
          <t>KRISTIANSTAD</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19066-2021</t>
        </is>
      </c>
      <c r="B1911" s="1" t="n">
        <v>44308</v>
      </c>
      <c r="C1911" s="1" t="n">
        <v>45744</v>
      </c>
      <c r="D1911" t="inlineStr">
        <is>
          <t>SKÅNE LÄN</t>
        </is>
      </c>
      <c r="E1911" t="inlineStr">
        <is>
          <t>BROMÖLLA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19196-2021</t>
        </is>
      </c>
      <c r="B1912" s="1" t="n">
        <v>44308</v>
      </c>
      <c r="C1912" s="1" t="n">
        <v>45744</v>
      </c>
      <c r="D1912" t="inlineStr">
        <is>
          <t>SKÅNE LÄN</t>
        </is>
      </c>
      <c r="E1912" t="inlineStr">
        <is>
          <t>HÖÖR</t>
        </is>
      </c>
      <c r="G1912" t="n">
        <v>9.5</v>
      </c>
      <c r="H1912" t="n">
        <v>0</v>
      </c>
      <c r="I1912" t="n">
        <v>0</v>
      </c>
      <c r="J1912" t="n">
        <v>0</v>
      </c>
      <c r="K1912" t="n">
        <v>0</v>
      </c>
      <c r="L1912" t="n">
        <v>0</v>
      </c>
      <c r="M1912" t="n">
        <v>0</v>
      </c>
      <c r="N1912" t="n">
        <v>0</v>
      </c>
      <c r="O1912" t="n">
        <v>0</v>
      </c>
      <c r="P1912" t="n">
        <v>0</v>
      </c>
      <c r="Q1912" t="n">
        <v>0</v>
      </c>
      <c r="R1912" s="2" t="inlineStr"/>
    </row>
    <row r="1913" ht="15" customHeight="1">
      <c r="A1913" t="inlineStr">
        <is>
          <t>A 19159-2021</t>
        </is>
      </c>
      <c r="B1913" s="1" t="n">
        <v>44308</v>
      </c>
      <c r="C1913" s="1" t="n">
        <v>45744</v>
      </c>
      <c r="D1913" t="inlineStr">
        <is>
          <t>SKÅNE LÄN</t>
        </is>
      </c>
      <c r="E1913" t="inlineStr">
        <is>
          <t>SVALÖV</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19255-2021</t>
        </is>
      </c>
      <c r="B1914" s="1" t="n">
        <v>44309</v>
      </c>
      <c r="C1914" s="1" t="n">
        <v>45744</v>
      </c>
      <c r="D1914" t="inlineStr">
        <is>
          <t>SKÅNE LÄN</t>
        </is>
      </c>
      <c r="E1914" t="inlineStr">
        <is>
          <t>OSBY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19308-2021</t>
        </is>
      </c>
      <c r="B1915" s="1" t="n">
        <v>44309</v>
      </c>
      <c r="C1915" s="1" t="n">
        <v>45744</v>
      </c>
      <c r="D1915" t="inlineStr">
        <is>
          <t>SKÅNE LÄN</t>
        </is>
      </c>
      <c r="E1915" t="inlineStr">
        <is>
          <t>HÖRBY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19623-2021</t>
        </is>
      </c>
      <c r="B1916" s="1" t="n">
        <v>44309</v>
      </c>
      <c r="C1916" s="1" t="n">
        <v>45744</v>
      </c>
      <c r="D1916" t="inlineStr">
        <is>
          <t>SKÅNE LÄN</t>
        </is>
      </c>
      <c r="E1916" t="inlineStr">
        <is>
          <t>SVALÖV</t>
        </is>
      </c>
      <c r="G1916" t="n">
        <v>8.199999999999999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19823-2021</t>
        </is>
      </c>
      <c r="B1917" s="1" t="n">
        <v>44309</v>
      </c>
      <c r="C1917" s="1" t="n">
        <v>45744</v>
      </c>
      <c r="D1917" t="inlineStr">
        <is>
          <t>SKÅNE LÄN</t>
        </is>
      </c>
      <c r="E1917" t="inlineStr">
        <is>
          <t>KLIPPAN</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19380-2021</t>
        </is>
      </c>
      <c r="B1918" s="1" t="n">
        <v>44309</v>
      </c>
      <c r="C1918" s="1" t="n">
        <v>45744</v>
      </c>
      <c r="D1918" t="inlineStr">
        <is>
          <t>SKÅNE LÄN</t>
        </is>
      </c>
      <c r="E1918" t="inlineStr">
        <is>
          <t>HÖÖR</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19626-2021</t>
        </is>
      </c>
      <c r="B1919" s="1" t="n">
        <v>44309</v>
      </c>
      <c r="C1919" s="1" t="n">
        <v>45744</v>
      </c>
      <c r="D1919" t="inlineStr">
        <is>
          <t>SKÅNE LÄN</t>
        </is>
      </c>
      <c r="E1919" t="inlineStr">
        <is>
          <t>SVALÖV</t>
        </is>
      </c>
      <c r="G1919" t="n">
        <v>17.8</v>
      </c>
      <c r="H1919" t="n">
        <v>0</v>
      </c>
      <c r="I1919" t="n">
        <v>0</v>
      </c>
      <c r="J1919" t="n">
        <v>0</v>
      </c>
      <c r="K1919" t="n">
        <v>0</v>
      </c>
      <c r="L1919" t="n">
        <v>0</v>
      </c>
      <c r="M1919" t="n">
        <v>0</v>
      </c>
      <c r="N1919" t="n">
        <v>0</v>
      </c>
      <c r="O1919" t="n">
        <v>0</v>
      </c>
      <c r="P1919" t="n">
        <v>0</v>
      </c>
      <c r="Q1919" t="n">
        <v>0</v>
      </c>
      <c r="R1919" s="2" t="inlineStr"/>
    </row>
    <row r="1920" ht="15" customHeight="1">
      <c r="A1920" t="inlineStr">
        <is>
          <t>A 19449-2021</t>
        </is>
      </c>
      <c r="B1920" s="1" t="n">
        <v>44310</v>
      </c>
      <c r="C1920" s="1" t="n">
        <v>45744</v>
      </c>
      <c r="D1920" t="inlineStr">
        <is>
          <t>SKÅNE LÄN</t>
        </is>
      </c>
      <c r="E1920" t="inlineStr">
        <is>
          <t>HÄSSLEHOLM</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19581-2021</t>
        </is>
      </c>
      <c r="B1921" s="1" t="n">
        <v>44312</v>
      </c>
      <c r="C1921" s="1" t="n">
        <v>45744</v>
      </c>
      <c r="D1921" t="inlineStr">
        <is>
          <t>SKÅNE LÄN</t>
        </is>
      </c>
      <c r="E1921" t="inlineStr">
        <is>
          <t>HÖRBY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19710-2021</t>
        </is>
      </c>
      <c r="B1922" s="1" t="n">
        <v>44312</v>
      </c>
      <c r="C1922" s="1" t="n">
        <v>45744</v>
      </c>
      <c r="D1922" t="inlineStr">
        <is>
          <t>SKÅNE LÄN</t>
        </is>
      </c>
      <c r="E1922" t="inlineStr">
        <is>
          <t>OSBY</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19583-2021</t>
        </is>
      </c>
      <c r="B1923" s="1" t="n">
        <v>44312</v>
      </c>
      <c r="C1923" s="1" t="n">
        <v>45744</v>
      </c>
      <c r="D1923" t="inlineStr">
        <is>
          <t>SKÅNE LÄN</t>
        </is>
      </c>
      <c r="E1923" t="inlineStr">
        <is>
          <t>HÖRBY</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19621-2021</t>
        </is>
      </c>
      <c r="B1924" s="1" t="n">
        <v>44312</v>
      </c>
      <c r="C1924" s="1" t="n">
        <v>45744</v>
      </c>
      <c r="D1924" t="inlineStr">
        <is>
          <t>SKÅNE LÄN</t>
        </is>
      </c>
      <c r="E1924" t="inlineStr">
        <is>
          <t>PERSTORP</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20510-2021</t>
        </is>
      </c>
      <c r="B1925" s="1" t="n">
        <v>44315</v>
      </c>
      <c r="C1925" s="1" t="n">
        <v>45744</v>
      </c>
      <c r="D1925" t="inlineStr">
        <is>
          <t>SKÅNE LÄN</t>
        </is>
      </c>
      <c r="E1925" t="inlineStr">
        <is>
          <t>HÄSSLEHOLM</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20384-2021</t>
        </is>
      </c>
      <c r="B1926" s="1" t="n">
        <v>44315</v>
      </c>
      <c r="C1926" s="1" t="n">
        <v>45744</v>
      </c>
      <c r="D1926" t="inlineStr">
        <is>
          <t>SKÅNE LÄN</t>
        </is>
      </c>
      <c r="E1926" t="inlineStr">
        <is>
          <t>KRISTIANSTAD</t>
        </is>
      </c>
      <c r="F1926" t="inlineStr">
        <is>
          <t>Kommuner</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20426-2021</t>
        </is>
      </c>
      <c r="B1927" s="1" t="n">
        <v>44315</v>
      </c>
      <c r="C1927" s="1" t="n">
        <v>45744</v>
      </c>
      <c r="D1927" t="inlineStr">
        <is>
          <t>SKÅNE LÄN</t>
        </is>
      </c>
      <c r="E1927" t="inlineStr">
        <is>
          <t>ÖSTRA GÖINGE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20435-2021</t>
        </is>
      </c>
      <c r="B1928" s="1" t="n">
        <v>44315</v>
      </c>
      <c r="C1928" s="1" t="n">
        <v>45744</v>
      </c>
      <c r="D1928" t="inlineStr">
        <is>
          <t>SKÅNE LÄN</t>
        </is>
      </c>
      <c r="E1928" t="inlineStr">
        <is>
          <t>HÄSSLEHOLM</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20513-2021</t>
        </is>
      </c>
      <c r="B1929" s="1" t="n">
        <v>44315</v>
      </c>
      <c r="C1929" s="1" t="n">
        <v>45744</v>
      </c>
      <c r="D1929" t="inlineStr">
        <is>
          <t>SKÅNE LÄN</t>
        </is>
      </c>
      <c r="E1929" t="inlineStr">
        <is>
          <t>HÄSSLEHOLM</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20429-2021</t>
        </is>
      </c>
      <c r="B1930" s="1" t="n">
        <v>44315</v>
      </c>
      <c r="C1930" s="1" t="n">
        <v>45744</v>
      </c>
      <c r="D1930" t="inlineStr">
        <is>
          <t>SKÅNE LÄN</t>
        </is>
      </c>
      <c r="E1930" t="inlineStr">
        <is>
          <t>ÖSTRA GÖINGE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20604-2021</t>
        </is>
      </c>
      <c r="B1931" s="1" t="n">
        <v>44315</v>
      </c>
      <c r="C1931" s="1" t="n">
        <v>45744</v>
      </c>
      <c r="D1931" t="inlineStr">
        <is>
          <t>SKÅNE LÄN</t>
        </is>
      </c>
      <c r="E1931" t="inlineStr">
        <is>
          <t>ÖSTRA GÖINGE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20611-2021</t>
        </is>
      </c>
      <c r="B1932" s="1" t="n">
        <v>44315</v>
      </c>
      <c r="C1932" s="1" t="n">
        <v>45744</v>
      </c>
      <c r="D1932" t="inlineStr">
        <is>
          <t>SKÅNE LÄN</t>
        </is>
      </c>
      <c r="E1932" t="inlineStr">
        <is>
          <t>ÖSTRA GÖINGE</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20648-2021</t>
        </is>
      </c>
      <c r="B1933" s="1" t="n">
        <v>44316</v>
      </c>
      <c r="C1933" s="1" t="n">
        <v>45744</v>
      </c>
      <c r="D1933" t="inlineStr">
        <is>
          <t>SKÅNE LÄN</t>
        </is>
      </c>
      <c r="E1933" t="inlineStr">
        <is>
          <t>HÄSSLEHOLM</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20572-2021</t>
        </is>
      </c>
      <c r="B1934" s="1" t="n">
        <v>44316</v>
      </c>
      <c r="C1934" s="1" t="n">
        <v>45744</v>
      </c>
      <c r="D1934" t="inlineStr">
        <is>
          <t>SKÅNE LÄN</t>
        </is>
      </c>
      <c r="E1934" t="inlineStr">
        <is>
          <t>SJÖBO</t>
        </is>
      </c>
      <c r="F1934" t="inlineStr">
        <is>
          <t>Övriga Aktiebolag</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20659-2021</t>
        </is>
      </c>
      <c r="B1935" s="1" t="n">
        <v>44316</v>
      </c>
      <c r="C1935" s="1" t="n">
        <v>45744</v>
      </c>
      <c r="D1935" t="inlineStr">
        <is>
          <t>SKÅNE LÄN</t>
        </is>
      </c>
      <c r="E1935" t="inlineStr">
        <is>
          <t>HÄSSLEHOLM</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21715-2021</t>
        </is>
      </c>
      <c r="B1936" s="1" t="n">
        <v>44316</v>
      </c>
      <c r="C1936" s="1" t="n">
        <v>45744</v>
      </c>
      <c r="D1936" t="inlineStr">
        <is>
          <t>SKÅNE LÄN</t>
        </is>
      </c>
      <c r="E1936" t="inlineStr">
        <is>
          <t>HÄSSLEHOLM</t>
        </is>
      </c>
      <c r="G1936" t="n">
        <v>9.5</v>
      </c>
      <c r="H1936" t="n">
        <v>0</v>
      </c>
      <c r="I1936" t="n">
        <v>0</v>
      </c>
      <c r="J1936" t="n">
        <v>0</v>
      </c>
      <c r="K1936" t="n">
        <v>0</v>
      </c>
      <c r="L1936" t="n">
        <v>0</v>
      </c>
      <c r="M1936" t="n">
        <v>0</v>
      </c>
      <c r="N1936" t="n">
        <v>0</v>
      </c>
      <c r="O1936" t="n">
        <v>0</v>
      </c>
      <c r="P1936" t="n">
        <v>0</v>
      </c>
      <c r="Q1936" t="n">
        <v>0</v>
      </c>
      <c r="R1936" s="2" t="inlineStr"/>
    </row>
    <row r="1937" ht="15" customHeight="1">
      <c r="A1937" t="inlineStr">
        <is>
          <t>A 21028-2021</t>
        </is>
      </c>
      <c r="B1937" s="1" t="n">
        <v>44319</v>
      </c>
      <c r="C1937" s="1" t="n">
        <v>45744</v>
      </c>
      <c r="D1937" t="inlineStr">
        <is>
          <t>SKÅNE LÄN</t>
        </is>
      </c>
      <c r="E1937" t="inlineStr">
        <is>
          <t>HÄSSLEHOLM</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21029-2021</t>
        </is>
      </c>
      <c r="B1938" s="1" t="n">
        <v>44319</v>
      </c>
      <c r="C1938" s="1" t="n">
        <v>45744</v>
      </c>
      <c r="D1938" t="inlineStr">
        <is>
          <t>SKÅNE LÄN</t>
        </is>
      </c>
      <c r="E1938" t="inlineStr">
        <is>
          <t>HÄSSLEHOLM</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21201-2021</t>
        </is>
      </c>
      <c r="B1939" s="1" t="n">
        <v>44320</v>
      </c>
      <c r="C1939" s="1" t="n">
        <v>45744</v>
      </c>
      <c r="D1939" t="inlineStr">
        <is>
          <t>SKÅNE LÄN</t>
        </is>
      </c>
      <c r="E1939" t="inlineStr">
        <is>
          <t>OSBY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21172-2021</t>
        </is>
      </c>
      <c r="B1940" s="1" t="n">
        <v>44320</v>
      </c>
      <c r="C1940" s="1" t="n">
        <v>45744</v>
      </c>
      <c r="D1940" t="inlineStr">
        <is>
          <t>SKÅNE LÄN</t>
        </is>
      </c>
      <c r="E1940" t="inlineStr">
        <is>
          <t>OSBY</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21180-2021</t>
        </is>
      </c>
      <c r="B1941" s="1" t="n">
        <v>44320</v>
      </c>
      <c r="C1941" s="1" t="n">
        <v>45744</v>
      </c>
      <c r="D1941" t="inlineStr">
        <is>
          <t>SKÅNE LÄN</t>
        </is>
      </c>
      <c r="E1941" t="inlineStr">
        <is>
          <t>ÖSTRA GÖINGE</t>
        </is>
      </c>
      <c r="F1941" t="inlineStr">
        <is>
          <t>Sveaskog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21245-2021</t>
        </is>
      </c>
      <c r="B1942" s="1" t="n">
        <v>44320</v>
      </c>
      <c r="C1942" s="1" t="n">
        <v>45744</v>
      </c>
      <c r="D1942" t="inlineStr">
        <is>
          <t>SKÅNE LÄN</t>
        </is>
      </c>
      <c r="E1942" t="inlineStr">
        <is>
          <t>TOMELILLA</t>
        </is>
      </c>
      <c r="F1942" t="inlineStr">
        <is>
          <t>Övriga Aktiebolag</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21535-2021</t>
        </is>
      </c>
      <c r="B1943" s="1" t="n">
        <v>44321</v>
      </c>
      <c r="C1943" s="1" t="n">
        <v>45744</v>
      </c>
      <c r="D1943" t="inlineStr">
        <is>
          <t>SKÅNE LÄN</t>
        </is>
      </c>
      <c r="E1943" t="inlineStr">
        <is>
          <t>HÄSSLEHOLM</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21615-2021</t>
        </is>
      </c>
      <c r="B1944" s="1" t="n">
        <v>44321</v>
      </c>
      <c r="C1944" s="1" t="n">
        <v>45744</v>
      </c>
      <c r="D1944" t="inlineStr">
        <is>
          <t>SKÅNE LÄN</t>
        </is>
      </c>
      <c r="E1944" t="inlineStr">
        <is>
          <t>OSBY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21949-2021</t>
        </is>
      </c>
      <c r="B1945" s="1" t="n">
        <v>44323</v>
      </c>
      <c r="C1945" s="1" t="n">
        <v>45744</v>
      </c>
      <c r="D1945" t="inlineStr">
        <is>
          <t>SKÅNE LÄN</t>
        </is>
      </c>
      <c r="E1945" t="inlineStr">
        <is>
          <t>PERSTORP</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22320-2021</t>
        </is>
      </c>
      <c r="B1946" s="1" t="n">
        <v>44323</v>
      </c>
      <c r="C1946" s="1" t="n">
        <v>45744</v>
      </c>
      <c r="D1946" t="inlineStr">
        <is>
          <t>SKÅNE LÄN</t>
        </is>
      </c>
      <c r="E1946" t="inlineStr">
        <is>
          <t>HÄSSLEHOLM</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22411-2021</t>
        </is>
      </c>
      <c r="B1947" s="1" t="n">
        <v>44326</v>
      </c>
      <c r="C1947" s="1" t="n">
        <v>45744</v>
      </c>
      <c r="D1947" t="inlineStr">
        <is>
          <t>SKÅNE LÄN</t>
        </is>
      </c>
      <c r="E1947" t="inlineStr">
        <is>
          <t>LUND</t>
        </is>
      </c>
      <c r="F1947" t="inlineStr">
        <is>
          <t>Kommuner</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22345-2021</t>
        </is>
      </c>
      <c r="B1948" s="1" t="n">
        <v>44326</v>
      </c>
      <c r="C1948" s="1" t="n">
        <v>45744</v>
      </c>
      <c r="D1948" t="inlineStr">
        <is>
          <t>SKÅNE LÄN</t>
        </is>
      </c>
      <c r="E1948" t="inlineStr">
        <is>
          <t>KRISTIANSTAD</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22553-2021</t>
        </is>
      </c>
      <c r="B1949" s="1" t="n">
        <v>44326</v>
      </c>
      <c r="C1949" s="1" t="n">
        <v>45744</v>
      </c>
      <c r="D1949" t="inlineStr">
        <is>
          <t>SKÅNE LÄN</t>
        </is>
      </c>
      <c r="E1949" t="inlineStr">
        <is>
          <t>ÖSTRA GÖINGE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22423-2021</t>
        </is>
      </c>
      <c r="B1950" s="1" t="n">
        <v>44326</v>
      </c>
      <c r="C1950" s="1" t="n">
        <v>45744</v>
      </c>
      <c r="D1950" t="inlineStr">
        <is>
          <t>SKÅNE LÄN</t>
        </is>
      </c>
      <c r="E1950" t="inlineStr">
        <is>
          <t>HÄSSLEHOLM</t>
        </is>
      </c>
      <c r="F1950" t="inlineStr">
        <is>
          <t>Övriga Aktiebolag</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22555-2021</t>
        </is>
      </c>
      <c r="B1951" s="1" t="n">
        <v>44326</v>
      </c>
      <c r="C1951" s="1" t="n">
        <v>45744</v>
      </c>
      <c r="D1951" t="inlineStr">
        <is>
          <t>SKÅNE LÄN</t>
        </is>
      </c>
      <c r="E1951" t="inlineStr">
        <is>
          <t>ÖSTRA GÖINGE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22541-2021</t>
        </is>
      </c>
      <c r="B1952" s="1" t="n">
        <v>44326</v>
      </c>
      <c r="C1952" s="1" t="n">
        <v>45744</v>
      </c>
      <c r="D1952" t="inlineStr">
        <is>
          <t>SKÅNE LÄN</t>
        </is>
      </c>
      <c r="E1952" t="inlineStr">
        <is>
          <t>HÄSSLEHOLM</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22558-2021</t>
        </is>
      </c>
      <c r="B1953" s="1" t="n">
        <v>44326</v>
      </c>
      <c r="C1953" s="1" t="n">
        <v>45744</v>
      </c>
      <c r="D1953" t="inlineStr">
        <is>
          <t>SKÅNE LÄN</t>
        </is>
      </c>
      <c r="E1953" t="inlineStr">
        <is>
          <t>ÖSTRA GÖINGE</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22947-2021</t>
        </is>
      </c>
      <c r="B1954" s="1" t="n">
        <v>44327</v>
      </c>
      <c r="C1954" s="1" t="n">
        <v>45744</v>
      </c>
      <c r="D1954" t="inlineStr">
        <is>
          <t>SKÅNE LÄN</t>
        </is>
      </c>
      <c r="E1954" t="inlineStr">
        <is>
          <t>OSBY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22794-2021</t>
        </is>
      </c>
      <c r="B1955" s="1" t="n">
        <v>44328</v>
      </c>
      <c r="C1955" s="1" t="n">
        <v>45744</v>
      </c>
      <c r="D1955" t="inlineStr">
        <is>
          <t>SKÅNE LÄN</t>
        </is>
      </c>
      <c r="E1955" t="inlineStr">
        <is>
          <t>ÖSTRA GÖINGE</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22981-2021</t>
        </is>
      </c>
      <c r="B1956" s="1" t="n">
        <v>44327</v>
      </c>
      <c r="C1956" s="1" t="n">
        <v>45744</v>
      </c>
      <c r="D1956" t="inlineStr">
        <is>
          <t>SKÅNE LÄN</t>
        </is>
      </c>
      <c r="E1956" t="inlineStr">
        <is>
          <t>ÖSTRA GÖINGE</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22793-2021</t>
        </is>
      </c>
      <c r="B1957" s="1" t="n">
        <v>44327</v>
      </c>
      <c r="C1957" s="1" t="n">
        <v>45744</v>
      </c>
      <c r="D1957" t="inlineStr">
        <is>
          <t>SKÅNE LÄN</t>
        </is>
      </c>
      <c r="E1957" t="inlineStr">
        <is>
          <t>ÖSTRA GÖINGE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22979-2021</t>
        </is>
      </c>
      <c r="B1958" s="1" t="n">
        <v>44327</v>
      </c>
      <c r="C1958" s="1" t="n">
        <v>45744</v>
      </c>
      <c r="D1958" t="inlineStr">
        <is>
          <t>SKÅNE LÄN</t>
        </is>
      </c>
      <c r="E1958" t="inlineStr">
        <is>
          <t>ÖSTRA GÖINGE</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22958-2021</t>
        </is>
      </c>
      <c r="B1959" s="1" t="n">
        <v>44328</v>
      </c>
      <c r="C1959" s="1" t="n">
        <v>45744</v>
      </c>
      <c r="D1959" t="inlineStr">
        <is>
          <t>SKÅNE LÄN</t>
        </is>
      </c>
      <c r="E1959" t="inlineStr">
        <is>
          <t>KRISTIANSTAD</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23003-2021</t>
        </is>
      </c>
      <c r="B1960" s="1" t="n">
        <v>44328</v>
      </c>
      <c r="C1960" s="1" t="n">
        <v>45744</v>
      </c>
      <c r="D1960" t="inlineStr">
        <is>
          <t>SKÅNE LÄN</t>
        </is>
      </c>
      <c r="E1960" t="inlineStr">
        <is>
          <t>HÄSSLEHOLM</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22899-2021</t>
        </is>
      </c>
      <c r="B1961" s="1" t="n">
        <v>44328</v>
      </c>
      <c r="C1961" s="1" t="n">
        <v>45744</v>
      </c>
      <c r="D1961" t="inlineStr">
        <is>
          <t>SKÅNE LÄN</t>
        </is>
      </c>
      <c r="E1961" t="inlineStr">
        <is>
          <t>HÄSSLEHOLM</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22907-2021</t>
        </is>
      </c>
      <c r="B1962" s="1" t="n">
        <v>44328</v>
      </c>
      <c r="C1962" s="1" t="n">
        <v>45744</v>
      </c>
      <c r="D1962" t="inlineStr">
        <is>
          <t>SKÅNE LÄN</t>
        </is>
      </c>
      <c r="E1962" t="inlineStr">
        <is>
          <t>HÄSSLEHOLM</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23045-2021</t>
        </is>
      </c>
      <c r="B1963" s="1" t="n">
        <v>44329</v>
      </c>
      <c r="C1963" s="1" t="n">
        <v>45744</v>
      </c>
      <c r="D1963" t="inlineStr">
        <is>
          <t>SKÅNE LÄN</t>
        </is>
      </c>
      <c r="E1963" t="inlineStr">
        <is>
          <t>HÄSSLEHOLM</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23106-2021</t>
        </is>
      </c>
      <c r="B1964" s="1" t="n">
        <v>44330</v>
      </c>
      <c r="C1964" s="1" t="n">
        <v>45744</v>
      </c>
      <c r="D1964" t="inlineStr">
        <is>
          <t>SKÅNE LÄN</t>
        </is>
      </c>
      <c r="E1964" t="inlineStr">
        <is>
          <t>HÄSSLEHOLM</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23211-2021</t>
        </is>
      </c>
      <c r="B1965" s="1" t="n">
        <v>44333</v>
      </c>
      <c r="C1965" s="1" t="n">
        <v>45744</v>
      </c>
      <c r="D1965" t="inlineStr">
        <is>
          <t>SKÅNE LÄN</t>
        </is>
      </c>
      <c r="E1965" t="inlineStr">
        <is>
          <t>KLIPPAN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23190-2021</t>
        </is>
      </c>
      <c r="B1966" s="1" t="n">
        <v>44333</v>
      </c>
      <c r="C1966" s="1" t="n">
        <v>45744</v>
      </c>
      <c r="D1966" t="inlineStr">
        <is>
          <t>SKÅNE LÄN</t>
        </is>
      </c>
      <c r="E1966" t="inlineStr">
        <is>
          <t>KLIPPAN</t>
        </is>
      </c>
      <c r="G1966" t="n">
        <v>9.699999999999999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23362-2021</t>
        </is>
      </c>
      <c r="B1967" s="1" t="n">
        <v>44333</v>
      </c>
      <c r="C1967" s="1" t="n">
        <v>45744</v>
      </c>
      <c r="D1967" t="inlineStr">
        <is>
          <t>SKÅNE LÄN</t>
        </is>
      </c>
      <c r="E1967" t="inlineStr">
        <is>
          <t>LANDSKRONA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23830-2021</t>
        </is>
      </c>
      <c r="B1968" s="1" t="n">
        <v>44335</v>
      </c>
      <c r="C1968" s="1" t="n">
        <v>45744</v>
      </c>
      <c r="D1968" t="inlineStr">
        <is>
          <t>SKÅNE LÄN</t>
        </is>
      </c>
      <c r="E1968" t="inlineStr">
        <is>
          <t>HÄSSLEHOLM</t>
        </is>
      </c>
      <c r="G1968" t="n">
        <v>18.7</v>
      </c>
      <c r="H1968" t="n">
        <v>0</v>
      </c>
      <c r="I1968" t="n">
        <v>0</v>
      </c>
      <c r="J1968" t="n">
        <v>0</v>
      </c>
      <c r="K1968" t="n">
        <v>0</v>
      </c>
      <c r="L1968" t="n">
        <v>0</v>
      </c>
      <c r="M1968" t="n">
        <v>0</v>
      </c>
      <c r="N1968" t="n">
        <v>0</v>
      </c>
      <c r="O1968" t="n">
        <v>0</v>
      </c>
      <c r="P1968" t="n">
        <v>0</v>
      </c>
      <c r="Q1968" t="n">
        <v>0</v>
      </c>
      <c r="R1968" s="2" t="inlineStr"/>
    </row>
    <row r="1969" ht="15" customHeight="1">
      <c r="A1969" t="inlineStr">
        <is>
          <t>A 23837-2021</t>
        </is>
      </c>
      <c r="B1969" s="1" t="n">
        <v>44335</v>
      </c>
      <c r="C1969" s="1" t="n">
        <v>45744</v>
      </c>
      <c r="D1969" t="inlineStr">
        <is>
          <t>SKÅNE LÄN</t>
        </is>
      </c>
      <c r="E1969" t="inlineStr">
        <is>
          <t>HÄSSLEHOLM</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23841-2021</t>
        </is>
      </c>
      <c r="B1970" s="1" t="n">
        <v>44335</v>
      </c>
      <c r="C1970" s="1" t="n">
        <v>45744</v>
      </c>
      <c r="D1970" t="inlineStr">
        <is>
          <t>SKÅNE LÄN</t>
        </is>
      </c>
      <c r="E1970" t="inlineStr">
        <is>
          <t>HÄSSLEHOLM</t>
        </is>
      </c>
      <c r="G1970" t="n">
        <v>16.9</v>
      </c>
      <c r="H1970" t="n">
        <v>0</v>
      </c>
      <c r="I1970" t="n">
        <v>0</v>
      </c>
      <c r="J1970" t="n">
        <v>0</v>
      </c>
      <c r="K1970" t="n">
        <v>0</v>
      </c>
      <c r="L1970" t="n">
        <v>0</v>
      </c>
      <c r="M1970" t="n">
        <v>0</v>
      </c>
      <c r="N1970" t="n">
        <v>0</v>
      </c>
      <c r="O1970" t="n">
        <v>0</v>
      </c>
      <c r="P1970" t="n">
        <v>0</v>
      </c>
      <c r="Q1970" t="n">
        <v>0</v>
      </c>
      <c r="R1970" s="2" t="inlineStr"/>
    </row>
    <row r="1971" ht="15" customHeight="1">
      <c r="A1971" t="inlineStr">
        <is>
          <t>A 23826-2021</t>
        </is>
      </c>
      <c r="B1971" s="1" t="n">
        <v>44335</v>
      </c>
      <c r="C1971" s="1" t="n">
        <v>45744</v>
      </c>
      <c r="D1971" t="inlineStr">
        <is>
          <t>SKÅNE LÄN</t>
        </is>
      </c>
      <c r="E1971" t="inlineStr">
        <is>
          <t>HÄSSLEHOLM</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23952-2021</t>
        </is>
      </c>
      <c r="B1972" s="1" t="n">
        <v>44335</v>
      </c>
      <c r="C1972" s="1" t="n">
        <v>45744</v>
      </c>
      <c r="D1972" t="inlineStr">
        <is>
          <t>SKÅNE LÄN</t>
        </is>
      </c>
      <c r="E1972" t="inlineStr">
        <is>
          <t>OSBY</t>
        </is>
      </c>
      <c r="F1972" t="inlineStr">
        <is>
          <t>Kyrkan</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24086-2021</t>
        </is>
      </c>
      <c r="B1973" s="1" t="n">
        <v>44336</v>
      </c>
      <c r="C1973" s="1" t="n">
        <v>45744</v>
      </c>
      <c r="D1973" t="inlineStr">
        <is>
          <t>SKÅNE LÄN</t>
        </is>
      </c>
      <c r="E1973" t="inlineStr">
        <is>
          <t>ÖSTRA GÖINGE</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24384-2021</t>
        </is>
      </c>
      <c r="B1974" s="1" t="n">
        <v>44337</v>
      </c>
      <c r="C1974" s="1" t="n">
        <v>45744</v>
      </c>
      <c r="D1974" t="inlineStr">
        <is>
          <t>SKÅNE LÄN</t>
        </is>
      </c>
      <c r="E1974" t="inlineStr">
        <is>
          <t>ESLÖV</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24498-2021</t>
        </is>
      </c>
      <c r="B1975" s="1" t="n">
        <v>44337</v>
      </c>
      <c r="C1975" s="1" t="n">
        <v>45744</v>
      </c>
      <c r="D1975" t="inlineStr">
        <is>
          <t>SKÅNE LÄN</t>
        </is>
      </c>
      <c r="E1975" t="inlineStr">
        <is>
          <t>HÄSSLEHOLM</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24358-2021</t>
        </is>
      </c>
      <c r="B1976" s="1" t="n">
        <v>44337</v>
      </c>
      <c r="C1976" s="1" t="n">
        <v>45744</v>
      </c>
      <c r="D1976" t="inlineStr">
        <is>
          <t>SKÅNE LÄN</t>
        </is>
      </c>
      <c r="E1976" t="inlineStr">
        <is>
          <t>LUND</t>
        </is>
      </c>
      <c r="F1976" t="inlineStr">
        <is>
          <t>Kommuner</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24496-2021</t>
        </is>
      </c>
      <c r="B1977" s="1" t="n">
        <v>44337</v>
      </c>
      <c r="C1977" s="1" t="n">
        <v>45744</v>
      </c>
      <c r="D1977" t="inlineStr">
        <is>
          <t>SKÅNE LÄN</t>
        </is>
      </c>
      <c r="E1977" t="inlineStr">
        <is>
          <t>HÄSSLEHOLM</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24712-2021</t>
        </is>
      </c>
      <c r="B1978" s="1" t="n">
        <v>44340</v>
      </c>
      <c r="C1978" s="1" t="n">
        <v>45744</v>
      </c>
      <c r="D1978" t="inlineStr">
        <is>
          <t>SKÅNE LÄN</t>
        </is>
      </c>
      <c r="E1978" t="inlineStr">
        <is>
          <t>ÖRKELLJUNGA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24691-2021</t>
        </is>
      </c>
      <c r="B1979" s="1" t="n">
        <v>44340</v>
      </c>
      <c r="C1979" s="1" t="n">
        <v>45744</v>
      </c>
      <c r="D1979" t="inlineStr">
        <is>
          <t>SKÅNE LÄN</t>
        </is>
      </c>
      <c r="E1979" t="inlineStr">
        <is>
          <t>ÄNGELHOLM</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25051-2021</t>
        </is>
      </c>
      <c r="B1980" s="1" t="n">
        <v>44341</v>
      </c>
      <c r="C1980" s="1" t="n">
        <v>45744</v>
      </c>
      <c r="D1980" t="inlineStr">
        <is>
          <t>SKÅNE LÄN</t>
        </is>
      </c>
      <c r="E1980" t="inlineStr">
        <is>
          <t>KRISTIANSTAD</t>
        </is>
      </c>
      <c r="F1980" t="inlineStr">
        <is>
          <t>Övriga Aktiebolag</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24932-2021</t>
        </is>
      </c>
      <c r="B1981" s="1" t="n">
        <v>44341</v>
      </c>
      <c r="C1981" s="1" t="n">
        <v>45744</v>
      </c>
      <c r="D1981" t="inlineStr">
        <is>
          <t>SKÅNE LÄN</t>
        </is>
      </c>
      <c r="E1981" t="inlineStr">
        <is>
          <t>ÄNGELHOLM</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25043-2021</t>
        </is>
      </c>
      <c r="B1982" s="1" t="n">
        <v>44341</v>
      </c>
      <c r="C1982" s="1" t="n">
        <v>45744</v>
      </c>
      <c r="D1982" t="inlineStr">
        <is>
          <t>SKÅNE LÄN</t>
        </is>
      </c>
      <c r="E1982" t="inlineStr">
        <is>
          <t>KRISTIANSTAD</t>
        </is>
      </c>
      <c r="F1982" t="inlineStr">
        <is>
          <t>Övriga Aktiebolag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24884-2021</t>
        </is>
      </c>
      <c r="B1983" s="1" t="n">
        <v>44341</v>
      </c>
      <c r="C1983" s="1" t="n">
        <v>45744</v>
      </c>
      <c r="D1983" t="inlineStr">
        <is>
          <t>SKÅNE LÄN</t>
        </is>
      </c>
      <c r="E1983" t="inlineStr">
        <is>
          <t>OSBY</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25047-2021</t>
        </is>
      </c>
      <c r="B1984" s="1" t="n">
        <v>44341</v>
      </c>
      <c r="C1984" s="1" t="n">
        <v>45744</v>
      </c>
      <c r="D1984" t="inlineStr">
        <is>
          <t>SKÅNE LÄN</t>
        </is>
      </c>
      <c r="E1984" t="inlineStr">
        <is>
          <t>KRISTIANSTAD</t>
        </is>
      </c>
      <c r="F1984" t="inlineStr">
        <is>
          <t>Övriga Aktiebolag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25239-2021</t>
        </is>
      </c>
      <c r="B1985" s="1" t="n">
        <v>44342</v>
      </c>
      <c r="C1985" s="1" t="n">
        <v>45744</v>
      </c>
      <c r="D1985" t="inlineStr">
        <is>
          <t>SKÅNE LÄN</t>
        </is>
      </c>
      <c r="E1985" t="inlineStr">
        <is>
          <t>ÖSTRA GÖINGE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25383-2021</t>
        </is>
      </c>
      <c r="B1986" s="1" t="n">
        <v>44342</v>
      </c>
      <c r="C1986" s="1" t="n">
        <v>45744</v>
      </c>
      <c r="D1986" t="inlineStr">
        <is>
          <t>SKÅNE LÄN</t>
        </is>
      </c>
      <c r="E1986" t="inlineStr">
        <is>
          <t>HÄSSLEHOLM</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25279-2021</t>
        </is>
      </c>
      <c r="B1987" s="1" t="n">
        <v>44342</v>
      </c>
      <c r="C1987" s="1" t="n">
        <v>45744</v>
      </c>
      <c r="D1987" t="inlineStr">
        <is>
          <t>SKÅNE LÄN</t>
        </is>
      </c>
      <c r="E1987" t="inlineStr">
        <is>
          <t>KÄVLINGE</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25175-2021</t>
        </is>
      </c>
      <c r="B1988" s="1" t="n">
        <v>44342</v>
      </c>
      <c r="C1988" s="1" t="n">
        <v>45744</v>
      </c>
      <c r="D1988" t="inlineStr">
        <is>
          <t>SKÅNE LÄN</t>
        </is>
      </c>
      <c r="E1988" t="inlineStr">
        <is>
          <t>OSBY</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25379-2021</t>
        </is>
      </c>
      <c r="B1989" s="1" t="n">
        <v>44342</v>
      </c>
      <c r="C1989" s="1" t="n">
        <v>45744</v>
      </c>
      <c r="D1989" t="inlineStr">
        <is>
          <t>SKÅNE LÄN</t>
        </is>
      </c>
      <c r="E1989" t="inlineStr">
        <is>
          <t>HÄSSLEHOLM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25369-2021</t>
        </is>
      </c>
      <c r="B1990" s="1" t="n">
        <v>44342</v>
      </c>
      <c r="C1990" s="1" t="n">
        <v>45744</v>
      </c>
      <c r="D1990" t="inlineStr">
        <is>
          <t>SKÅNE LÄN</t>
        </is>
      </c>
      <c r="E1990" t="inlineStr">
        <is>
          <t>HÖÖR</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25563-2021</t>
        </is>
      </c>
      <c r="B1991" s="1" t="n">
        <v>44343</v>
      </c>
      <c r="C1991" s="1" t="n">
        <v>45744</v>
      </c>
      <c r="D1991" t="inlineStr">
        <is>
          <t>SKÅNE LÄN</t>
        </is>
      </c>
      <c r="E1991" t="inlineStr">
        <is>
          <t>BROMÖLLA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25557-2021</t>
        </is>
      </c>
      <c r="B1992" s="1" t="n">
        <v>44343</v>
      </c>
      <c r="C1992" s="1" t="n">
        <v>45744</v>
      </c>
      <c r="D1992" t="inlineStr">
        <is>
          <t>SKÅNE LÄN</t>
        </is>
      </c>
      <c r="E1992" t="inlineStr">
        <is>
          <t>BROMÖLLA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25578-2021</t>
        </is>
      </c>
      <c r="B1993" s="1" t="n">
        <v>44343</v>
      </c>
      <c r="C1993" s="1" t="n">
        <v>45744</v>
      </c>
      <c r="D1993" t="inlineStr">
        <is>
          <t>SKÅNE LÄN</t>
        </is>
      </c>
      <c r="E1993" t="inlineStr">
        <is>
          <t>KRISTIANSTAD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25788-2021</t>
        </is>
      </c>
      <c r="B1994" s="1" t="n">
        <v>44343</v>
      </c>
      <c r="C1994" s="1" t="n">
        <v>45744</v>
      </c>
      <c r="D1994" t="inlineStr">
        <is>
          <t>SKÅNE LÄN</t>
        </is>
      </c>
      <c r="E1994" t="inlineStr">
        <is>
          <t>HÄSSLEHOLM</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25881-2021</t>
        </is>
      </c>
      <c r="B1995" s="1" t="n">
        <v>44344</v>
      </c>
      <c r="C1995" s="1" t="n">
        <v>45744</v>
      </c>
      <c r="D1995" t="inlineStr">
        <is>
          <t>SKÅNE LÄN</t>
        </is>
      </c>
      <c r="E1995" t="inlineStr">
        <is>
          <t>SIMRISHAMN</t>
        </is>
      </c>
      <c r="F1995" t="inlineStr">
        <is>
          <t>Övriga Aktiebolag</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25899-2021</t>
        </is>
      </c>
      <c r="B1996" s="1" t="n">
        <v>44344</v>
      </c>
      <c r="C1996" s="1" t="n">
        <v>45744</v>
      </c>
      <c r="D1996" t="inlineStr">
        <is>
          <t>SKÅNE LÄN</t>
        </is>
      </c>
      <c r="E1996" t="inlineStr">
        <is>
          <t>TOMELILLA</t>
        </is>
      </c>
      <c r="F1996" t="inlineStr">
        <is>
          <t>Övriga Aktiebolag</t>
        </is>
      </c>
      <c r="G1996" t="n">
        <v>14.8</v>
      </c>
      <c r="H1996" t="n">
        <v>0</v>
      </c>
      <c r="I1996" t="n">
        <v>0</v>
      </c>
      <c r="J1996" t="n">
        <v>0</v>
      </c>
      <c r="K1996" t="n">
        <v>0</v>
      </c>
      <c r="L1996" t="n">
        <v>0</v>
      </c>
      <c r="M1996" t="n">
        <v>0</v>
      </c>
      <c r="N1996" t="n">
        <v>0</v>
      </c>
      <c r="O1996" t="n">
        <v>0</v>
      </c>
      <c r="P1996" t="n">
        <v>0</v>
      </c>
      <c r="Q1996" t="n">
        <v>0</v>
      </c>
      <c r="R1996" s="2" t="inlineStr"/>
    </row>
    <row r="1997" ht="15" customHeight="1">
      <c r="A1997" t="inlineStr">
        <is>
          <t>A 26207-2021</t>
        </is>
      </c>
      <c r="B1997" s="1" t="n">
        <v>44347</v>
      </c>
      <c r="C1997" s="1" t="n">
        <v>45744</v>
      </c>
      <c r="D1997" t="inlineStr">
        <is>
          <t>SKÅNE LÄN</t>
        </is>
      </c>
      <c r="E1997" t="inlineStr">
        <is>
          <t>HÄSSLEHOLM</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26262-2021</t>
        </is>
      </c>
      <c r="B1998" s="1" t="n">
        <v>44347</v>
      </c>
      <c r="C1998" s="1" t="n">
        <v>45744</v>
      </c>
      <c r="D1998" t="inlineStr">
        <is>
          <t>SKÅNE LÄN</t>
        </is>
      </c>
      <c r="E1998" t="inlineStr">
        <is>
          <t>SJÖBO</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26459-2021</t>
        </is>
      </c>
      <c r="B1999" s="1" t="n">
        <v>44348</v>
      </c>
      <c r="C1999" s="1" t="n">
        <v>45744</v>
      </c>
      <c r="D1999" t="inlineStr">
        <is>
          <t>SKÅNE LÄN</t>
        </is>
      </c>
      <c r="E1999" t="inlineStr">
        <is>
          <t>SJÖBO</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26482-2021</t>
        </is>
      </c>
      <c r="B2000" s="1" t="n">
        <v>44348</v>
      </c>
      <c r="C2000" s="1" t="n">
        <v>45744</v>
      </c>
      <c r="D2000" t="inlineStr">
        <is>
          <t>SKÅNE LÄN</t>
        </is>
      </c>
      <c r="E2000" t="inlineStr">
        <is>
          <t>KRISTIANSTAD</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26461-2021</t>
        </is>
      </c>
      <c r="B2001" s="1" t="n">
        <v>44348</v>
      </c>
      <c r="C2001" s="1" t="n">
        <v>45744</v>
      </c>
      <c r="D2001" t="inlineStr">
        <is>
          <t>SKÅNE LÄN</t>
        </is>
      </c>
      <c r="E2001" t="inlineStr">
        <is>
          <t>YSTAD</t>
        </is>
      </c>
      <c r="G2001" t="n">
        <v>8.699999999999999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26515-2021</t>
        </is>
      </c>
      <c r="B2002" s="1" t="n">
        <v>44348</v>
      </c>
      <c r="C2002" s="1" t="n">
        <v>45744</v>
      </c>
      <c r="D2002" t="inlineStr">
        <is>
          <t>SKÅNE LÄN</t>
        </is>
      </c>
      <c r="E2002" t="inlineStr">
        <is>
          <t>ÖSTRA GÖINGE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26707-2021</t>
        </is>
      </c>
      <c r="B2003" s="1" t="n">
        <v>44349</v>
      </c>
      <c r="C2003" s="1" t="n">
        <v>45744</v>
      </c>
      <c r="D2003" t="inlineStr">
        <is>
          <t>SKÅNE LÄN</t>
        </is>
      </c>
      <c r="E2003" t="inlineStr">
        <is>
          <t>OSBY</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26918-2021</t>
        </is>
      </c>
      <c r="B2004" s="1" t="n">
        <v>44349</v>
      </c>
      <c r="C2004" s="1" t="n">
        <v>45744</v>
      </c>
      <c r="D2004" t="inlineStr">
        <is>
          <t>SKÅNE LÄN</t>
        </is>
      </c>
      <c r="E2004" t="inlineStr">
        <is>
          <t>KRISTIANSTAD</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26928-2021</t>
        </is>
      </c>
      <c r="B2005" s="1" t="n">
        <v>44349</v>
      </c>
      <c r="C2005" s="1" t="n">
        <v>45744</v>
      </c>
      <c r="D2005" t="inlineStr">
        <is>
          <t>SKÅNE LÄN</t>
        </is>
      </c>
      <c r="E2005" t="inlineStr">
        <is>
          <t>OSBY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27085-2021</t>
        </is>
      </c>
      <c r="B2006" s="1" t="n">
        <v>44350</v>
      </c>
      <c r="C2006" s="1" t="n">
        <v>45744</v>
      </c>
      <c r="D2006" t="inlineStr">
        <is>
          <t>SKÅNE LÄN</t>
        </is>
      </c>
      <c r="E2006" t="inlineStr">
        <is>
          <t>ÖSTRA GÖINGE</t>
        </is>
      </c>
      <c r="F2006" t="inlineStr">
        <is>
          <t>Sveaskog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27137-2021</t>
        </is>
      </c>
      <c r="B2007" s="1" t="n">
        <v>44350</v>
      </c>
      <c r="C2007" s="1" t="n">
        <v>45744</v>
      </c>
      <c r="D2007" t="inlineStr">
        <is>
          <t>SKÅNE LÄN</t>
        </is>
      </c>
      <c r="E2007" t="inlineStr">
        <is>
          <t>HÄSSLEHOLM</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27091-2021</t>
        </is>
      </c>
      <c r="B2008" s="1" t="n">
        <v>44350</v>
      </c>
      <c r="C2008" s="1" t="n">
        <v>45744</v>
      </c>
      <c r="D2008" t="inlineStr">
        <is>
          <t>SKÅNE LÄN</t>
        </is>
      </c>
      <c r="E2008" t="inlineStr">
        <is>
          <t>ÖSTRA GÖINGE</t>
        </is>
      </c>
      <c r="F2008" t="inlineStr">
        <is>
          <t>Sveaskog</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27197-2021</t>
        </is>
      </c>
      <c r="B2009" s="1" t="n">
        <v>44350</v>
      </c>
      <c r="C2009" s="1" t="n">
        <v>45744</v>
      </c>
      <c r="D2009" t="inlineStr">
        <is>
          <t>SKÅNE LÄN</t>
        </is>
      </c>
      <c r="E2009" t="inlineStr">
        <is>
          <t>HÄSSLEHOLM</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27330-2021</t>
        </is>
      </c>
      <c r="B2010" s="1" t="n">
        <v>44351</v>
      </c>
      <c r="C2010" s="1" t="n">
        <v>45744</v>
      </c>
      <c r="D2010" t="inlineStr">
        <is>
          <t>SKÅNE LÄN</t>
        </is>
      </c>
      <c r="E2010" t="inlineStr">
        <is>
          <t>HÄSSLEHOLM</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27309-2021</t>
        </is>
      </c>
      <c r="B2011" s="1" t="n">
        <v>44351</v>
      </c>
      <c r="C2011" s="1" t="n">
        <v>45744</v>
      </c>
      <c r="D2011" t="inlineStr">
        <is>
          <t>SKÅNE LÄN</t>
        </is>
      </c>
      <c r="E2011" t="inlineStr">
        <is>
          <t>ÖRKELLJUNGA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27538-2021</t>
        </is>
      </c>
      <c r="B2012" s="1" t="n">
        <v>44351</v>
      </c>
      <c r="C2012" s="1" t="n">
        <v>45744</v>
      </c>
      <c r="D2012" t="inlineStr">
        <is>
          <t>SKÅNE LÄN</t>
        </is>
      </c>
      <c r="E2012" t="inlineStr">
        <is>
          <t>KLIPPAN</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27521-2021</t>
        </is>
      </c>
      <c r="B2013" s="1" t="n">
        <v>44351</v>
      </c>
      <c r="C2013" s="1" t="n">
        <v>45744</v>
      </c>
      <c r="D2013" t="inlineStr">
        <is>
          <t>SKÅNE LÄN</t>
        </is>
      </c>
      <c r="E2013" t="inlineStr">
        <is>
          <t>ÖRKELLJUNGA</t>
        </is>
      </c>
      <c r="G2013" t="n">
        <v>10.3</v>
      </c>
      <c r="H2013" t="n">
        <v>0</v>
      </c>
      <c r="I2013" t="n">
        <v>0</v>
      </c>
      <c r="J2013" t="n">
        <v>0</v>
      </c>
      <c r="K2013" t="n">
        <v>0</v>
      </c>
      <c r="L2013" t="n">
        <v>0</v>
      </c>
      <c r="M2013" t="n">
        <v>0</v>
      </c>
      <c r="N2013" t="n">
        <v>0</v>
      </c>
      <c r="O2013" t="n">
        <v>0</v>
      </c>
      <c r="P2013" t="n">
        <v>0</v>
      </c>
      <c r="Q2013" t="n">
        <v>0</v>
      </c>
      <c r="R2013" s="2" t="inlineStr"/>
    </row>
    <row r="2014" ht="15" customHeight="1">
      <c r="A2014" t="inlineStr">
        <is>
          <t>A 27568-2021</t>
        </is>
      </c>
      <c r="B2014" s="1" t="n">
        <v>44353</v>
      </c>
      <c r="C2014" s="1" t="n">
        <v>45744</v>
      </c>
      <c r="D2014" t="inlineStr">
        <is>
          <t>SKÅNE LÄN</t>
        </is>
      </c>
      <c r="E2014" t="inlineStr">
        <is>
          <t>OSBY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27764-2021</t>
        </is>
      </c>
      <c r="B2015" s="1" t="n">
        <v>44354</v>
      </c>
      <c r="C2015" s="1" t="n">
        <v>45744</v>
      </c>
      <c r="D2015" t="inlineStr">
        <is>
          <t>SKÅNE LÄN</t>
        </is>
      </c>
      <c r="E2015" t="inlineStr">
        <is>
          <t>KRISTIANSTAD</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27729-2021</t>
        </is>
      </c>
      <c r="B2016" s="1" t="n">
        <v>44354</v>
      </c>
      <c r="C2016" s="1" t="n">
        <v>45744</v>
      </c>
      <c r="D2016" t="inlineStr">
        <is>
          <t>SKÅNE LÄN</t>
        </is>
      </c>
      <c r="E2016" t="inlineStr">
        <is>
          <t>KRISTIANSTAD</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27795-2021</t>
        </is>
      </c>
      <c r="B2017" s="1" t="n">
        <v>44354</v>
      </c>
      <c r="C2017" s="1" t="n">
        <v>45744</v>
      </c>
      <c r="D2017" t="inlineStr">
        <is>
          <t>SKÅNE LÄN</t>
        </is>
      </c>
      <c r="E2017" t="inlineStr">
        <is>
          <t>ÖSTRA GÖINGE</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27817-2021</t>
        </is>
      </c>
      <c r="B2018" s="1" t="n">
        <v>44354</v>
      </c>
      <c r="C2018" s="1" t="n">
        <v>45744</v>
      </c>
      <c r="D2018" t="inlineStr">
        <is>
          <t>SKÅNE LÄN</t>
        </is>
      </c>
      <c r="E2018" t="inlineStr">
        <is>
          <t>HÖRBY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27906-2021</t>
        </is>
      </c>
      <c r="B2019" s="1" t="n">
        <v>44354</v>
      </c>
      <c r="C2019" s="1" t="n">
        <v>45744</v>
      </c>
      <c r="D2019" t="inlineStr">
        <is>
          <t>SKÅNE LÄN</t>
        </is>
      </c>
      <c r="E2019" t="inlineStr">
        <is>
          <t>BROMÖLLA</t>
        </is>
      </c>
      <c r="F2019" t="inlineStr">
        <is>
          <t>Kyrkan</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27914-2021</t>
        </is>
      </c>
      <c r="B2020" s="1" t="n">
        <v>44354</v>
      </c>
      <c r="C2020" s="1" t="n">
        <v>45744</v>
      </c>
      <c r="D2020" t="inlineStr">
        <is>
          <t>SKÅNE LÄN</t>
        </is>
      </c>
      <c r="E2020" t="inlineStr">
        <is>
          <t>OSBY</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28131-2021</t>
        </is>
      </c>
      <c r="B2021" s="1" t="n">
        <v>44355</v>
      </c>
      <c r="C2021" s="1" t="n">
        <v>45744</v>
      </c>
      <c r="D2021" t="inlineStr">
        <is>
          <t>SKÅNE LÄN</t>
        </is>
      </c>
      <c r="E2021" t="inlineStr">
        <is>
          <t>TOMELILLA</t>
        </is>
      </c>
      <c r="F2021" t="inlineStr">
        <is>
          <t>Övriga Aktiebolag</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28227-2021</t>
        </is>
      </c>
      <c r="B2022" s="1" t="n">
        <v>44355</v>
      </c>
      <c r="C2022" s="1" t="n">
        <v>45744</v>
      </c>
      <c r="D2022" t="inlineStr">
        <is>
          <t>SKÅNE LÄN</t>
        </is>
      </c>
      <c r="E2022" t="inlineStr">
        <is>
          <t>OSBY</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28678-2021</t>
        </is>
      </c>
      <c r="B2023" s="1" t="n">
        <v>44357</v>
      </c>
      <c r="C2023" s="1" t="n">
        <v>45744</v>
      </c>
      <c r="D2023" t="inlineStr">
        <is>
          <t>SKÅNE LÄN</t>
        </is>
      </c>
      <c r="E2023" t="inlineStr">
        <is>
          <t>OSBY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29143-2021</t>
        </is>
      </c>
      <c r="B2024" s="1" t="n">
        <v>44358</v>
      </c>
      <c r="C2024" s="1" t="n">
        <v>45744</v>
      </c>
      <c r="D2024" t="inlineStr">
        <is>
          <t>SKÅNE LÄN</t>
        </is>
      </c>
      <c r="E2024" t="inlineStr">
        <is>
          <t>HÄSSLEHOLM</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29169-2021</t>
        </is>
      </c>
      <c r="B2025" s="1" t="n">
        <v>44358</v>
      </c>
      <c r="C2025" s="1" t="n">
        <v>45744</v>
      </c>
      <c r="D2025" t="inlineStr">
        <is>
          <t>SKÅNE LÄN</t>
        </is>
      </c>
      <c r="E2025" t="inlineStr">
        <is>
          <t>ÖRKELLJUNGA</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29245-2021</t>
        </is>
      </c>
      <c r="B2026" s="1" t="n">
        <v>44361</v>
      </c>
      <c r="C2026" s="1" t="n">
        <v>45744</v>
      </c>
      <c r="D2026" t="inlineStr">
        <is>
          <t>SKÅNE LÄN</t>
        </is>
      </c>
      <c r="E2026" t="inlineStr">
        <is>
          <t>BÅSTAD</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29296-2021</t>
        </is>
      </c>
      <c r="B2027" s="1" t="n">
        <v>44361</v>
      </c>
      <c r="C2027" s="1" t="n">
        <v>45744</v>
      </c>
      <c r="D2027" t="inlineStr">
        <is>
          <t>SKÅNE LÄN</t>
        </is>
      </c>
      <c r="E2027" t="inlineStr">
        <is>
          <t>SVALÖV</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29710-2021</t>
        </is>
      </c>
      <c r="B2028" s="1" t="n">
        <v>44362</v>
      </c>
      <c r="C2028" s="1" t="n">
        <v>45744</v>
      </c>
      <c r="D2028" t="inlineStr">
        <is>
          <t>SKÅNE LÄN</t>
        </is>
      </c>
      <c r="E2028" t="inlineStr">
        <is>
          <t>KRISTIANSTAD</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29743-2021</t>
        </is>
      </c>
      <c r="B2029" s="1" t="n">
        <v>44362</v>
      </c>
      <c r="C2029" s="1" t="n">
        <v>45744</v>
      </c>
      <c r="D2029" t="inlineStr">
        <is>
          <t>SKÅNE LÄN</t>
        </is>
      </c>
      <c r="E2029" t="inlineStr">
        <is>
          <t>PERSTORP</t>
        </is>
      </c>
      <c r="F2029" t="inlineStr">
        <is>
          <t>Övriga Aktiebolag</t>
        </is>
      </c>
      <c r="G2029" t="n">
        <v>12.8</v>
      </c>
      <c r="H2029" t="n">
        <v>0</v>
      </c>
      <c r="I2029" t="n">
        <v>0</v>
      </c>
      <c r="J2029" t="n">
        <v>0</v>
      </c>
      <c r="K2029" t="n">
        <v>0</v>
      </c>
      <c r="L2029" t="n">
        <v>0</v>
      </c>
      <c r="M2029" t="n">
        <v>0</v>
      </c>
      <c r="N2029" t="n">
        <v>0</v>
      </c>
      <c r="O2029" t="n">
        <v>0</v>
      </c>
      <c r="P2029" t="n">
        <v>0</v>
      </c>
      <c r="Q2029" t="n">
        <v>0</v>
      </c>
      <c r="R2029" s="2" t="inlineStr"/>
    </row>
    <row r="2030" ht="15" customHeight="1">
      <c r="A2030" t="inlineStr">
        <is>
          <t>A 29748-2021</t>
        </is>
      </c>
      <c r="B2030" s="1" t="n">
        <v>44362</v>
      </c>
      <c r="C2030" s="1" t="n">
        <v>45744</v>
      </c>
      <c r="D2030" t="inlineStr">
        <is>
          <t>SKÅNE LÄN</t>
        </is>
      </c>
      <c r="E2030" t="inlineStr">
        <is>
          <t>PERSTORP</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29750-2021</t>
        </is>
      </c>
      <c r="B2031" s="1" t="n">
        <v>44362</v>
      </c>
      <c r="C2031" s="1" t="n">
        <v>45744</v>
      </c>
      <c r="D2031" t="inlineStr">
        <is>
          <t>SKÅNE LÄN</t>
        </is>
      </c>
      <c r="E2031" t="inlineStr">
        <is>
          <t>PERSTORP</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30195-2021</t>
        </is>
      </c>
      <c r="B2032" s="1" t="n">
        <v>44363</v>
      </c>
      <c r="C2032" s="1" t="n">
        <v>45744</v>
      </c>
      <c r="D2032" t="inlineStr">
        <is>
          <t>SKÅNE LÄN</t>
        </is>
      </c>
      <c r="E2032" t="inlineStr">
        <is>
          <t>KLIPPAN</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30292-2021</t>
        </is>
      </c>
      <c r="B2033" s="1" t="n">
        <v>44364</v>
      </c>
      <c r="C2033" s="1" t="n">
        <v>45744</v>
      </c>
      <c r="D2033" t="inlineStr">
        <is>
          <t>SKÅNE LÄN</t>
        </is>
      </c>
      <c r="E2033" t="inlineStr">
        <is>
          <t>KLIPPAN</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30650-2021</t>
        </is>
      </c>
      <c r="B2034" s="1" t="n">
        <v>44365</v>
      </c>
      <c r="C2034" s="1" t="n">
        <v>45744</v>
      </c>
      <c r="D2034" t="inlineStr">
        <is>
          <t>SKÅNE LÄN</t>
        </is>
      </c>
      <c r="E2034" t="inlineStr">
        <is>
          <t>KLIPPAN</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30706-2021</t>
        </is>
      </c>
      <c r="B2035" s="1" t="n">
        <v>44365</v>
      </c>
      <c r="C2035" s="1" t="n">
        <v>45744</v>
      </c>
      <c r="D2035" t="inlineStr">
        <is>
          <t>SKÅNE LÄN</t>
        </is>
      </c>
      <c r="E2035" t="inlineStr">
        <is>
          <t>KRISTIANSTAD</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30725-2021</t>
        </is>
      </c>
      <c r="B2036" s="1" t="n">
        <v>44365</v>
      </c>
      <c r="C2036" s="1" t="n">
        <v>45744</v>
      </c>
      <c r="D2036" t="inlineStr">
        <is>
          <t>SKÅNE LÄN</t>
        </is>
      </c>
      <c r="E2036" t="inlineStr">
        <is>
          <t>KLIPPAN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30738-2021</t>
        </is>
      </c>
      <c r="B2037" s="1" t="n">
        <v>44365</v>
      </c>
      <c r="C2037" s="1" t="n">
        <v>45744</v>
      </c>
      <c r="D2037" t="inlineStr">
        <is>
          <t>SKÅNE LÄN</t>
        </is>
      </c>
      <c r="E2037" t="inlineStr">
        <is>
          <t>KLIPPAN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30753-2021</t>
        </is>
      </c>
      <c r="B2038" s="1" t="n">
        <v>44365</v>
      </c>
      <c r="C2038" s="1" t="n">
        <v>45744</v>
      </c>
      <c r="D2038" t="inlineStr">
        <is>
          <t>SKÅNE LÄN</t>
        </is>
      </c>
      <c r="E2038" t="inlineStr">
        <is>
          <t>PERSTORP</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30852-2021</t>
        </is>
      </c>
      <c r="B2039" s="1" t="n">
        <v>44365</v>
      </c>
      <c r="C2039" s="1" t="n">
        <v>45744</v>
      </c>
      <c r="D2039" t="inlineStr">
        <is>
          <t>SKÅNE LÄN</t>
        </is>
      </c>
      <c r="E2039" t="inlineStr">
        <is>
          <t>KLIPPAN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30879-2021</t>
        </is>
      </c>
      <c r="B2040" s="1" t="n">
        <v>44365</v>
      </c>
      <c r="C2040" s="1" t="n">
        <v>45744</v>
      </c>
      <c r="D2040" t="inlineStr">
        <is>
          <t>SKÅNE LÄN</t>
        </is>
      </c>
      <c r="E2040" t="inlineStr">
        <is>
          <t>HÄSSLEHOLM</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30747-2021</t>
        </is>
      </c>
      <c r="B2041" s="1" t="n">
        <v>44365</v>
      </c>
      <c r="C2041" s="1" t="n">
        <v>45744</v>
      </c>
      <c r="D2041" t="inlineStr">
        <is>
          <t>SKÅNE LÄN</t>
        </is>
      </c>
      <c r="E2041" t="inlineStr">
        <is>
          <t>PERSTORP</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30992-2021</t>
        </is>
      </c>
      <c r="B2042" s="1" t="n">
        <v>44366</v>
      </c>
      <c r="C2042" s="1" t="n">
        <v>45744</v>
      </c>
      <c r="D2042" t="inlineStr">
        <is>
          <t>SKÅNE LÄN</t>
        </is>
      </c>
      <c r="E2042" t="inlineStr">
        <is>
          <t>HÄSSLEHOLM</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31097-2021</t>
        </is>
      </c>
      <c r="B2043" s="1" t="n">
        <v>44368</v>
      </c>
      <c r="C2043" s="1" t="n">
        <v>45744</v>
      </c>
      <c r="D2043" t="inlineStr">
        <is>
          <t>SKÅNE LÄN</t>
        </is>
      </c>
      <c r="E2043" t="inlineStr">
        <is>
          <t>KLIPPAN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31092-2021</t>
        </is>
      </c>
      <c r="B2044" s="1" t="n">
        <v>44368</v>
      </c>
      <c r="C2044" s="1" t="n">
        <v>45744</v>
      </c>
      <c r="D2044" t="inlineStr">
        <is>
          <t>SKÅNE LÄN</t>
        </is>
      </c>
      <c r="E2044" t="inlineStr">
        <is>
          <t>KLIPPAN</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31224-2021</t>
        </is>
      </c>
      <c r="B2045" s="1" t="n">
        <v>44368</v>
      </c>
      <c r="C2045" s="1" t="n">
        <v>45744</v>
      </c>
      <c r="D2045" t="inlineStr">
        <is>
          <t>SKÅNE LÄN</t>
        </is>
      </c>
      <c r="E2045" t="inlineStr">
        <is>
          <t>BROMÖLLA</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31262-2021</t>
        </is>
      </c>
      <c r="B2046" s="1" t="n">
        <v>44368</v>
      </c>
      <c r="C2046" s="1" t="n">
        <v>45744</v>
      </c>
      <c r="D2046" t="inlineStr">
        <is>
          <t>SKÅNE LÄN</t>
        </is>
      </c>
      <c r="E2046" t="inlineStr">
        <is>
          <t>KRISTIANSTAD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31389-2021</t>
        </is>
      </c>
      <c r="B2047" s="1" t="n">
        <v>44368</v>
      </c>
      <c r="C2047" s="1" t="n">
        <v>45744</v>
      </c>
      <c r="D2047" t="inlineStr">
        <is>
          <t>SKÅNE LÄN</t>
        </is>
      </c>
      <c r="E2047" t="inlineStr">
        <is>
          <t>ÖSTRA GÖINGE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31391-2021</t>
        </is>
      </c>
      <c r="B2048" s="1" t="n">
        <v>44368</v>
      </c>
      <c r="C2048" s="1" t="n">
        <v>45744</v>
      </c>
      <c r="D2048" t="inlineStr">
        <is>
          <t>SKÅNE LÄN</t>
        </is>
      </c>
      <c r="E2048" t="inlineStr">
        <is>
          <t>ÖSTRA GÖINGE</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31393-2021</t>
        </is>
      </c>
      <c r="B2049" s="1" t="n">
        <v>44368</v>
      </c>
      <c r="C2049" s="1" t="n">
        <v>45744</v>
      </c>
      <c r="D2049" t="inlineStr">
        <is>
          <t>SKÅNE LÄN</t>
        </is>
      </c>
      <c r="E2049" t="inlineStr">
        <is>
          <t>SVEDALA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31491-2021</t>
        </is>
      </c>
      <c r="B2050" s="1" t="n">
        <v>44369</v>
      </c>
      <c r="C2050" s="1" t="n">
        <v>45744</v>
      </c>
      <c r="D2050" t="inlineStr">
        <is>
          <t>SKÅNE LÄN</t>
        </is>
      </c>
      <c r="E2050" t="inlineStr">
        <is>
          <t>OSBY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31645-2021</t>
        </is>
      </c>
      <c r="B2051" s="1" t="n">
        <v>44369</v>
      </c>
      <c r="C2051" s="1" t="n">
        <v>45744</v>
      </c>
      <c r="D2051" t="inlineStr">
        <is>
          <t>SKÅNE LÄN</t>
        </is>
      </c>
      <c r="E2051" t="inlineStr">
        <is>
          <t>PERSTORP</t>
        </is>
      </c>
      <c r="F2051" t="inlineStr">
        <is>
          <t>Kyrkan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31675-2021</t>
        </is>
      </c>
      <c r="B2052" s="1" t="n">
        <v>44369</v>
      </c>
      <c r="C2052" s="1" t="n">
        <v>45744</v>
      </c>
      <c r="D2052" t="inlineStr">
        <is>
          <t>SKÅNE LÄN</t>
        </is>
      </c>
      <c r="E2052" t="inlineStr">
        <is>
          <t>SJÖBO</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31810-2021</t>
        </is>
      </c>
      <c r="B2053" s="1" t="n">
        <v>44370</v>
      </c>
      <c r="C2053" s="1" t="n">
        <v>45744</v>
      </c>
      <c r="D2053" t="inlineStr">
        <is>
          <t>SKÅNE LÄN</t>
        </is>
      </c>
      <c r="E2053" t="inlineStr">
        <is>
          <t>HÖÖR</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31893-2021</t>
        </is>
      </c>
      <c r="B2054" s="1" t="n">
        <v>44370</v>
      </c>
      <c r="C2054" s="1" t="n">
        <v>45744</v>
      </c>
      <c r="D2054" t="inlineStr">
        <is>
          <t>SKÅNE LÄN</t>
        </is>
      </c>
      <c r="E2054" t="inlineStr">
        <is>
          <t>KLIPPAN</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32388-2021</t>
        </is>
      </c>
      <c r="B2055" s="1" t="n">
        <v>44371</v>
      </c>
      <c r="C2055" s="1" t="n">
        <v>45744</v>
      </c>
      <c r="D2055" t="inlineStr">
        <is>
          <t>SKÅNE LÄN</t>
        </is>
      </c>
      <c r="E2055" t="inlineStr">
        <is>
          <t>HÖÖR</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32354-2021</t>
        </is>
      </c>
      <c r="B2056" s="1" t="n">
        <v>44371</v>
      </c>
      <c r="C2056" s="1" t="n">
        <v>45744</v>
      </c>
      <c r="D2056" t="inlineStr">
        <is>
          <t>SKÅNE LÄN</t>
        </is>
      </c>
      <c r="E2056" t="inlineStr">
        <is>
          <t>ESLÖV</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32545-2021</t>
        </is>
      </c>
      <c r="B2057" s="1" t="n">
        <v>44374</v>
      </c>
      <c r="C2057" s="1" t="n">
        <v>45744</v>
      </c>
      <c r="D2057" t="inlineStr">
        <is>
          <t>SKÅNE LÄN</t>
        </is>
      </c>
      <c r="E2057" t="inlineStr">
        <is>
          <t>HÖRBY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32543-2021</t>
        </is>
      </c>
      <c r="B2058" s="1" t="n">
        <v>44375</v>
      </c>
      <c r="C2058" s="1" t="n">
        <v>45744</v>
      </c>
      <c r="D2058" t="inlineStr">
        <is>
          <t>SKÅNE LÄN</t>
        </is>
      </c>
      <c r="E2058" t="inlineStr">
        <is>
          <t>HÖRBY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32546-2021</t>
        </is>
      </c>
      <c r="B2059" s="1" t="n">
        <v>44375</v>
      </c>
      <c r="C2059" s="1" t="n">
        <v>45744</v>
      </c>
      <c r="D2059" t="inlineStr">
        <is>
          <t>SKÅNE LÄN</t>
        </is>
      </c>
      <c r="E2059" t="inlineStr">
        <is>
          <t>HÖRBY</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32686-2021</t>
        </is>
      </c>
      <c r="B2060" s="1" t="n">
        <v>44375</v>
      </c>
      <c r="C2060" s="1" t="n">
        <v>45744</v>
      </c>
      <c r="D2060" t="inlineStr">
        <is>
          <t>SKÅNE LÄN</t>
        </is>
      </c>
      <c r="E2060" t="inlineStr">
        <is>
          <t>ÖSTRA GÖINGE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32735-2021</t>
        </is>
      </c>
      <c r="B2061" s="1" t="n">
        <v>44375</v>
      </c>
      <c r="C2061" s="1" t="n">
        <v>45744</v>
      </c>
      <c r="D2061" t="inlineStr">
        <is>
          <t>SKÅNE LÄN</t>
        </is>
      </c>
      <c r="E2061" t="inlineStr">
        <is>
          <t>ÄNGELHOLM</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32792-2021</t>
        </is>
      </c>
      <c r="B2062" s="1" t="n">
        <v>44375</v>
      </c>
      <c r="C2062" s="1" t="n">
        <v>45744</v>
      </c>
      <c r="D2062" t="inlineStr">
        <is>
          <t>SKÅNE LÄN</t>
        </is>
      </c>
      <c r="E2062" t="inlineStr">
        <is>
          <t>HÄSSLEHOLM</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32892-2021</t>
        </is>
      </c>
      <c r="B2063" s="1" t="n">
        <v>44375</v>
      </c>
      <c r="C2063" s="1" t="n">
        <v>45744</v>
      </c>
      <c r="D2063" t="inlineStr">
        <is>
          <t>SKÅNE LÄN</t>
        </is>
      </c>
      <c r="E2063" t="inlineStr">
        <is>
          <t>HÄSSLEHOLM</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32794-2021</t>
        </is>
      </c>
      <c r="B2064" s="1" t="n">
        <v>44375</v>
      </c>
      <c r="C2064" s="1" t="n">
        <v>45744</v>
      </c>
      <c r="D2064" t="inlineStr">
        <is>
          <t>SKÅNE LÄN</t>
        </is>
      </c>
      <c r="E2064" t="inlineStr">
        <is>
          <t>HÄSSLEHOLM</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32893-2021</t>
        </is>
      </c>
      <c r="B2065" s="1" t="n">
        <v>44375</v>
      </c>
      <c r="C2065" s="1" t="n">
        <v>45744</v>
      </c>
      <c r="D2065" t="inlineStr">
        <is>
          <t>SKÅNE LÄN</t>
        </is>
      </c>
      <c r="E2065" t="inlineStr">
        <is>
          <t>LUND</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32967-2021</t>
        </is>
      </c>
      <c r="B2066" s="1" t="n">
        <v>44376</v>
      </c>
      <c r="C2066" s="1" t="n">
        <v>45744</v>
      </c>
      <c r="D2066" t="inlineStr">
        <is>
          <t>SKÅNE LÄN</t>
        </is>
      </c>
      <c r="E2066" t="inlineStr">
        <is>
          <t>HÄSSLEHOLM</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33037-2021</t>
        </is>
      </c>
      <c r="B2067" s="1" t="n">
        <v>44376</v>
      </c>
      <c r="C2067" s="1" t="n">
        <v>45744</v>
      </c>
      <c r="D2067" t="inlineStr">
        <is>
          <t>SKÅNE LÄN</t>
        </is>
      </c>
      <c r="E2067" t="inlineStr">
        <is>
          <t>ÖSTRA GÖINGE</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33112-2021</t>
        </is>
      </c>
      <c r="B2068" s="1" t="n">
        <v>44376</v>
      </c>
      <c r="C2068" s="1" t="n">
        <v>45744</v>
      </c>
      <c r="D2068" t="inlineStr">
        <is>
          <t>SKÅNE LÄN</t>
        </is>
      </c>
      <c r="E2068" t="inlineStr">
        <is>
          <t>OSBY</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33736-2021</t>
        </is>
      </c>
      <c r="B2069" s="1" t="n">
        <v>44378</v>
      </c>
      <c r="C2069" s="1" t="n">
        <v>45744</v>
      </c>
      <c r="D2069" t="inlineStr">
        <is>
          <t>SKÅNE LÄN</t>
        </is>
      </c>
      <c r="E2069" t="inlineStr">
        <is>
          <t>HÄSSLEHOLM</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33788-2021</t>
        </is>
      </c>
      <c r="B2070" s="1" t="n">
        <v>44378</v>
      </c>
      <c r="C2070" s="1" t="n">
        <v>45744</v>
      </c>
      <c r="D2070" t="inlineStr">
        <is>
          <t>SKÅNE LÄN</t>
        </is>
      </c>
      <c r="E2070" t="inlineStr">
        <is>
          <t>KRISTIANSTAD</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33826-2021</t>
        </is>
      </c>
      <c r="B2071" s="1" t="n">
        <v>44378</v>
      </c>
      <c r="C2071" s="1" t="n">
        <v>45744</v>
      </c>
      <c r="D2071" t="inlineStr">
        <is>
          <t>SKÅNE LÄN</t>
        </is>
      </c>
      <c r="E2071" t="inlineStr">
        <is>
          <t>ÖSTRA GÖINGE</t>
        </is>
      </c>
      <c r="G2071" t="n">
        <v>9.199999999999999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33873-2021</t>
        </is>
      </c>
      <c r="B2072" s="1" t="n">
        <v>44378</v>
      </c>
      <c r="C2072" s="1" t="n">
        <v>45744</v>
      </c>
      <c r="D2072" t="inlineStr">
        <is>
          <t>SKÅNE LÄN</t>
        </is>
      </c>
      <c r="E2072" t="inlineStr">
        <is>
          <t>HÄSSLEHOLM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33927-2021</t>
        </is>
      </c>
      <c r="B2073" s="1" t="n">
        <v>44378</v>
      </c>
      <c r="C2073" s="1" t="n">
        <v>45744</v>
      </c>
      <c r="D2073" t="inlineStr">
        <is>
          <t>SKÅNE LÄN</t>
        </is>
      </c>
      <c r="E2073" t="inlineStr">
        <is>
          <t>HÄSSLEHOLM</t>
        </is>
      </c>
      <c r="G2073" t="n">
        <v>16.7</v>
      </c>
      <c r="H2073" t="n">
        <v>0</v>
      </c>
      <c r="I2073" t="n">
        <v>0</v>
      </c>
      <c r="J2073" t="n">
        <v>0</v>
      </c>
      <c r="K2073" t="n">
        <v>0</v>
      </c>
      <c r="L2073" t="n">
        <v>0</v>
      </c>
      <c r="M2073" t="n">
        <v>0</v>
      </c>
      <c r="N2073" t="n">
        <v>0</v>
      </c>
      <c r="O2073" t="n">
        <v>0</v>
      </c>
      <c r="P2073" t="n">
        <v>0</v>
      </c>
      <c r="Q2073" t="n">
        <v>0</v>
      </c>
      <c r="R2073" s="2" t="inlineStr"/>
    </row>
    <row r="2074" ht="15" customHeight="1">
      <c r="A2074" t="inlineStr">
        <is>
          <t>A 33983-2021</t>
        </is>
      </c>
      <c r="B2074" s="1" t="n">
        <v>44378</v>
      </c>
      <c r="C2074" s="1" t="n">
        <v>45744</v>
      </c>
      <c r="D2074" t="inlineStr">
        <is>
          <t>SKÅNE LÄN</t>
        </is>
      </c>
      <c r="E2074" t="inlineStr">
        <is>
          <t>LUND</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33985-2021</t>
        </is>
      </c>
      <c r="B2075" s="1" t="n">
        <v>44378</v>
      </c>
      <c r="C2075" s="1" t="n">
        <v>45744</v>
      </c>
      <c r="D2075" t="inlineStr">
        <is>
          <t>SKÅNE LÄN</t>
        </is>
      </c>
      <c r="E2075" t="inlineStr">
        <is>
          <t>LUND</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33917-2021</t>
        </is>
      </c>
      <c r="B2076" s="1" t="n">
        <v>44378</v>
      </c>
      <c r="C2076" s="1" t="n">
        <v>45744</v>
      </c>
      <c r="D2076" t="inlineStr">
        <is>
          <t>SKÅNE LÄN</t>
        </is>
      </c>
      <c r="E2076" t="inlineStr">
        <is>
          <t>ÖSTRA GÖINGE</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33984-2021</t>
        </is>
      </c>
      <c r="B2077" s="1" t="n">
        <v>44378</v>
      </c>
      <c r="C2077" s="1" t="n">
        <v>45744</v>
      </c>
      <c r="D2077" t="inlineStr">
        <is>
          <t>SKÅNE LÄN</t>
        </is>
      </c>
      <c r="E2077" t="inlineStr">
        <is>
          <t>LUND</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34120-2021</t>
        </is>
      </c>
      <c r="B2078" s="1" t="n">
        <v>44379</v>
      </c>
      <c r="C2078" s="1" t="n">
        <v>45744</v>
      </c>
      <c r="D2078" t="inlineStr">
        <is>
          <t>SKÅNE LÄN</t>
        </is>
      </c>
      <c r="E2078" t="inlineStr">
        <is>
          <t>HÖRBY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34027-2021</t>
        </is>
      </c>
      <c r="B2079" s="1" t="n">
        <v>44379</v>
      </c>
      <c r="C2079" s="1" t="n">
        <v>45744</v>
      </c>
      <c r="D2079" t="inlineStr">
        <is>
          <t>SKÅNE LÄN</t>
        </is>
      </c>
      <c r="E2079" t="inlineStr">
        <is>
          <t>HÄSSLEHOLM</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34309-2021</t>
        </is>
      </c>
      <c r="B2080" s="1" t="n">
        <v>44379</v>
      </c>
      <c r="C2080" s="1" t="n">
        <v>45744</v>
      </c>
      <c r="D2080" t="inlineStr">
        <is>
          <t>SKÅNE LÄN</t>
        </is>
      </c>
      <c r="E2080" t="inlineStr">
        <is>
          <t>ÖSTRA GÖINGE</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34283-2021</t>
        </is>
      </c>
      <c r="B2081" s="1" t="n">
        <v>44379</v>
      </c>
      <c r="C2081" s="1" t="n">
        <v>45744</v>
      </c>
      <c r="D2081" t="inlineStr">
        <is>
          <t>SKÅNE LÄN</t>
        </is>
      </c>
      <c r="E2081" t="inlineStr">
        <is>
          <t>ÖSTRA GÖINGE</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34342-2021</t>
        </is>
      </c>
      <c r="B2082" s="1" t="n">
        <v>44379</v>
      </c>
      <c r="C2082" s="1" t="n">
        <v>45744</v>
      </c>
      <c r="D2082" t="inlineStr">
        <is>
          <t>SKÅNE LÄN</t>
        </is>
      </c>
      <c r="E2082" t="inlineStr">
        <is>
          <t>HÄSSLEHOLM</t>
        </is>
      </c>
      <c r="G2082" t="n">
        <v>7</v>
      </c>
      <c r="H2082" t="n">
        <v>0</v>
      </c>
      <c r="I2082" t="n">
        <v>0</v>
      </c>
      <c r="J2082" t="n">
        <v>0</v>
      </c>
      <c r="K2082" t="n">
        <v>0</v>
      </c>
      <c r="L2082" t="n">
        <v>0</v>
      </c>
      <c r="M2082" t="n">
        <v>0</v>
      </c>
      <c r="N2082" t="n">
        <v>0</v>
      </c>
      <c r="O2082" t="n">
        <v>0</v>
      </c>
      <c r="P2082" t="n">
        <v>0</v>
      </c>
      <c r="Q2082" t="n">
        <v>0</v>
      </c>
      <c r="R2082" s="2" t="inlineStr"/>
    </row>
    <row r="2083" ht="15" customHeight="1">
      <c r="A2083" t="inlineStr">
        <is>
          <t>A 34288-2021</t>
        </is>
      </c>
      <c r="B2083" s="1" t="n">
        <v>44379</v>
      </c>
      <c r="C2083" s="1" t="n">
        <v>45744</v>
      </c>
      <c r="D2083" t="inlineStr">
        <is>
          <t>SKÅNE LÄN</t>
        </is>
      </c>
      <c r="E2083" t="inlineStr">
        <is>
          <t>ÖSTRA GÖINGE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34105-2021</t>
        </is>
      </c>
      <c r="B2084" s="1" t="n">
        <v>44379</v>
      </c>
      <c r="C2084" s="1" t="n">
        <v>45744</v>
      </c>
      <c r="D2084" t="inlineStr">
        <is>
          <t>SKÅNE LÄN</t>
        </is>
      </c>
      <c r="E2084" t="inlineStr">
        <is>
          <t>HÖRBY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34429-2021</t>
        </is>
      </c>
      <c r="B2085" s="1" t="n">
        <v>44380</v>
      </c>
      <c r="C2085" s="1" t="n">
        <v>45744</v>
      </c>
      <c r="D2085" t="inlineStr">
        <is>
          <t>SKÅNE LÄN</t>
        </is>
      </c>
      <c r="E2085" t="inlineStr">
        <is>
          <t>OSBY</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34679-2021</t>
        </is>
      </c>
      <c r="B2086" s="1" t="n">
        <v>44382</v>
      </c>
      <c r="C2086" s="1" t="n">
        <v>45744</v>
      </c>
      <c r="D2086" t="inlineStr">
        <is>
          <t>SKÅNE LÄN</t>
        </is>
      </c>
      <c r="E2086" t="inlineStr">
        <is>
          <t>HÄSSLEHOLM</t>
        </is>
      </c>
      <c r="F2086" t="inlineStr">
        <is>
          <t>Övriga Aktiebolag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34684-2021</t>
        </is>
      </c>
      <c r="B2087" s="1" t="n">
        <v>44382</v>
      </c>
      <c r="C2087" s="1" t="n">
        <v>45744</v>
      </c>
      <c r="D2087" t="inlineStr">
        <is>
          <t>SKÅNE LÄN</t>
        </is>
      </c>
      <c r="E2087" t="inlineStr">
        <is>
          <t>HÄSSLEHOLM</t>
        </is>
      </c>
      <c r="F2087" t="inlineStr">
        <is>
          <t>Övriga Aktiebolag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34859-2021</t>
        </is>
      </c>
      <c r="B2088" s="1" t="n">
        <v>44382</v>
      </c>
      <c r="C2088" s="1" t="n">
        <v>45744</v>
      </c>
      <c r="D2088" t="inlineStr">
        <is>
          <t>SKÅNE LÄN</t>
        </is>
      </c>
      <c r="E2088" t="inlineStr">
        <is>
          <t>SVALÖV</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34995-2021</t>
        </is>
      </c>
      <c r="B2089" s="1" t="n">
        <v>44383</v>
      </c>
      <c r="C2089" s="1" t="n">
        <v>45744</v>
      </c>
      <c r="D2089" t="inlineStr">
        <is>
          <t>SKÅNE LÄN</t>
        </is>
      </c>
      <c r="E2089" t="inlineStr">
        <is>
          <t>OSBY</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35142-2021</t>
        </is>
      </c>
      <c r="B2090" s="1" t="n">
        <v>44384</v>
      </c>
      <c r="C2090" s="1" t="n">
        <v>45744</v>
      </c>
      <c r="D2090" t="inlineStr">
        <is>
          <t>SKÅNE LÄN</t>
        </is>
      </c>
      <c r="E2090" t="inlineStr">
        <is>
          <t>TOMELILLA</t>
        </is>
      </c>
      <c r="F2090" t="inlineStr">
        <is>
          <t>Övriga Aktiebolag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35140-2021</t>
        </is>
      </c>
      <c r="B2091" s="1" t="n">
        <v>44384</v>
      </c>
      <c r="C2091" s="1" t="n">
        <v>45744</v>
      </c>
      <c r="D2091" t="inlineStr">
        <is>
          <t>SKÅNE LÄN</t>
        </is>
      </c>
      <c r="E2091" t="inlineStr">
        <is>
          <t>TOMELILLA</t>
        </is>
      </c>
      <c r="F2091" t="inlineStr">
        <is>
          <t>Övriga Aktiebolag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35290-2021</t>
        </is>
      </c>
      <c r="B2092" s="1" t="n">
        <v>44384</v>
      </c>
      <c r="C2092" s="1" t="n">
        <v>45744</v>
      </c>
      <c r="D2092" t="inlineStr">
        <is>
          <t>SKÅNE LÄN</t>
        </is>
      </c>
      <c r="E2092" t="inlineStr">
        <is>
          <t>OSBY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35133-2021</t>
        </is>
      </c>
      <c r="B2093" s="1" t="n">
        <v>44384</v>
      </c>
      <c r="C2093" s="1" t="n">
        <v>45744</v>
      </c>
      <c r="D2093" t="inlineStr">
        <is>
          <t>SKÅNE LÄN</t>
        </is>
      </c>
      <c r="E2093" t="inlineStr">
        <is>
          <t>TOMELILLA</t>
        </is>
      </c>
      <c r="F2093" t="inlineStr">
        <is>
          <t>Övriga Aktiebolag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35304-2021</t>
        </is>
      </c>
      <c r="B2094" s="1" t="n">
        <v>44384</v>
      </c>
      <c r="C2094" s="1" t="n">
        <v>45744</v>
      </c>
      <c r="D2094" t="inlineStr">
        <is>
          <t>SKÅNE LÄN</t>
        </is>
      </c>
      <c r="E2094" t="inlineStr">
        <is>
          <t>KRISTIANSTAD</t>
        </is>
      </c>
      <c r="F2094" t="inlineStr">
        <is>
          <t>Kyrkan</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35300-2021</t>
        </is>
      </c>
      <c r="B2095" s="1" t="n">
        <v>44384</v>
      </c>
      <c r="C2095" s="1" t="n">
        <v>45744</v>
      </c>
      <c r="D2095" t="inlineStr">
        <is>
          <t>SKÅNE LÄN</t>
        </is>
      </c>
      <c r="E2095" t="inlineStr">
        <is>
          <t>KRISTIANSTAD</t>
        </is>
      </c>
      <c r="F2095" t="inlineStr">
        <is>
          <t>Kyrkan</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35491-2021</t>
        </is>
      </c>
      <c r="B2096" s="1" t="n">
        <v>44385</v>
      </c>
      <c r="C2096" s="1" t="n">
        <v>45744</v>
      </c>
      <c r="D2096" t="inlineStr">
        <is>
          <t>SKÅNE LÄN</t>
        </is>
      </c>
      <c r="E2096" t="inlineStr">
        <is>
          <t>HÖÖR</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35910-2021</t>
        </is>
      </c>
      <c r="B2097" s="1" t="n">
        <v>44387</v>
      </c>
      <c r="C2097" s="1" t="n">
        <v>45744</v>
      </c>
      <c r="D2097" t="inlineStr">
        <is>
          <t>SKÅNE LÄN</t>
        </is>
      </c>
      <c r="E2097" t="inlineStr">
        <is>
          <t>ÖRKELLJUNGA</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36201-2021</t>
        </is>
      </c>
      <c r="B2098" s="1" t="n">
        <v>44389</v>
      </c>
      <c r="C2098" s="1" t="n">
        <v>45744</v>
      </c>
      <c r="D2098" t="inlineStr">
        <is>
          <t>SKÅNE LÄN</t>
        </is>
      </c>
      <c r="E2098" t="inlineStr">
        <is>
          <t>BROMÖLLA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36203-2021</t>
        </is>
      </c>
      <c r="B2099" s="1" t="n">
        <v>44389</v>
      </c>
      <c r="C2099" s="1" t="n">
        <v>45744</v>
      </c>
      <c r="D2099" t="inlineStr">
        <is>
          <t>SKÅNE LÄN</t>
        </is>
      </c>
      <c r="E2099" t="inlineStr">
        <is>
          <t>BROMÖLLA</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37546-2021</t>
        </is>
      </c>
      <c r="B2100" s="1" t="n">
        <v>44390</v>
      </c>
      <c r="C2100" s="1" t="n">
        <v>45744</v>
      </c>
      <c r="D2100" t="inlineStr">
        <is>
          <t>SKÅNE LÄN</t>
        </is>
      </c>
      <c r="E2100" t="inlineStr">
        <is>
          <t>KRISTIANSTAD</t>
        </is>
      </c>
      <c r="F2100" t="inlineStr">
        <is>
          <t>Kyrkan</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37288-2021</t>
        </is>
      </c>
      <c r="B2101" s="1" t="n">
        <v>44390</v>
      </c>
      <c r="C2101" s="1" t="n">
        <v>45744</v>
      </c>
      <c r="D2101" t="inlineStr">
        <is>
          <t>SKÅNE LÄN</t>
        </is>
      </c>
      <c r="E2101" t="inlineStr">
        <is>
          <t>HÖÖR</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36363-2021</t>
        </is>
      </c>
      <c r="B2102" s="1" t="n">
        <v>44390</v>
      </c>
      <c r="C2102" s="1" t="n">
        <v>45744</v>
      </c>
      <c r="D2102" t="inlineStr">
        <is>
          <t>SKÅNE LÄN</t>
        </is>
      </c>
      <c r="E2102" t="inlineStr">
        <is>
          <t>SJÖBO</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36409-2021</t>
        </is>
      </c>
      <c r="B2103" s="1" t="n">
        <v>44390</v>
      </c>
      <c r="C2103" s="1" t="n">
        <v>45744</v>
      </c>
      <c r="D2103" t="inlineStr">
        <is>
          <t>SKÅNE LÄN</t>
        </is>
      </c>
      <c r="E2103" t="inlineStr">
        <is>
          <t>SVALÖV</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36515-2021</t>
        </is>
      </c>
      <c r="B2104" s="1" t="n">
        <v>44390</v>
      </c>
      <c r="C2104" s="1" t="n">
        <v>45744</v>
      </c>
      <c r="D2104" t="inlineStr">
        <is>
          <t>SKÅNE LÄN</t>
        </is>
      </c>
      <c r="E2104" t="inlineStr">
        <is>
          <t>OSBY</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36412-2021</t>
        </is>
      </c>
      <c r="B2105" s="1" t="n">
        <v>44390</v>
      </c>
      <c r="C2105" s="1" t="n">
        <v>45744</v>
      </c>
      <c r="D2105" t="inlineStr">
        <is>
          <t>SKÅNE LÄN</t>
        </is>
      </c>
      <c r="E2105" t="inlineStr">
        <is>
          <t>KRISTIANSTAD</t>
        </is>
      </c>
      <c r="F2105" t="inlineStr">
        <is>
          <t>Kyrkan</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36572-2021</t>
        </is>
      </c>
      <c r="B2106" s="1" t="n">
        <v>44391</v>
      </c>
      <c r="C2106" s="1" t="n">
        <v>45744</v>
      </c>
      <c r="D2106" t="inlineStr">
        <is>
          <t>SKÅNE LÄN</t>
        </is>
      </c>
      <c r="E2106" t="inlineStr">
        <is>
          <t>ÖRKELLJUNGA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36951-2021</t>
        </is>
      </c>
      <c r="B2107" s="1" t="n">
        <v>44393</v>
      </c>
      <c r="C2107" s="1" t="n">
        <v>45744</v>
      </c>
      <c r="D2107" t="inlineStr">
        <is>
          <t>SKÅNE LÄN</t>
        </is>
      </c>
      <c r="E2107" t="inlineStr">
        <is>
          <t>YSTAD</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36947-2021</t>
        </is>
      </c>
      <c r="B2108" s="1" t="n">
        <v>44393</v>
      </c>
      <c r="C2108" s="1" t="n">
        <v>45744</v>
      </c>
      <c r="D2108" t="inlineStr">
        <is>
          <t>SKÅNE LÄN</t>
        </is>
      </c>
      <c r="E2108" t="inlineStr">
        <is>
          <t>YSTAD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37135-2021</t>
        </is>
      </c>
      <c r="B2109" s="1" t="n">
        <v>44396</v>
      </c>
      <c r="C2109" s="1" t="n">
        <v>45744</v>
      </c>
      <c r="D2109" t="inlineStr">
        <is>
          <t>SKÅNE LÄN</t>
        </is>
      </c>
      <c r="E2109" t="inlineStr">
        <is>
          <t>HÖÖR</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37141-2021</t>
        </is>
      </c>
      <c r="B2110" s="1" t="n">
        <v>44396</v>
      </c>
      <c r="C2110" s="1" t="n">
        <v>45744</v>
      </c>
      <c r="D2110" t="inlineStr">
        <is>
          <t>SKÅNE LÄN</t>
        </is>
      </c>
      <c r="E2110" t="inlineStr">
        <is>
          <t>HÄSSLEHOLM</t>
        </is>
      </c>
      <c r="G2110" t="n">
        <v>12.8</v>
      </c>
      <c r="H2110" t="n">
        <v>0</v>
      </c>
      <c r="I2110" t="n">
        <v>0</v>
      </c>
      <c r="J2110" t="n">
        <v>0</v>
      </c>
      <c r="K2110" t="n">
        <v>0</v>
      </c>
      <c r="L2110" t="n">
        <v>0</v>
      </c>
      <c r="M2110" t="n">
        <v>0</v>
      </c>
      <c r="N2110" t="n">
        <v>0</v>
      </c>
      <c r="O2110" t="n">
        <v>0</v>
      </c>
      <c r="P2110" t="n">
        <v>0</v>
      </c>
      <c r="Q2110" t="n">
        <v>0</v>
      </c>
      <c r="R2110" s="2" t="inlineStr"/>
    </row>
    <row r="2111" ht="15" customHeight="1">
      <c r="A2111" t="inlineStr">
        <is>
          <t>A 37164-2021</t>
        </is>
      </c>
      <c r="B2111" s="1" t="n">
        <v>44396</v>
      </c>
      <c r="C2111" s="1" t="n">
        <v>45744</v>
      </c>
      <c r="D2111" t="inlineStr">
        <is>
          <t>SKÅNE LÄN</t>
        </is>
      </c>
      <c r="E2111" t="inlineStr">
        <is>
          <t>ÖSTRA GÖINGE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37334-2021</t>
        </is>
      </c>
      <c r="B2112" s="1" t="n">
        <v>44397</v>
      </c>
      <c r="C2112" s="1" t="n">
        <v>45744</v>
      </c>
      <c r="D2112" t="inlineStr">
        <is>
          <t>SKÅNE LÄN</t>
        </is>
      </c>
      <c r="E2112" t="inlineStr">
        <is>
          <t>HÄSSLEHOLM</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37558-2021</t>
        </is>
      </c>
      <c r="B2113" s="1" t="n">
        <v>44399</v>
      </c>
      <c r="C2113" s="1" t="n">
        <v>45744</v>
      </c>
      <c r="D2113" t="inlineStr">
        <is>
          <t>SKÅNE LÄN</t>
        </is>
      </c>
      <c r="E2113" t="inlineStr">
        <is>
          <t>KRISTIANSTAD</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37556-2021</t>
        </is>
      </c>
      <c r="B2114" s="1" t="n">
        <v>44399</v>
      </c>
      <c r="C2114" s="1" t="n">
        <v>45744</v>
      </c>
      <c r="D2114" t="inlineStr">
        <is>
          <t>SKÅNE LÄN</t>
        </is>
      </c>
      <c r="E2114" t="inlineStr">
        <is>
          <t>KRISTIANSTAD</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37809-2021</t>
        </is>
      </c>
      <c r="B2115" s="1" t="n">
        <v>44402</v>
      </c>
      <c r="C2115" s="1" t="n">
        <v>45744</v>
      </c>
      <c r="D2115" t="inlineStr">
        <is>
          <t>SKÅNE LÄN</t>
        </is>
      </c>
      <c r="E2115" t="inlineStr">
        <is>
          <t>BROMÖLLA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37913-2021</t>
        </is>
      </c>
      <c r="B2116" s="1" t="n">
        <v>44403</v>
      </c>
      <c r="C2116" s="1" t="n">
        <v>45744</v>
      </c>
      <c r="D2116" t="inlineStr">
        <is>
          <t>SKÅNE LÄN</t>
        </is>
      </c>
      <c r="E2116" t="inlineStr">
        <is>
          <t>HÖÖR</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37816-2021</t>
        </is>
      </c>
      <c r="B2117" s="1" t="n">
        <v>44403</v>
      </c>
      <c r="C2117" s="1" t="n">
        <v>45744</v>
      </c>
      <c r="D2117" t="inlineStr">
        <is>
          <t>SKÅNE LÄN</t>
        </is>
      </c>
      <c r="E2117" t="inlineStr">
        <is>
          <t>ÖSTRA GÖINGE</t>
        </is>
      </c>
      <c r="G2117" t="n">
        <v>9.5</v>
      </c>
      <c r="H2117" t="n">
        <v>0</v>
      </c>
      <c r="I2117" t="n">
        <v>0</v>
      </c>
      <c r="J2117" t="n">
        <v>0</v>
      </c>
      <c r="K2117" t="n">
        <v>0</v>
      </c>
      <c r="L2117" t="n">
        <v>0</v>
      </c>
      <c r="M2117" t="n">
        <v>0</v>
      </c>
      <c r="N2117" t="n">
        <v>0</v>
      </c>
      <c r="O2117" t="n">
        <v>0</v>
      </c>
      <c r="P2117" t="n">
        <v>0</v>
      </c>
      <c r="Q2117" t="n">
        <v>0</v>
      </c>
      <c r="R2117" s="2" t="inlineStr"/>
    </row>
    <row r="2118" ht="15" customHeight="1">
      <c r="A2118" t="inlineStr">
        <is>
          <t>A 37898-2021</t>
        </is>
      </c>
      <c r="B2118" s="1" t="n">
        <v>44403</v>
      </c>
      <c r="C2118" s="1" t="n">
        <v>45744</v>
      </c>
      <c r="D2118" t="inlineStr">
        <is>
          <t>SKÅNE LÄN</t>
        </is>
      </c>
      <c r="E2118" t="inlineStr">
        <is>
          <t>HÄSSLEHOLM</t>
        </is>
      </c>
      <c r="F2118" t="inlineStr">
        <is>
          <t>Kommuner</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38228-2021</t>
        </is>
      </c>
      <c r="B2119" s="1" t="n">
        <v>44405</v>
      </c>
      <c r="C2119" s="1" t="n">
        <v>45744</v>
      </c>
      <c r="D2119" t="inlineStr">
        <is>
          <t>SKÅNE LÄN</t>
        </is>
      </c>
      <c r="E2119" t="inlineStr">
        <is>
          <t>HÄSSLEHOLM</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38160-2021</t>
        </is>
      </c>
      <c r="B2120" s="1" t="n">
        <v>44405</v>
      </c>
      <c r="C2120" s="1" t="n">
        <v>45744</v>
      </c>
      <c r="D2120" t="inlineStr">
        <is>
          <t>SKÅNE LÄN</t>
        </is>
      </c>
      <c r="E2120" t="inlineStr">
        <is>
          <t>HÄSSLEHOLM</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38372-2021</t>
        </is>
      </c>
      <c r="B2121" s="1" t="n">
        <v>44406</v>
      </c>
      <c r="C2121" s="1" t="n">
        <v>45744</v>
      </c>
      <c r="D2121" t="inlineStr">
        <is>
          <t>SKÅNE LÄN</t>
        </is>
      </c>
      <c r="E2121" t="inlineStr">
        <is>
          <t>HÄSSLEHOLM</t>
        </is>
      </c>
      <c r="F2121" t="inlineStr">
        <is>
          <t>Kommuner</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38693-2021</t>
        </is>
      </c>
      <c r="B2122" s="1" t="n">
        <v>44410</v>
      </c>
      <c r="C2122" s="1" t="n">
        <v>45744</v>
      </c>
      <c r="D2122" t="inlineStr">
        <is>
          <t>SKÅNE LÄN</t>
        </is>
      </c>
      <c r="E2122" t="inlineStr">
        <is>
          <t>KRISTIANSTAD</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39444-2021</t>
        </is>
      </c>
      <c r="B2123" s="1" t="n">
        <v>44412</v>
      </c>
      <c r="C2123" s="1" t="n">
        <v>45744</v>
      </c>
      <c r="D2123" t="inlineStr">
        <is>
          <t>SKÅNE LÄN</t>
        </is>
      </c>
      <c r="E2123" t="inlineStr">
        <is>
          <t>KRISTIANSTAD</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39449-2021</t>
        </is>
      </c>
      <c r="B2124" s="1" t="n">
        <v>44412</v>
      </c>
      <c r="C2124" s="1" t="n">
        <v>45744</v>
      </c>
      <c r="D2124" t="inlineStr">
        <is>
          <t>SKÅNE LÄN</t>
        </is>
      </c>
      <c r="E2124" t="inlineStr">
        <is>
          <t>KRISTIANSTAD</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39365-2021</t>
        </is>
      </c>
      <c r="B2125" s="1" t="n">
        <v>44414</v>
      </c>
      <c r="C2125" s="1" t="n">
        <v>45744</v>
      </c>
      <c r="D2125" t="inlineStr">
        <is>
          <t>SKÅNE LÄN</t>
        </is>
      </c>
      <c r="E2125" t="inlineStr">
        <is>
          <t>ÖRKELLJUNGA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39476-2021</t>
        </is>
      </c>
      <c r="B2126" s="1" t="n">
        <v>44414</v>
      </c>
      <c r="C2126" s="1" t="n">
        <v>45744</v>
      </c>
      <c r="D2126" t="inlineStr">
        <is>
          <t>SKÅNE LÄN</t>
        </is>
      </c>
      <c r="E2126" t="inlineStr">
        <is>
          <t>ÖSTRA GÖINGE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39772-2021</t>
        </is>
      </c>
      <c r="B2127" s="1" t="n">
        <v>44416</v>
      </c>
      <c r="C2127" s="1" t="n">
        <v>45744</v>
      </c>
      <c r="D2127" t="inlineStr">
        <is>
          <t>SKÅNE LÄN</t>
        </is>
      </c>
      <c r="E2127" t="inlineStr">
        <is>
          <t>ÖRKELLJUNGA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39805-2021</t>
        </is>
      </c>
      <c r="B2128" s="1" t="n">
        <v>44416</v>
      </c>
      <c r="C2128" s="1" t="n">
        <v>45744</v>
      </c>
      <c r="D2128" t="inlineStr">
        <is>
          <t>SKÅNE LÄN</t>
        </is>
      </c>
      <c r="E2128" t="inlineStr">
        <is>
          <t>ÖRKELLJUNGA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39834-2021</t>
        </is>
      </c>
      <c r="B2129" s="1" t="n">
        <v>44417</v>
      </c>
      <c r="C2129" s="1" t="n">
        <v>45744</v>
      </c>
      <c r="D2129" t="inlineStr">
        <is>
          <t>SKÅNE LÄN</t>
        </is>
      </c>
      <c r="E2129" t="inlineStr">
        <is>
          <t>SIMRISHAMN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39993-2021</t>
        </is>
      </c>
      <c r="B2130" s="1" t="n">
        <v>44417</v>
      </c>
      <c r="C2130" s="1" t="n">
        <v>45744</v>
      </c>
      <c r="D2130" t="inlineStr">
        <is>
          <t>SKÅNE LÄN</t>
        </is>
      </c>
      <c r="E2130" t="inlineStr">
        <is>
          <t>KRISTIANSTAD</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39996-2021</t>
        </is>
      </c>
      <c r="B2131" s="1" t="n">
        <v>44417</v>
      </c>
      <c r="C2131" s="1" t="n">
        <v>45744</v>
      </c>
      <c r="D2131" t="inlineStr">
        <is>
          <t>SKÅNE LÄN</t>
        </is>
      </c>
      <c r="E2131" t="inlineStr">
        <is>
          <t>KRISTIANSTAD</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40228-2021</t>
        </is>
      </c>
      <c r="B2132" s="1" t="n">
        <v>44418</v>
      </c>
      <c r="C2132" s="1" t="n">
        <v>45744</v>
      </c>
      <c r="D2132" t="inlineStr">
        <is>
          <t>SKÅNE LÄN</t>
        </is>
      </c>
      <c r="E2132" t="inlineStr">
        <is>
          <t>KLIPPAN</t>
        </is>
      </c>
      <c r="F2132" t="inlineStr">
        <is>
          <t>Övriga Aktiebolag</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40238-2021</t>
        </is>
      </c>
      <c r="B2133" s="1" t="n">
        <v>44418</v>
      </c>
      <c r="C2133" s="1" t="n">
        <v>45744</v>
      </c>
      <c r="D2133" t="inlineStr">
        <is>
          <t>SKÅNE LÄN</t>
        </is>
      </c>
      <c r="E2133" t="inlineStr">
        <is>
          <t>KLIPPAN</t>
        </is>
      </c>
      <c r="F2133" t="inlineStr">
        <is>
          <t>Övriga Aktiebolag</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40236-2021</t>
        </is>
      </c>
      <c r="B2134" s="1" t="n">
        <v>44418</v>
      </c>
      <c r="C2134" s="1" t="n">
        <v>45744</v>
      </c>
      <c r="D2134" t="inlineStr">
        <is>
          <t>SKÅNE LÄN</t>
        </is>
      </c>
      <c r="E2134" t="inlineStr">
        <is>
          <t>KLIPPAN</t>
        </is>
      </c>
      <c r="F2134" t="inlineStr">
        <is>
          <t>Övriga Aktiebolag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40241-2021</t>
        </is>
      </c>
      <c r="B2135" s="1" t="n">
        <v>44418</v>
      </c>
      <c r="C2135" s="1" t="n">
        <v>45744</v>
      </c>
      <c r="D2135" t="inlineStr">
        <is>
          <t>SKÅNE LÄN</t>
        </is>
      </c>
      <c r="E2135" t="inlineStr">
        <is>
          <t>KLIPPAN</t>
        </is>
      </c>
      <c r="F2135" t="inlineStr">
        <is>
          <t>Övriga Aktiebolag</t>
        </is>
      </c>
      <c r="G2135" t="n">
        <v>10.1</v>
      </c>
      <c r="H2135" t="n">
        <v>0</v>
      </c>
      <c r="I2135" t="n">
        <v>0</v>
      </c>
      <c r="J2135" t="n">
        <v>0</v>
      </c>
      <c r="K2135" t="n">
        <v>0</v>
      </c>
      <c r="L2135" t="n">
        <v>0</v>
      </c>
      <c r="M2135" t="n">
        <v>0</v>
      </c>
      <c r="N2135" t="n">
        <v>0</v>
      </c>
      <c r="O2135" t="n">
        <v>0</v>
      </c>
      <c r="P2135" t="n">
        <v>0</v>
      </c>
      <c r="Q2135" t="n">
        <v>0</v>
      </c>
      <c r="R2135" s="2" t="inlineStr"/>
    </row>
    <row r="2136" ht="15" customHeight="1">
      <c r="A2136" t="inlineStr">
        <is>
          <t>A 40328-2021</t>
        </is>
      </c>
      <c r="B2136" s="1" t="n">
        <v>44419</v>
      </c>
      <c r="C2136" s="1" t="n">
        <v>45744</v>
      </c>
      <c r="D2136" t="inlineStr">
        <is>
          <t>SKÅNE LÄN</t>
        </is>
      </c>
      <c r="E2136" t="inlineStr">
        <is>
          <t>KRISTIANSTAD</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40342-2021</t>
        </is>
      </c>
      <c r="B2137" s="1" t="n">
        <v>44419</v>
      </c>
      <c r="C2137" s="1" t="n">
        <v>45744</v>
      </c>
      <c r="D2137" t="inlineStr">
        <is>
          <t>SKÅNE LÄN</t>
        </is>
      </c>
      <c r="E2137" t="inlineStr">
        <is>
          <t>HÄSSLEHOLM</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40366-2021</t>
        </is>
      </c>
      <c r="B2138" s="1" t="n">
        <v>44419</v>
      </c>
      <c r="C2138" s="1" t="n">
        <v>45744</v>
      </c>
      <c r="D2138" t="inlineStr">
        <is>
          <t>SKÅNE LÄN</t>
        </is>
      </c>
      <c r="E2138" t="inlineStr">
        <is>
          <t>KRISTIANSTAD</t>
        </is>
      </c>
      <c r="F2138" t="inlineStr">
        <is>
          <t>Kommuner</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40330-2021</t>
        </is>
      </c>
      <c r="B2139" s="1" t="n">
        <v>44419</v>
      </c>
      <c r="C2139" s="1" t="n">
        <v>45744</v>
      </c>
      <c r="D2139" t="inlineStr">
        <is>
          <t>SKÅNE LÄN</t>
        </is>
      </c>
      <c r="E2139" t="inlineStr">
        <is>
          <t>KRISTIANSTAD</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40595-2021</t>
        </is>
      </c>
      <c r="B2140" s="1" t="n">
        <v>44420</v>
      </c>
      <c r="C2140" s="1" t="n">
        <v>45744</v>
      </c>
      <c r="D2140" t="inlineStr">
        <is>
          <t>SKÅNE LÄN</t>
        </is>
      </c>
      <c r="E2140" t="inlineStr">
        <is>
          <t>HÖÖR</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40694-2021</t>
        </is>
      </c>
      <c r="B2141" s="1" t="n">
        <v>44420</v>
      </c>
      <c r="C2141" s="1" t="n">
        <v>45744</v>
      </c>
      <c r="D2141" t="inlineStr">
        <is>
          <t>SKÅNE LÄN</t>
        </is>
      </c>
      <c r="E2141" t="inlineStr">
        <is>
          <t>OSBY</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40695-2021</t>
        </is>
      </c>
      <c r="B2142" s="1" t="n">
        <v>44420</v>
      </c>
      <c r="C2142" s="1" t="n">
        <v>45744</v>
      </c>
      <c r="D2142" t="inlineStr">
        <is>
          <t>SKÅNE LÄN</t>
        </is>
      </c>
      <c r="E2142" t="inlineStr">
        <is>
          <t>SJÖBO</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40702-2021</t>
        </is>
      </c>
      <c r="B2143" s="1" t="n">
        <v>44420</v>
      </c>
      <c r="C2143" s="1" t="n">
        <v>45744</v>
      </c>
      <c r="D2143" t="inlineStr">
        <is>
          <t>SKÅNE LÄN</t>
        </is>
      </c>
      <c r="E2143" t="inlineStr">
        <is>
          <t>HÄSSLEHOLM</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40762-2021</t>
        </is>
      </c>
      <c r="B2144" s="1" t="n">
        <v>44420</v>
      </c>
      <c r="C2144" s="1" t="n">
        <v>45744</v>
      </c>
      <c r="D2144" t="inlineStr">
        <is>
          <t>SKÅNE LÄN</t>
        </is>
      </c>
      <c r="E2144" t="inlineStr">
        <is>
          <t>KLIPPAN</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40862-2021</t>
        </is>
      </c>
      <c r="B2145" s="1" t="n">
        <v>44421</v>
      </c>
      <c r="C2145" s="1" t="n">
        <v>45744</v>
      </c>
      <c r="D2145" t="inlineStr">
        <is>
          <t>SKÅNE LÄN</t>
        </is>
      </c>
      <c r="E2145" t="inlineStr">
        <is>
          <t>OSBY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41322-2021</t>
        </is>
      </c>
      <c r="B2146" s="1" t="n">
        <v>44424</v>
      </c>
      <c r="C2146" s="1" t="n">
        <v>45744</v>
      </c>
      <c r="D2146" t="inlineStr">
        <is>
          <t>SKÅNE LÄN</t>
        </is>
      </c>
      <c r="E2146" t="inlineStr">
        <is>
          <t>OSBY</t>
        </is>
      </c>
      <c r="G2146" t="n">
        <v>11.7</v>
      </c>
      <c r="H2146" t="n">
        <v>0</v>
      </c>
      <c r="I2146" t="n">
        <v>0</v>
      </c>
      <c r="J2146" t="n">
        <v>0</v>
      </c>
      <c r="K2146" t="n">
        <v>0</v>
      </c>
      <c r="L2146" t="n">
        <v>0</v>
      </c>
      <c r="M2146" t="n">
        <v>0</v>
      </c>
      <c r="N2146" t="n">
        <v>0</v>
      </c>
      <c r="O2146" t="n">
        <v>0</v>
      </c>
      <c r="P2146" t="n">
        <v>0</v>
      </c>
      <c r="Q2146" t="n">
        <v>0</v>
      </c>
      <c r="R2146" s="2" t="inlineStr"/>
    </row>
    <row r="2147" ht="15" customHeight="1">
      <c r="A2147" t="inlineStr">
        <is>
          <t>A 41581-2021</t>
        </is>
      </c>
      <c r="B2147" s="1" t="n">
        <v>44425</v>
      </c>
      <c r="C2147" s="1" t="n">
        <v>45744</v>
      </c>
      <c r="D2147" t="inlineStr">
        <is>
          <t>SKÅNE LÄN</t>
        </is>
      </c>
      <c r="E2147" t="inlineStr">
        <is>
          <t>HÄSSLEHOLM</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41816-2021</t>
        </is>
      </c>
      <c r="B2148" s="1" t="n">
        <v>44425</v>
      </c>
      <c r="C2148" s="1" t="n">
        <v>45744</v>
      </c>
      <c r="D2148" t="inlineStr">
        <is>
          <t>SKÅNE LÄN</t>
        </is>
      </c>
      <c r="E2148" t="inlineStr">
        <is>
          <t>OSBY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41998-2021</t>
        </is>
      </c>
      <c r="B2149" s="1" t="n">
        <v>44425</v>
      </c>
      <c r="C2149" s="1" t="n">
        <v>45744</v>
      </c>
      <c r="D2149" t="inlineStr">
        <is>
          <t>SKÅNE LÄN</t>
        </is>
      </c>
      <c r="E2149" t="inlineStr">
        <is>
          <t>HÄSSLEHOLM</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41896-2021</t>
        </is>
      </c>
      <c r="B2150" s="1" t="n">
        <v>44426</v>
      </c>
      <c r="C2150" s="1" t="n">
        <v>45744</v>
      </c>
      <c r="D2150" t="inlineStr">
        <is>
          <t>SKÅNE LÄN</t>
        </is>
      </c>
      <c r="E2150" t="inlineStr">
        <is>
          <t>BROMÖLLA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42221-2021</t>
        </is>
      </c>
      <c r="B2151" s="1" t="n">
        <v>44426</v>
      </c>
      <c r="C2151" s="1" t="n">
        <v>45744</v>
      </c>
      <c r="D2151" t="inlineStr">
        <is>
          <t>SKÅNE LÄN</t>
        </is>
      </c>
      <c r="E2151" t="inlineStr">
        <is>
          <t>HÖRBY</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42592-2021</t>
        </is>
      </c>
      <c r="B2152" s="1" t="n">
        <v>44428</v>
      </c>
      <c r="C2152" s="1" t="n">
        <v>45744</v>
      </c>
      <c r="D2152" t="inlineStr">
        <is>
          <t>SKÅNE LÄN</t>
        </is>
      </c>
      <c r="E2152" t="inlineStr">
        <is>
          <t>ÖSTRA GÖINGE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42658-2021</t>
        </is>
      </c>
      <c r="B2153" s="1" t="n">
        <v>44428</v>
      </c>
      <c r="C2153" s="1" t="n">
        <v>45744</v>
      </c>
      <c r="D2153" t="inlineStr">
        <is>
          <t>SKÅNE LÄN</t>
        </is>
      </c>
      <c r="E2153" t="inlineStr">
        <is>
          <t>KRISTIANSTAD</t>
        </is>
      </c>
      <c r="G2153" t="n">
        <v>9.699999999999999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42681-2021</t>
        </is>
      </c>
      <c r="B2154" s="1" t="n">
        <v>44428</v>
      </c>
      <c r="C2154" s="1" t="n">
        <v>45744</v>
      </c>
      <c r="D2154" t="inlineStr">
        <is>
          <t>SKÅNE LÄN</t>
        </is>
      </c>
      <c r="E2154" t="inlineStr">
        <is>
          <t>KRISTIANSTAD</t>
        </is>
      </c>
      <c r="F2154" t="inlineStr">
        <is>
          <t>Övriga Aktiebolag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42660-2021</t>
        </is>
      </c>
      <c r="B2155" s="1" t="n">
        <v>44428</v>
      </c>
      <c r="C2155" s="1" t="n">
        <v>45744</v>
      </c>
      <c r="D2155" t="inlineStr">
        <is>
          <t>SKÅNE LÄN</t>
        </is>
      </c>
      <c r="E2155" t="inlineStr">
        <is>
          <t>SJÖBO</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42776-2021</t>
        </is>
      </c>
      <c r="B2156" s="1" t="n">
        <v>44428</v>
      </c>
      <c r="C2156" s="1" t="n">
        <v>45744</v>
      </c>
      <c r="D2156" t="inlineStr">
        <is>
          <t>SKÅNE LÄN</t>
        </is>
      </c>
      <c r="E2156" t="inlineStr">
        <is>
          <t>HÄSSLEHOLM</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43026-2021</t>
        </is>
      </c>
      <c r="B2157" s="1" t="n">
        <v>44431</v>
      </c>
      <c r="C2157" s="1" t="n">
        <v>45744</v>
      </c>
      <c r="D2157" t="inlineStr">
        <is>
          <t>SKÅNE LÄN</t>
        </is>
      </c>
      <c r="E2157" t="inlineStr">
        <is>
          <t>OSBY</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43655-2021</t>
        </is>
      </c>
      <c r="B2158" s="1" t="n">
        <v>44433</v>
      </c>
      <c r="C2158" s="1" t="n">
        <v>45744</v>
      </c>
      <c r="D2158" t="inlineStr">
        <is>
          <t>SKÅNE LÄN</t>
        </is>
      </c>
      <c r="E2158" t="inlineStr">
        <is>
          <t>KRISTIANSTAD</t>
        </is>
      </c>
      <c r="F2158" t="inlineStr">
        <is>
          <t>Övriga Aktiebolag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43639-2021</t>
        </is>
      </c>
      <c r="B2159" s="1" t="n">
        <v>44433</v>
      </c>
      <c r="C2159" s="1" t="n">
        <v>45744</v>
      </c>
      <c r="D2159" t="inlineStr">
        <is>
          <t>SKÅNE LÄN</t>
        </is>
      </c>
      <c r="E2159" t="inlineStr">
        <is>
          <t>HÄSSLEHOLM</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43516-2021</t>
        </is>
      </c>
      <c r="B2160" s="1" t="n">
        <v>44433</v>
      </c>
      <c r="C2160" s="1" t="n">
        <v>45744</v>
      </c>
      <c r="D2160" t="inlineStr">
        <is>
          <t>SKÅNE LÄN</t>
        </is>
      </c>
      <c r="E2160" t="inlineStr">
        <is>
          <t>OSBY</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43647-2021</t>
        </is>
      </c>
      <c r="B2161" s="1" t="n">
        <v>44433</v>
      </c>
      <c r="C2161" s="1" t="n">
        <v>45744</v>
      </c>
      <c r="D2161" t="inlineStr">
        <is>
          <t>SKÅNE LÄN</t>
        </is>
      </c>
      <c r="E2161" t="inlineStr">
        <is>
          <t>BROMÖLLA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43856-2021</t>
        </is>
      </c>
      <c r="B2162" s="1" t="n">
        <v>44434</v>
      </c>
      <c r="C2162" s="1" t="n">
        <v>45744</v>
      </c>
      <c r="D2162" t="inlineStr">
        <is>
          <t>SKÅNE LÄN</t>
        </is>
      </c>
      <c r="E2162" t="inlineStr">
        <is>
          <t>OSBY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43855-2021</t>
        </is>
      </c>
      <c r="B2163" s="1" t="n">
        <v>44434</v>
      </c>
      <c r="C2163" s="1" t="n">
        <v>45744</v>
      </c>
      <c r="D2163" t="inlineStr">
        <is>
          <t>SKÅNE LÄN</t>
        </is>
      </c>
      <c r="E2163" t="inlineStr">
        <is>
          <t>OSBY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43981-2021</t>
        </is>
      </c>
      <c r="B2164" s="1" t="n">
        <v>44434</v>
      </c>
      <c r="C2164" s="1" t="n">
        <v>45744</v>
      </c>
      <c r="D2164" t="inlineStr">
        <is>
          <t>SKÅNE LÄN</t>
        </is>
      </c>
      <c r="E2164" t="inlineStr">
        <is>
          <t>KRISTIANSTAD</t>
        </is>
      </c>
      <c r="F2164" t="inlineStr">
        <is>
          <t>Sveaskog</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44166-2021</t>
        </is>
      </c>
      <c r="B2165" s="1" t="n">
        <v>44434</v>
      </c>
      <c r="C2165" s="1" t="n">
        <v>45744</v>
      </c>
      <c r="D2165" t="inlineStr">
        <is>
          <t>SKÅNE LÄN</t>
        </is>
      </c>
      <c r="E2165" t="inlineStr">
        <is>
          <t>HÖÖR</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44160-2021</t>
        </is>
      </c>
      <c r="B2166" s="1" t="n">
        <v>44434</v>
      </c>
      <c r="C2166" s="1" t="n">
        <v>45744</v>
      </c>
      <c r="D2166" t="inlineStr">
        <is>
          <t>SKÅNE LÄN</t>
        </is>
      </c>
      <c r="E2166" t="inlineStr">
        <is>
          <t>HÖÖR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44262-2021</t>
        </is>
      </c>
      <c r="B2167" s="1" t="n">
        <v>44434</v>
      </c>
      <c r="C2167" s="1" t="n">
        <v>45744</v>
      </c>
      <c r="D2167" t="inlineStr">
        <is>
          <t>SKÅNE LÄN</t>
        </is>
      </c>
      <c r="E2167" t="inlineStr">
        <is>
          <t>HÄSSLEHOLM</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44173-2021</t>
        </is>
      </c>
      <c r="B2168" s="1" t="n">
        <v>44434</v>
      </c>
      <c r="C2168" s="1" t="n">
        <v>45744</v>
      </c>
      <c r="D2168" t="inlineStr">
        <is>
          <t>SKÅNE LÄN</t>
        </is>
      </c>
      <c r="E2168" t="inlineStr">
        <is>
          <t>HÖÖR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44328-2021</t>
        </is>
      </c>
      <c r="B2169" s="1" t="n">
        <v>44435</v>
      </c>
      <c r="C2169" s="1" t="n">
        <v>45744</v>
      </c>
      <c r="D2169" t="inlineStr">
        <is>
          <t>SKÅNE LÄN</t>
        </is>
      </c>
      <c r="E2169" t="inlineStr">
        <is>
          <t>HÄSSLEHOLM</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44341-2021</t>
        </is>
      </c>
      <c r="B2170" s="1" t="n">
        <v>44435</v>
      </c>
      <c r="C2170" s="1" t="n">
        <v>45744</v>
      </c>
      <c r="D2170" t="inlineStr">
        <is>
          <t>SKÅNE LÄN</t>
        </is>
      </c>
      <c r="E2170" t="inlineStr">
        <is>
          <t>HÖÖR</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44329-2021</t>
        </is>
      </c>
      <c r="B2171" s="1" t="n">
        <v>44435</v>
      </c>
      <c r="C2171" s="1" t="n">
        <v>45744</v>
      </c>
      <c r="D2171" t="inlineStr">
        <is>
          <t>SKÅNE LÄN</t>
        </is>
      </c>
      <c r="E2171" t="inlineStr">
        <is>
          <t>KRISTIANSTAD</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44361-2021</t>
        </is>
      </c>
      <c r="B2172" s="1" t="n">
        <v>44435</v>
      </c>
      <c r="C2172" s="1" t="n">
        <v>45744</v>
      </c>
      <c r="D2172" t="inlineStr">
        <is>
          <t>SKÅNE LÄN</t>
        </is>
      </c>
      <c r="E2172" t="inlineStr">
        <is>
          <t>KRISTIANSTAD</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44498-2021</t>
        </is>
      </c>
      <c r="B2173" s="1" t="n">
        <v>44435</v>
      </c>
      <c r="C2173" s="1" t="n">
        <v>45744</v>
      </c>
      <c r="D2173" t="inlineStr">
        <is>
          <t>SKÅNE LÄN</t>
        </is>
      </c>
      <c r="E2173" t="inlineStr">
        <is>
          <t>SJÖBO</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44628-2021</t>
        </is>
      </c>
      <c r="B2174" s="1" t="n">
        <v>44437</v>
      </c>
      <c r="C2174" s="1" t="n">
        <v>45744</v>
      </c>
      <c r="D2174" t="inlineStr">
        <is>
          <t>SKÅNE LÄN</t>
        </is>
      </c>
      <c r="E2174" t="inlineStr">
        <is>
          <t>OSBY</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44629-2021</t>
        </is>
      </c>
      <c r="B2175" s="1" t="n">
        <v>44437</v>
      </c>
      <c r="C2175" s="1" t="n">
        <v>45744</v>
      </c>
      <c r="D2175" t="inlineStr">
        <is>
          <t>SKÅNE LÄN</t>
        </is>
      </c>
      <c r="E2175" t="inlineStr">
        <is>
          <t>OSBY</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44755-2021</t>
        </is>
      </c>
      <c r="B2176" s="1" t="n">
        <v>44438</v>
      </c>
      <c r="C2176" s="1" t="n">
        <v>45744</v>
      </c>
      <c r="D2176" t="inlineStr">
        <is>
          <t>SKÅNE LÄN</t>
        </is>
      </c>
      <c r="E2176" t="inlineStr">
        <is>
          <t>HÄSSLEHOLM</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44764-2021</t>
        </is>
      </c>
      <c r="B2177" s="1" t="n">
        <v>44438</v>
      </c>
      <c r="C2177" s="1" t="n">
        <v>45744</v>
      </c>
      <c r="D2177" t="inlineStr">
        <is>
          <t>SKÅNE LÄN</t>
        </is>
      </c>
      <c r="E2177" t="inlineStr">
        <is>
          <t>ÖSTRA GÖINGE</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44731-2021</t>
        </is>
      </c>
      <c r="B2178" s="1" t="n">
        <v>44438</v>
      </c>
      <c r="C2178" s="1" t="n">
        <v>45744</v>
      </c>
      <c r="D2178" t="inlineStr">
        <is>
          <t>SKÅNE LÄN</t>
        </is>
      </c>
      <c r="E2178" t="inlineStr">
        <is>
          <t>OSBY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44697-2021</t>
        </is>
      </c>
      <c r="B2179" s="1" t="n">
        <v>44438</v>
      </c>
      <c r="C2179" s="1" t="n">
        <v>45744</v>
      </c>
      <c r="D2179" t="inlineStr">
        <is>
          <t>SKÅNE LÄN</t>
        </is>
      </c>
      <c r="E2179" t="inlineStr">
        <is>
          <t>HÄSSLEHOLM</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44770-2021</t>
        </is>
      </c>
      <c r="B2180" s="1" t="n">
        <v>44438</v>
      </c>
      <c r="C2180" s="1" t="n">
        <v>45744</v>
      </c>
      <c r="D2180" t="inlineStr">
        <is>
          <t>SKÅNE LÄN</t>
        </is>
      </c>
      <c r="E2180" t="inlineStr">
        <is>
          <t>HÄSSLEHOLM</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44794-2021</t>
        </is>
      </c>
      <c r="B2181" s="1" t="n">
        <v>44438</v>
      </c>
      <c r="C2181" s="1" t="n">
        <v>45744</v>
      </c>
      <c r="D2181" t="inlineStr">
        <is>
          <t>SKÅNE LÄN</t>
        </is>
      </c>
      <c r="E2181" t="inlineStr">
        <is>
          <t>HÄSSLEHOLM</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45284-2021</t>
        </is>
      </c>
      <c r="B2182" s="1" t="n">
        <v>44439</v>
      </c>
      <c r="C2182" s="1" t="n">
        <v>45744</v>
      </c>
      <c r="D2182" t="inlineStr">
        <is>
          <t>SKÅNE LÄN</t>
        </is>
      </c>
      <c r="E2182" t="inlineStr">
        <is>
          <t>HÄSSLEHOLM</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45443-2021</t>
        </is>
      </c>
      <c r="B2183" s="1" t="n">
        <v>44440</v>
      </c>
      <c r="C2183" s="1" t="n">
        <v>45744</v>
      </c>
      <c r="D2183" t="inlineStr">
        <is>
          <t>SKÅNE LÄN</t>
        </is>
      </c>
      <c r="E2183" t="inlineStr">
        <is>
          <t>ÖRKELLJUNGA</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45814-2021</t>
        </is>
      </c>
      <c r="B2184" s="1" t="n">
        <v>44441</v>
      </c>
      <c r="C2184" s="1" t="n">
        <v>45744</v>
      </c>
      <c r="D2184" t="inlineStr">
        <is>
          <t>SKÅNE LÄN</t>
        </is>
      </c>
      <c r="E2184" t="inlineStr">
        <is>
          <t>HÄSSLEHOLM</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45984-2021</t>
        </is>
      </c>
      <c r="B2185" s="1" t="n">
        <v>44441</v>
      </c>
      <c r="C2185" s="1" t="n">
        <v>45744</v>
      </c>
      <c r="D2185" t="inlineStr">
        <is>
          <t>SKÅNE LÄN</t>
        </is>
      </c>
      <c r="E2185" t="inlineStr">
        <is>
          <t>HÄSSLEHOLM</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45989-2021</t>
        </is>
      </c>
      <c r="B2186" s="1" t="n">
        <v>44441</v>
      </c>
      <c r="C2186" s="1" t="n">
        <v>45744</v>
      </c>
      <c r="D2186" t="inlineStr">
        <is>
          <t>SKÅNE LÄN</t>
        </is>
      </c>
      <c r="E2186" t="inlineStr">
        <is>
          <t>HÄSSLEHOLM</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46000-2021</t>
        </is>
      </c>
      <c r="B2187" s="1" t="n">
        <v>44441</v>
      </c>
      <c r="C2187" s="1" t="n">
        <v>45744</v>
      </c>
      <c r="D2187" t="inlineStr">
        <is>
          <t>SKÅNE LÄN</t>
        </is>
      </c>
      <c r="E2187" t="inlineStr">
        <is>
          <t>HÄSSLEHOLM</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46193-2021</t>
        </is>
      </c>
      <c r="B2188" s="1" t="n">
        <v>44442</v>
      </c>
      <c r="C2188" s="1" t="n">
        <v>45744</v>
      </c>
      <c r="D2188" t="inlineStr">
        <is>
          <t>SKÅNE LÄN</t>
        </is>
      </c>
      <c r="E2188" t="inlineStr">
        <is>
          <t>KRISTIANSTAD</t>
        </is>
      </c>
      <c r="F2188" t="inlineStr">
        <is>
          <t>Sveaskog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46107-2021</t>
        </is>
      </c>
      <c r="B2189" s="1" t="n">
        <v>44442</v>
      </c>
      <c r="C2189" s="1" t="n">
        <v>45744</v>
      </c>
      <c r="D2189" t="inlineStr">
        <is>
          <t>SKÅNE LÄN</t>
        </is>
      </c>
      <c r="E2189" t="inlineStr">
        <is>
          <t>HÖÖR</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46190-2021</t>
        </is>
      </c>
      <c r="B2190" s="1" t="n">
        <v>44442</v>
      </c>
      <c r="C2190" s="1" t="n">
        <v>45744</v>
      </c>
      <c r="D2190" t="inlineStr">
        <is>
          <t>SKÅNE LÄN</t>
        </is>
      </c>
      <c r="E2190" t="inlineStr">
        <is>
          <t>KRISTIANSTAD</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46692-2021</t>
        </is>
      </c>
      <c r="B2191" s="1" t="n">
        <v>44445</v>
      </c>
      <c r="C2191" s="1" t="n">
        <v>45744</v>
      </c>
      <c r="D2191" t="inlineStr">
        <is>
          <t>SKÅNE LÄN</t>
        </is>
      </c>
      <c r="E2191" t="inlineStr">
        <is>
          <t>KLIPPAN</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46922-2021</t>
        </is>
      </c>
      <c r="B2192" s="1" t="n">
        <v>44446</v>
      </c>
      <c r="C2192" s="1" t="n">
        <v>45744</v>
      </c>
      <c r="D2192" t="inlineStr">
        <is>
          <t>SKÅNE LÄN</t>
        </is>
      </c>
      <c r="E2192" t="inlineStr">
        <is>
          <t>HÖÖR</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47112-2021</t>
        </is>
      </c>
      <c r="B2193" s="1" t="n">
        <v>44446</v>
      </c>
      <c r="C2193" s="1" t="n">
        <v>45744</v>
      </c>
      <c r="D2193" t="inlineStr">
        <is>
          <t>SKÅNE LÄN</t>
        </is>
      </c>
      <c r="E2193" t="inlineStr">
        <is>
          <t>HÄSSLEHOLM</t>
        </is>
      </c>
      <c r="G2193" t="n">
        <v>9.699999999999999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47258-2021</t>
        </is>
      </c>
      <c r="B2194" s="1" t="n">
        <v>44446</v>
      </c>
      <c r="C2194" s="1" t="n">
        <v>45744</v>
      </c>
      <c r="D2194" t="inlineStr">
        <is>
          <t>SKÅNE LÄN</t>
        </is>
      </c>
      <c r="E2194" t="inlineStr">
        <is>
          <t>PERSTORP</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47253-2021</t>
        </is>
      </c>
      <c r="B2195" s="1" t="n">
        <v>44446</v>
      </c>
      <c r="C2195" s="1" t="n">
        <v>45744</v>
      </c>
      <c r="D2195" t="inlineStr">
        <is>
          <t>SKÅNE LÄN</t>
        </is>
      </c>
      <c r="E2195" t="inlineStr">
        <is>
          <t>PERSTORP</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47263-2021</t>
        </is>
      </c>
      <c r="B2196" s="1" t="n">
        <v>44446</v>
      </c>
      <c r="C2196" s="1" t="n">
        <v>45744</v>
      </c>
      <c r="D2196" t="inlineStr">
        <is>
          <t>SKÅNE LÄN</t>
        </is>
      </c>
      <c r="E2196" t="inlineStr">
        <is>
          <t>PERSTORP</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47278-2021</t>
        </is>
      </c>
      <c r="B2197" s="1" t="n">
        <v>44446</v>
      </c>
      <c r="C2197" s="1" t="n">
        <v>45744</v>
      </c>
      <c r="D2197" t="inlineStr">
        <is>
          <t>SKÅNE LÄN</t>
        </is>
      </c>
      <c r="E2197" t="inlineStr">
        <is>
          <t>PERSTORP</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47211-2021</t>
        </is>
      </c>
      <c r="B2198" s="1" t="n">
        <v>44447</v>
      </c>
      <c r="C2198" s="1" t="n">
        <v>45744</v>
      </c>
      <c r="D2198" t="inlineStr">
        <is>
          <t>SKÅNE LÄN</t>
        </is>
      </c>
      <c r="E2198" t="inlineStr">
        <is>
          <t>OSBY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47737-2021</t>
        </is>
      </c>
      <c r="B2199" s="1" t="n">
        <v>44448</v>
      </c>
      <c r="C2199" s="1" t="n">
        <v>45744</v>
      </c>
      <c r="D2199" t="inlineStr">
        <is>
          <t>SKÅNE LÄN</t>
        </is>
      </c>
      <c r="E2199" t="inlineStr">
        <is>
          <t>HÄSSLEHOLM</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47803-2021</t>
        </is>
      </c>
      <c r="B2200" s="1" t="n">
        <v>44448</v>
      </c>
      <c r="C2200" s="1" t="n">
        <v>45744</v>
      </c>
      <c r="D2200" t="inlineStr">
        <is>
          <t>SKÅNE LÄN</t>
        </is>
      </c>
      <c r="E2200" t="inlineStr">
        <is>
          <t>OSBY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47907-2021</t>
        </is>
      </c>
      <c r="B2201" s="1" t="n">
        <v>44448</v>
      </c>
      <c r="C2201" s="1" t="n">
        <v>45744</v>
      </c>
      <c r="D2201" t="inlineStr">
        <is>
          <t>SKÅNE LÄN</t>
        </is>
      </c>
      <c r="E2201" t="inlineStr">
        <is>
          <t>HÄSSLEHOLM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47906-2021</t>
        </is>
      </c>
      <c r="B2202" s="1" t="n">
        <v>44448</v>
      </c>
      <c r="C2202" s="1" t="n">
        <v>45744</v>
      </c>
      <c r="D2202" t="inlineStr">
        <is>
          <t>SKÅNE LÄN</t>
        </is>
      </c>
      <c r="E2202" t="inlineStr">
        <is>
          <t>HÄSSLEHOLM</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47967-2021</t>
        </is>
      </c>
      <c r="B2203" s="1" t="n">
        <v>44448</v>
      </c>
      <c r="C2203" s="1" t="n">
        <v>45744</v>
      </c>
      <c r="D2203" t="inlineStr">
        <is>
          <t>SKÅNE LÄN</t>
        </is>
      </c>
      <c r="E2203" t="inlineStr">
        <is>
          <t>KLIPPAN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48054-2021</t>
        </is>
      </c>
      <c r="B2204" s="1" t="n">
        <v>44449</v>
      </c>
      <c r="C2204" s="1" t="n">
        <v>45744</v>
      </c>
      <c r="D2204" t="inlineStr">
        <is>
          <t>SKÅNE LÄN</t>
        </is>
      </c>
      <c r="E2204" t="inlineStr">
        <is>
          <t>KRISTIANSTAD</t>
        </is>
      </c>
      <c r="F2204" t="inlineStr">
        <is>
          <t>Övriga Aktiebolag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48023-2021</t>
        </is>
      </c>
      <c r="B2205" s="1" t="n">
        <v>44449</v>
      </c>
      <c r="C2205" s="1" t="n">
        <v>45744</v>
      </c>
      <c r="D2205" t="inlineStr">
        <is>
          <t>SKÅNE LÄN</t>
        </is>
      </c>
      <c r="E2205" t="inlineStr">
        <is>
          <t>SJÖBO</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48009-2021</t>
        </is>
      </c>
      <c r="B2206" s="1" t="n">
        <v>44449</v>
      </c>
      <c r="C2206" s="1" t="n">
        <v>45744</v>
      </c>
      <c r="D2206" t="inlineStr">
        <is>
          <t>SKÅNE LÄN</t>
        </is>
      </c>
      <c r="E2206" t="inlineStr">
        <is>
          <t>SJÖBO</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48007-2021</t>
        </is>
      </c>
      <c r="B2207" s="1" t="n">
        <v>44449</v>
      </c>
      <c r="C2207" s="1" t="n">
        <v>45744</v>
      </c>
      <c r="D2207" t="inlineStr">
        <is>
          <t>SKÅNE LÄN</t>
        </is>
      </c>
      <c r="E2207" t="inlineStr">
        <is>
          <t>SJÖBO</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48026-2021</t>
        </is>
      </c>
      <c r="B2208" s="1" t="n">
        <v>44449</v>
      </c>
      <c r="C2208" s="1" t="n">
        <v>45744</v>
      </c>
      <c r="D2208" t="inlineStr">
        <is>
          <t>SKÅNE LÄN</t>
        </is>
      </c>
      <c r="E2208" t="inlineStr">
        <is>
          <t>SJÖBO</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48184-2021</t>
        </is>
      </c>
      <c r="B2209" s="1" t="n">
        <v>44449</v>
      </c>
      <c r="C2209" s="1" t="n">
        <v>45744</v>
      </c>
      <c r="D2209" t="inlineStr">
        <is>
          <t>SKÅNE LÄN</t>
        </is>
      </c>
      <c r="E2209" t="inlineStr">
        <is>
          <t>KRISTIANSTAD</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48173-2021</t>
        </is>
      </c>
      <c r="B2210" s="1" t="n">
        <v>44449</v>
      </c>
      <c r="C2210" s="1" t="n">
        <v>45744</v>
      </c>
      <c r="D2210" t="inlineStr">
        <is>
          <t>SKÅNE LÄN</t>
        </is>
      </c>
      <c r="E2210" t="inlineStr">
        <is>
          <t>KRISTIANSTAD</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48279-2021</t>
        </is>
      </c>
      <c r="B2211" s="1" t="n">
        <v>44449</v>
      </c>
      <c r="C2211" s="1" t="n">
        <v>45744</v>
      </c>
      <c r="D2211" t="inlineStr">
        <is>
          <t>SKÅNE LÄN</t>
        </is>
      </c>
      <c r="E2211" t="inlineStr">
        <is>
          <t>SVALÖV</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48191-2021</t>
        </is>
      </c>
      <c r="B2212" s="1" t="n">
        <v>44449</v>
      </c>
      <c r="C2212" s="1" t="n">
        <v>45744</v>
      </c>
      <c r="D2212" t="inlineStr">
        <is>
          <t>SKÅNE LÄN</t>
        </is>
      </c>
      <c r="E2212" t="inlineStr">
        <is>
          <t>HÄSSLEHOLM</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48262-2021</t>
        </is>
      </c>
      <c r="B2213" s="1" t="n">
        <v>44449</v>
      </c>
      <c r="C2213" s="1" t="n">
        <v>45744</v>
      </c>
      <c r="D2213" t="inlineStr">
        <is>
          <t>SKÅNE LÄN</t>
        </is>
      </c>
      <c r="E2213" t="inlineStr">
        <is>
          <t>SVALÖV</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48313-2021</t>
        </is>
      </c>
      <c r="B2214" s="1" t="n">
        <v>44450</v>
      </c>
      <c r="C2214" s="1" t="n">
        <v>45744</v>
      </c>
      <c r="D2214" t="inlineStr">
        <is>
          <t>SKÅNE LÄN</t>
        </is>
      </c>
      <c r="E2214" t="inlineStr">
        <is>
          <t>HÄSSLEHOLM</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48380-2021</t>
        </is>
      </c>
      <c r="B2215" s="1" t="n">
        <v>44451</v>
      </c>
      <c r="C2215" s="1" t="n">
        <v>45744</v>
      </c>
      <c r="D2215" t="inlineStr">
        <is>
          <t>SKÅNE LÄN</t>
        </is>
      </c>
      <c r="E2215" t="inlineStr">
        <is>
          <t>PERSTORP</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48553-2021</t>
        </is>
      </c>
      <c r="B2216" s="1" t="n">
        <v>44452</v>
      </c>
      <c r="C2216" s="1" t="n">
        <v>45744</v>
      </c>
      <c r="D2216" t="inlineStr">
        <is>
          <t>SKÅNE LÄN</t>
        </is>
      </c>
      <c r="E2216" t="inlineStr">
        <is>
          <t>HÄSSLEHOLM</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48624-2021</t>
        </is>
      </c>
      <c r="B2217" s="1" t="n">
        <v>44452</v>
      </c>
      <c r="C2217" s="1" t="n">
        <v>45744</v>
      </c>
      <c r="D2217" t="inlineStr">
        <is>
          <t>SKÅNE LÄN</t>
        </is>
      </c>
      <c r="E2217" t="inlineStr">
        <is>
          <t>HÄSSLEHOLM</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48707-2021</t>
        </is>
      </c>
      <c r="B2218" s="1" t="n">
        <v>44452</v>
      </c>
      <c r="C2218" s="1" t="n">
        <v>45744</v>
      </c>
      <c r="D2218" t="inlineStr">
        <is>
          <t>SKÅNE LÄN</t>
        </is>
      </c>
      <c r="E2218" t="inlineStr">
        <is>
          <t>KRISTIANSTAD</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48807-2021</t>
        </is>
      </c>
      <c r="B2219" s="1" t="n">
        <v>44452</v>
      </c>
      <c r="C2219" s="1" t="n">
        <v>45744</v>
      </c>
      <c r="D2219" t="inlineStr">
        <is>
          <t>SKÅNE LÄN</t>
        </is>
      </c>
      <c r="E2219" t="inlineStr">
        <is>
          <t>HÄSSLEHOLM</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48631-2021</t>
        </is>
      </c>
      <c r="B2220" s="1" t="n">
        <v>44452</v>
      </c>
      <c r="C2220" s="1" t="n">
        <v>45744</v>
      </c>
      <c r="D2220" t="inlineStr">
        <is>
          <t>SKÅNE LÄN</t>
        </is>
      </c>
      <c r="E2220" t="inlineStr">
        <is>
          <t>HÄSSLEHOLM</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49111-2021</t>
        </is>
      </c>
      <c r="B2221" s="1" t="n">
        <v>44453</v>
      </c>
      <c r="C2221" s="1" t="n">
        <v>45744</v>
      </c>
      <c r="D2221" t="inlineStr">
        <is>
          <t>SKÅNE LÄN</t>
        </is>
      </c>
      <c r="E2221" t="inlineStr">
        <is>
          <t>HÖÖR</t>
        </is>
      </c>
      <c r="G2221" t="n">
        <v>14.5</v>
      </c>
      <c r="H2221" t="n">
        <v>0</v>
      </c>
      <c r="I2221" t="n">
        <v>0</v>
      </c>
      <c r="J2221" t="n">
        <v>0</v>
      </c>
      <c r="K2221" t="n">
        <v>0</v>
      </c>
      <c r="L2221" t="n">
        <v>0</v>
      </c>
      <c r="M2221" t="n">
        <v>0</v>
      </c>
      <c r="N2221" t="n">
        <v>0</v>
      </c>
      <c r="O2221" t="n">
        <v>0</v>
      </c>
      <c r="P2221" t="n">
        <v>0</v>
      </c>
      <c r="Q2221" t="n">
        <v>0</v>
      </c>
      <c r="R2221" s="2" t="inlineStr"/>
    </row>
    <row r="2222" ht="15" customHeight="1">
      <c r="A2222" t="inlineStr">
        <is>
          <t>A 49219-2021</t>
        </is>
      </c>
      <c r="B2222" s="1" t="n">
        <v>44454</v>
      </c>
      <c r="C2222" s="1" t="n">
        <v>45744</v>
      </c>
      <c r="D2222" t="inlineStr">
        <is>
          <t>SKÅNE LÄN</t>
        </is>
      </c>
      <c r="E2222" t="inlineStr">
        <is>
          <t>HÄSSLEHOLM</t>
        </is>
      </c>
      <c r="G2222" t="n">
        <v>7.8</v>
      </c>
      <c r="H2222" t="n">
        <v>0</v>
      </c>
      <c r="I2222" t="n">
        <v>0</v>
      </c>
      <c r="J2222" t="n">
        <v>0</v>
      </c>
      <c r="K2222" t="n">
        <v>0</v>
      </c>
      <c r="L2222" t="n">
        <v>0</v>
      </c>
      <c r="M2222" t="n">
        <v>0</v>
      </c>
      <c r="N2222" t="n">
        <v>0</v>
      </c>
      <c r="O2222" t="n">
        <v>0</v>
      </c>
      <c r="P2222" t="n">
        <v>0</v>
      </c>
      <c r="Q2222" t="n">
        <v>0</v>
      </c>
      <c r="R2222" s="2" t="inlineStr"/>
    </row>
    <row r="2223" ht="15" customHeight="1">
      <c r="A2223" t="inlineStr">
        <is>
          <t>A 49324-2021</t>
        </is>
      </c>
      <c r="B2223" s="1" t="n">
        <v>44454</v>
      </c>
      <c r="C2223" s="1" t="n">
        <v>45744</v>
      </c>
      <c r="D2223" t="inlineStr">
        <is>
          <t>SKÅNE LÄN</t>
        </is>
      </c>
      <c r="E2223" t="inlineStr">
        <is>
          <t>HÄSSLEHOLM</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49379-2021</t>
        </is>
      </c>
      <c r="B2224" s="1" t="n">
        <v>44454</v>
      </c>
      <c r="C2224" s="1" t="n">
        <v>45744</v>
      </c>
      <c r="D2224" t="inlineStr">
        <is>
          <t>SKÅNE LÄN</t>
        </is>
      </c>
      <c r="E2224" t="inlineStr">
        <is>
          <t>HÄSSLEHOLM</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49384-2021</t>
        </is>
      </c>
      <c r="B2225" s="1" t="n">
        <v>44454</v>
      </c>
      <c r="C2225" s="1" t="n">
        <v>45744</v>
      </c>
      <c r="D2225" t="inlineStr">
        <is>
          <t>SKÅNE LÄN</t>
        </is>
      </c>
      <c r="E2225" t="inlineStr">
        <is>
          <t>HÄSSLEHOLM</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49381-2021</t>
        </is>
      </c>
      <c r="B2226" s="1" t="n">
        <v>44454</v>
      </c>
      <c r="C2226" s="1" t="n">
        <v>45744</v>
      </c>
      <c r="D2226" t="inlineStr">
        <is>
          <t>SKÅNE LÄN</t>
        </is>
      </c>
      <c r="E2226" t="inlineStr">
        <is>
          <t>HÄSSLEHOLM</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49361-2021</t>
        </is>
      </c>
      <c r="B2227" s="1" t="n">
        <v>44454</v>
      </c>
      <c r="C2227" s="1" t="n">
        <v>45744</v>
      </c>
      <c r="D2227" t="inlineStr">
        <is>
          <t>SKÅNE LÄN</t>
        </is>
      </c>
      <c r="E2227" t="inlineStr">
        <is>
          <t>ÄNGELHOLM</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49454-2021</t>
        </is>
      </c>
      <c r="B2228" s="1" t="n">
        <v>44454</v>
      </c>
      <c r="C2228" s="1" t="n">
        <v>45744</v>
      </c>
      <c r="D2228" t="inlineStr">
        <is>
          <t>SKÅNE LÄN</t>
        </is>
      </c>
      <c r="E2228" t="inlineStr">
        <is>
          <t>HÄSSLEHOLM</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49450-2021</t>
        </is>
      </c>
      <c r="B2229" s="1" t="n">
        <v>44454</v>
      </c>
      <c r="C2229" s="1" t="n">
        <v>45744</v>
      </c>
      <c r="D2229" t="inlineStr">
        <is>
          <t>SKÅNE LÄN</t>
        </is>
      </c>
      <c r="E2229" t="inlineStr">
        <is>
          <t>HÄSSLEHOLM</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49462-2021</t>
        </is>
      </c>
      <c r="B2230" s="1" t="n">
        <v>44454</v>
      </c>
      <c r="C2230" s="1" t="n">
        <v>45744</v>
      </c>
      <c r="D2230" t="inlineStr">
        <is>
          <t>SKÅNE LÄN</t>
        </is>
      </c>
      <c r="E2230" t="inlineStr">
        <is>
          <t>ÖSTRA GÖINGE</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49520-2021</t>
        </is>
      </c>
      <c r="B2231" s="1" t="n">
        <v>44455</v>
      </c>
      <c r="C2231" s="1" t="n">
        <v>45744</v>
      </c>
      <c r="D2231" t="inlineStr">
        <is>
          <t>SKÅNE LÄN</t>
        </is>
      </c>
      <c r="E2231" t="inlineStr">
        <is>
          <t>KRISTIANSTAD</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50463-2021</t>
        </is>
      </c>
      <c r="B2232" s="1" t="n">
        <v>44455</v>
      </c>
      <c r="C2232" s="1" t="n">
        <v>45744</v>
      </c>
      <c r="D2232" t="inlineStr">
        <is>
          <t>SKÅNE LÄN</t>
        </is>
      </c>
      <c r="E2232" t="inlineStr">
        <is>
          <t>SJÖBO</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50366-2021</t>
        </is>
      </c>
      <c r="B2233" s="1" t="n">
        <v>44455</v>
      </c>
      <c r="C2233" s="1" t="n">
        <v>45744</v>
      </c>
      <c r="D2233" t="inlineStr">
        <is>
          <t>SKÅNE LÄN</t>
        </is>
      </c>
      <c r="E2233" t="inlineStr">
        <is>
          <t>OSBY</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49749-2021</t>
        </is>
      </c>
      <c r="B2234" s="1" t="n">
        <v>44455</v>
      </c>
      <c r="C2234" s="1" t="n">
        <v>45744</v>
      </c>
      <c r="D2234" t="inlineStr">
        <is>
          <t>SKÅNE LÄN</t>
        </is>
      </c>
      <c r="E2234" t="inlineStr">
        <is>
          <t>ÖSTRA GÖINGE</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49911-2021</t>
        </is>
      </c>
      <c r="B2235" s="1" t="n">
        <v>44455</v>
      </c>
      <c r="C2235" s="1" t="n">
        <v>45744</v>
      </c>
      <c r="D2235" t="inlineStr">
        <is>
          <t>SKÅNE LÄN</t>
        </is>
      </c>
      <c r="E2235" t="inlineStr">
        <is>
          <t>OSBY</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50357-2021</t>
        </is>
      </c>
      <c r="B2236" s="1" t="n">
        <v>44455</v>
      </c>
      <c r="C2236" s="1" t="n">
        <v>45744</v>
      </c>
      <c r="D2236" t="inlineStr">
        <is>
          <t>SKÅNE LÄN</t>
        </is>
      </c>
      <c r="E2236" t="inlineStr">
        <is>
          <t>KLIPPAN</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50094-2021</t>
        </is>
      </c>
      <c r="B2237" s="1" t="n">
        <v>44456</v>
      </c>
      <c r="C2237" s="1" t="n">
        <v>45744</v>
      </c>
      <c r="D2237" t="inlineStr">
        <is>
          <t>SKÅNE LÄN</t>
        </is>
      </c>
      <c r="E2237" t="inlineStr">
        <is>
          <t>HÄSSLEHOLM</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50474-2021</t>
        </is>
      </c>
      <c r="B2238" s="1" t="n">
        <v>44459</v>
      </c>
      <c r="C2238" s="1" t="n">
        <v>45744</v>
      </c>
      <c r="D2238" t="inlineStr">
        <is>
          <t>SKÅNE LÄN</t>
        </is>
      </c>
      <c r="E2238" t="inlineStr">
        <is>
          <t>OSBY</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50396-2021</t>
        </is>
      </c>
      <c r="B2239" s="1" t="n">
        <v>44459</v>
      </c>
      <c r="C2239" s="1" t="n">
        <v>45744</v>
      </c>
      <c r="D2239" t="inlineStr">
        <is>
          <t>SKÅNE LÄN</t>
        </is>
      </c>
      <c r="E2239" t="inlineStr">
        <is>
          <t>OSBY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50491-2021</t>
        </is>
      </c>
      <c r="B2240" s="1" t="n">
        <v>44459</v>
      </c>
      <c r="C2240" s="1" t="n">
        <v>45744</v>
      </c>
      <c r="D2240" t="inlineStr">
        <is>
          <t>SKÅNE LÄN</t>
        </is>
      </c>
      <c r="E2240" t="inlineStr">
        <is>
          <t>OSBY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50618-2021</t>
        </is>
      </c>
      <c r="B2241" s="1" t="n">
        <v>44459</v>
      </c>
      <c r="C2241" s="1" t="n">
        <v>45744</v>
      </c>
      <c r="D2241" t="inlineStr">
        <is>
          <t>SKÅNE LÄN</t>
        </is>
      </c>
      <c r="E2241" t="inlineStr">
        <is>
          <t>HÄSSLEHOLM</t>
        </is>
      </c>
      <c r="F2241" t="inlineStr">
        <is>
          <t>Kyrkan</t>
        </is>
      </c>
      <c r="G2241" t="n">
        <v>15.1</v>
      </c>
      <c r="H2241" t="n">
        <v>0</v>
      </c>
      <c r="I2241" t="n">
        <v>0</v>
      </c>
      <c r="J2241" t="n">
        <v>0</v>
      </c>
      <c r="K2241" t="n">
        <v>0</v>
      </c>
      <c r="L2241" t="n">
        <v>0</v>
      </c>
      <c r="M2241" t="n">
        <v>0</v>
      </c>
      <c r="N2241" t="n">
        <v>0</v>
      </c>
      <c r="O2241" t="n">
        <v>0</v>
      </c>
      <c r="P2241" t="n">
        <v>0</v>
      </c>
      <c r="Q2241" t="n">
        <v>0</v>
      </c>
      <c r="R2241" s="2" t="inlineStr"/>
    </row>
    <row r="2242" ht="15" customHeight="1">
      <c r="A2242" t="inlineStr">
        <is>
          <t>A 50922-2021</t>
        </is>
      </c>
      <c r="B2242" s="1" t="n">
        <v>44459</v>
      </c>
      <c r="C2242" s="1" t="n">
        <v>45744</v>
      </c>
      <c r="D2242" t="inlineStr">
        <is>
          <t>SKÅNE LÄN</t>
        </is>
      </c>
      <c r="E2242" t="inlineStr">
        <is>
          <t>ÖSTRA GÖINGE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50927-2021</t>
        </is>
      </c>
      <c r="B2243" s="1" t="n">
        <v>44459</v>
      </c>
      <c r="C2243" s="1" t="n">
        <v>45744</v>
      </c>
      <c r="D2243" t="inlineStr">
        <is>
          <t>SKÅNE LÄN</t>
        </is>
      </c>
      <c r="E2243" t="inlineStr">
        <is>
          <t>ÖSTRA GÖINGE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50834-2021</t>
        </is>
      </c>
      <c r="B2244" s="1" t="n">
        <v>44460</v>
      </c>
      <c r="C2244" s="1" t="n">
        <v>45744</v>
      </c>
      <c r="D2244" t="inlineStr">
        <is>
          <t>SKÅNE LÄN</t>
        </is>
      </c>
      <c r="E2244" t="inlineStr">
        <is>
          <t>KRISTIANSTAD</t>
        </is>
      </c>
      <c r="G2244" t="n">
        <v>2.2</v>
      </c>
      <c r="H2244" t="n">
        <v>0</v>
      </c>
      <c r="I2244" t="n">
        <v>0</v>
      </c>
      <c r="J2244" t="n">
        <v>0</v>
      </c>
      <c r="K2244" t="n">
        <v>0</v>
      </c>
      <c r="L2244" t="n">
        <v>0</v>
      </c>
      <c r="M2244" t="n">
        <v>0</v>
      </c>
      <c r="N2244" t="n">
        <v>0</v>
      </c>
      <c r="O2244" t="n">
        <v>0</v>
      </c>
      <c r="P2244" t="n">
        <v>0</v>
      </c>
      <c r="Q2244" t="n">
        <v>0</v>
      </c>
      <c r="R2244" s="2" t="inlineStr"/>
      <c r="U2244">
        <f>HYPERLINK("https://klasma.github.io/Logging_1290/knärot/A 50834-2021 karta knärot.png", "A 50834-2021")</f>
        <v/>
      </c>
      <c r="V2244">
        <f>HYPERLINK("https://klasma.github.io/Logging_1290/klagomål/A 50834-2021 FSC-klagomål.docx", "A 50834-2021")</f>
        <v/>
      </c>
      <c r="W2244">
        <f>HYPERLINK("https://klasma.github.io/Logging_1290/klagomålsmail/A 50834-2021 FSC-klagomål mail.docx", "A 50834-2021")</f>
        <v/>
      </c>
      <c r="X2244">
        <f>HYPERLINK("https://klasma.github.io/Logging_1290/tillsyn/A 50834-2021 tillsynsbegäran.docx", "A 50834-2021")</f>
        <v/>
      </c>
      <c r="Y2244">
        <f>HYPERLINK("https://klasma.github.io/Logging_1290/tillsynsmail/A 50834-2021 tillsynsbegäran mail.docx", "A 50834-2021")</f>
        <v/>
      </c>
    </row>
    <row r="2245" ht="15" customHeight="1">
      <c r="A2245" t="inlineStr">
        <is>
          <t>A 50828-2021</t>
        </is>
      </c>
      <c r="B2245" s="1" t="n">
        <v>44460</v>
      </c>
      <c r="C2245" s="1" t="n">
        <v>45744</v>
      </c>
      <c r="D2245" t="inlineStr">
        <is>
          <t>SKÅNE LÄN</t>
        </is>
      </c>
      <c r="E2245" t="inlineStr">
        <is>
          <t>KRISTIANSTAD</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50896-2021</t>
        </is>
      </c>
      <c r="B2246" s="1" t="n">
        <v>44460</v>
      </c>
      <c r="C2246" s="1" t="n">
        <v>45744</v>
      </c>
      <c r="D2246" t="inlineStr">
        <is>
          <t>SKÅNE LÄN</t>
        </is>
      </c>
      <c r="E2246" t="inlineStr">
        <is>
          <t>ÖSTRA GÖINGE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51197-2021</t>
        </is>
      </c>
      <c r="B2247" s="1" t="n">
        <v>44460</v>
      </c>
      <c r="C2247" s="1" t="n">
        <v>45744</v>
      </c>
      <c r="D2247" t="inlineStr">
        <is>
          <t>SKÅNE LÄN</t>
        </is>
      </c>
      <c r="E2247" t="inlineStr">
        <is>
          <t>HÖÖR</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51159-2021</t>
        </is>
      </c>
      <c r="B2248" s="1" t="n">
        <v>44461</v>
      </c>
      <c r="C2248" s="1" t="n">
        <v>45744</v>
      </c>
      <c r="D2248" t="inlineStr">
        <is>
          <t>SKÅNE LÄN</t>
        </is>
      </c>
      <c r="E2248" t="inlineStr">
        <is>
          <t>HÄSSLEHOLM</t>
        </is>
      </c>
      <c r="F2248" t="inlineStr">
        <is>
          <t>Kommuner</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51139-2021</t>
        </is>
      </c>
      <c r="B2249" s="1" t="n">
        <v>44461</v>
      </c>
      <c r="C2249" s="1" t="n">
        <v>45744</v>
      </c>
      <c r="D2249" t="inlineStr">
        <is>
          <t>SKÅNE LÄN</t>
        </is>
      </c>
      <c r="E2249" t="inlineStr">
        <is>
          <t>ÖRKELLJUNGA</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51120-2021</t>
        </is>
      </c>
      <c r="B2250" s="1" t="n">
        <v>44461</v>
      </c>
      <c r="C2250" s="1" t="n">
        <v>45744</v>
      </c>
      <c r="D2250" t="inlineStr">
        <is>
          <t>SKÅNE LÄN</t>
        </is>
      </c>
      <c r="E2250" t="inlineStr">
        <is>
          <t>HÖÖR</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51131-2021</t>
        </is>
      </c>
      <c r="B2251" s="1" t="n">
        <v>44461</v>
      </c>
      <c r="C2251" s="1" t="n">
        <v>45744</v>
      </c>
      <c r="D2251" t="inlineStr">
        <is>
          <t>SKÅNE LÄN</t>
        </is>
      </c>
      <c r="E2251" t="inlineStr">
        <is>
          <t>HÖÖR</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51318-2021</t>
        </is>
      </c>
      <c r="B2252" s="1" t="n">
        <v>44461</v>
      </c>
      <c r="C2252" s="1" t="n">
        <v>45744</v>
      </c>
      <c r="D2252" t="inlineStr">
        <is>
          <t>SKÅNE LÄN</t>
        </is>
      </c>
      <c r="E2252" t="inlineStr">
        <is>
          <t>KRISTIANSTAD</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51345-2021</t>
        </is>
      </c>
      <c r="B2253" s="1" t="n">
        <v>44461</v>
      </c>
      <c r="C2253" s="1" t="n">
        <v>45744</v>
      </c>
      <c r="D2253" t="inlineStr">
        <is>
          <t>SKÅNE LÄN</t>
        </is>
      </c>
      <c r="E2253" t="inlineStr">
        <is>
          <t>OSBY</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51353-2021</t>
        </is>
      </c>
      <c r="B2254" s="1" t="n">
        <v>44461</v>
      </c>
      <c r="C2254" s="1" t="n">
        <v>45744</v>
      </c>
      <c r="D2254" t="inlineStr">
        <is>
          <t>SKÅNE LÄN</t>
        </is>
      </c>
      <c r="E2254" t="inlineStr">
        <is>
          <t>OSBY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51356-2021</t>
        </is>
      </c>
      <c r="B2255" s="1" t="n">
        <v>44461</v>
      </c>
      <c r="C2255" s="1" t="n">
        <v>45744</v>
      </c>
      <c r="D2255" t="inlineStr">
        <is>
          <t>SKÅNE LÄN</t>
        </is>
      </c>
      <c r="E2255" t="inlineStr">
        <is>
          <t>OSBY</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51559-2021</t>
        </is>
      </c>
      <c r="B2256" s="1" t="n">
        <v>44462</v>
      </c>
      <c r="C2256" s="1" t="n">
        <v>45744</v>
      </c>
      <c r="D2256" t="inlineStr">
        <is>
          <t>SKÅNE LÄN</t>
        </is>
      </c>
      <c r="E2256" t="inlineStr">
        <is>
          <t>ÖSTRA GÖINGE</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51895-2021</t>
        </is>
      </c>
      <c r="B2257" s="1" t="n">
        <v>44462</v>
      </c>
      <c r="C2257" s="1" t="n">
        <v>45744</v>
      </c>
      <c r="D2257" t="inlineStr">
        <is>
          <t>SKÅNE LÄN</t>
        </is>
      </c>
      <c r="E2257" t="inlineStr">
        <is>
          <t>HÄSSLEHOLM</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51893-2021</t>
        </is>
      </c>
      <c r="B2258" s="1" t="n">
        <v>44462</v>
      </c>
      <c r="C2258" s="1" t="n">
        <v>45744</v>
      </c>
      <c r="D2258" t="inlineStr">
        <is>
          <t>SKÅNE LÄN</t>
        </is>
      </c>
      <c r="E2258" t="inlineStr">
        <is>
          <t>HÄSSLEHOLM</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51859-2021</t>
        </is>
      </c>
      <c r="B2259" s="1" t="n">
        <v>44462</v>
      </c>
      <c r="C2259" s="1" t="n">
        <v>45744</v>
      </c>
      <c r="D2259" t="inlineStr">
        <is>
          <t>SKÅNE LÄN</t>
        </is>
      </c>
      <c r="E2259" t="inlineStr">
        <is>
          <t>OSBY</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51888-2021</t>
        </is>
      </c>
      <c r="B2260" s="1" t="n">
        <v>44462</v>
      </c>
      <c r="C2260" s="1" t="n">
        <v>45744</v>
      </c>
      <c r="D2260" t="inlineStr">
        <is>
          <t>SKÅNE LÄN</t>
        </is>
      </c>
      <c r="E2260" t="inlineStr">
        <is>
          <t>HÄSSLEHOLM</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52057-2021</t>
        </is>
      </c>
      <c r="B2261" s="1" t="n">
        <v>44463</v>
      </c>
      <c r="C2261" s="1" t="n">
        <v>45744</v>
      </c>
      <c r="D2261" t="inlineStr">
        <is>
          <t>SKÅNE LÄN</t>
        </is>
      </c>
      <c r="E2261" t="inlineStr">
        <is>
          <t>KRISTIANSTAD</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52196-2021</t>
        </is>
      </c>
      <c r="B2262" s="1" t="n">
        <v>44463</v>
      </c>
      <c r="C2262" s="1" t="n">
        <v>45744</v>
      </c>
      <c r="D2262" t="inlineStr">
        <is>
          <t>SKÅNE LÄN</t>
        </is>
      </c>
      <c r="E2262" t="inlineStr">
        <is>
          <t>OSBY</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52235-2021</t>
        </is>
      </c>
      <c r="B2263" s="1" t="n">
        <v>44463</v>
      </c>
      <c r="C2263" s="1" t="n">
        <v>45744</v>
      </c>
      <c r="D2263" t="inlineStr">
        <is>
          <t>SKÅNE LÄN</t>
        </is>
      </c>
      <c r="E2263" t="inlineStr">
        <is>
          <t>HÄSSLEHOLM</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52295-2021</t>
        </is>
      </c>
      <c r="B2264" s="1" t="n">
        <v>44463</v>
      </c>
      <c r="C2264" s="1" t="n">
        <v>45744</v>
      </c>
      <c r="D2264" t="inlineStr">
        <is>
          <t>SKÅNE LÄN</t>
        </is>
      </c>
      <c r="E2264" t="inlineStr">
        <is>
          <t>HÄSSLEHOLM</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52306-2021</t>
        </is>
      </c>
      <c r="B2265" s="1" t="n">
        <v>44463</v>
      </c>
      <c r="C2265" s="1" t="n">
        <v>45744</v>
      </c>
      <c r="D2265" t="inlineStr">
        <is>
          <t>SKÅNE LÄN</t>
        </is>
      </c>
      <c r="E2265" t="inlineStr">
        <is>
          <t>HÄSSLEHOLM</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52304-2021</t>
        </is>
      </c>
      <c r="B2266" s="1" t="n">
        <v>44463</v>
      </c>
      <c r="C2266" s="1" t="n">
        <v>45744</v>
      </c>
      <c r="D2266" t="inlineStr">
        <is>
          <t>SKÅNE LÄN</t>
        </is>
      </c>
      <c r="E2266" t="inlineStr">
        <is>
          <t>ÖSTRA GÖINGE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52372-2021</t>
        </is>
      </c>
      <c r="B2267" s="1" t="n">
        <v>44465</v>
      </c>
      <c r="C2267" s="1" t="n">
        <v>45744</v>
      </c>
      <c r="D2267" t="inlineStr">
        <is>
          <t>SKÅNE LÄN</t>
        </is>
      </c>
      <c r="E2267" t="inlineStr">
        <is>
          <t>ÖRKELLJUNGA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52642-2021</t>
        </is>
      </c>
      <c r="B2268" s="1" t="n">
        <v>44466</v>
      </c>
      <c r="C2268" s="1" t="n">
        <v>45744</v>
      </c>
      <c r="D2268" t="inlineStr">
        <is>
          <t>SKÅNE LÄN</t>
        </is>
      </c>
      <c r="E2268" t="inlineStr">
        <is>
          <t>HÄSSLEHOLM</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52461-2021</t>
        </is>
      </c>
      <c r="B2269" s="1" t="n">
        <v>44466</v>
      </c>
      <c r="C2269" s="1" t="n">
        <v>45744</v>
      </c>
      <c r="D2269" t="inlineStr">
        <is>
          <t>SKÅNE LÄN</t>
        </is>
      </c>
      <c r="E2269" t="inlineStr">
        <is>
          <t>HÄSSLEHOLM</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52567-2021</t>
        </is>
      </c>
      <c r="B2270" s="1" t="n">
        <v>44466</v>
      </c>
      <c r="C2270" s="1" t="n">
        <v>45744</v>
      </c>
      <c r="D2270" t="inlineStr">
        <is>
          <t>SKÅNE LÄN</t>
        </is>
      </c>
      <c r="E2270" t="inlineStr">
        <is>
          <t>HÄSSLEHOLM</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52625-2021</t>
        </is>
      </c>
      <c r="B2271" s="1" t="n">
        <v>44466</v>
      </c>
      <c r="C2271" s="1" t="n">
        <v>45744</v>
      </c>
      <c r="D2271" t="inlineStr">
        <is>
          <t>SKÅNE LÄN</t>
        </is>
      </c>
      <c r="E2271" t="inlineStr">
        <is>
          <t>ÖSTRA GÖINGE</t>
        </is>
      </c>
      <c r="F2271" t="inlineStr">
        <is>
          <t>Kyrkan</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52522-2021</t>
        </is>
      </c>
      <c r="B2272" s="1" t="n">
        <v>44466</v>
      </c>
      <c r="C2272" s="1" t="n">
        <v>45744</v>
      </c>
      <c r="D2272" t="inlineStr">
        <is>
          <t>SKÅNE LÄN</t>
        </is>
      </c>
      <c r="E2272" t="inlineStr">
        <is>
          <t>ÖSTRA GÖINGE</t>
        </is>
      </c>
      <c r="F2272" t="inlineStr">
        <is>
          <t>Sveaskog</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52528-2021</t>
        </is>
      </c>
      <c r="B2273" s="1" t="n">
        <v>44466</v>
      </c>
      <c r="C2273" s="1" t="n">
        <v>45744</v>
      </c>
      <c r="D2273" t="inlineStr">
        <is>
          <t>SKÅNE LÄN</t>
        </is>
      </c>
      <c r="E2273" t="inlineStr">
        <is>
          <t>ÖRKELLJUNGA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52832-2021</t>
        </is>
      </c>
      <c r="B2274" s="1" t="n">
        <v>44466</v>
      </c>
      <c r="C2274" s="1" t="n">
        <v>45744</v>
      </c>
      <c r="D2274" t="inlineStr">
        <is>
          <t>SKÅNE LÄN</t>
        </is>
      </c>
      <c r="E2274" t="inlineStr">
        <is>
          <t>HÖRBY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52729-2021</t>
        </is>
      </c>
      <c r="B2275" s="1" t="n">
        <v>44467</v>
      </c>
      <c r="C2275" s="1" t="n">
        <v>45744</v>
      </c>
      <c r="D2275" t="inlineStr">
        <is>
          <t>SKÅNE LÄN</t>
        </is>
      </c>
      <c r="E2275" t="inlineStr">
        <is>
          <t>PERSTORP</t>
        </is>
      </c>
      <c r="G2275" t="n">
        <v>0.1</v>
      </c>
      <c r="H2275" t="n">
        <v>0</v>
      </c>
      <c r="I2275" t="n">
        <v>0</v>
      </c>
      <c r="J2275" t="n">
        <v>0</v>
      </c>
      <c r="K2275" t="n">
        <v>0</v>
      </c>
      <c r="L2275" t="n">
        <v>0</v>
      </c>
      <c r="M2275" t="n">
        <v>0</v>
      </c>
      <c r="N2275" t="n">
        <v>0</v>
      </c>
      <c r="O2275" t="n">
        <v>0</v>
      </c>
      <c r="P2275" t="n">
        <v>0</v>
      </c>
      <c r="Q2275" t="n">
        <v>0</v>
      </c>
      <c r="R2275" s="2" t="inlineStr"/>
    </row>
    <row r="2276" ht="15" customHeight="1">
      <c r="A2276" t="inlineStr">
        <is>
          <t>A 52786-2021</t>
        </is>
      </c>
      <c r="B2276" s="1" t="n">
        <v>44467</v>
      </c>
      <c r="C2276" s="1" t="n">
        <v>45744</v>
      </c>
      <c r="D2276" t="inlineStr">
        <is>
          <t>SKÅNE LÄN</t>
        </is>
      </c>
      <c r="E2276" t="inlineStr">
        <is>
          <t>HÄSSLEHOLM</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52855-2021</t>
        </is>
      </c>
      <c r="B2277" s="1" t="n">
        <v>44467</v>
      </c>
      <c r="C2277" s="1" t="n">
        <v>45744</v>
      </c>
      <c r="D2277" t="inlineStr">
        <is>
          <t>SKÅNE LÄN</t>
        </is>
      </c>
      <c r="E2277" t="inlineStr">
        <is>
          <t>ÖSTRA GÖINGE</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52930-2021</t>
        </is>
      </c>
      <c r="B2278" s="1" t="n">
        <v>44467</v>
      </c>
      <c r="C2278" s="1" t="n">
        <v>45744</v>
      </c>
      <c r="D2278" t="inlineStr">
        <is>
          <t>SKÅNE LÄN</t>
        </is>
      </c>
      <c r="E2278" t="inlineStr">
        <is>
          <t>ÖSTRA GÖINGE</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52924-2021</t>
        </is>
      </c>
      <c r="B2279" s="1" t="n">
        <v>44467</v>
      </c>
      <c r="C2279" s="1" t="n">
        <v>45744</v>
      </c>
      <c r="D2279" t="inlineStr">
        <is>
          <t>SKÅNE LÄN</t>
        </is>
      </c>
      <c r="E2279" t="inlineStr">
        <is>
          <t>KRISTIANSTAD</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53055-2021</t>
        </is>
      </c>
      <c r="B2280" s="1" t="n">
        <v>44467</v>
      </c>
      <c r="C2280" s="1" t="n">
        <v>45744</v>
      </c>
      <c r="D2280" t="inlineStr">
        <is>
          <t>SKÅNE LÄN</t>
        </is>
      </c>
      <c r="E2280" t="inlineStr">
        <is>
          <t>HÄSSLEHOLM</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53130-2021</t>
        </is>
      </c>
      <c r="B2281" s="1" t="n">
        <v>44468</v>
      </c>
      <c r="C2281" s="1" t="n">
        <v>45744</v>
      </c>
      <c r="D2281" t="inlineStr">
        <is>
          <t>SKÅNE LÄN</t>
        </is>
      </c>
      <c r="E2281" t="inlineStr">
        <is>
          <t>BÅSTAD</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53339-2021</t>
        </is>
      </c>
      <c r="B2282" s="1" t="n">
        <v>44468</v>
      </c>
      <c r="C2282" s="1" t="n">
        <v>45744</v>
      </c>
      <c r="D2282" t="inlineStr">
        <is>
          <t>SKÅNE LÄN</t>
        </is>
      </c>
      <c r="E2282" t="inlineStr">
        <is>
          <t>OSBY</t>
        </is>
      </c>
      <c r="G2282" t="n">
        <v>7</v>
      </c>
      <c r="H2282" t="n">
        <v>0</v>
      </c>
      <c r="I2282" t="n">
        <v>0</v>
      </c>
      <c r="J2282" t="n">
        <v>0</v>
      </c>
      <c r="K2282" t="n">
        <v>0</v>
      </c>
      <c r="L2282" t="n">
        <v>0</v>
      </c>
      <c r="M2282" t="n">
        <v>0</v>
      </c>
      <c r="N2282" t="n">
        <v>0</v>
      </c>
      <c r="O2282" t="n">
        <v>0</v>
      </c>
      <c r="P2282" t="n">
        <v>0</v>
      </c>
      <c r="Q2282" t="n">
        <v>0</v>
      </c>
      <c r="R2282" s="2" t="inlineStr"/>
    </row>
    <row r="2283" ht="15" customHeight="1">
      <c r="A2283" t="inlineStr">
        <is>
          <t>A 53258-2021</t>
        </is>
      </c>
      <c r="B2283" s="1" t="n">
        <v>44468</v>
      </c>
      <c r="C2283" s="1" t="n">
        <v>45744</v>
      </c>
      <c r="D2283" t="inlineStr">
        <is>
          <t>SKÅNE LÄN</t>
        </is>
      </c>
      <c r="E2283" t="inlineStr">
        <is>
          <t>KRISTIANSTAD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53131-2021</t>
        </is>
      </c>
      <c r="B2284" s="1" t="n">
        <v>44468</v>
      </c>
      <c r="C2284" s="1" t="n">
        <v>45744</v>
      </c>
      <c r="D2284" t="inlineStr">
        <is>
          <t>SKÅNE LÄN</t>
        </is>
      </c>
      <c r="E2284" t="inlineStr">
        <is>
          <t>BÅSTAD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53431-2021</t>
        </is>
      </c>
      <c r="B2285" s="1" t="n">
        <v>44468</v>
      </c>
      <c r="C2285" s="1" t="n">
        <v>45744</v>
      </c>
      <c r="D2285" t="inlineStr">
        <is>
          <t>SKÅNE LÄN</t>
        </is>
      </c>
      <c r="E2285" t="inlineStr">
        <is>
          <t>ÖRKELLJUNGA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53491-2021</t>
        </is>
      </c>
      <c r="B2286" s="1" t="n">
        <v>44468</v>
      </c>
      <c r="C2286" s="1" t="n">
        <v>45744</v>
      </c>
      <c r="D2286" t="inlineStr">
        <is>
          <t>SKÅNE LÄN</t>
        </is>
      </c>
      <c r="E2286" t="inlineStr">
        <is>
          <t>KRISTIANSTAD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53784-2021</t>
        </is>
      </c>
      <c r="B2287" s="1" t="n">
        <v>44469</v>
      </c>
      <c r="C2287" s="1" t="n">
        <v>45744</v>
      </c>
      <c r="D2287" t="inlineStr">
        <is>
          <t>SKÅNE LÄN</t>
        </is>
      </c>
      <c r="E2287" t="inlineStr">
        <is>
          <t>PERSTORP</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53935-2021</t>
        </is>
      </c>
      <c r="B2288" s="1" t="n">
        <v>44469</v>
      </c>
      <c r="C2288" s="1" t="n">
        <v>45744</v>
      </c>
      <c r="D2288" t="inlineStr">
        <is>
          <t>SKÅNE LÄN</t>
        </is>
      </c>
      <c r="E2288" t="inlineStr">
        <is>
          <t>OSBY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53917-2021</t>
        </is>
      </c>
      <c r="B2289" s="1" t="n">
        <v>44469</v>
      </c>
      <c r="C2289" s="1" t="n">
        <v>45744</v>
      </c>
      <c r="D2289" t="inlineStr">
        <is>
          <t>SKÅNE LÄN</t>
        </is>
      </c>
      <c r="E2289" t="inlineStr">
        <is>
          <t>OSBY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54175-2021</t>
        </is>
      </c>
      <c r="B2290" s="1" t="n">
        <v>44470</v>
      </c>
      <c r="C2290" s="1" t="n">
        <v>45744</v>
      </c>
      <c r="D2290" t="inlineStr">
        <is>
          <t>SKÅNE LÄN</t>
        </is>
      </c>
      <c r="E2290" t="inlineStr">
        <is>
          <t>HÄSSLEHOLM</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54057-2021</t>
        </is>
      </c>
      <c r="B2291" s="1" t="n">
        <v>44470</v>
      </c>
      <c r="C2291" s="1" t="n">
        <v>45744</v>
      </c>
      <c r="D2291" t="inlineStr">
        <is>
          <t>SKÅNE LÄN</t>
        </is>
      </c>
      <c r="E2291" t="inlineStr">
        <is>
          <t>KRISTIANSTAD</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54171-2021</t>
        </is>
      </c>
      <c r="B2292" s="1" t="n">
        <v>44470</v>
      </c>
      <c r="C2292" s="1" t="n">
        <v>45744</v>
      </c>
      <c r="D2292" t="inlineStr">
        <is>
          <t>SKÅNE LÄN</t>
        </is>
      </c>
      <c r="E2292" t="inlineStr">
        <is>
          <t>HÄSSLEHOLM</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54178-2021</t>
        </is>
      </c>
      <c r="B2293" s="1" t="n">
        <v>44470</v>
      </c>
      <c r="C2293" s="1" t="n">
        <v>45744</v>
      </c>
      <c r="D2293" t="inlineStr">
        <is>
          <t>SKÅNE LÄN</t>
        </is>
      </c>
      <c r="E2293" t="inlineStr">
        <is>
          <t>HÄSSLEHOLM</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54307-2021</t>
        </is>
      </c>
      <c r="B2294" s="1" t="n">
        <v>44472</v>
      </c>
      <c r="C2294" s="1" t="n">
        <v>45744</v>
      </c>
      <c r="D2294" t="inlineStr">
        <is>
          <t>SKÅNE LÄN</t>
        </is>
      </c>
      <c r="E2294" t="inlineStr">
        <is>
          <t>OSBY</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54305-2021</t>
        </is>
      </c>
      <c r="B2295" s="1" t="n">
        <v>44472</v>
      </c>
      <c r="C2295" s="1" t="n">
        <v>45744</v>
      </c>
      <c r="D2295" t="inlineStr">
        <is>
          <t>SKÅNE LÄN</t>
        </is>
      </c>
      <c r="E2295" t="inlineStr">
        <is>
          <t>PERSTORP</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54317-2021</t>
        </is>
      </c>
      <c r="B2296" s="1" t="n">
        <v>44472</v>
      </c>
      <c r="C2296" s="1" t="n">
        <v>45744</v>
      </c>
      <c r="D2296" t="inlineStr">
        <is>
          <t>SKÅNE LÄN</t>
        </is>
      </c>
      <c r="E2296" t="inlineStr">
        <is>
          <t>ÖSTRA GÖINGE</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54411-2021</t>
        </is>
      </c>
      <c r="B2297" s="1" t="n">
        <v>44473</v>
      </c>
      <c r="C2297" s="1" t="n">
        <v>45744</v>
      </c>
      <c r="D2297" t="inlineStr">
        <is>
          <t>SKÅNE LÄN</t>
        </is>
      </c>
      <c r="E2297" t="inlineStr">
        <is>
          <t>PERSTORP</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54686-2021</t>
        </is>
      </c>
      <c r="B2298" s="1" t="n">
        <v>44473</v>
      </c>
      <c r="C2298" s="1" t="n">
        <v>45744</v>
      </c>
      <c r="D2298" t="inlineStr">
        <is>
          <t>SKÅNE LÄN</t>
        </is>
      </c>
      <c r="E2298" t="inlineStr">
        <is>
          <t>HÖÖR</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55056-2021</t>
        </is>
      </c>
      <c r="B2299" s="1" t="n">
        <v>44474</v>
      </c>
      <c r="C2299" s="1" t="n">
        <v>45744</v>
      </c>
      <c r="D2299" t="inlineStr">
        <is>
          <t>SKÅNE LÄN</t>
        </is>
      </c>
      <c r="E2299" t="inlineStr">
        <is>
          <t>HÄSSLEHOLM</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54894-2021</t>
        </is>
      </c>
      <c r="B2300" s="1" t="n">
        <v>44474</v>
      </c>
      <c r="C2300" s="1" t="n">
        <v>45744</v>
      </c>
      <c r="D2300" t="inlineStr">
        <is>
          <t>SKÅNE LÄN</t>
        </is>
      </c>
      <c r="E2300" t="inlineStr">
        <is>
          <t>ÖSTRA GÖINGE</t>
        </is>
      </c>
      <c r="F2300" t="inlineStr">
        <is>
          <t>Kyrkan</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55416-2021</t>
        </is>
      </c>
      <c r="B2301" s="1" t="n">
        <v>44475</v>
      </c>
      <c r="C2301" s="1" t="n">
        <v>45744</v>
      </c>
      <c r="D2301" t="inlineStr">
        <is>
          <t>SKÅNE LÄN</t>
        </is>
      </c>
      <c r="E2301" t="inlineStr">
        <is>
          <t>HÄSSLEHOLM</t>
        </is>
      </c>
      <c r="G2301" t="n">
        <v>9.199999999999999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55454-2021</t>
        </is>
      </c>
      <c r="B2302" s="1" t="n">
        <v>44475</v>
      </c>
      <c r="C2302" s="1" t="n">
        <v>45744</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55572-2021</t>
        </is>
      </c>
      <c r="B2303" s="1" t="n">
        <v>44475</v>
      </c>
      <c r="C2303" s="1" t="n">
        <v>45744</v>
      </c>
      <c r="D2303" t="inlineStr">
        <is>
          <t>SKÅNE LÄN</t>
        </is>
      </c>
      <c r="E2303" t="inlineStr">
        <is>
          <t>OSBY</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55586-2021</t>
        </is>
      </c>
      <c r="B2304" s="1" t="n">
        <v>44475</v>
      </c>
      <c r="C2304" s="1" t="n">
        <v>45744</v>
      </c>
      <c r="D2304" t="inlineStr">
        <is>
          <t>SKÅNE LÄN</t>
        </is>
      </c>
      <c r="E2304" t="inlineStr">
        <is>
          <t>KLIPPAN</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55587-2021</t>
        </is>
      </c>
      <c r="B2305" s="1" t="n">
        <v>44475</v>
      </c>
      <c r="C2305" s="1" t="n">
        <v>45744</v>
      </c>
      <c r="D2305" t="inlineStr">
        <is>
          <t>SKÅNE LÄN</t>
        </is>
      </c>
      <c r="E2305" t="inlineStr">
        <is>
          <t>KLIPPAN</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55588-2021</t>
        </is>
      </c>
      <c r="B2306" s="1" t="n">
        <v>44475</v>
      </c>
      <c r="C2306" s="1" t="n">
        <v>45744</v>
      </c>
      <c r="D2306" t="inlineStr">
        <is>
          <t>SKÅNE LÄN</t>
        </is>
      </c>
      <c r="E2306" t="inlineStr">
        <is>
          <t>KLIPPAN</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55737-2021</t>
        </is>
      </c>
      <c r="B2307" s="1" t="n">
        <v>44476</v>
      </c>
      <c r="C2307" s="1" t="n">
        <v>45744</v>
      </c>
      <c r="D2307" t="inlineStr">
        <is>
          <t>SKÅNE LÄN</t>
        </is>
      </c>
      <c r="E2307" t="inlineStr">
        <is>
          <t>KRISTIANSTAD</t>
        </is>
      </c>
      <c r="F2307" t="inlineStr">
        <is>
          <t>Sveaskog</t>
        </is>
      </c>
      <c r="G2307" t="n">
        <v>7.4</v>
      </c>
      <c r="H2307" t="n">
        <v>0</v>
      </c>
      <c r="I2307" t="n">
        <v>0</v>
      </c>
      <c r="J2307" t="n">
        <v>0</v>
      </c>
      <c r="K2307" t="n">
        <v>0</v>
      </c>
      <c r="L2307" t="n">
        <v>0</v>
      </c>
      <c r="M2307" t="n">
        <v>0</v>
      </c>
      <c r="N2307" t="n">
        <v>0</v>
      </c>
      <c r="O2307" t="n">
        <v>0</v>
      </c>
      <c r="P2307" t="n">
        <v>0</v>
      </c>
      <c r="Q2307" t="n">
        <v>0</v>
      </c>
      <c r="R2307" s="2" t="inlineStr"/>
    </row>
    <row r="2308" ht="15" customHeight="1">
      <c r="A2308" t="inlineStr">
        <is>
          <t>A 56006-2021</t>
        </is>
      </c>
      <c r="B2308" s="1" t="n">
        <v>44477</v>
      </c>
      <c r="C2308" s="1" t="n">
        <v>45744</v>
      </c>
      <c r="D2308" t="inlineStr">
        <is>
          <t>SKÅNE LÄN</t>
        </is>
      </c>
      <c r="E2308" t="inlineStr">
        <is>
          <t>ÖRKELLJUNGA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56063-2021</t>
        </is>
      </c>
      <c r="B2309" s="1" t="n">
        <v>44477</v>
      </c>
      <c r="C2309" s="1" t="n">
        <v>45744</v>
      </c>
      <c r="D2309" t="inlineStr">
        <is>
          <t>SKÅNE LÄN</t>
        </is>
      </c>
      <c r="E2309" t="inlineStr">
        <is>
          <t>ÄNGELHOLM</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56137-2021</t>
        </is>
      </c>
      <c r="B2310" s="1" t="n">
        <v>44477</v>
      </c>
      <c r="C2310" s="1" t="n">
        <v>45744</v>
      </c>
      <c r="D2310" t="inlineStr">
        <is>
          <t>SKÅNE LÄN</t>
        </is>
      </c>
      <c r="E2310" t="inlineStr">
        <is>
          <t>SJÖBO</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56094-2021</t>
        </is>
      </c>
      <c r="B2311" s="1" t="n">
        <v>44477</v>
      </c>
      <c r="C2311" s="1" t="n">
        <v>45744</v>
      </c>
      <c r="D2311" t="inlineStr">
        <is>
          <t>SKÅNE LÄN</t>
        </is>
      </c>
      <c r="E2311" t="inlineStr">
        <is>
          <t>ÄNGELHOLM</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56177-2021</t>
        </is>
      </c>
      <c r="B2312" s="1" t="n">
        <v>44477</v>
      </c>
      <c r="C2312" s="1" t="n">
        <v>45744</v>
      </c>
      <c r="D2312" t="inlineStr">
        <is>
          <t>SKÅNE LÄN</t>
        </is>
      </c>
      <c r="E2312" t="inlineStr">
        <is>
          <t>OSBY</t>
        </is>
      </c>
      <c r="F2312" t="inlineStr">
        <is>
          <t>Kommuner</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56089-2021</t>
        </is>
      </c>
      <c r="B2313" s="1" t="n">
        <v>44477</v>
      </c>
      <c r="C2313" s="1" t="n">
        <v>45744</v>
      </c>
      <c r="D2313" t="inlineStr">
        <is>
          <t>SKÅNE LÄN</t>
        </is>
      </c>
      <c r="E2313" t="inlineStr">
        <is>
          <t>KLIPPAN</t>
        </is>
      </c>
      <c r="G2313" t="n">
        <v>20.9</v>
      </c>
      <c r="H2313" t="n">
        <v>0</v>
      </c>
      <c r="I2313" t="n">
        <v>0</v>
      </c>
      <c r="J2313" t="n">
        <v>0</v>
      </c>
      <c r="K2313" t="n">
        <v>0</v>
      </c>
      <c r="L2313" t="n">
        <v>0</v>
      </c>
      <c r="M2313" t="n">
        <v>0</v>
      </c>
      <c r="N2313" t="n">
        <v>0</v>
      </c>
      <c r="O2313" t="n">
        <v>0</v>
      </c>
      <c r="P2313" t="n">
        <v>0</v>
      </c>
      <c r="Q2313" t="n">
        <v>0</v>
      </c>
      <c r="R2313" s="2" t="inlineStr"/>
    </row>
    <row r="2314" ht="15" customHeight="1">
      <c r="A2314" t="inlineStr">
        <is>
          <t>A 56021-2021</t>
        </is>
      </c>
      <c r="B2314" s="1" t="n">
        <v>44477</v>
      </c>
      <c r="C2314" s="1" t="n">
        <v>45744</v>
      </c>
      <c r="D2314" t="inlineStr">
        <is>
          <t>SKÅNE LÄN</t>
        </is>
      </c>
      <c r="E2314" t="inlineStr">
        <is>
          <t>ÖRKELLJUNGA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56229-2021</t>
        </is>
      </c>
      <c r="B2315" s="1" t="n">
        <v>44478</v>
      </c>
      <c r="C2315" s="1" t="n">
        <v>45744</v>
      </c>
      <c r="D2315" t="inlineStr">
        <is>
          <t>SKÅNE LÄN</t>
        </is>
      </c>
      <c r="E2315" t="inlineStr">
        <is>
          <t>OSBY</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56431-2021</t>
        </is>
      </c>
      <c r="B2316" s="1" t="n">
        <v>44480</v>
      </c>
      <c r="C2316" s="1" t="n">
        <v>45744</v>
      </c>
      <c r="D2316" t="inlineStr">
        <is>
          <t>SKÅNE LÄN</t>
        </is>
      </c>
      <c r="E2316" t="inlineStr">
        <is>
          <t>HÄSSLEHOLM</t>
        </is>
      </c>
      <c r="F2316" t="inlineStr">
        <is>
          <t>Kyrkan</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56454-2021</t>
        </is>
      </c>
      <c r="B2317" s="1" t="n">
        <v>44480</v>
      </c>
      <c r="C2317" s="1" t="n">
        <v>45744</v>
      </c>
      <c r="D2317" t="inlineStr">
        <is>
          <t>SKÅNE LÄN</t>
        </is>
      </c>
      <c r="E2317" t="inlineStr">
        <is>
          <t>KRISTIANSTAD</t>
        </is>
      </c>
      <c r="F2317" t="inlineStr">
        <is>
          <t>Kyrkan</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56502-2021</t>
        </is>
      </c>
      <c r="B2318" s="1" t="n">
        <v>44480</v>
      </c>
      <c r="C2318" s="1" t="n">
        <v>45744</v>
      </c>
      <c r="D2318" t="inlineStr">
        <is>
          <t>SKÅNE LÄN</t>
        </is>
      </c>
      <c r="E2318" t="inlineStr">
        <is>
          <t>HÄSSLEHOLM</t>
        </is>
      </c>
      <c r="F2318" t="inlineStr">
        <is>
          <t>Kyrkan</t>
        </is>
      </c>
      <c r="G2318" t="n">
        <v>13.8</v>
      </c>
      <c r="H2318" t="n">
        <v>0</v>
      </c>
      <c r="I2318" t="n">
        <v>0</v>
      </c>
      <c r="J2318" t="n">
        <v>0</v>
      </c>
      <c r="K2318" t="n">
        <v>0</v>
      </c>
      <c r="L2318" t="n">
        <v>0</v>
      </c>
      <c r="M2318" t="n">
        <v>0</v>
      </c>
      <c r="N2318" t="n">
        <v>0</v>
      </c>
      <c r="O2318" t="n">
        <v>0</v>
      </c>
      <c r="P2318" t="n">
        <v>0</v>
      </c>
      <c r="Q2318" t="n">
        <v>0</v>
      </c>
      <c r="R2318" s="2" t="inlineStr"/>
    </row>
    <row r="2319" ht="15" customHeight="1">
      <c r="A2319" t="inlineStr">
        <is>
          <t>A 56328-2021</t>
        </is>
      </c>
      <c r="B2319" s="1" t="n">
        <v>44480</v>
      </c>
      <c r="C2319" s="1" t="n">
        <v>45744</v>
      </c>
      <c r="D2319" t="inlineStr">
        <is>
          <t>SKÅNE LÄN</t>
        </is>
      </c>
      <c r="E2319" t="inlineStr">
        <is>
          <t>OSBY</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56424-2021</t>
        </is>
      </c>
      <c r="B2320" s="1" t="n">
        <v>44480</v>
      </c>
      <c r="C2320" s="1" t="n">
        <v>45744</v>
      </c>
      <c r="D2320" t="inlineStr">
        <is>
          <t>SKÅNE LÄN</t>
        </is>
      </c>
      <c r="E2320" t="inlineStr">
        <is>
          <t>HÄSSLEHOLM</t>
        </is>
      </c>
      <c r="F2320" t="inlineStr">
        <is>
          <t>Kyrkan</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56477-2021</t>
        </is>
      </c>
      <c r="B2321" s="1" t="n">
        <v>44480</v>
      </c>
      <c r="C2321" s="1" t="n">
        <v>45744</v>
      </c>
      <c r="D2321" t="inlineStr">
        <is>
          <t>SKÅNE LÄN</t>
        </is>
      </c>
      <c r="E2321" t="inlineStr">
        <is>
          <t>HÄSSLEHOLM</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56490-2021</t>
        </is>
      </c>
      <c r="B2322" s="1" t="n">
        <v>44480</v>
      </c>
      <c r="C2322" s="1" t="n">
        <v>45744</v>
      </c>
      <c r="D2322" t="inlineStr">
        <is>
          <t>SKÅNE LÄN</t>
        </is>
      </c>
      <c r="E2322" t="inlineStr">
        <is>
          <t>HÄSSLEHOLM</t>
        </is>
      </c>
      <c r="F2322" t="inlineStr">
        <is>
          <t>Kyrkan</t>
        </is>
      </c>
      <c r="G2322" t="n">
        <v>8.300000000000001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56443-2021</t>
        </is>
      </c>
      <c r="B2323" s="1" t="n">
        <v>44480</v>
      </c>
      <c r="C2323" s="1" t="n">
        <v>45744</v>
      </c>
      <c r="D2323" t="inlineStr">
        <is>
          <t>SKÅNE LÄN</t>
        </is>
      </c>
      <c r="E2323" t="inlineStr">
        <is>
          <t>ÖSTRA GÖINGE</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56512-2021</t>
        </is>
      </c>
      <c r="B2324" s="1" t="n">
        <v>44480</v>
      </c>
      <c r="C2324" s="1" t="n">
        <v>45744</v>
      </c>
      <c r="D2324" t="inlineStr">
        <is>
          <t>SKÅNE LÄN</t>
        </is>
      </c>
      <c r="E2324" t="inlineStr">
        <is>
          <t>HÖÖR</t>
        </is>
      </c>
      <c r="G2324" t="n">
        <v>13.3</v>
      </c>
      <c r="H2324" t="n">
        <v>0</v>
      </c>
      <c r="I2324" t="n">
        <v>0</v>
      </c>
      <c r="J2324" t="n">
        <v>0</v>
      </c>
      <c r="K2324" t="n">
        <v>0</v>
      </c>
      <c r="L2324" t="n">
        <v>0</v>
      </c>
      <c r="M2324" t="n">
        <v>0</v>
      </c>
      <c r="N2324" t="n">
        <v>0</v>
      </c>
      <c r="O2324" t="n">
        <v>0</v>
      </c>
      <c r="P2324" t="n">
        <v>0</v>
      </c>
      <c r="Q2324" t="n">
        <v>0</v>
      </c>
      <c r="R2324" s="2" t="inlineStr"/>
    </row>
    <row r="2325" ht="15" customHeight="1">
      <c r="A2325" t="inlineStr">
        <is>
          <t>A 56527-2021</t>
        </is>
      </c>
      <c r="B2325" s="1" t="n">
        <v>44480</v>
      </c>
      <c r="C2325" s="1" t="n">
        <v>45744</v>
      </c>
      <c r="D2325" t="inlineStr">
        <is>
          <t>SKÅNE LÄN</t>
        </is>
      </c>
      <c r="E2325" t="inlineStr">
        <is>
          <t>HÄSSLEHOLM</t>
        </is>
      </c>
      <c r="F2325" t="inlineStr">
        <is>
          <t>Kyrkan</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56569-2021</t>
        </is>
      </c>
      <c r="B2326" s="1" t="n">
        <v>44480</v>
      </c>
      <c r="C2326" s="1" t="n">
        <v>45744</v>
      </c>
      <c r="D2326" t="inlineStr">
        <is>
          <t>SKÅNE LÄN</t>
        </is>
      </c>
      <c r="E2326" t="inlineStr">
        <is>
          <t>ÄNGELHOLM</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56855-2021</t>
        </is>
      </c>
      <c r="B2327" s="1" t="n">
        <v>44481</v>
      </c>
      <c r="C2327" s="1" t="n">
        <v>45744</v>
      </c>
      <c r="D2327" t="inlineStr">
        <is>
          <t>SKÅNE LÄN</t>
        </is>
      </c>
      <c r="E2327" t="inlineStr">
        <is>
          <t>LUND</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56877-2021</t>
        </is>
      </c>
      <c r="B2328" s="1" t="n">
        <v>44481</v>
      </c>
      <c r="C2328" s="1" t="n">
        <v>45744</v>
      </c>
      <c r="D2328" t="inlineStr">
        <is>
          <t>SKÅNE LÄN</t>
        </is>
      </c>
      <c r="E2328" t="inlineStr">
        <is>
          <t>OSBY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56876-2021</t>
        </is>
      </c>
      <c r="B2329" s="1" t="n">
        <v>44481</v>
      </c>
      <c r="C2329" s="1" t="n">
        <v>45744</v>
      </c>
      <c r="D2329" t="inlineStr">
        <is>
          <t>SKÅNE LÄN</t>
        </is>
      </c>
      <c r="E2329" t="inlineStr">
        <is>
          <t>OSBY</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56881-2021</t>
        </is>
      </c>
      <c r="B2330" s="1" t="n">
        <v>44481</v>
      </c>
      <c r="C2330" s="1" t="n">
        <v>45744</v>
      </c>
      <c r="D2330" t="inlineStr">
        <is>
          <t>SKÅNE LÄN</t>
        </is>
      </c>
      <c r="E2330" t="inlineStr">
        <is>
          <t>HÄSSLEHOLM</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56989-2021</t>
        </is>
      </c>
      <c r="B2331" s="1" t="n">
        <v>44482</v>
      </c>
      <c r="C2331" s="1" t="n">
        <v>45744</v>
      </c>
      <c r="D2331" t="inlineStr">
        <is>
          <t>SKÅNE LÄN</t>
        </is>
      </c>
      <c r="E2331" t="inlineStr">
        <is>
          <t>HÄSSLEHOLM</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57227-2021</t>
        </is>
      </c>
      <c r="B2332" s="1" t="n">
        <v>44482</v>
      </c>
      <c r="C2332" s="1" t="n">
        <v>45744</v>
      </c>
      <c r="D2332" t="inlineStr">
        <is>
          <t>SKÅNE LÄN</t>
        </is>
      </c>
      <c r="E2332" t="inlineStr">
        <is>
          <t>OSBY</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57488-2021</t>
        </is>
      </c>
      <c r="B2333" s="1" t="n">
        <v>44483</v>
      </c>
      <c r="C2333" s="1" t="n">
        <v>45744</v>
      </c>
      <c r="D2333" t="inlineStr">
        <is>
          <t>SKÅNE LÄN</t>
        </is>
      </c>
      <c r="E2333" t="inlineStr">
        <is>
          <t>KRISTIANSTAD</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57451-2021</t>
        </is>
      </c>
      <c r="B2334" s="1" t="n">
        <v>44483</v>
      </c>
      <c r="C2334" s="1" t="n">
        <v>45744</v>
      </c>
      <c r="D2334" t="inlineStr">
        <is>
          <t>SKÅNE LÄN</t>
        </is>
      </c>
      <c r="E2334" t="inlineStr">
        <is>
          <t>SVALÖV</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58175-2021</t>
        </is>
      </c>
      <c r="B2335" s="1" t="n">
        <v>44487</v>
      </c>
      <c r="C2335" s="1" t="n">
        <v>45744</v>
      </c>
      <c r="D2335" t="inlineStr">
        <is>
          <t>SKÅNE LÄN</t>
        </is>
      </c>
      <c r="E2335" t="inlineStr">
        <is>
          <t>KRISTIANSTAD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57952-2021</t>
        </is>
      </c>
      <c r="B2336" s="1" t="n">
        <v>44487</v>
      </c>
      <c r="C2336" s="1" t="n">
        <v>45744</v>
      </c>
      <c r="D2336" t="inlineStr">
        <is>
          <t>SKÅNE LÄN</t>
        </is>
      </c>
      <c r="E2336" t="inlineStr">
        <is>
          <t>KLIPPAN</t>
        </is>
      </c>
      <c r="F2336" t="inlineStr">
        <is>
          <t>Övriga Aktiebolag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57997-2021</t>
        </is>
      </c>
      <c r="B2337" s="1" t="n">
        <v>44487</v>
      </c>
      <c r="C2337" s="1" t="n">
        <v>45744</v>
      </c>
      <c r="D2337" t="inlineStr">
        <is>
          <t>SKÅNE LÄN</t>
        </is>
      </c>
      <c r="E2337" t="inlineStr">
        <is>
          <t>PERSTORP</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58346-2021</t>
        </is>
      </c>
      <c r="B2338" s="1" t="n">
        <v>44487</v>
      </c>
      <c r="C2338" s="1" t="n">
        <v>45744</v>
      </c>
      <c r="D2338" t="inlineStr">
        <is>
          <t>SKÅNE LÄN</t>
        </is>
      </c>
      <c r="E2338" t="inlineStr">
        <is>
          <t>OSBY</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58337-2021</t>
        </is>
      </c>
      <c r="B2339" s="1" t="n">
        <v>44487</v>
      </c>
      <c r="C2339" s="1" t="n">
        <v>45744</v>
      </c>
      <c r="D2339" t="inlineStr">
        <is>
          <t>SKÅNE LÄN</t>
        </is>
      </c>
      <c r="E2339" t="inlineStr">
        <is>
          <t>OSBY</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58566-2021</t>
        </is>
      </c>
      <c r="B2340" s="1" t="n">
        <v>44488</v>
      </c>
      <c r="C2340" s="1" t="n">
        <v>45744</v>
      </c>
      <c r="D2340" t="inlineStr">
        <is>
          <t>SKÅNE LÄN</t>
        </is>
      </c>
      <c r="E2340" t="inlineStr">
        <is>
          <t>HÄSSLEHOLM</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58564-2021</t>
        </is>
      </c>
      <c r="B2341" s="1" t="n">
        <v>44488</v>
      </c>
      <c r="C2341" s="1" t="n">
        <v>45744</v>
      </c>
      <c r="D2341" t="inlineStr">
        <is>
          <t>SKÅNE LÄN</t>
        </is>
      </c>
      <c r="E2341" t="inlineStr">
        <is>
          <t>HÄSSLEHOLM</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58633-2021</t>
        </is>
      </c>
      <c r="B2342" s="1" t="n">
        <v>44489</v>
      </c>
      <c r="C2342" s="1" t="n">
        <v>45744</v>
      </c>
      <c r="D2342" t="inlineStr">
        <is>
          <t>SKÅNE LÄN</t>
        </is>
      </c>
      <c r="E2342" t="inlineStr">
        <is>
          <t>KLIPPAN</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58868-2021</t>
        </is>
      </c>
      <c r="B2343" s="1" t="n">
        <v>44489</v>
      </c>
      <c r="C2343" s="1" t="n">
        <v>45744</v>
      </c>
      <c r="D2343" t="inlineStr">
        <is>
          <t>SKÅNE LÄN</t>
        </is>
      </c>
      <c r="E2343" t="inlineStr">
        <is>
          <t>ÖSTRA GÖINGE</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58642-2021</t>
        </is>
      </c>
      <c r="B2344" s="1" t="n">
        <v>44489</v>
      </c>
      <c r="C2344" s="1" t="n">
        <v>45744</v>
      </c>
      <c r="D2344" t="inlineStr">
        <is>
          <t>SKÅNE LÄN</t>
        </is>
      </c>
      <c r="E2344" t="inlineStr">
        <is>
          <t>KLIPPAN</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59008-2021</t>
        </is>
      </c>
      <c r="B2345" s="1" t="n">
        <v>44489</v>
      </c>
      <c r="C2345" s="1" t="n">
        <v>45744</v>
      </c>
      <c r="D2345" t="inlineStr">
        <is>
          <t>SKÅNE LÄN</t>
        </is>
      </c>
      <c r="E2345" t="inlineStr">
        <is>
          <t>KLIPPAN</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59016-2021</t>
        </is>
      </c>
      <c r="B2346" s="1" t="n">
        <v>44489</v>
      </c>
      <c r="C2346" s="1" t="n">
        <v>45744</v>
      </c>
      <c r="D2346" t="inlineStr">
        <is>
          <t>SKÅNE LÄN</t>
        </is>
      </c>
      <c r="E2346" t="inlineStr">
        <is>
          <t>PERSTORP</t>
        </is>
      </c>
      <c r="F2346" t="inlineStr">
        <is>
          <t>Övriga Aktiebolag</t>
        </is>
      </c>
      <c r="G2346" t="n">
        <v>17.6</v>
      </c>
      <c r="H2346" t="n">
        <v>0</v>
      </c>
      <c r="I2346" t="n">
        <v>0</v>
      </c>
      <c r="J2346" t="n">
        <v>0</v>
      </c>
      <c r="K2346" t="n">
        <v>0</v>
      </c>
      <c r="L2346" t="n">
        <v>0</v>
      </c>
      <c r="M2346" t="n">
        <v>0</v>
      </c>
      <c r="N2346" t="n">
        <v>0</v>
      </c>
      <c r="O2346" t="n">
        <v>0</v>
      </c>
      <c r="P2346" t="n">
        <v>0</v>
      </c>
      <c r="Q2346" t="n">
        <v>0</v>
      </c>
      <c r="R2346" s="2" t="inlineStr"/>
    </row>
    <row r="2347" ht="15" customHeight="1">
      <c r="A2347" t="inlineStr">
        <is>
          <t>A 59131-2021</t>
        </is>
      </c>
      <c r="B2347" s="1" t="n">
        <v>44490</v>
      </c>
      <c r="C2347" s="1" t="n">
        <v>45744</v>
      </c>
      <c r="D2347" t="inlineStr">
        <is>
          <t>SKÅNE LÄN</t>
        </is>
      </c>
      <c r="E2347" t="inlineStr">
        <is>
          <t>TOMELILLA</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59137-2021</t>
        </is>
      </c>
      <c r="B2348" s="1" t="n">
        <v>44490</v>
      </c>
      <c r="C2348" s="1" t="n">
        <v>45744</v>
      </c>
      <c r="D2348" t="inlineStr">
        <is>
          <t>SKÅNE LÄN</t>
        </is>
      </c>
      <c r="E2348" t="inlineStr">
        <is>
          <t>HÖÖR</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59390-2021</t>
        </is>
      </c>
      <c r="B2349" s="1" t="n">
        <v>44490</v>
      </c>
      <c r="C2349" s="1" t="n">
        <v>45744</v>
      </c>
      <c r="D2349" t="inlineStr">
        <is>
          <t>SKÅNE LÄN</t>
        </is>
      </c>
      <c r="E2349" t="inlineStr">
        <is>
          <t>HÄSSLEHOLM</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59831-2021</t>
        </is>
      </c>
      <c r="B2350" s="1" t="n">
        <v>44491</v>
      </c>
      <c r="C2350" s="1" t="n">
        <v>45744</v>
      </c>
      <c r="D2350" t="inlineStr">
        <is>
          <t>SKÅNE LÄN</t>
        </is>
      </c>
      <c r="E2350" t="inlineStr">
        <is>
          <t>KRISTIANSTAD</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59754-2021</t>
        </is>
      </c>
      <c r="B2351" s="1" t="n">
        <v>44494</v>
      </c>
      <c r="C2351" s="1" t="n">
        <v>45744</v>
      </c>
      <c r="D2351" t="inlineStr">
        <is>
          <t>SKÅNE LÄN</t>
        </is>
      </c>
      <c r="E2351" t="inlineStr">
        <is>
          <t>OSBY</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59949-2021</t>
        </is>
      </c>
      <c r="B2352" s="1" t="n">
        <v>44494</v>
      </c>
      <c r="C2352" s="1" t="n">
        <v>45744</v>
      </c>
      <c r="D2352" t="inlineStr">
        <is>
          <t>SKÅNE LÄN</t>
        </is>
      </c>
      <c r="E2352" t="inlineStr">
        <is>
          <t>BROMÖLLA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60021-2021</t>
        </is>
      </c>
      <c r="B2353" s="1" t="n">
        <v>44495</v>
      </c>
      <c r="C2353" s="1" t="n">
        <v>45744</v>
      </c>
      <c r="D2353" t="inlineStr">
        <is>
          <t>SKÅNE LÄN</t>
        </is>
      </c>
      <c r="E2353" t="inlineStr">
        <is>
          <t>PERSTORP</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60260-2021</t>
        </is>
      </c>
      <c r="B2354" s="1" t="n">
        <v>44495</v>
      </c>
      <c r="C2354" s="1" t="n">
        <v>45744</v>
      </c>
      <c r="D2354" t="inlineStr">
        <is>
          <t>SKÅNE LÄN</t>
        </is>
      </c>
      <c r="E2354" t="inlineStr">
        <is>
          <t>HÄSSLEHOLM</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60263-2021</t>
        </is>
      </c>
      <c r="B2355" s="1" t="n">
        <v>44495</v>
      </c>
      <c r="C2355" s="1" t="n">
        <v>45744</v>
      </c>
      <c r="D2355" t="inlineStr">
        <is>
          <t>SKÅNE LÄN</t>
        </is>
      </c>
      <c r="E2355" t="inlineStr">
        <is>
          <t>SJÖBO</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61147-2021</t>
        </is>
      </c>
      <c r="B2356" s="1" t="n">
        <v>44497</v>
      </c>
      <c r="C2356" s="1" t="n">
        <v>45744</v>
      </c>
      <c r="D2356" t="inlineStr">
        <is>
          <t>SKÅNE LÄN</t>
        </is>
      </c>
      <c r="E2356" t="inlineStr">
        <is>
          <t>KRISTIANSTAD</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61198-2021</t>
        </is>
      </c>
      <c r="B2357" s="1" t="n">
        <v>44497</v>
      </c>
      <c r="C2357" s="1" t="n">
        <v>45744</v>
      </c>
      <c r="D2357" t="inlineStr">
        <is>
          <t>SKÅNE LÄN</t>
        </is>
      </c>
      <c r="E2357" t="inlineStr">
        <is>
          <t>KRISTIANSTAD</t>
        </is>
      </c>
      <c r="G2357" t="n">
        <v>13.8</v>
      </c>
      <c r="H2357" t="n">
        <v>0</v>
      </c>
      <c r="I2357" t="n">
        <v>0</v>
      </c>
      <c r="J2357" t="n">
        <v>0</v>
      </c>
      <c r="K2357" t="n">
        <v>0</v>
      </c>
      <c r="L2357" t="n">
        <v>0</v>
      </c>
      <c r="M2357" t="n">
        <v>0</v>
      </c>
      <c r="N2357" t="n">
        <v>0</v>
      </c>
      <c r="O2357" t="n">
        <v>0</v>
      </c>
      <c r="P2357" t="n">
        <v>0</v>
      </c>
      <c r="Q2357" t="n">
        <v>0</v>
      </c>
      <c r="R2357" s="2" t="inlineStr"/>
    </row>
    <row r="2358" ht="15" customHeight="1">
      <c r="A2358" t="inlineStr">
        <is>
          <t>A 61073-2021</t>
        </is>
      </c>
      <c r="B2358" s="1" t="n">
        <v>44497</v>
      </c>
      <c r="C2358" s="1" t="n">
        <v>45744</v>
      </c>
      <c r="D2358" t="inlineStr">
        <is>
          <t>SKÅNE LÄN</t>
        </is>
      </c>
      <c r="E2358" t="inlineStr">
        <is>
          <t>HÄSSLEHOLM</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61137-2021</t>
        </is>
      </c>
      <c r="B2359" s="1" t="n">
        <v>44497</v>
      </c>
      <c r="C2359" s="1" t="n">
        <v>45744</v>
      </c>
      <c r="D2359" t="inlineStr">
        <is>
          <t>SKÅNE LÄN</t>
        </is>
      </c>
      <c r="E2359" t="inlineStr">
        <is>
          <t>KRISTIANSTAD</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61072-2021</t>
        </is>
      </c>
      <c r="B2360" s="1" t="n">
        <v>44497</v>
      </c>
      <c r="C2360" s="1" t="n">
        <v>45744</v>
      </c>
      <c r="D2360" t="inlineStr">
        <is>
          <t>SKÅNE LÄN</t>
        </is>
      </c>
      <c r="E2360" t="inlineStr">
        <is>
          <t>HÄSSLEHOLM</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60995-2021</t>
        </is>
      </c>
      <c r="B2361" s="1" t="n">
        <v>44497</v>
      </c>
      <c r="C2361" s="1" t="n">
        <v>45744</v>
      </c>
      <c r="D2361" t="inlineStr">
        <is>
          <t>SKÅNE LÄN</t>
        </is>
      </c>
      <c r="E2361" t="inlineStr">
        <is>
          <t>OSBY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61265-2021</t>
        </is>
      </c>
      <c r="B2362" s="1" t="n">
        <v>44498</v>
      </c>
      <c r="C2362" s="1" t="n">
        <v>45744</v>
      </c>
      <c r="D2362" t="inlineStr">
        <is>
          <t>SKÅNE LÄN</t>
        </is>
      </c>
      <c r="E2362" t="inlineStr">
        <is>
          <t>ÄNGELHOLM</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61094-2021</t>
        </is>
      </c>
      <c r="B2363" s="1" t="n">
        <v>44498</v>
      </c>
      <c r="C2363" s="1" t="n">
        <v>45744</v>
      </c>
      <c r="D2363" t="inlineStr">
        <is>
          <t>SKÅNE LÄN</t>
        </is>
      </c>
      <c r="E2363" t="inlineStr">
        <is>
          <t>ÄNGELHOLM</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61269-2021</t>
        </is>
      </c>
      <c r="B2364" s="1" t="n">
        <v>44498</v>
      </c>
      <c r="C2364" s="1" t="n">
        <v>45744</v>
      </c>
      <c r="D2364" t="inlineStr">
        <is>
          <t>SKÅNE LÄN</t>
        </is>
      </c>
      <c r="E2364" t="inlineStr">
        <is>
          <t>ÄNGELHOLM</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61263-2021</t>
        </is>
      </c>
      <c r="B2365" s="1" t="n">
        <v>44498</v>
      </c>
      <c r="C2365" s="1" t="n">
        <v>45744</v>
      </c>
      <c r="D2365" t="inlineStr">
        <is>
          <t>SKÅNE LÄN</t>
        </is>
      </c>
      <c r="E2365" t="inlineStr">
        <is>
          <t>ÄNGELHOLM</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61353-2021</t>
        </is>
      </c>
      <c r="B2366" s="1" t="n">
        <v>44498</v>
      </c>
      <c r="C2366" s="1" t="n">
        <v>45744</v>
      </c>
      <c r="D2366" t="inlineStr">
        <is>
          <t>SKÅNE LÄN</t>
        </is>
      </c>
      <c r="E2366" t="inlineStr">
        <is>
          <t>ÖSTRA GÖINGE</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61650-2021</t>
        </is>
      </c>
      <c r="B2367" s="1" t="n">
        <v>44498</v>
      </c>
      <c r="C2367" s="1" t="n">
        <v>45744</v>
      </c>
      <c r="D2367" t="inlineStr">
        <is>
          <t>SKÅNE LÄN</t>
        </is>
      </c>
      <c r="E2367" t="inlineStr">
        <is>
          <t>ÖRKELLJUNGA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61510-2021</t>
        </is>
      </c>
      <c r="B2368" s="1" t="n">
        <v>44501</v>
      </c>
      <c r="C2368" s="1" t="n">
        <v>45744</v>
      </c>
      <c r="D2368" t="inlineStr">
        <is>
          <t>SKÅNE LÄN</t>
        </is>
      </c>
      <c r="E2368" t="inlineStr">
        <is>
          <t>HÄSSLEHOLM</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61495-2021</t>
        </is>
      </c>
      <c r="B2369" s="1" t="n">
        <v>44501</v>
      </c>
      <c r="C2369" s="1" t="n">
        <v>45744</v>
      </c>
      <c r="D2369" t="inlineStr">
        <is>
          <t>SKÅNE LÄN</t>
        </is>
      </c>
      <c r="E2369" t="inlineStr">
        <is>
          <t>SVALÖV</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61691-2021</t>
        </is>
      </c>
      <c r="B2370" s="1" t="n">
        <v>44501</v>
      </c>
      <c r="C2370" s="1" t="n">
        <v>45744</v>
      </c>
      <c r="D2370" t="inlineStr">
        <is>
          <t>SKÅNE LÄN</t>
        </is>
      </c>
      <c r="E2370" t="inlineStr">
        <is>
          <t>HÄSSLEHOLM</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62157-2021</t>
        </is>
      </c>
      <c r="B2371" s="1" t="n">
        <v>44502</v>
      </c>
      <c r="C2371" s="1" t="n">
        <v>45744</v>
      </c>
      <c r="D2371" t="inlineStr">
        <is>
          <t>SKÅNE LÄN</t>
        </is>
      </c>
      <c r="E2371" t="inlineStr">
        <is>
          <t>OSBY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62282-2021</t>
        </is>
      </c>
      <c r="B2372" s="1" t="n">
        <v>44503</v>
      </c>
      <c r="C2372" s="1" t="n">
        <v>45744</v>
      </c>
      <c r="D2372" t="inlineStr">
        <is>
          <t>SKÅNE LÄN</t>
        </is>
      </c>
      <c r="E2372" t="inlineStr">
        <is>
          <t>KRISTIANSTAD</t>
        </is>
      </c>
      <c r="F2372" t="inlineStr">
        <is>
          <t>Sveaskog</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62644-2021</t>
        </is>
      </c>
      <c r="B2373" s="1" t="n">
        <v>44503</v>
      </c>
      <c r="C2373" s="1" t="n">
        <v>45744</v>
      </c>
      <c r="D2373" t="inlineStr">
        <is>
          <t>SKÅNE LÄN</t>
        </is>
      </c>
      <c r="E2373" t="inlineStr">
        <is>
          <t>KLIPPAN</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63135-2021</t>
        </is>
      </c>
      <c r="B2374" s="1" t="n">
        <v>44505</v>
      </c>
      <c r="C2374" s="1" t="n">
        <v>45744</v>
      </c>
      <c r="D2374" t="inlineStr">
        <is>
          <t>SKÅNE LÄN</t>
        </is>
      </c>
      <c r="E2374" t="inlineStr">
        <is>
          <t>OSBY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63077-2021</t>
        </is>
      </c>
      <c r="B2375" s="1" t="n">
        <v>44505</v>
      </c>
      <c r="C2375" s="1" t="n">
        <v>45744</v>
      </c>
      <c r="D2375" t="inlineStr">
        <is>
          <t>SKÅNE LÄN</t>
        </is>
      </c>
      <c r="E2375" t="inlineStr">
        <is>
          <t>OSBY</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63559-2021</t>
        </is>
      </c>
      <c r="B2376" s="1" t="n">
        <v>44508</v>
      </c>
      <c r="C2376" s="1" t="n">
        <v>45744</v>
      </c>
      <c r="D2376" t="inlineStr">
        <is>
          <t>SKÅNE LÄN</t>
        </is>
      </c>
      <c r="E2376" t="inlineStr">
        <is>
          <t>HÖRBY</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63558-2021</t>
        </is>
      </c>
      <c r="B2377" s="1" t="n">
        <v>44508</v>
      </c>
      <c r="C2377" s="1" t="n">
        <v>45744</v>
      </c>
      <c r="D2377" t="inlineStr">
        <is>
          <t>SKÅNE LÄN</t>
        </is>
      </c>
      <c r="E2377" t="inlineStr">
        <is>
          <t>OSBY</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63767-2021</t>
        </is>
      </c>
      <c r="B2378" s="1" t="n">
        <v>44509</v>
      </c>
      <c r="C2378" s="1" t="n">
        <v>45744</v>
      </c>
      <c r="D2378" t="inlineStr">
        <is>
          <t>SKÅNE LÄN</t>
        </is>
      </c>
      <c r="E2378" t="inlineStr">
        <is>
          <t>HÄSSLEHOLM</t>
        </is>
      </c>
      <c r="F2378" t="inlineStr">
        <is>
          <t>Övriga Aktiebolag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63681-2021</t>
        </is>
      </c>
      <c r="B2379" s="1" t="n">
        <v>44509</v>
      </c>
      <c r="C2379" s="1" t="n">
        <v>45744</v>
      </c>
      <c r="D2379" t="inlineStr">
        <is>
          <t>SKÅNE LÄN</t>
        </is>
      </c>
      <c r="E2379" t="inlineStr">
        <is>
          <t>BROMÖLLA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64128-2021</t>
        </is>
      </c>
      <c r="B2380" s="1" t="n">
        <v>44509</v>
      </c>
      <c r="C2380" s="1" t="n">
        <v>45744</v>
      </c>
      <c r="D2380" t="inlineStr">
        <is>
          <t>SKÅNE LÄN</t>
        </is>
      </c>
      <c r="E2380" t="inlineStr">
        <is>
          <t>HÖRBY</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63913-2021</t>
        </is>
      </c>
      <c r="B2381" s="1" t="n">
        <v>44509</v>
      </c>
      <c r="C2381" s="1" t="n">
        <v>45744</v>
      </c>
      <c r="D2381" t="inlineStr">
        <is>
          <t>SKÅNE LÄN</t>
        </is>
      </c>
      <c r="E2381" t="inlineStr">
        <is>
          <t>HÖRBY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63972-2021</t>
        </is>
      </c>
      <c r="B2382" s="1" t="n">
        <v>44509</v>
      </c>
      <c r="C2382" s="1" t="n">
        <v>45744</v>
      </c>
      <c r="D2382" t="inlineStr">
        <is>
          <t>SKÅNE LÄN</t>
        </is>
      </c>
      <c r="E2382" t="inlineStr">
        <is>
          <t>HÄSSLEHOLM</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64141-2021</t>
        </is>
      </c>
      <c r="B2383" s="1" t="n">
        <v>44510</v>
      </c>
      <c r="C2383" s="1" t="n">
        <v>45744</v>
      </c>
      <c r="D2383" t="inlineStr">
        <is>
          <t>SKÅNE LÄN</t>
        </is>
      </c>
      <c r="E2383" t="inlineStr">
        <is>
          <t>OSBY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64144-2021</t>
        </is>
      </c>
      <c r="B2384" s="1" t="n">
        <v>44510</v>
      </c>
      <c r="C2384" s="1" t="n">
        <v>45744</v>
      </c>
      <c r="D2384" t="inlineStr">
        <is>
          <t>SKÅNE LÄN</t>
        </is>
      </c>
      <c r="E2384" t="inlineStr">
        <is>
          <t>OSBY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64255-2021</t>
        </is>
      </c>
      <c r="B2385" s="1" t="n">
        <v>44510</v>
      </c>
      <c r="C2385" s="1" t="n">
        <v>45744</v>
      </c>
      <c r="D2385" t="inlineStr">
        <is>
          <t>SKÅNE LÄN</t>
        </is>
      </c>
      <c r="E2385" t="inlineStr">
        <is>
          <t>HÖRBY</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64469-2021</t>
        </is>
      </c>
      <c r="B2386" s="1" t="n">
        <v>44511</v>
      </c>
      <c r="C2386" s="1" t="n">
        <v>45744</v>
      </c>
      <c r="D2386" t="inlineStr">
        <is>
          <t>SKÅNE LÄN</t>
        </is>
      </c>
      <c r="E2386" t="inlineStr">
        <is>
          <t>OSBY</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64607-2021</t>
        </is>
      </c>
      <c r="B2387" s="1" t="n">
        <v>44511</v>
      </c>
      <c r="C2387" s="1" t="n">
        <v>45744</v>
      </c>
      <c r="D2387" t="inlineStr">
        <is>
          <t>SKÅNE LÄN</t>
        </is>
      </c>
      <c r="E2387" t="inlineStr">
        <is>
          <t>HÄSSLEHOLM</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64627-2021</t>
        </is>
      </c>
      <c r="B2388" s="1" t="n">
        <v>44511</v>
      </c>
      <c r="C2388" s="1" t="n">
        <v>45744</v>
      </c>
      <c r="D2388" t="inlineStr">
        <is>
          <t>SKÅNE LÄN</t>
        </is>
      </c>
      <c r="E2388" t="inlineStr">
        <is>
          <t>PERSTORP</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64621-2021</t>
        </is>
      </c>
      <c r="B2389" s="1" t="n">
        <v>44511</v>
      </c>
      <c r="C2389" s="1" t="n">
        <v>45744</v>
      </c>
      <c r="D2389" t="inlineStr">
        <is>
          <t>SKÅNE LÄN</t>
        </is>
      </c>
      <c r="E2389" t="inlineStr">
        <is>
          <t>BROMÖLLA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64826-2021</t>
        </is>
      </c>
      <c r="B2390" s="1" t="n">
        <v>44512</v>
      </c>
      <c r="C2390" s="1" t="n">
        <v>45744</v>
      </c>
      <c r="D2390" t="inlineStr">
        <is>
          <t>SKÅNE LÄN</t>
        </is>
      </c>
      <c r="E2390" t="inlineStr">
        <is>
          <t>HÄSSLEHOLM</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65093-2021</t>
        </is>
      </c>
      <c r="B2391" s="1" t="n">
        <v>44513</v>
      </c>
      <c r="C2391" s="1" t="n">
        <v>45744</v>
      </c>
      <c r="D2391" t="inlineStr">
        <is>
          <t>SKÅNE LÄN</t>
        </is>
      </c>
      <c r="E2391" t="inlineStr">
        <is>
          <t>KRISTIANSTAD</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65097-2021</t>
        </is>
      </c>
      <c r="B2392" s="1" t="n">
        <v>44513</v>
      </c>
      <c r="C2392" s="1" t="n">
        <v>45744</v>
      </c>
      <c r="D2392" t="inlineStr">
        <is>
          <t>SKÅNE LÄN</t>
        </is>
      </c>
      <c r="E2392" t="inlineStr">
        <is>
          <t>KRISTIANSTAD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65203-2021</t>
        </is>
      </c>
      <c r="B2393" s="1" t="n">
        <v>44515</v>
      </c>
      <c r="C2393" s="1" t="n">
        <v>45744</v>
      </c>
      <c r="D2393" t="inlineStr">
        <is>
          <t>SKÅNE LÄN</t>
        </is>
      </c>
      <c r="E2393" t="inlineStr">
        <is>
          <t>HÖÖR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65197-2021</t>
        </is>
      </c>
      <c r="B2394" s="1" t="n">
        <v>44515</v>
      </c>
      <c r="C2394" s="1" t="n">
        <v>45744</v>
      </c>
      <c r="D2394" t="inlineStr">
        <is>
          <t>SKÅNE LÄN</t>
        </is>
      </c>
      <c r="E2394" t="inlineStr">
        <is>
          <t>ÖRKELLJUNGA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65211-2021</t>
        </is>
      </c>
      <c r="B2395" s="1" t="n">
        <v>44515</v>
      </c>
      <c r="C2395" s="1" t="n">
        <v>45744</v>
      </c>
      <c r="D2395" t="inlineStr">
        <is>
          <t>SKÅNE LÄN</t>
        </is>
      </c>
      <c r="E2395" t="inlineStr">
        <is>
          <t>ÖRKELLJUNGA</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65200-2021</t>
        </is>
      </c>
      <c r="B2396" s="1" t="n">
        <v>44515</v>
      </c>
      <c r="C2396" s="1" t="n">
        <v>45744</v>
      </c>
      <c r="D2396" t="inlineStr">
        <is>
          <t>SKÅNE LÄN</t>
        </is>
      </c>
      <c r="E2396" t="inlineStr">
        <is>
          <t>HÖÖR</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65235-2021</t>
        </is>
      </c>
      <c r="B2397" s="1" t="n">
        <v>44515</v>
      </c>
      <c r="C2397" s="1" t="n">
        <v>45744</v>
      </c>
      <c r="D2397" t="inlineStr">
        <is>
          <t>SKÅNE LÄN</t>
        </is>
      </c>
      <c r="E2397" t="inlineStr">
        <is>
          <t>HÄSSLEHOLM</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65469-2021</t>
        </is>
      </c>
      <c r="B2398" s="1" t="n">
        <v>44516</v>
      </c>
      <c r="C2398" s="1" t="n">
        <v>45744</v>
      </c>
      <c r="D2398" t="inlineStr">
        <is>
          <t>SKÅNE LÄN</t>
        </is>
      </c>
      <c r="E2398" t="inlineStr">
        <is>
          <t>ÖRKELLJUNGA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65644-2021</t>
        </is>
      </c>
      <c r="B2399" s="1" t="n">
        <v>44516</v>
      </c>
      <c r="C2399" s="1" t="n">
        <v>45744</v>
      </c>
      <c r="D2399" t="inlineStr">
        <is>
          <t>SKÅNE LÄN</t>
        </is>
      </c>
      <c r="E2399" t="inlineStr">
        <is>
          <t>OSBY</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65640-2021</t>
        </is>
      </c>
      <c r="B2400" s="1" t="n">
        <v>44516</v>
      </c>
      <c r="C2400" s="1" t="n">
        <v>45744</v>
      </c>
      <c r="D2400" t="inlineStr">
        <is>
          <t>SKÅNE LÄN</t>
        </is>
      </c>
      <c r="E2400" t="inlineStr">
        <is>
          <t>TRELLEBORG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65642-2021</t>
        </is>
      </c>
      <c r="B2401" s="1" t="n">
        <v>44516</v>
      </c>
      <c r="C2401" s="1" t="n">
        <v>45744</v>
      </c>
      <c r="D2401" t="inlineStr">
        <is>
          <t>SKÅNE LÄN</t>
        </is>
      </c>
      <c r="E2401" t="inlineStr">
        <is>
          <t>TRELLEBORG</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65675-2021</t>
        </is>
      </c>
      <c r="B2402" s="1" t="n">
        <v>44516</v>
      </c>
      <c r="C2402" s="1" t="n">
        <v>45744</v>
      </c>
      <c r="D2402" t="inlineStr">
        <is>
          <t>SKÅNE LÄN</t>
        </is>
      </c>
      <c r="E2402" t="inlineStr">
        <is>
          <t>TRELLEBORG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66099-2021</t>
        </is>
      </c>
      <c r="B2403" s="1" t="n">
        <v>44517</v>
      </c>
      <c r="C2403" s="1" t="n">
        <v>45744</v>
      </c>
      <c r="D2403" t="inlineStr">
        <is>
          <t>SKÅNE LÄN</t>
        </is>
      </c>
      <c r="E2403" t="inlineStr">
        <is>
          <t>HÖRBY</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66321-2021</t>
        </is>
      </c>
      <c r="B2404" s="1" t="n">
        <v>44518</v>
      </c>
      <c r="C2404" s="1" t="n">
        <v>45744</v>
      </c>
      <c r="D2404" t="inlineStr">
        <is>
          <t>SKÅNE LÄN</t>
        </is>
      </c>
      <c r="E2404" t="inlineStr">
        <is>
          <t>HÄSSLEHOLM</t>
        </is>
      </c>
      <c r="G2404" t="n">
        <v>9.300000000000001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66449-2021</t>
        </is>
      </c>
      <c r="B2405" s="1" t="n">
        <v>44518</v>
      </c>
      <c r="C2405" s="1" t="n">
        <v>45744</v>
      </c>
      <c r="D2405" t="inlineStr">
        <is>
          <t>SKÅNE LÄN</t>
        </is>
      </c>
      <c r="E2405" t="inlineStr">
        <is>
          <t>KRISTIANSTAD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66413-2021</t>
        </is>
      </c>
      <c r="B2406" s="1" t="n">
        <v>44518</v>
      </c>
      <c r="C2406" s="1" t="n">
        <v>45744</v>
      </c>
      <c r="D2406" t="inlineStr">
        <is>
          <t>SKÅNE LÄN</t>
        </is>
      </c>
      <c r="E2406" t="inlineStr">
        <is>
          <t>HÄSSLEHOLM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66526-2021</t>
        </is>
      </c>
      <c r="B2407" s="1" t="n">
        <v>44519</v>
      </c>
      <c r="C2407" s="1" t="n">
        <v>45744</v>
      </c>
      <c r="D2407" t="inlineStr">
        <is>
          <t>SKÅNE LÄN</t>
        </is>
      </c>
      <c r="E2407" t="inlineStr">
        <is>
          <t>ÖSTRA GÖINGE</t>
        </is>
      </c>
      <c r="G2407" t="n">
        <v>0</v>
      </c>
      <c r="H2407" t="n">
        <v>0</v>
      </c>
      <c r="I2407" t="n">
        <v>0</v>
      </c>
      <c r="J2407" t="n">
        <v>0</v>
      </c>
      <c r="K2407" t="n">
        <v>0</v>
      </c>
      <c r="L2407" t="n">
        <v>0</v>
      </c>
      <c r="M2407" t="n">
        <v>0</v>
      </c>
      <c r="N2407" t="n">
        <v>0</v>
      </c>
      <c r="O2407" t="n">
        <v>0</v>
      </c>
      <c r="P2407" t="n">
        <v>0</v>
      </c>
      <c r="Q2407" t="n">
        <v>0</v>
      </c>
      <c r="R2407" s="2" t="inlineStr"/>
    </row>
    <row r="2408" ht="15" customHeight="1">
      <c r="A2408" t="inlineStr">
        <is>
          <t>A 66518-2021</t>
        </is>
      </c>
      <c r="B2408" s="1" t="n">
        <v>44519</v>
      </c>
      <c r="C2408" s="1" t="n">
        <v>45744</v>
      </c>
      <c r="D2408" t="inlineStr">
        <is>
          <t>SKÅNE LÄN</t>
        </is>
      </c>
      <c r="E2408" t="inlineStr">
        <is>
          <t>HÄSSLEHOLM</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66520-2021</t>
        </is>
      </c>
      <c r="B2409" s="1" t="n">
        <v>44519</v>
      </c>
      <c r="C2409" s="1" t="n">
        <v>45744</v>
      </c>
      <c r="D2409" t="inlineStr">
        <is>
          <t>SKÅNE LÄN</t>
        </is>
      </c>
      <c r="E2409" t="inlineStr">
        <is>
          <t>ÖSTRA GÖINGE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66803-2021</t>
        </is>
      </c>
      <c r="B2410" s="1" t="n">
        <v>44522</v>
      </c>
      <c r="C2410" s="1" t="n">
        <v>45744</v>
      </c>
      <c r="D2410" t="inlineStr">
        <is>
          <t>SKÅNE LÄN</t>
        </is>
      </c>
      <c r="E2410" t="inlineStr">
        <is>
          <t>PERSTORP</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66987-2021</t>
        </is>
      </c>
      <c r="B2411" s="1" t="n">
        <v>44522</v>
      </c>
      <c r="C2411" s="1" t="n">
        <v>45744</v>
      </c>
      <c r="D2411" t="inlineStr">
        <is>
          <t>SKÅNE LÄN</t>
        </is>
      </c>
      <c r="E2411" t="inlineStr">
        <is>
          <t>OSBY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66984-2021</t>
        </is>
      </c>
      <c r="B2412" s="1" t="n">
        <v>44522</v>
      </c>
      <c r="C2412" s="1" t="n">
        <v>45744</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67024-2021</t>
        </is>
      </c>
      <c r="B2413" s="1" t="n">
        <v>44522</v>
      </c>
      <c r="C2413" s="1" t="n">
        <v>45744</v>
      </c>
      <c r="D2413" t="inlineStr">
        <is>
          <t>SKÅNE LÄN</t>
        </is>
      </c>
      <c r="E2413" t="inlineStr">
        <is>
          <t>KRISTIANSTAD</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67150-2021</t>
        </is>
      </c>
      <c r="B2414" s="1" t="n">
        <v>44523</v>
      </c>
      <c r="C2414" s="1" t="n">
        <v>45744</v>
      </c>
      <c r="D2414" t="inlineStr">
        <is>
          <t>SKÅNE LÄN</t>
        </is>
      </c>
      <c r="E2414" t="inlineStr">
        <is>
          <t>HÄSSLEHOLM</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67222-2021</t>
        </is>
      </c>
      <c r="B2415" s="1" t="n">
        <v>44523</v>
      </c>
      <c r="C2415" s="1" t="n">
        <v>45744</v>
      </c>
      <c r="D2415" t="inlineStr">
        <is>
          <t>SKÅNE LÄN</t>
        </is>
      </c>
      <c r="E2415" t="inlineStr">
        <is>
          <t>OSBY</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67355-2021</t>
        </is>
      </c>
      <c r="B2416" s="1" t="n">
        <v>44523</v>
      </c>
      <c r="C2416" s="1" t="n">
        <v>45744</v>
      </c>
      <c r="D2416" t="inlineStr">
        <is>
          <t>SKÅNE LÄN</t>
        </is>
      </c>
      <c r="E2416" t="inlineStr">
        <is>
          <t>HÄSSLEHOLM</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67332-2021</t>
        </is>
      </c>
      <c r="B2417" s="1" t="n">
        <v>44523</v>
      </c>
      <c r="C2417" s="1" t="n">
        <v>45744</v>
      </c>
      <c r="D2417" t="inlineStr">
        <is>
          <t>SKÅNE LÄN</t>
        </is>
      </c>
      <c r="E2417" t="inlineStr">
        <is>
          <t>OSBY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67426-2021</t>
        </is>
      </c>
      <c r="B2418" s="1" t="n">
        <v>44523</v>
      </c>
      <c r="C2418" s="1" t="n">
        <v>45744</v>
      </c>
      <c r="D2418" t="inlineStr">
        <is>
          <t>SKÅNE LÄN</t>
        </is>
      </c>
      <c r="E2418" t="inlineStr">
        <is>
          <t>HÖRBY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67347-2021</t>
        </is>
      </c>
      <c r="B2419" s="1" t="n">
        <v>44523</v>
      </c>
      <c r="C2419" s="1" t="n">
        <v>45744</v>
      </c>
      <c r="D2419" t="inlineStr">
        <is>
          <t>SKÅNE LÄN</t>
        </is>
      </c>
      <c r="E2419" t="inlineStr">
        <is>
          <t>OSBY</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67456-2021</t>
        </is>
      </c>
      <c r="B2420" s="1" t="n">
        <v>44524</v>
      </c>
      <c r="C2420" s="1" t="n">
        <v>45744</v>
      </c>
      <c r="D2420" t="inlineStr">
        <is>
          <t>SKÅNE LÄN</t>
        </is>
      </c>
      <c r="E2420" t="inlineStr">
        <is>
          <t>SVEDALA</t>
        </is>
      </c>
      <c r="G2420" t="n">
        <v>8.1</v>
      </c>
      <c r="H2420" t="n">
        <v>0</v>
      </c>
      <c r="I2420" t="n">
        <v>0</v>
      </c>
      <c r="J2420" t="n">
        <v>0</v>
      </c>
      <c r="K2420" t="n">
        <v>0</v>
      </c>
      <c r="L2420" t="n">
        <v>0</v>
      </c>
      <c r="M2420" t="n">
        <v>0</v>
      </c>
      <c r="N2420" t="n">
        <v>0</v>
      </c>
      <c r="O2420" t="n">
        <v>0</v>
      </c>
      <c r="P2420" t="n">
        <v>0</v>
      </c>
      <c r="Q2420" t="n">
        <v>0</v>
      </c>
      <c r="R2420" s="2" t="inlineStr"/>
    </row>
    <row r="2421" ht="15" customHeight="1">
      <c r="A2421" t="inlineStr">
        <is>
          <t>A 67517-2021</t>
        </is>
      </c>
      <c r="B2421" s="1" t="n">
        <v>44524</v>
      </c>
      <c r="C2421" s="1" t="n">
        <v>45744</v>
      </c>
      <c r="D2421" t="inlineStr">
        <is>
          <t>SKÅNE LÄN</t>
        </is>
      </c>
      <c r="E2421" t="inlineStr">
        <is>
          <t>HÄSSLEHOLM</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67616-2021</t>
        </is>
      </c>
      <c r="B2422" s="1" t="n">
        <v>44524</v>
      </c>
      <c r="C2422" s="1" t="n">
        <v>45744</v>
      </c>
      <c r="D2422" t="inlineStr">
        <is>
          <t>SKÅNE LÄN</t>
        </is>
      </c>
      <c r="E2422" t="inlineStr">
        <is>
          <t>OSBY</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67613-2021</t>
        </is>
      </c>
      <c r="B2423" s="1" t="n">
        <v>44524</v>
      </c>
      <c r="C2423" s="1" t="n">
        <v>45744</v>
      </c>
      <c r="D2423" t="inlineStr">
        <is>
          <t>SKÅNE LÄN</t>
        </is>
      </c>
      <c r="E2423" t="inlineStr">
        <is>
          <t>OSBY</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67669-2021</t>
        </is>
      </c>
      <c r="B2424" s="1" t="n">
        <v>44524</v>
      </c>
      <c r="C2424" s="1" t="n">
        <v>45744</v>
      </c>
      <c r="D2424" t="inlineStr">
        <is>
          <t>SKÅNE LÄN</t>
        </is>
      </c>
      <c r="E2424" t="inlineStr">
        <is>
          <t>PERSTORP</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67671-2021</t>
        </is>
      </c>
      <c r="B2425" s="1" t="n">
        <v>44524</v>
      </c>
      <c r="C2425" s="1" t="n">
        <v>45744</v>
      </c>
      <c r="D2425" t="inlineStr">
        <is>
          <t>SKÅNE LÄN</t>
        </is>
      </c>
      <c r="E2425" t="inlineStr">
        <is>
          <t>PERSTORP</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67801-2021</t>
        </is>
      </c>
      <c r="B2426" s="1" t="n">
        <v>44525</v>
      </c>
      <c r="C2426" s="1" t="n">
        <v>45744</v>
      </c>
      <c r="D2426" t="inlineStr">
        <is>
          <t>SKÅNE LÄN</t>
        </is>
      </c>
      <c r="E2426" t="inlineStr">
        <is>
          <t>HÄSSLEHOLM</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68007-2021</t>
        </is>
      </c>
      <c r="B2427" s="1" t="n">
        <v>44525</v>
      </c>
      <c r="C2427" s="1" t="n">
        <v>45744</v>
      </c>
      <c r="D2427" t="inlineStr">
        <is>
          <t>SKÅNE LÄN</t>
        </is>
      </c>
      <c r="E2427" t="inlineStr">
        <is>
          <t>SJÖBO</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68005-2021</t>
        </is>
      </c>
      <c r="B2428" s="1" t="n">
        <v>44525</v>
      </c>
      <c r="C2428" s="1" t="n">
        <v>45744</v>
      </c>
      <c r="D2428" t="inlineStr">
        <is>
          <t>SKÅNE LÄN</t>
        </is>
      </c>
      <c r="E2428" t="inlineStr">
        <is>
          <t>LUND</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68082-2021</t>
        </is>
      </c>
      <c r="B2429" s="1" t="n">
        <v>44526</v>
      </c>
      <c r="C2429" s="1" t="n">
        <v>45744</v>
      </c>
      <c r="D2429" t="inlineStr">
        <is>
          <t>SKÅNE LÄN</t>
        </is>
      </c>
      <c r="E2429" t="inlineStr">
        <is>
          <t>ÖRKELLJUNGA</t>
        </is>
      </c>
      <c r="G2429" t="n">
        <v>19.7</v>
      </c>
      <c r="H2429" t="n">
        <v>0</v>
      </c>
      <c r="I2429" t="n">
        <v>0</v>
      </c>
      <c r="J2429" t="n">
        <v>0</v>
      </c>
      <c r="K2429" t="n">
        <v>0</v>
      </c>
      <c r="L2429" t="n">
        <v>0</v>
      </c>
      <c r="M2429" t="n">
        <v>0</v>
      </c>
      <c r="N2429" t="n">
        <v>0</v>
      </c>
      <c r="O2429" t="n">
        <v>0</v>
      </c>
      <c r="P2429" t="n">
        <v>0</v>
      </c>
      <c r="Q2429" t="n">
        <v>0</v>
      </c>
      <c r="R2429" s="2" t="inlineStr"/>
    </row>
    <row r="2430" ht="15" customHeight="1">
      <c r="A2430" t="inlineStr">
        <is>
          <t>A 68408-2021</t>
        </is>
      </c>
      <c r="B2430" s="1" t="n">
        <v>44526</v>
      </c>
      <c r="C2430" s="1" t="n">
        <v>45744</v>
      </c>
      <c r="D2430" t="inlineStr">
        <is>
          <t>SKÅNE LÄN</t>
        </is>
      </c>
      <c r="E2430" t="inlineStr">
        <is>
          <t>HÄSSLEHOLM</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68487-2021</t>
        </is>
      </c>
      <c r="B2431" s="1" t="n">
        <v>44529</v>
      </c>
      <c r="C2431" s="1" t="n">
        <v>45744</v>
      </c>
      <c r="D2431" t="inlineStr">
        <is>
          <t>SKÅNE LÄN</t>
        </is>
      </c>
      <c r="E2431" t="inlineStr">
        <is>
          <t>OSBY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68592-2021</t>
        </is>
      </c>
      <c r="B2432" s="1" t="n">
        <v>44529</v>
      </c>
      <c r="C2432" s="1" t="n">
        <v>45744</v>
      </c>
      <c r="D2432" t="inlineStr">
        <is>
          <t>SKÅNE LÄN</t>
        </is>
      </c>
      <c r="E2432" t="inlineStr">
        <is>
          <t>OSBY</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69041-2021</t>
        </is>
      </c>
      <c r="B2433" s="1" t="n">
        <v>44529</v>
      </c>
      <c r="C2433" s="1" t="n">
        <v>45744</v>
      </c>
      <c r="D2433" t="inlineStr">
        <is>
          <t>SKÅNE LÄN</t>
        </is>
      </c>
      <c r="E2433" t="inlineStr">
        <is>
          <t>KLIPPAN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68909-2021</t>
        </is>
      </c>
      <c r="B2434" s="1" t="n">
        <v>44530</v>
      </c>
      <c r="C2434" s="1" t="n">
        <v>45744</v>
      </c>
      <c r="D2434" t="inlineStr">
        <is>
          <t>SKÅNE LÄN</t>
        </is>
      </c>
      <c r="E2434" t="inlineStr">
        <is>
          <t>HÄSSLEHOLM</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69072-2021</t>
        </is>
      </c>
      <c r="B2435" s="1" t="n">
        <v>44530</v>
      </c>
      <c r="C2435" s="1" t="n">
        <v>45744</v>
      </c>
      <c r="D2435" t="inlineStr">
        <is>
          <t>SKÅNE LÄN</t>
        </is>
      </c>
      <c r="E2435" t="inlineStr">
        <is>
          <t>OSBY</t>
        </is>
      </c>
      <c r="F2435" t="inlineStr">
        <is>
          <t>Kommuner</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69088-2021</t>
        </is>
      </c>
      <c r="B2436" s="1" t="n">
        <v>44530</v>
      </c>
      <c r="C2436" s="1" t="n">
        <v>45744</v>
      </c>
      <c r="D2436" t="inlineStr">
        <is>
          <t>SKÅNE LÄN</t>
        </is>
      </c>
      <c r="E2436" t="inlineStr">
        <is>
          <t>OSBY</t>
        </is>
      </c>
      <c r="F2436" t="inlineStr">
        <is>
          <t>Kommuner</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69093-2021</t>
        </is>
      </c>
      <c r="B2437" s="1" t="n">
        <v>44530</v>
      </c>
      <c r="C2437" s="1" t="n">
        <v>45744</v>
      </c>
      <c r="D2437" t="inlineStr">
        <is>
          <t>SKÅNE LÄN</t>
        </is>
      </c>
      <c r="E2437" t="inlineStr">
        <is>
          <t>OSBY</t>
        </is>
      </c>
      <c r="F2437" t="inlineStr">
        <is>
          <t>Kommuner</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68856-2021</t>
        </is>
      </c>
      <c r="B2438" s="1" t="n">
        <v>44530</v>
      </c>
      <c r="C2438" s="1" t="n">
        <v>45744</v>
      </c>
      <c r="D2438" t="inlineStr">
        <is>
          <t>SKÅNE LÄN</t>
        </is>
      </c>
      <c r="E2438" t="inlineStr">
        <is>
          <t>KLIPPAN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69375-2021</t>
        </is>
      </c>
      <c r="B2439" s="1" t="n">
        <v>44531</v>
      </c>
      <c r="C2439" s="1" t="n">
        <v>45744</v>
      </c>
      <c r="D2439" t="inlineStr">
        <is>
          <t>SKÅNE LÄN</t>
        </is>
      </c>
      <c r="E2439" t="inlineStr">
        <is>
          <t>ÖSTRA GÖINGE</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69387-2021</t>
        </is>
      </c>
      <c r="B2440" s="1" t="n">
        <v>44531</v>
      </c>
      <c r="C2440" s="1" t="n">
        <v>45744</v>
      </c>
      <c r="D2440" t="inlineStr">
        <is>
          <t>SKÅNE LÄN</t>
        </is>
      </c>
      <c r="E2440" t="inlineStr">
        <is>
          <t>ÖSTRA GÖINGE</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69394-2021</t>
        </is>
      </c>
      <c r="B2441" s="1" t="n">
        <v>44531</v>
      </c>
      <c r="C2441" s="1" t="n">
        <v>45744</v>
      </c>
      <c r="D2441" t="inlineStr">
        <is>
          <t>SKÅNE LÄN</t>
        </is>
      </c>
      <c r="E2441" t="inlineStr">
        <is>
          <t>KLIPPAN</t>
        </is>
      </c>
      <c r="F2441" t="inlineStr">
        <is>
          <t>Övriga Aktiebolag</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69357-2021</t>
        </is>
      </c>
      <c r="B2442" s="1" t="n">
        <v>44531</v>
      </c>
      <c r="C2442" s="1" t="n">
        <v>45744</v>
      </c>
      <c r="D2442" t="inlineStr">
        <is>
          <t>SKÅNE LÄN</t>
        </is>
      </c>
      <c r="E2442" t="inlineStr">
        <is>
          <t>HÄSSLEHOLM</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69393-2021</t>
        </is>
      </c>
      <c r="B2443" s="1" t="n">
        <v>44531</v>
      </c>
      <c r="C2443" s="1" t="n">
        <v>45744</v>
      </c>
      <c r="D2443" t="inlineStr">
        <is>
          <t>SKÅNE LÄN</t>
        </is>
      </c>
      <c r="E2443" t="inlineStr">
        <is>
          <t>ÖSTRA GÖINGE</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69376-2021</t>
        </is>
      </c>
      <c r="B2444" s="1" t="n">
        <v>44531</v>
      </c>
      <c r="C2444" s="1" t="n">
        <v>45744</v>
      </c>
      <c r="D2444" t="inlineStr">
        <is>
          <t>SKÅNE LÄN</t>
        </is>
      </c>
      <c r="E2444" t="inlineStr">
        <is>
          <t>ÖSTRA GÖINGE</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69383-2021</t>
        </is>
      </c>
      <c r="B2445" s="1" t="n">
        <v>44531</v>
      </c>
      <c r="C2445" s="1" t="n">
        <v>45744</v>
      </c>
      <c r="D2445" t="inlineStr">
        <is>
          <t>SKÅNE LÄN</t>
        </is>
      </c>
      <c r="E2445" t="inlineStr">
        <is>
          <t>ÖSTRA GÖINGE</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69390-2021</t>
        </is>
      </c>
      <c r="B2446" s="1" t="n">
        <v>44531</v>
      </c>
      <c r="C2446" s="1" t="n">
        <v>45744</v>
      </c>
      <c r="D2446" t="inlineStr">
        <is>
          <t>SKÅNE LÄN</t>
        </is>
      </c>
      <c r="E2446" t="inlineStr">
        <is>
          <t>ÖSTRA GÖINGE</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69384-2021</t>
        </is>
      </c>
      <c r="B2447" s="1" t="n">
        <v>44531</v>
      </c>
      <c r="C2447" s="1" t="n">
        <v>45744</v>
      </c>
      <c r="D2447" t="inlineStr">
        <is>
          <t>SKÅNE LÄN</t>
        </is>
      </c>
      <c r="E2447" t="inlineStr">
        <is>
          <t>ÖSTRA GÖINGE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69392-2021</t>
        </is>
      </c>
      <c r="B2448" s="1" t="n">
        <v>44531</v>
      </c>
      <c r="C2448" s="1" t="n">
        <v>45744</v>
      </c>
      <c r="D2448" t="inlineStr">
        <is>
          <t>SKÅNE LÄN</t>
        </is>
      </c>
      <c r="E2448" t="inlineStr">
        <is>
          <t>KLIPPAN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69419-2021</t>
        </is>
      </c>
      <c r="B2449" s="1" t="n">
        <v>44531</v>
      </c>
      <c r="C2449" s="1" t="n">
        <v>45744</v>
      </c>
      <c r="D2449" t="inlineStr">
        <is>
          <t>SKÅNE LÄN</t>
        </is>
      </c>
      <c r="E2449" t="inlineStr">
        <is>
          <t>HÄSSLEHOLM</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70087-2021</t>
        </is>
      </c>
      <c r="B2450" s="1" t="n">
        <v>44533</v>
      </c>
      <c r="C2450" s="1" t="n">
        <v>45744</v>
      </c>
      <c r="D2450" t="inlineStr">
        <is>
          <t>SKÅNE LÄN</t>
        </is>
      </c>
      <c r="E2450" t="inlineStr">
        <is>
          <t>HÄSSLEHOLM</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70163-2021</t>
        </is>
      </c>
      <c r="B2451" s="1" t="n">
        <v>44533</v>
      </c>
      <c r="C2451" s="1" t="n">
        <v>45744</v>
      </c>
      <c r="D2451" t="inlineStr">
        <is>
          <t>SKÅNE LÄN</t>
        </is>
      </c>
      <c r="E2451" t="inlineStr">
        <is>
          <t>KLIPPAN</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69993-2021</t>
        </is>
      </c>
      <c r="B2452" s="1" t="n">
        <v>44533</v>
      </c>
      <c r="C2452" s="1" t="n">
        <v>45744</v>
      </c>
      <c r="D2452" t="inlineStr">
        <is>
          <t>SKÅNE LÄN</t>
        </is>
      </c>
      <c r="E2452" t="inlineStr">
        <is>
          <t>KRISTIANSTAD</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70357-2021</t>
        </is>
      </c>
      <c r="B2453" s="1" t="n">
        <v>44536</v>
      </c>
      <c r="C2453" s="1" t="n">
        <v>45744</v>
      </c>
      <c r="D2453" t="inlineStr">
        <is>
          <t>SKÅNE LÄN</t>
        </is>
      </c>
      <c r="E2453" t="inlineStr">
        <is>
          <t>KRISTIANSTAD</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70705-2021</t>
        </is>
      </c>
      <c r="B2454" s="1" t="n">
        <v>44537</v>
      </c>
      <c r="C2454" s="1" t="n">
        <v>45744</v>
      </c>
      <c r="D2454" t="inlineStr">
        <is>
          <t>SKÅNE LÄN</t>
        </is>
      </c>
      <c r="E2454" t="inlineStr">
        <is>
          <t>KRISTIANSTAD</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70802-2021</t>
        </is>
      </c>
      <c r="B2455" s="1" t="n">
        <v>44537</v>
      </c>
      <c r="C2455" s="1" t="n">
        <v>45744</v>
      </c>
      <c r="D2455" t="inlineStr">
        <is>
          <t>SKÅNE LÄN</t>
        </is>
      </c>
      <c r="E2455" t="inlineStr">
        <is>
          <t>ÖRKELLJUNGA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70982-2021</t>
        </is>
      </c>
      <c r="B2456" s="1" t="n">
        <v>44538</v>
      </c>
      <c r="C2456" s="1" t="n">
        <v>45744</v>
      </c>
      <c r="D2456" t="inlineStr">
        <is>
          <t>SKÅNE LÄN</t>
        </is>
      </c>
      <c r="E2456" t="inlineStr">
        <is>
          <t>HÖÖR</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70933-2021</t>
        </is>
      </c>
      <c r="B2457" s="1" t="n">
        <v>44538</v>
      </c>
      <c r="C2457" s="1" t="n">
        <v>45744</v>
      </c>
      <c r="D2457" t="inlineStr">
        <is>
          <t>SKÅNE LÄN</t>
        </is>
      </c>
      <c r="E2457" t="inlineStr">
        <is>
          <t>SJÖBO</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70984-2021</t>
        </is>
      </c>
      <c r="B2458" s="1" t="n">
        <v>44538</v>
      </c>
      <c r="C2458" s="1" t="n">
        <v>45744</v>
      </c>
      <c r="D2458" t="inlineStr">
        <is>
          <t>SKÅNE LÄN</t>
        </is>
      </c>
      <c r="E2458" t="inlineStr">
        <is>
          <t>HÖÖR</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71056-2021</t>
        </is>
      </c>
      <c r="B2459" s="1" t="n">
        <v>44538</v>
      </c>
      <c r="C2459" s="1" t="n">
        <v>45744</v>
      </c>
      <c r="D2459" t="inlineStr">
        <is>
          <t>SKÅNE LÄN</t>
        </is>
      </c>
      <c r="E2459" t="inlineStr">
        <is>
          <t>SJÖBO</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71747-2021</t>
        </is>
      </c>
      <c r="B2460" s="1" t="n">
        <v>44539</v>
      </c>
      <c r="C2460" s="1" t="n">
        <v>45744</v>
      </c>
      <c r="D2460" t="inlineStr">
        <is>
          <t>SKÅNE LÄN</t>
        </is>
      </c>
      <c r="E2460" t="inlineStr">
        <is>
          <t>ÖSTRA GÖINGE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71741-2021</t>
        </is>
      </c>
      <c r="B2461" s="1" t="n">
        <v>44539</v>
      </c>
      <c r="C2461" s="1" t="n">
        <v>45744</v>
      </c>
      <c r="D2461" t="inlineStr">
        <is>
          <t>SKÅNE LÄN</t>
        </is>
      </c>
      <c r="E2461" t="inlineStr">
        <is>
          <t>ÖSTRA GÖINGE</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71383-2021</t>
        </is>
      </c>
      <c r="B2462" s="1" t="n">
        <v>44540</v>
      </c>
      <c r="C2462" s="1" t="n">
        <v>45744</v>
      </c>
      <c r="D2462" t="inlineStr">
        <is>
          <t>SKÅNE LÄN</t>
        </is>
      </c>
      <c r="E2462" t="inlineStr">
        <is>
          <t>KRISTIANSTAD</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71637-2021</t>
        </is>
      </c>
      <c r="B2463" s="1" t="n">
        <v>44543</v>
      </c>
      <c r="C2463" s="1" t="n">
        <v>45744</v>
      </c>
      <c r="D2463" t="inlineStr">
        <is>
          <t>SKÅNE LÄN</t>
        </is>
      </c>
      <c r="E2463" t="inlineStr">
        <is>
          <t>ÖRKELLJUNGA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72100-2021</t>
        </is>
      </c>
      <c r="B2464" s="1" t="n">
        <v>44544</v>
      </c>
      <c r="C2464" s="1" t="n">
        <v>45744</v>
      </c>
      <c r="D2464" t="inlineStr">
        <is>
          <t>SKÅNE LÄN</t>
        </is>
      </c>
      <c r="E2464" t="inlineStr">
        <is>
          <t>KRISTIANSTAD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72261-2021</t>
        </is>
      </c>
      <c r="B2465" s="1" t="n">
        <v>44545</v>
      </c>
      <c r="C2465" s="1" t="n">
        <v>45744</v>
      </c>
      <c r="D2465" t="inlineStr">
        <is>
          <t>SKÅNE LÄN</t>
        </is>
      </c>
      <c r="E2465" t="inlineStr">
        <is>
          <t>ÖRKELLJUNGA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72707-2021</t>
        </is>
      </c>
      <c r="B2466" s="1" t="n">
        <v>44546</v>
      </c>
      <c r="C2466" s="1" t="n">
        <v>45744</v>
      </c>
      <c r="D2466" t="inlineStr">
        <is>
          <t>SKÅNE LÄN</t>
        </is>
      </c>
      <c r="E2466" t="inlineStr">
        <is>
          <t>ÖRKELLJUNGA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72746-2021</t>
        </is>
      </c>
      <c r="B2467" s="1" t="n">
        <v>44546</v>
      </c>
      <c r="C2467" s="1" t="n">
        <v>45744</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73544-2021</t>
        </is>
      </c>
      <c r="B2468" s="1" t="n">
        <v>44551</v>
      </c>
      <c r="C2468" s="1" t="n">
        <v>45744</v>
      </c>
      <c r="D2468" t="inlineStr">
        <is>
          <t>SKÅNE LÄN</t>
        </is>
      </c>
      <c r="E2468" t="inlineStr">
        <is>
          <t>HÖÖR</t>
        </is>
      </c>
      <c r="F2468" t="inlineStr">
        <is>
          <t>Övriga statliga verk och myndigheter</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73513-2021</t>
        </is>
      </c>
      <c r="B2469" s="1" t="n">
        <v>44551</v>
      </c>
      <c r="C2469" s="1" t="n">
        <v>45744</v>
      </c>
      <c r="D2469" t="inlineStr">
        <is>
          <t>SKÅNE LÄN</t>
        </is>
      </c>
      <c r="E2469" t="inlineStr">
        <is>
          <t>HÄSSLEHOLM</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73830-2021</t>
        </is>
      </c>
      <c r="B2470" s="1" t="n">
        <v>44552</v>
      </c>
      <c r="C2470" s="1" t="n">
        <v>45744</v>
      </c>
      <c r="D2470" t="inlineStr">
        <is>
          <t>SKÅNE LÄN</t>
        </is>
      </c>
      <c r="E2470" t="inlineStr">
        <is>
          <t>ÖRKELLJUNGA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74030-2021</t>
        </is>
      </c>
      <c r="B2471" s="1" t="n">
        <v>44553</v>
      </c>
      <c r="C2471" s="1" t="n">
        <v>45744</v>
      </c>
      <c r="D2471" t="inlineStr">
        <is>
          <t>SKÅNE LÄN</t>
        </is>
      </c>
      <c r="E2471" t="inlineStr">
        <is>
          <t>HÄSSLEHOLM</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74214-2021</t>
        </is>
      </c>
      <c r="B2472" s="1" t="n">
        <v>44553</v>
      </c>
      <c r="C2472" s="1" t="n">
        <v>45744</v>
      </c>
      <c r="D2472" t="inlineStr">
        <is>
          <t>SKÅNE LÄN</t>
        </is>
      </c>
      <c r="E2472" t="inlineStr">
        <is>
          <t>ÄNGELHOLM</t>
        </is>
      </c>
      <c r="G2472" t="n">
        <v>19.8</v>
      </c>
      <c r="H2472" t="n">
        <v>0</v>
      </c>
      <c r="I2472" t="n">
        <v>0</v>
      </c>
      <c r="J2472" t="n">
        <v>0</v>
      </c>
      <c r="K2472" t="n">
        <v>0</v>
      </c>
      <c r="L2472" t="n">
        <v>0</v>
      </c>
      <c r="M2472" t="n">
        <v>0</v>
      </c>
      <c r="N2472" t="n">
        <v>0</v>
      </c>
      <c r="O2472" t="n">
        <v>0</v>
      </c>
      <c r="P2472" t="n">
        <v>0</v>
      </c>
      <c r="Q2472" t="n">
        <v>0</v>
      </c>
      <c r="R2472" s="2" t="inlineStr"/>
    </row>
    <row r="2473" ht="15" customHeight="1">
      <c r="A2473" t="inlineStr">
        <is>
          <t>A 73920-2021</t>
        </is>
      </c>
      <c r="B2473" s="1" t="n">
        <v>44553</v>
      </c>
      <c r="C2473" s="1" t="n">
        <v>45744</v>
      </c>
      <c r="D2473" t="inlineStr">
        <is>
          <t>SKÅNE LÄN</t>
        </is>
      </c>
      <c r="E2473" t="inlineStr">
        <is>
          <t>OSBY</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73927-2021</t>
        </is>
      </c>
      <c r="B2474" s="1" t="n">
        <v>44553</v>
      </c>
      <c r="C2474" s="1" t="n">
        <v>45744</v>
      </c>
      <c r="D2474" t="inlineStr">
        <is>
          <t>SKÅNE LÄN</t>
        </is>
      </c>
      <c r="E2474" t="inlineStr">
        <is>
          <t>OSBY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74008-2021</t>
        </is>
      </c>
      <c r="B2475" s="1" t="n">
        <v>44553</v>
      </c>
      <c r="C2475" s="1" t="n">
        <v>45744</v>
      </c>
      <c r="D2475" t="inlineStr">
        <is>
          <t>SKÅNE LÄN</t>
        </is>
      </c>
      <c r="E2475" t="inlineStr">
        <is>
          <t>ESLÖV</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74036-2021</t>
        </is>
      </c>
      <c r="B2476" s="1" t="n">
        <v>44557</v>
      </c>
      <c r="C2476" s="1" t="n">
        <v>45744</v>
      </c>
      <c r="D2476" t="inlineStr">
        <is>
          <t>SKÅNE LÄN</t>
        </is>
      </c>
      <c r="E2476" t="inlineStr">
        <is>
          <t>OSBY</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74018-2021</t>
        </is>
      </c>
      <c r="B2477" s="1" t="n">
        <v>44557</v>
      </c>
      <c r="C2477" s="1" t="n">
        <v>45744</v>
      </c>
      <c r="D2477" t="inlineStr">
        <is>
          <t>SKÅNE LÄN</t>
        </is>
      </c>
      <c r="E2477" t="inlineStr">
        <is>
          <t>OSBY</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74033-2021</t>
        </is>
      </c>
      <c r="B2478" s="1" t="n">
        <v>44557</v>
      </c>
      <c r="C2478" s="1" t="n">
        <v>45744</v>
      </c>
      <c r="D2478" t="inlineStr">
        <is>
          <t>SKÅNE LÄN</t>
        </is>
      </c>
      <c r="E2478" t="inlineStr">
        <is>
          <t>OSBY</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74016-2021</t>
        </is>
      </c>
      <c r="B2479" s="1" t="n">
        <v>44557</v>
      </c>
      <c r="C2479" s="1" t="n">
        <v>45744</v>
      </c>
      <c r="D2479" t="inlineStr">
        <is>
          <t>SKÅNE LÄN</t>
        </is>
      </c>
      <c r="E2479" t="inlineStr">
        <is>
          <t>OSBY</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74050-2021</t>
        </is>
      </c>
      <c r="B2480" s="1" t="n">
        <v>44557</v>
      </c>
      <c r="C2480" s="1" t="n">
        <v>45744</v>
      </c>
      <c r="D2480" t="inlineStr">
        <is>
          <t>SKÅNE LÄN</t>
        </is>
      </c>
      <c r="E2480" t="inlineStr">
        <is>
          <t>OSBY</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74093-2021</t>
        </is>
      </c>
      <c r="B2481" s="1" t="n">
        <v>44557</v>
      </c>
      <c r="C2481" s="1" t="n">
        <v>45744</v>
      </c>
      <c r="D2481" t="inlineStr">
        <is>
          <t>SKÅNE LÄN</t>
        </is>
      </c>
      <c r="E2481" t="inlineStr">
        <is>
          <t>ÖSTRA GÖINGE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74078-2021</t>
        </is>
      </c>
      <c r="B2482" s="1" t="n">
        <v>44557</v>
      </c>
      <c r="C2482" s="1" t="n">
        <v>45744</v>
      </c>
      <c r="D2482" t="inlineStr">
        <is>
          <t>SKÅNE LÄN</t>
        </is>
      </c>
      <c r="E2482" t="inlineStr">
        <is>
          <t>ÖSTRA GÖINGE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74112-2021</t>
        </is>
      </c>
      <c r="B2483" s="1" t="n">
        <v>44557</v>
      </c>
      <c r="C2483" s="1" t="n">
        <v>45744</v>
      </c>
      <c r="D2483" t="inlineStr">
        <is>
          <t>SKÅNE LÄN</t>
        </is>
      </c>
      <c r="E2483" t="inlineStr">
        <is>
          <t>ÖSTRA GÖINGE</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74141-2021</t>
        </is>
      </c>
      <c r="B2484" s="1" t="n">
        <v>44557</v>
      </c>
      <c r="C2484" s="1" t="n">
        <v>45744</v>
      </c>
      <c r="D2484" t="inlineStr">
        <is>
          <t>SKÅNE LÄN</t>
        </is>
      </c>
      <c r="E2484" t="inlineStr">
        <is>
          <t>ÖSTRA GÖINGE</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74137-2021</t>
        </is>
      </c>
      <c r="B2485" s="1" t="n">
        <v>44557</v>
      </c>
      <c r="C2485" s="1" t="n">
        <v>45744</v>
      </c>
      <c r="D2485" t="inlineStr">
        <is>
          <t>SKÅNE LÄN</t>
        </is>
      </c>
      <c r="E2485" t="inlineStr">
        <is>
          <t>ÖSTRA GÖINGE</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74144-2021</t>
        </is>
      </c>
      <c r="B2486" s="1" t="n">
        <v>44558</v>
      </c>
      <c r="C2486" s="1" t="n">
        <v>45744</v>
      </c>
      <c r="D2486" t="inlineStr">
        <is>
          <t>SKÅNE LÄN</t>
        </is>
      </c>
      <c r="E2486" t="inlineStr">
        <is>
          <t>ÖSTRA GÖINGE</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74073-2021</t>
        </is>
      </c>
      <c r="B2487" s="1" t="n">
        <v>44557</v>
      </c>
      <c r="C2487" s="1" t="n">
        <v>45744</v>
      </c>
      <c r="D2487" t="inlineStr">
        <is>
          <t>SKÅNE LÄN</t>
        </is>
      </c>
      <c r="E2487" t="inlineStr">
        <is>
          <t>OSBY</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74094-2021</t>
        </is>
      </c>
      <c r="B2488" s="1" t="n">
        <v>44557</v>
      </c>
      <c r="C2488" s="1" t="n">
        <v>45744</v>
      </c>
      <c r="D2488" t="inlineStr">
        <is>
          <t>SKÅNE LÄN</t>
        </is>
      </c>
      <c r="E2488" t="inlineStr">
        <is>
          <t>ÖSTRA GÖINGE</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74142-2021</t>
        </is>
      </c>
      <c r="B2489" s="1" t="n">
        <v>44557</v>
      </c>
      <c r="C2489" s="1" t="n">
        <v>45744</v>
      </c>
      <c r="D2489" t="inlineStr">
        <is>
          <t>SKÅNE LÄN</t>
        </is>
      </c>
      <c r="E2489" t="inlineStr">
        <is>
          <t>ÖSTRA GÖINGE</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74135-2021</t>
        </is>
      </c>
      <c r="B2490" s="1" t="n">
        <v>44557</v>
      </c>
      <c r="C2490" s="1" t="n">
        <v>45744</v>
      </c>
      <c r="D2490" t="inlineStr">
        <is>
          <t>SKÅNE LÄN</t>
        </is>
      </c>
      <c r="E2490" t="inlineStr">
        <is>
          <t>ÖSTRA GÖINGE</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74143-2021</t>
        </is>
      </c>
      <c r="B2491" s="1" t="n">
        <v>44557</v>
      </c>
      <c r="C2491" s="1" t="n">
        <v>45744</v>
      </c>
      <c r="D2491" t="inlineStr">
        <is>
          <t>SKÅNE LÄN</t>
        </is>
      </c>
      <c r="E2491" t="inlineStr">
        <is>
          <t>ÖSTRA GÖINGE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74293-2021</t>
        </is>
      </c>
      <c r="B2492" s="1" t="n">
        <v>44558</v>
      </c>
      <c r="C2492" s="1" t="n">
        <v>45744</v>
      </c>
      <c r="D2492" t="inlineStr">
        <is>
          <t>SKÅNE LÄN</t>
        </is>
      </c>
      <c r="E2492" t="inlineStr">
        <is>
          <t>HÄSSLEHOLM</t>
        </is>
      </c>
      <c r="F2492" t="inlineStr">
        <is>
          <t>Kyrkan</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74294-2021</t>
        </is>
      </c>
      <c r="B2493" s="1" t="n">
        <v>44558</v>
      </c>
      <c r="C2493" s="1" t="n">
        <v>45744</v>
      </c>
      <c r="D2493" t="inlineStr">
        <is>
          <t>SKÅNE LÄN</t>
        </is>
      </c>
      <c r="E2493" t="inlineStr">
        <is>
          <t>HÄSSLEHOLM</t>
        </is>
      </c>
      <c r="F2493" t="inlineStr">
        <is>
          <t>Kyrkan</t>
        </is>
      </c>
      <c r="G2493" t="n">
        <v>16.2</v>
      </c>
      <c r="H2493" t="n">
        <v>0</v>
      </c>
      <c r="I2493" t="n">
        <v>0</v>
      </c>
      <c r="J2493" t="n">
        <v>0</v>
      </c>
      <c r="K2493" t="n">
        <v>0</v>
      </c>
      <c r="L2493" t="n">
        <v>0</v>
      </c>
      <c r="M2493" t="n">
        <v>0</v>
      </c>
      <c r="N2493" t="n">
        <v>0</v>
      </c>
      <c r="O2493" t="n">
        <v>0</v>
      </c>
      <c r="P2493" t="n">
        <v>0</v>
      </c>
      <c r="Q2493" t="n">
        <v>0</v>
      </c>
      <c r="R2493" s="2" t="inlineStr"/>
    </row>
    <row r="2494" ht="15" customHeight="1">
      <c r="A2494" t="inlineStr">
        <is>
          <t>A 74289-2021</t>
        </is>
      </c>
      <c r="B2494" s="1" t="n">
        <v>44558</v>
      </c>
      <c r="C2494" s="1" t="n">
        <v>45744</v>
      </c>
      <c r="D2494" t="inlineStr">
        <is>
          <t>SKÅNE LÄN</t>
        </is>
      </c>
      <c r="E2494" t="inlineStr">
        <is>
          <t>KRISTIANSTAD</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74299-2021</t>
        </is>
      </c>
      <c r="B2495" s="1" t="n">
        <v>44558</v>
      </c>
      <c r="C2495" s="1" t="n">
        <v>45744</v>
      </c>
      <c r="D2495" t="inlineStr">
        <is>
          <t>SKÅNE LÄN</t>
        </is>
      </c>
      <c r="E2495" t="inlineStr">
        <is>
          <t>KRISTIANSTAD</t>
        </is>
      </c>
      <c r="G2495" t="n">
        <v>10.7</v>
      </c>
      <c r="H2495" t="n">
        <v>0</v>
      </c>
      <c r="I2495" t="n">
        <v>0</v>
      </c>
      <c r="J2495" t="n">
        <v>0</v>
      </c>
      <c r="K2495" t="n">
        <v>0</v>
      </c>
      <c r="L2495" t="n">
        <v>0</v>
      </c>
      <c r="M2495" t="n">
        <v>0</v>
      </c>
      <c r="N2495" t="n">
        <v>0</v>
      </c>
      <c r="O2495" t="n">
        <v>0</v>
      </c>
      <c r="P2495" t="n">
        <v>0</v>
      </c>
      <c r="Q2495" t="n">
        <v>0</v>
      </c>
      <c r="R2495" s="2" t="inlineStr"/>
    </row>
    <row r="2496" ht="15" customHeight="1">
      <c r="A2496" t="inlineStr">
        <is>
          <t>A 74297-2021</t>
        </is>
      </c>
      <c r="B2496" s="1" t="n">
        <v>44558</v>
      </c>
      <c r="C2496" s="1" t="n">
        <v>45744</v>
      </c>
      <c r="D2496" t="inlineStr">
        <is>
          <t>SKÅNE LÄN</t>
        </is>
      </c>
      <c r="E2496" t="inlineStr">
        <is>
          <t>HÄSSLEHOLM</t>
        </is>
      </c>
      <c r="F2496" t="inlineStr">
        <is>
          <t>Kyrkan</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74408-2021</t>
        </is>
      </c>
      <c r="B2497" s="1" t="n">
        <v>44560</v>
      </c>
      <c r="C2497" s="1" t="n">
        <v>45744</v>
      </c>
      <c r="D2497" t="inlineStr">
        <is>
          <t>SKÅNE LÄN</t>
        </is>
      </c>
      <c r="E2497" t="inlineStr">
        <is>
          <t>TOMELILLA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74453-2021</t>
        </is>
      </c>
      <c r="B2498" s="1" t="n">
        <v>44560</v>
      </c>
      <c r="C2498" s="1" t="n">
        <v>45744</v>
      </c>
      <c r="D2498" t="inlineStr">
        <is>
          <t>SKÅNE LÄN</t>
        </is>
      </c>
      <c r="E2498" t="inlineStr">
        <is>
          <t>HÄSSLEHOLM</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74418-2021</t>
        </is>
      </c>
      <c r="B2499" s="1" t="n">
        <v>44560</v>
      </c>
      <c r="C2499" s="1" t="n">
        <v>45744</v>
      </c>
      <c r="D2499" t="inlineStr">
        <is>
          <t>SKÅNE LÄN</t>
        </is>
      </c>
      <c r="E2499" t="inlineStr">
        <is>
          <t>SJÖBO</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74482-2021</t>
        </is>
      </c>
      <c r="B2500" s="1" t="n">
        <v>44560</v>
      </c>
      <c r="C2500" s="1" t="n">
        <v>45744</v>
      </c>
      <c r="D2500" t="inlineStr">
        <is>
          <t>SKÅNE LÄN</t>
        </is>
      </c>
      <c r="E2500" t="inlineStr">
        <is>
          <t>ÖRKELLJUNGA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74507-2021</t>
        </is>
      </c>
      <c r="B2501" s="1" t="n">
        <v>44560</v>
      </c>
      <c r="C2501" s="1" t="n">
        <v>45744</v>
      </c>
      <c r="D2501" t="inlineStr">
        <is>
          <t>SKÅNE LÄN</t>
        </is>
      </c>
      <c r="E2501" t="inlineStr">
        <is>
          <t>KRISTIANSTAD</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74476-2021</t>
        </is>
      </c>
      <c r="B2502" s="1" t="n">
        <v>44560</v>
      </c>
      <c r="C2502" s="1" t="n">
        <v>45744</v>
      </c>
      <c r="D2502" t="inlineStr">
        <is>
          <t>SKÅNE LÄN</t>
        </is>
      </c>
      <c r="E2502" t="inlineStr">
        <is>
          <t>HÄSSLEHOLM</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220-2022</t>
        </is>
      </c>
      <c r="B2503" s="1" t="n">
        <v>44564</v>
      </c>
      <c r="C2503" s="1" t="n">
        <v>45744</v>
      </c>
      <c r="D2503" t="inlineStr">
        <is>
          <t>SKÅNE LÄN</t>
        </is>
      </c>
      <c r="E2503" t="inlineStr">
        <is>
          <t>HÄSSLEHOLM</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219-2022</t>
        </is>
      </c>
      <c r="B2504" s="1" t="n">
        <v>44564</v>
      </c>
      <c r="C2504" s="1" t="n">
        <v>45744</v>
      </c>
      <c r="D2504" t="inlineStr">
        <is>
          <t>SKÅNE LÄN</t>
        </is>
      </c>
      <c r="E2504" t="inlineStr">
        <is>
          <t>HÄSSLEHOLM</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255-2022</t>
        </is>
      </c>
      <c r="B2505" s="1" t="n">
        <v>44565</v>
      </c>
      <c r="C2505" s="1" t="n">
        <v>45744</v>
      </c>
      <c r="D2505" t="inlineStr">
        <is>
          <t>SKÅNE LÄN</t>
        </is>
      </c>
      <c r="E2505" t="inlineStr">
        <is>
          <t>HÖRBY</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354-2022</t>
        </is>
      </c>
      <c r="B2506" s="1" t="n">
        <v>44565</v>
      </c>
      <c r="C2506" s="1" t="n">
        <v>45744</v>
      </c>
      <c r="D2506" t="inlineStr">
        <is>
          <t>SKÅNE LÄN</t>
        </is>
      </c>
      <c r="E2506" t="inlineStr">
        <is>
          <t>HÄSSLEHOLM</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315-2022</t>
        </is>
      </c>
      <c r="B2507" s="1" t="n">
        <v>44565</v>
      </c>
      <c r="C2507" s="1" t="n">
        <v>45744</v>
      </c>
      <c r="D2507" t="inlineStr">
        <is>
          <t>SKÅNE LÄN</t>
        </is>
      </c>
      <c r="E2507" t="inlineStr">
        <is>
          <t>HÄSSLEHOLM</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441-2022</t>
        </is>
      </c>
      <c r="B2508" s="1" t="n">
        <v>44566</v>
      </c>
      <c r="C2508" s="1" t="n">
        <v>45744</v>
      </c>
      <c r="D2508" t="inlineStr">
        <is>
          <t>SKÅNE LÄN</t>
        </is>
      </c>
      <c r="E2508" t="inlineStr">
        <is>
          <t>HÄSSLEHOLM</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418-2022</t>
        </is>
      </c>
      <c r="B2509" s="1" t="n">
        <v>44565</v>
      </c>
      <c r="C2509" s="1" t="n">
        <v>45744</v>
      </c>
      <c r="D2509" t="inlineStr">
        <is>
          <t>SKÅNE LÄN</t>
        </is>
      </c>
      <c r="E2509" t="inlineStr">
        <is>
          <t>HÄSSLEHOLM</t>
        </is>
      </c>
      <c r="G2509" t="n">
        <v>0</v>
      </c>
      <c r="H2509" t="n">
        <v>0</v>
      </c>
      <c r="I2509" t="n">
        <v>0</v>
      </c>
      <c r="J2509" t="n">
        <v>0</v>
      </c>
      <c r="K2509" t="n">
        <v>0</v>
      </c>
      <c r="L2509" t="n">
        <v>0</v>
      </c>
      <c r="M2509" t="n">
        <v>0</v>
      </c>
      <c r="N2509" t="n">
        <v>0</v>
      </c>
      <c r="O2509" t="n">
        <v>0</v>
      </c>
      <c r="P2509" t="n">
        <v>0</v>
      </c>
      <c r="Q2509" t="n">
        <v>0</v>
      </c>
      <c r="R2509" s="2" t="inlineStr"/>
    </row>
    <row r="2510" ht="15" customHeight="1">
      <c r="A2510" t="inlineStr">
        <is>
          <t>A 417-2022</t>
        </is>
      </c>
      <c r="B2510" s="1" t="n">
        <v>44565</v>
      </c>
      <c r="C2510" s="1" t="n">
        <v>45744</v>
      </c>
      <c r="D2510" t="inlineStr">
        <is>
          <t>SKÅNE LÄN</t>
        </is>
      </c>
      <c r="E2510" t="inlineStr">
        <is>
          <t>HÄSSLEHOLM</t>
        </is>
      </c>
      <c r="G2510" t="n">
        <v>0</v>
      </c>
      <c r="H2510" t="n">
        <v>0</v>
      </c>
      <c r="I2510" t="n">
        <v>0</v>
      </c>
      <c r="J2510" t="n">
        <v>0</v>
      </c>
      <c r="K2510" t="n">
        <v>0</v>
      </c>
      <c r="L2510" t="n">
        <v>0</v>
      </c>
      <c r="M2510" t="n">
        <v>0</v>
      </c>
      <c r="N2510" t="n">
        <v>0</v>
      </c>
      <c r="O2510" t="n">
        <v>0</v>
      </c>
      <c r="P2510" t="n">
        <v>0</v>
      </c>
      <c r="Q2510" t="n">
        <v>0</v>
      </c>
      <c r="R2510" s="2" t="inlineStr"/>
    </row>
    <row r="2511" ht="15" customHeight="1">
      <c r="A2511" t="inlineStr">
        <is>
          <t>A 525-2022</t>
        </is>
      </c>
      <c r="B2511" s="1" t="n">
        <v>44566</v>
      </c>
      <c r="C2511" s="1" t="n">
        <v>45744</v>
      </c>
      <c r="D2511" t="inlineStr">
        <is>
          <t>SKÅNE LÄN</t>
        </is>
      </c>
      <c r="E2511" t="inlineStr">
        <is>
          <t>HÄSSLEHOLM</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1218-2022</t>
        </is>
      </c>
      <c r="B2512" s="1" t="n">
        <v>44572</v>
      </c>
      <c r="C2512" s="1" t="n">
        <v>45744</v>
      </c>
      <c r="D2512" t="inlineStr">
        <is>
          <t>SKÅNE LÄN</t>
        </is>
      </c>
      <c r="E2512" t="inlineStr">
        <is>
          <t>KRISTIANSTAD</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1226-2022</t>
        </is>
      </c>
      <c r="B2513" s="1" t="n">
        <v>44572</v>
      </c>
      <c r="C2513" s="1" t="n">
        <v>45744</v>
      </c>
      <c r="D2513" t="inlineStr">
        <is>
          <t>SKÅNE LÄN</t>
        </is>
      </c>
      <c r="E2513" t="inlineStr">
        <is>
          <t>KLIPPAN</t>
        </is>
      </c>
      <c r="F2513" t="inlineStr">
        <is>
          <t>Övriga Aktiebolag</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1228-2022</t>
        </is>
      </c>
      <c r="B2514" s="1" t="n">
        <v>44572</v>
      </c>
      <c r="C2514" s="1" t="n">
        <v>45744</v>
      </c>
      <c r="D2514" t="inlineStr">
        <is>
          <t>SKÅNE LÄN</t>
        </is>
      </c>
      <c r="E2514" t="inlineStr">
        <is>
          <t>KRISTIANSTAD</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1210-2022</t>
        </is>
      </c>
      <c r="B2515" s="1" t="n">
        <v>44572</v>
      </c>
      <c r="C2515" s="1" t="n">
        <v>45744</v>
      </c>
      <c r="D2515" t="inlineStr">
        <is>
          <t>SKÅNE LÄN</t>
        </is>
      </c>
      <c r="E2515" t="inlineStr">
        <is>
          <t>HÄSSLEHOLM</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1235-2022</t>
        </is>
      </c>
      <c r="B2516" s="1" t="n">
        <v>44572</v>
      </c>
      <c r="C2516" s="1" t="n">
        <v>45744</v>
      </c>
      <c r="D2516" t="inlineStr">
        <is>
          <t>SKÅNE LÄN</t>
        </is>
      </c>
      <c r="E2516" t="inlineStr">
        <is>
          <t>SJÖBO</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1310-2022</t>
        </is>
      </c>
      <c r="B2517" s="1" t="n">
        <v>44572</v>
      </c>
      <c r="C2517" s="1" t="n">
        <v>45744</v>
      </c>
      <c r="D2517" t="inlineStr">
        <is>
          <t>SKÅNE LÄN</t>
        </is>
      </c>
      <c r="E2517" t="inlineStr">
        <is>
          <t>OSBY</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1351-2022</t>
        </is>
      </c>
      <c r="B2518" s="1" t="n">
        <v>44572</v>
      </c>
      <c r="C2518" s="1" t="n">
        <v>45744</v>
      </c>
      <c r="D2518" t="inlineStr">
        <is>
          <t>SKÅNE LÄN</t>
        </is>
      </c>
      <c r="E2518" t="inlineStr">
        <is>
          <t>KRISTIANSTAD</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1466-2022</t>
        </is>
      </c>
      <c r="B2519" s="1" t="n">
        <v>44573</v>
      </c>
      <c r="C2519" s="1" t="n">
        <v>45744</v>
      </c>
      <c r="D2519" t="inlineStr">
        <is>
          <t>SKÅNE LÄN</t>
        </is>
      </c>
      <c r="E2519" t="inlineStr">
        <is>
          <t>OSBY</t>
        </is>
      </c>
      <c r="F2519" t="inlineStr">
        <is>
          <t>Kyrkan</t>
        </is>
      </c>
      <c r="G2519" t="n">
        <v>0</v>
      </c>
      <c r="H2519" t="n">
        <v>0</v>
      </c>
      <c r="I2519" t="n">
        <v>0</v>
      </c>
      <c r="J2519" t="n">
        <v>0</v>
      </c>
      <c r="K2519" t="n">
        <v>0</v>
      </c>
      <c r="L2519" t="n">
        <v>0</v>
      </c>
      <c r="M2519" t="n">
        <v>0</v>
      </c>
      <c r="N2519" t="n">
        <v>0</v>
      </c>
      <c r="O2519" t="n">
        <v>0</v>
      </c>
      <c r="P2519" t="n">
        <v>0</v>
      </c>
      <c r="Q2519" t="n">
        <v>0</v>
      </c>
      <c r="R2519" s="2" t="inlineStr"/>
    </row>
    <row r="2520" ht="15" customHeight="1">
      <c r="A2520" t="inlineStr">
        <is>
          <t>A 1475-2022</t>
        </is>
      </c>
      <c r="B2520" s="1" t="n">
        <v>44573</v>
      </c>
      <c r="C2520" s="1" t="n">
        <v>45744</v>
      </c>
      <c r="D2520" t="inlineStr">
        <is>
          <t>SKÅNE LÄN</t>
        </is>
      </c>
      <c r="E2520" t="inlineStr">
        <is>
          <t>HÖÖR</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1468-2022</t>
        </is>
      </c>
      <c r="B2521" s="1" t="n">
        <v>44573</v>
      </c>
      <c r="C2521" s="1" t="n">
        <v>45744</v>
      </c>
      <c r="D2521" t="inlineStr">
        <is>
          <t>SKÅNE LÄN</t>
        </is>
      </c>
      <c r="E2521" t="inlineStr">
        <is>
          <t>KÄVLINGE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1535-2022</t>
        </is>
      </c>
      <c r="B2522" s="1" t="n">
        <v>44573</v>
      </c>
      <c r="C2522" s="1" t="n">
        <v>45744</v>
      </c>
      <c r="D2522" t="inlineStr">
        <is>
          <t>SKÅNE LÄN</t>
        </is>
      </c>
      <c r="E2522" t="inlineStr">
        <is>
          <t>HÄSSLEHOLM</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1607-2022</t>
        </is>
      </c>
      <c r="B2523" s="1" t="n">
        <v>44573</v>
      </c>
      <c r="C2523" s="1" t="n">
        <v>45744</v>
      </c>
      <c r="D2523" t="inlineStr">
        <is>
          <t>SKÅNE LÄN</t>
        </is>
      </c>
      <c r="E2523" t="inlineStr">
        <is>
          <t>OSBY</t>
        </is>
      </c>
      <c r="F2523" t="inlineStr">
        <is>
          <t>Kyrkan</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1619-2022</t>
        </is>
      </c>
      <c r="B2524" s="1" t="n">
        <v>44573</v>
      </c>
      <c r="C2524" s="1" t="n">
        <v>45744</v>
      </c>
      <c r="D2524" t="inlineStr">
        <is>
          <t>SKÅNE LÄN</t>
        </is>
      </c>
      <c r="E2524" t="inlineStr">
        <is>
          <t>HÄSSLEHOLM</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1524-2022</t>
        </is>
      </c>
      <c r="B2525" s="1" t="n">
        <v>44573</v>
      </c>
      <c r="C2525" s="1" t="n">
        <v>45744</v>
      </c>
      <c r="D2525" t="inlineStr">
        <is>
          <t>SKÅNE LÄN</t>
        </is>
      </c>
      <c r="E2525" t="inlineStr">
        <is>
          <t>BÅSTAD</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1531-2022</t>
        </is>
      </c>
      <c r="B2526" s="1" t="n">
        <v>44573</v>
      </c>
      <c r="C2526" s="1" t="n">
        <v>45744</v>
      </c>
      <c r="D2526" t="inlineStr">
        <is>
          <t>SKÅNE LÄN</t>
        </is>
      </c>
      <c r="E2526" t="inlineStr">
        <is>
          <t>BÅSTAD</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1679-2022</t>
        </is>
      </c>
      <c r="B2527" s="1" t="n">
        <v>44573</v>
      </c>
      <c r="C2527" s="1" t="n">
        <v>45744</v>
      </c>
      <c r="D2527" t="inlineStr">
        <is>
          <t>SKÅNE LÄN</t>
        </is>
      </c>
      <c r="E2527" t="inlineStr">
        <is>
          <t>HÄSSLEHOLM</t>
        </is>
      </c>
      <c r="F2527" t="inlineStr">
        <is>
          <t>Kyrkan</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1694-2022</t>
        </is>
      </c>
      <c r="B2528" s="1" t="n">
        <v>44574</v>
      </c>
      <c r="C2528" s="1" t="n">
        <v>45744</v>
      </c>
      <c r="D2528" t="inlineStr">
        <is>
          <t>SKÅNE LÄN</t>
        </is>
      </c>
      <c r="E2528" t="inlineStr">
        <is>
          <t>KRISTIANSTAD</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1789-2022</t>
        </is>
      </c>
      <c r="B2529" s="1" t="n">
        <v>44574</v>
      </c>
      <c r="C2529" s="1" t="n">
        <v>45744</v>
      </c>
      <c r="D2529" t="inlineStr">
        <is>
          <t>SKÅNE LÄN</t>
        </is>
      </c>
      <c r="E2529" t="inlineStr">
        <is>
          <t>ÖSTRA GÖINGE</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1899-2022</t>
        </is>
      </c>
      <c r="B2530" s="1" t="n">
        <v>44575</v>
      </c>
      <c r="C2530" s="1" t="n">
        <v>45744</v>
      </c>
      <c r="D2530" t="inlineStr">
        <is>
          <t>SKÅNE LÄN</t>
        </is>
      </c>
      <c r="E2530" t="inlineStr">
        <is>
          <t>OSBY</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2007-2022</t>
        </is>
      </c>
      <c r="B2531" s="1" t="n">
        <v>44575</v>
      </c>
      <c r="C2531" s="1" t="n">
        <v>45744</v>
      </c>
      <c r="D2531" t="inlineStr">
        <is>
          <t>SKÅNE LÄN</t>
        </is>
      </c>
      <c r="E2531" t="inlineStr">
        <is>
          <t>KRISTIANSTAD</t>
        </is>
      </c>
      <c r="F2531" t="inlineStr">
        <is>
          <t>Övriga Aktiebolag</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2026-2022</t>
        </is>
      </c>
      <c r="B2532" s="1" t="n">
        <v>44575</v>
      </c>
      <c r="C2532" s="1" t="n">
        <v>45744</v>
      </c>
      <c r="D2532" t="inlineStr">
        <is>
          <t>SKÅNE LÄN</t>
        </is>
      </c>
      <c r="E2532" t="inlineStr">
        <is>
          <t>SJÖBO</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2046-2022</t>
        </is>
      </c>
      <c r="B2533" s="1" t="n">
        <v>44575</v>
      </c>
      <c r="C2533" s="1" t="n">
        <v>45744</v>
      </c>
      <c r="D2533" t="inlineStr">
        <is>
          <t>SKÅNE LÄN</t>
        </is>
      </c>
      <c r="E2533" t="inlineStr">
        <is>
          <t>KLIPPAN</t>
        </is>
      </c>
      <c r="F2533" t="inlineStr">
        <is>
          <t>Sveaskog</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2045-2022</t>
        </is>
      </c>
      <c r="B2534" s="1" t="n">
        <v>44575</v>
      </c>
      <c r="C2534" s="1" t="n">
        <v>45744</v>
      </c>
      <c r="D2534" t="inlineStr">
        <is>
          <t>SKÅNE LÄN</t>
        </is>
      </c>
      <c r="E2534" t="inlineStr">
        <is>
          <t>KLIPPAN</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2063-2022</t>
        </is>
      </c>
      <c r="B2535" s="1" t="n">
        <v>44575</v>
      </c>
      <c r="C2535" s="1" t="n">
        <v>45744</v>
      </c>
      <c r="D2535" t="inlineStr">
        <is>
          <t>SKÅNE LÄN</t>
        </is>
      </c>
      <c r="E2535" t="inlineStr">
        <is>
          <t>ÖSTRA GÖINGE</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2193-2022</t>
        </is>
      </c>
      <c r="B2536" s="1" t="n">
        <v>44578</v>
      </c>
      <c r="C2536" s="1" t="n">
        <v>45744</v>
      </c>
      <c r="D2536" t="inlineStr">
        <is>
          <t>SKÅNE LÄN</t>
        </is>
      </c>
      <c r="E2536" t="inlineStr">
        <is>
          <t>TOMELILLA</t>
        </is>
      </c>
      <c r="F2536" t="inlineStr">
        <is>
          <t>Sveaskog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2222-2022</t>
        </is>
      </c>
      <c r="B2537" s="1" t="n">
        <v>44578</v>
      </c>
      <c r="C2537" s="1" t="n">
        <v>45744</v>
      </c>
      <c r="D2537" t="inlineStr">
        <is>
          <t>SKÅNE LÄN</t>
        </is>
      </c>
      <c r="E2537" t="inlineStr">
        <is>
          <t>OSBY</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2158-2022</t>
        </is>
      </c>
      <c r="B2538" s="1" t="n">
        <v>44578</v>
      </c>
      <c r="C2538" s="1" t="n">
        <v>45744</v>
      </c>
      <c r="D2538" t="inlineStr">
        <is>
          <t>SKÅNE LÄN</t>
        </is>
      </c>
      <c r="E2538" t="inlineStr">
        <is>
          <t>ÖSTRA GÖINGE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2190-2022</t>
        </is>
      </c>
      <c r="B2539" s="1" t="n">
        <v>44578</v>
      </c>
      <c r="C2539" s="1" t="n">
        <v>45744</v>
      </c>
      <c r="D2539" t="inlineStr">
        <is>
          <t>SKÅNE LÄN</t>
        </is>
      </c>
      <c r="E2539" t="inlineStr">
        <is>
          <t>TOMELILLA</t>
        </is>
      </c>
      <c r="F2539" t="inlineStr">
        <is>
          <t>Sveaskog</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2150-2022</t>
        </is>
      </c>
      <c r="B2540" s="1" t="n">
        <v>44578</v>
      </c>
      <c r="C2540" s="1" t="n">
        <v>45744</v>
      </c>
      <c r="D2540" t="inlineStr">
        <is>
          <t>SKÅNE LÄN</t>
        </is>
      </c>
      <c r="E2540" t="inlineStr">
        <is>
          <t>ESLÖV</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2405-2022</t>
        </is>
      </c>
      <c r="B2541" s="1" t="n">
        <v>44579</v>
      </c>
      <c r="C2541" s="1" t="n">
        <v>45744</v>
      </c>
      <c r="D2541" t="inlineStr">
        <is>
          <t>SKÅNE LÄN</t>
        </is>
      </c>
      <c r="E2541" t="inlineStr">
        <is>
          <t>ÖRKELLJUNGA</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2442-2022</t>
        </is>
      </c>
      <c r="B2542" s="1" t="n">
        <v>44579</v>
      </c>
      <c r="C2542" s="1" t="n">
        <v>45744</v>
      </c>
      <c r="D2542" t="inlineStr">
        <is>
          <t>SKÅNE LÄN</t>
        </is>
      </c>
      <c r="E2542" t="inlineStr">
        <is>
          <t>OSBY</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2472-2022</t>
        </is>
      </c>
      <c r="B2543" s="1" t="n">
        <v>44579</v>
      </c>
      <c r="C2543" s="1" t="n">
        <v>45744</v>
      </c>
      <c r="D2543" t="inlineStr">
        <is>
          <t>SKÅNE LÄN</t>
        </is>
      </c>
      <c r="E2543" t="inlineStr">
        <is>
          <t>KRISTIANSTAD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2618-2022</t>
        </is>
      </c>
      <c r="B2544" s="1" t="n">
        <v>44580</v>
      </c>
      <c r="C2544" s="1" t="n">
        <v>45744</v>
      </c>
      <c r="D2544" t="inlineStr">
        <is>
          <t>SKÅNE LÄN</t>
        </is>
      </c>
      <c r="E2544" t="inlineStr">
        <is>
          <t>HÄSSLEHOLM</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2621-2022</t>
        </is>
      </c>
      <c r="B2545" s="1" t="n">
        <v>44580</v>
      </c>
      <c r="C2545" s="1" t="n">
        <v>45744</v>
      </c>
      <c r="D2545" t="inlineStr">
        <is>
          <t>SKÅNE LÄN</t>
        </is>
      </c>
      <c r="E2545" t="inlineStr">
        <is>
          <t>OSBY</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2631-2022</t>
        </is>
      </c>
      <c r="B2546" s="1" t="n">
        <v>44580</v>
      </c>
      <c r="C2546" s="1" t="n">
        <v>45744</v>
      </c>
      <c r="D2546" t="inlineStr">
        <is>
          <t>SKÅNE LÄN</t>
        </is>
      </c>
      <c r="E2546" t="inlineStr">
        <is>
          <t>HÄSSLEHOLM</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2695-2022</t>
        </is>
      </c>
      <c r="B2547" s="1" t="n">
        <v>44580</v>
      </c>
      <c r="C2547" s="1" t="n">
        <v>45744</v>
      </c>
      <c r="D2547" t="inlineStr">
        <is>
          <t>SKÅNE LÄN</t>
        </is>
      </c>
      <c r="E2547" t="inlineStr">
        <is>
          <t>ÖSTRA GÖINGE</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2765-2022</t>
        </is>
      </c>
      <c r="B2548" s="1" t="n">
        <v>44580</v>
      </c>
      <c r="C2548" s="1" t="n">
        <v>45744</v>
      </c>
      <c r="D2548" t="inlineStr">
        <is>
          <t>SKÅNE LÄN</t>
        </is>
      </c>
      <c r="E2548" t="inlineStr">
        <is>
          <t>HÄSSLEHOLM</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3101-2022</t>
        </is>
      </c>
      <c r="B2549" s="1" t="n">
        <v>44580</v>
      </c>
      <c r="C2549" s="1" t="n">
        <v>45744</v>
      </c>
      <c r="D2549" t="inlineStr">
        <is>
          <t>SKÅNE LÄN</t>
        </is>
      </c>
      <c r="E2549" t="inlineStr">
        <is>
          <t>HÄSSLEHOLM</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2858-2022</t>
        </is>
      </c>
      <c r="B2550" s="1" t="n">
        <v>44581</v>
      </c>
      <c r="C2550" s="1" t="n">
        <v>45744</v>
      </c>
      <c r="D2550" t="inlineStr">
        <is>
          <t>SKÅNE LÄN</t>
        </is>
      </c>
      <c r="E2550" t="inlineStr">
        <is>
          <t>HÄSSLEHOLM</t>
        </is>
      </c>
      <c r="F2550" t="inlineStr">
        <is>
          <t>Övriga Aktiebolag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3167-2022</t>
        </is>
      </c>
      <c r="B2551" s="1" t="n">
        <v>44582</v>
      </c>
      <c r="C2551" s="1" t="n">
        <v>45744</v>
      </c>
      <c r="D2551" t="inlineStr">
        <is>
          <t>SKÅNE LÄN</t>
        </is>
      </c>
      <c r="E2551" t="inlineStr">
        <is>
          <t>HÄSSLEHOLM</t>
        </is>
      </c>
      <c r="F2551" t="inlineStr">
        <is>
          <t>Kommuner</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3248-2022</t>
        </is>
      </c>
      <c r="B2552" s="1" t="n">
        <v>44583</v>
      </c>
      <c r="C2552" s="1" t="n">
        <v>45744</v>
      </c>
      <c r="D2552" t="inlineStr">
        <is>
          <t>SKÅNE LÄN</t>
        </is>
      </c>
      <c r="E2552" t="inlineStr">
        <is>
          <t>HÄSSLEHOLM</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3245-2022</t>
        </is>
      </c>
      <c r="B2553" s="1" t="n">
        <v>44583</v>
      </c>
      <c r="C2553" s="1" t="n">
        <v>45744</v>
      </c>
      <c r="D2553" t="inlineStr">
        <is>
          <t>SKÅNE LÄN</t>
        </is>
      </c>
      <c r="E2553" t="inlineStr">
        <is>
          <t>HÄSSLEHOLM</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3247-2022</t>
        </is>
      </c>
      <c r="B2554" s="1" t="n">
        <v>44583</v>
      </c>
      <c r="C2554" s="1" t="n">
        <v>45744</v>
      </c>
      <c r="D2554" t="inlineStr">
        <is>
          <t>SKÅNE LÄN</t>
        </is>
      </c>
      <c r="E2554" t="inlineStr">
        <is>
          <t>HÄSSLEHOLM</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3276-2022</t>
        </is>
      </c>
      <c r="B2555" s="1" t="n">
        <v>44584</v>
      </c>
      <c r="C2555" s="1" t="n">
        <v>45744</v>
      </c>
      <c r="D2555" t="inlineStr">
        <is>
          <t>SKÅNE LÄN</t>
        </is>
      </c>
      <c r="E2555" t="inlineStr">
        <is>
          <t>HÄSSLEHOLM</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3277-2022</t>
        </is>
      </c>
      <c r="B2556" s="1" t="n">
        <v>44584</v>
      </c>
      <c r="C2556" s="1" t="n">
        <v>45744</v>
      </c>
      <c r="D2556" t="inlineStr">
        <is>
          <t>SKÅNE LÄN</t>
        </is>
      </c>
      <c r="E2556" t="inlineStr">
        <is>
          <t>HÄSSLEHOLM</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3361-2022</t>
        </is>
      </c>
      <c r="B2557" s="1" t="n">
        <v>44585</v>
      </c>
      <c r="C2557" s="1" t="n">
        <v>45744</v>
      </c>
      <c r="D2557" t="inlineStr">
        <is>
          <t>SKÅNE LÄN</t>
        </is>
      </c>
      <c r="E2557" t="inlineStr">
        <is>
          <t>OSBY</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3442-2022</t>
        </is>
      </c>
      <c r="B2558" s="1" t="n">
        <v>44585</v>
      </c>
      <c r="C2558" s="1" t="n">
        <v>45744</v>
      </c>
      <c r="D2558" t="inlineStr">
        <is>
          <t>SKÅNE LÄN</t>
        </is>
      </c>
      <c r="E2558" t="inlineStr">
        <is>
          <t>ÖSTRA GÖINGE</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3445-2022</t>
        </is>
      </c>
      <c r="B2559" s="1" t="n">
        <v>44585</v>
      </c>
      <c r="C2559" s="1" t="n">
        <v>45744</v>
      </c>
      <c r="D2559" t="inlineStr">
        <is>
          <t>SKÅNE LÄN</t>
        </is>
      </c>
      <c r="E2559" t="inlineStr">
        <is>
          <t>ÖSTRA GÖINGE</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3395-2022</t>
        </is>
      </c>
      <c r="B2560" s="1" t="n">
        <v>44585</v>
      </c>
      <c r="C2560" s="1" t="n">
        <v>45744</v>
      </c>
      <c r="D2560" t="inlineStr">
        <is>
          <t>SKÅNE LÄN</t>
        </is>
      </c>
      <c r="E2560" t="inlineStr">
        <is>
          <t>HÄSSLEHOLM</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3454-2022</t>
        </is>
      </c>
      <c r="B2561" s="1" t="n">
        <v>44585</v>
      </c>
      <c r="C2561" s="1" t="n">
        <v>45744</v>
      </c>
      <c r="D2561" t="inlineStr">
        <is>
          <t>SKÅNE LÄN</t>
        </is>
      </c>
      <c r="E2561" t="inlineStr">
        <is>
          <t>OSBY</t>
        </is>
      </c>
      <c r="F2561" t="inlineStr">
        <is>
          <t>Sveaskog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3480-2022</t>
        </is>
      </c>
      <c r="B2562" s="1" t="n">
        <v>44585</v>
      </c>
      <c r="C2562" s="1" t="n">
        <v>45744</v>
      </c>
      <c r="D2562" t="inlineStr">
        <is>
          <t>SKÅNE LÄN</t>
        </is>
      </c>
      <c r="E2562" t="inlineStr">
        <is>
          <t>HÖÖR</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3452-2022</t>
        </is>
      </c>
      <c r="B2563" s="1" t="n">
        <v>44585</v>
      </c>
      <c r="C2563" s="1" t="n">
        <v>45744</v>
      </c>
      <c r="D2563" t="inlineStr">
        <is>
          <t>SKÅNE LÄN</t>
        </is>
      </c>
      <c r="E2563" t="inlineStr">
        <is>
          <t>OSBY</t>
        </is>
      </c>
      <c r="F2563" t="inlineStr">
        <is>
          <t>Sveaskog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3646-2022</t>
        </is>
      </c>
      <c r="B2564" s="1" t="n">
        <v>44586</v>
      </c>
      <c r="C2564" s="1" t="n">
        <v>45744</v>
      </c>
      <c r="D2564" t="inlineStr">
        <is>
          <t>SKÅNE LÄN</t>
        </is>
      </c>
      <c r="E2564" t="inlineStr">
        <is>
          <t>OSBY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3727-2022</t>
        </is>
      </c>
      <c r="B2565" s="1" t="n">
        <v>44586</v>
      </c>
      <c r="C2565" s="1" t="n">
        <v>45744</v>
      </c>
      <c r="D2565" t="inlineStr">
        <is>
          <t>SKÅNE LÄN</t>
        </is>
      </c>
      <c r="E2565" t="inlineStr">
        <is>
          <t>BÅSTAD</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3830-2022</t>
        </is>
      </c>
      <c r="B2566" s="1" t="n">
        <v>44587</v>
      </c>
      <c r="C2566" s="1" t="n">
        <v>45744</v>
      </c>
      <c r="D2566" t="inlineStr">
        <is>
          <t>SKÅNE LÄN</t>
        </is>
      </c>
      <c r="E2566" t="inlineStr">
        <is>
          <t>ÖRKELLJUNGA</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3855-2022</t>
        </is>
      </c>
      <c r="B2567" s="1" t="n">
        <v>44587</v>
      </c>
      <c r="C2567" s="1" t="n">
        <v>45744</v>
      </c>
      <c r="D2567" t="inlineStr">
        <is>
          <t>SKÅNE LÄN</t>
        </is>
      </c>
      <c r="E2567" t="inlineStr">
        <is>
          <t>HÄSSLEHOLM</t>
        </is>
      </c>
      <c r="F2567" t="inlineStr">
        <is>
          <t>Övriga Aktiebolag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3904-2022</t>
        </is>
      </c>
      <c r="B2568" s="1" t="n">
        <v>44587</v>
      </c>
      <c r="C2568" s="1" t="n">
        <v>45744</v>
      </c>
      <c r="D2568" t="inlineStr">
        <is>
          <t>SKÅNE LÄN</t>
        </is>
      </c>
      <c r="E2568" t="inlineStr">
        <is>
          <t>KRISTIANSTAD</t>
        </is>
      </c>
      <c r="F2568" t="inlineStr">
        <is>
          <t>Sveaskog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3908-2022</t>
        </is>
      </c>
      <c r="B2569" s="1" t="n">
        <v>44587</v>
      </c>
      <c r="C2569" s="1" t="n">
        <v>45744</v>
      </c>
      <c r="D2569" t="inlineStr">
        <is>
          <t>SKÅNE LÄN</t>
        </is>
      </c>
      <c r="E2569" t="inlineStr">
        <is>
          <t>KRISTIANSTAD</t>
        </is>
      </c>
      <c r="F2569" t="inlineStr">
        <is>
          <t>Sveaskog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3941-2022</t>
        </is>
      </c>
      <c r="B2570" s="1" t="n">
        <v>44587</v>
      </c>
      <c r="C2570" s="1" t="n">
        <v>45744</v>
      </c>
      <c r="D2570" t="inlineStr">
        <is>
          <t>SKÅNE LÄN</t>
        </is>
      </c>
      <c r="E2570" t="inlineStr">
        <is>
          <t>SVALÖV</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3952-2022</t>
        </is>
      </c>
      <c r="B2571" s="1" t="n">
        <v>44587</v>
      </c>
      <c r="C2571" s="1" t="n">
        <v>45744</v>
      </c>
      <c r="D2571" t="inlineStr">
        <is>
          <t>SKÅNE LÄN</t>
        </is>
      </c>
      <c r="E2571" t="inlineStr">
        <is>
          <t>HÄSSLEHOLM</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3973-2022</t>
        </is>
      </c>
      <c r="B2572" s="1" t="n">
        <v>44587</v>
      </c>
      <c r="C2572" s="1" t="n">
        <v>45744</v>
      </c>
      <c r="D2572" t="inlineStr">
        <is>
          <t>SKÅNE LÄN</t>
        </is>
      </c>
      <c r="E2572" t="inlineStr">
        <is>
          <t>OSBY</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3992-2022</t>
        </is>
      </c>
      <c r="B2573" s="1" t="n">
        <v>44587</v>
      </c>
      <c r="C2573" s="1" t="n">
        <v>45744</v>
      </c>
      <c r="D2573" t="inlineStr">
        <is>
          <t>SKÅNE LÄN</t>
        </is>
      </c>
      <c r="E2573" t="inlineStr">
        <is>
          <t>HÄSSLEHOLM</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4156-2022</t>
        </is>
      </c>
      <c r="B2574" s="1" t="n">
        <v>44588</v>
      </c>
      <c r="C2574" s="1" t="n">
        <v>45744</v>
      </c>
      <c r="D2574" t="inlineStr">
        <is>
          <t>SKÅNE LÄN</t>
        </is>
      </c>
      <c r="E2574" t="inlineStr">
        <is>
          <t>HÄSSLEHOLM</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4053-2022</t>
        </is>
      </c>
      <c r="B2575" s="1" t="n">
        <v>44588</v>
      </c>
      <c r="C2575" s="1" t="n">
        <v>45744</v>
      </c>
      <c r="D2575" t="inlineStr">
        <is>
          <t>SKÅNE LÄN</t>
        </is>
      </c>
      <c r="E2575" t="inlineStr">
        <is>
          <t>ÖSTRA GÖINGE</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4149-2022</t>
        </is>
      </c>
      <c r="B2576" s="1" t="n">
        <v>44588</v>
      </c>
      <c r="C2576" s="1" t="n">
        <v>45744</v>
      </c>
      <c r="D2576" t="inlineStr">
        <is>
          <t>SKÅNE LÄN</t>
        </is>
      </c>
      <c r="E2576" t="inlineStr">
        <is>
          <t>SVALÖV</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4161-2022</t>
        </is>
      </c>
      <c r="B2577" s="1" t="n">
        <v>44588</v>
      </c>
      <c r="C2577" s="1" t="n">
        <v>45744</v>
      </c>
      <c r="D2577" t="inlineStr">
        <is>
          <t>SKÅNE LÄN</t>
        </is>
      </c>
      <c r="E2577" t="inlineStr">
        <is>
          <t>HÄSSLEHOLM</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4673-2022</t>
        </is>
      </c>
      <c r="B2578" s="1" t="n">
        <v>44592</v>
      </c>
      <c r="C2578" s="1" t="n">
        <v>45744</v>
      </c>
      <c r="D2578" t="inlineStr">
        <is>
          <t>SKÅNE LÄN</t>
        </is>
      </c>
      <c r="E2578" t="inlineStr">
        <is>
          <t>KRISTIANSTAD</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4688-2022</t>
        </is>
      </c>
      <c r="B2579" s="1" t="n">
        <v>44592</v>
      </c>
      <c r="C2579" s="1" t="n">
        <v>45744</v>
      </c>
      <c r="D2579" t="inlineStr">
        <is>
          <t>SKÅNE LÄN</t>
        </is>
      </c>
      <c r="E2579" t="inlineStr">
        <is>
          <t>PERSTORP</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4607-2022</t>
        </is>
      </c>
      <c r="B2580" s="1" t="n">
        <v>44592</v>
      </c>
      <c r="C2580" s="1" t="n">
        <v>45744</v>
      </c>
      <c r="D2580" t="inlineStr">
        <is>
          <t>SKÅNE LÄN</t>
        </is>
      </c>
      <c r="E2580" t="inlineStr">
        <is>
          <t>KRISTIANSTAD</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4719-2022</t>
        </is>
      </c>
      <c r="B2581" s="1" t="n">
        <v>44592</v>
      </c>
      <c r="C2581" s="1" t="n">
        <v>45744</v>
      </c>
      <c r="D2581" t="inlineStr">
        <is>
          <t>SKÅNE LÄN</t>
        </is>
      </c>
      <c r="E2581" t="inlineStr">
        <is>
          <t>HÄSSLEHOLM</t>
        </is>
      </c>
      <c r="F2581" t="inlineStr">
        <is>
          <t>Kyrkan</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4989-2022</t>
        </is>
      </c>
      <c r="B2582" s="1" t="n">
        <v>44593</v>
      </c>
      <c r="C2582" s="1" t="n">
        <v>45744</v>
      </c>
      <c r="D2582" t="inlineStr">
        <is>
          <t>SKÅNE LÄN</t>
        </is>
      </c>
      <c r="E2582" t="inlineStr">
        <is>
          <t>PERSTORP</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4928-2022</t>
        </is>
      </c>
      <c r="B2583" s="1" t="n">
        <v>44593</v>
      </c>
      <c r="C2583" s="1" t="n">
        <v>45744</v>
      </c>
      <c r="D2583" t="inlineStr">
        <is>
          <t>SKÅNE LÄN</t>
        </is>
      </c>
      <c r="E2583" t="inlineStr">
        <is>
          <t>HÖÖR</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4945-2022</t>
        </is>
      </c>
      <c r="B2584" s="1" t="n">
        <v>44593</v>
      </c>
      <c r="C2584" s="1" t="n">
        <v>45744</v>
      </c>
      <c r="D2584" t="inlineStr">
        <is>
          <t>SKÅNE LÄN</t>
        </is>
      </c>
      <c r="E2584" t="inlineStr">
        <is>
          <t>HÄSSLEHOLM</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4964-2022</t>
        </is>
      </c>
      <c r="B2585" s="1" t="n">
        <v>44593</v>
      </c>
      <c r="C2585" s="1" t="n">
        <v>45744</v>
      </c>
      <c r="D2585" t="inlineStr">
        <is>
          <t>SKÅNE LÄN</t>
        </is>
      </c>
      <c r="E2585" t="inlineStr">
        <is>
          <t>SVALÖV</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5046-2022</t>
        </is>
      </c>
      <c r="B2586" s="1" t="n">
        <v>44593</v>
      </c>
      <c r="C2586" s="1" t="n">
        <v>45744</v>
      </c>
      <c r="D2586" t="inlineStr">
        <is>
          <t>SKÅNE LÄN</t>
        </is>
      </c>
      <c r="E2586" t="inlineStr">
        <is>
          <t>ÄNGELHOLM</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5054-2022</t>
        </is>
      </c>
      <c r="B2587" s="1" t="n">
        <v>44593</v>
      </c>
      <c r="C2587" s="1" t="n">
        <v>45744</v>
      </c>
      <c r="D2587" t="inlineStr">
        <is>
          <t>SKÅNE LÄN</t>
        </is>
      </c>
      <c r="E2587" t="inlineStr">
        <is>
          <t>HÄSSLEHOLM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5096-2022</t>
        </is>
      </c>
      <c r="B2588" s="1" t="n">
        <v>44593</v>
      </c>
      <c r="C2588" s="1" t="n">
        <v>45744</v>
      </c>
      <c r="D2588" t="inlineStr">
        <is>
          <t>SKÅNE LÄN</t>
        </is>
      </c>
      <c r="E2588" t="inlineStr">
        <is>
          <t>ÖSTRA GÖINGE</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5151-2022</t>
        </is>
      </c>
      <c r="B2589" s="1" t="n">
        <v>44593</v>
      </c>
      <c r="C2589" s="1" t="n">
        <v>45744</v>
      </c>
      <c r="D2589" t="inlineStr">
        <is>
          <t>SKÅNE LÄN</t>
        </is>
      </c>
      <c r="E2589" t="inlineStr">
        <is>
          <t>KLIPPAN</t>
        </is>
      </c>
      <c r="G2589" t="n">
        <v>6.5</v>
      </c>
      <c r="H2589" t="n">
        <v>0</v>
      </c>
      <c r="I2589" t="n">
        <v>0</v>
      </c>
      <c r="J2589" t="n">
        <v>0</v>
      </c>
      <c r="K2589" t="n">
        <v>0</v>
      </c>
      <c r="L2589" t="n">
        <v>0</v>
      </c>
      <c r="M2589" t="n">
        <v>0</v>
      </c>
      <c r="N2589" t="n">
        <v>0</v>
      </c>
      <c r="O2589" t="n">
        <v>0</v>
      </c>
      <c r="P2589" t="n">
        <v>0</v>
      </c>
      <c r="Q2589" t="n">
        <v>0</v>
      </c>
      <c r="R2589" s="2" t="inlineStr"/>
    </row>
    <row r="2590" ht="15" customHeight="1">
      <c r="A2590" t="inlineStr">
        <is>
          <t>A 5196-2022</t>
        </is>
      </c>
      <c r="B2590" s="1" t="n">
        <v>44593</v>
      </c>
      <c r="C2590" s="1" t="n">
        <v>45744</v>
      </c>
      <c r="D2590" t="inlineStr">
        <is>
          <t>SKÅNE LÄN</t>
        </is>
      </c>
      <c r="E2590" t="inlineStr">
        <is>
          <t>KLIPPAN</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5523-2022</t>
        </is>
      </c>
      <c r="B2591" s="1" t="n">
        <v>44593</v>
      </c>
      <c r="C2591" s="1" t="n">
        <v>45744</v>
      </c>
      <c r="D2591" t="inlineStr">
        <is>
          <t>SKÅNE LÄN</t>
        </is>
      </c>
      <c r="E2591" t="inlineStr">
        <is>
          <t>KLIPPAN</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5091-2022</t>
        </is>
      </c>
      <c r="B2592" s="1" t="n">
        <v>44593</v>
      </c>
      <c r="C2592" s="1" t="n">
        <v>45744</v>
      </c>
      <c r="D2592" t="inlineStr">
        <is>
          <t>SKÅNE LÄN</t>
        </is>
      </c>
      <c r="E2592" t="inlineStr">
        <is>
          <t>HÄSSLEHOLM</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5098-2022</t>
        </is>
      </c>
      <c r="B2593" s="1" t="n">
        <v>44593</v>
      </c>
      <c r="C2593" s="1" t="n">
        <v>45744</v>
      </c>
      <c r="D2593" t="inlineStr">
        <is>
          <t>SKÅNE LÄN</t>
        </is>
      </c>
      <c r="E2593" t="inlineStr">
        <is>
          <t>ÖSTRA GÖINGE</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5183-2022</t>
        </is>
      </c>
      <c r="B2594" s="1" t="n">
        <v>44593</v>
      </c>
      <c r="C2594" s="1" t="n">
        <v>45744</v>
      </c>
      <c r="D2594" t="inlineStr">
        <is>
          <t>SKÅNE LÄN</t>
        </is>
      </c>
      <c r="E2594" t="inlineStr">
        <is>
          <t>KLIPPAN</t>
        </is>
      </c>
      <c r="G2594" t="n">
        <v>11.7</v>
      </c>
      <c r="H2594" t="n">
        <v>0</v>
      </c>
      <c r="I2594" t="n">
        <v>0</v>
      </c>
      <c r="J2594" t="n">
        <v>0</v>
      </c>
      <c r="K2594" t="n">
        <v>0</v>
      </c>
      <c r="L2594" t="n">
        <v>0</v>
      </c>
      <c r="M2594" t="n">
        <v>0</v>
      </c>
      <c r="N2594" t="n">
        <v>0</v>
      </c>
      <c r="O2594" t="n">
        <v>0</v>
      </c>
      <c r="P2594" t="n">
        <v>0</v>
      </c>
      <c r="Q2594" t="n">
        <v>0</v>
      </c>
      <c r="R2594" s="2" t="inlineStr"/>
    </row>
    <row r="2595" ht="15" customHeight="1">
      <c r="A2595" t="inlineStr">
        <is>
          <t>A 5090-2022</t>
        </is>
      </c>
      <c r="B2595" s="1" t="n">
        <v>44593</v>
      </c>
      <c r="C2595" s="1" t="n">
        <v>45744</v>
      </c>
      <c r="D2595" t="inlineStr">
        <is>
          <t>SKÅNE LÄN</t>
        </is>
      </c>
      <c r="E2595" t="inlineStr">
        <is>
          <t>HÄSSLEHOLM</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5256-2022</t>
        </is>
      </c>
      <c r="B2596" s="1" t="n">
        <v>44593</v>
      </c>
      <c r="C2596" s="1" t="n">
        <v>45744</v>
      </c>
      <c r="D2596" t="inlineStr">
        <is>
          <t>SKÅNE LÄN</t>
        </is>
      </c>
      <c r="E2596" t="inlineStr">
        <is>
          <t>KLIPPAN</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5557-2022</t>
        </is>
      </c>
      <c r="B2597" s="1" t="n">
        <v>44593</v>
      </c>
      <c r="C2597" s="1" t="n">
        <v>45744</v>
      </c>
      <c r="D2597" t="inlineStr">
        <is>
          <t>SKÅNE LÄN</t>
        </is>
      </c>
      <c r="E2597" t="inlineStr">
        <is>
          <t>KLIPPAN</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5262-2022</t>
        </is>
      </c>
      <c r="B2598" s="1" t="n">
        <v>44594</v>
      </c>
      <c r="C2598" s="1" t="n">
        <v>45744</v>
      </c>
      <c r="D2598" t="inlineStr">
        <is>
          <t>SKÅNE LÄN</t>
        </is>
      </c>
      <c r="E2598" t="inlineStr">
        <is>
          <t>OSBY</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5138-2022</t>
        </is>
      </c>
      <c r="B2599" s="1" t="n">
        <v>44594</v>
      </c>
      <c r="C2599" s="1" t="n">
        <v>45744</v>
      </c>
      <c r="D2599" t="inlineStr">
        <is>
          <t>SKÅNE LÄN</t>
        </is>
      </c>
      <c r="E2599" t="inlineStr">
        <is>
          <t>HÖÖR</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5215-2022</t>
        </is>
      </c>
      <c r="B2600" s="1" t="n">
        <v>44594</v>
      </c>
      <c r="C2600" s="1" t="n">
        <v>45744</v>
      </c>
      <c r="D2600" t="inlineStr">
        <is>
          <t>SKÅNE LÄN</t>
        </is>
      </c>
      <c r="E2600" t="inlineStr">
        <is>
          <t>ÖSTRA GÖINGE</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5130-2022</t>
        </is>
      </c>
      <c r="B2601" s="1" t="n">
        <v>44594</v>
      </c>
      <c r="C2601" s="1" t="n">
        <v>45744</v>
      </c>
      <c r="D2601" t="inlineStr">
        <is>
          <t>SKÅNE LÄN</t>
        </is>
      </c>
      <c r="E2601" t="inlineStr">
        <is>
          <t>ESLÖV</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5320-2022</t>
        </is>
      </c>
      <c r="B2602" s="1" t="n">
        <v>44594</v>
      </c>
      <c r="C2602" s="1" t="n">
        <v>45744</v>
      </c>
      <c r="D2602" t="inlineStr">
        <is>
          <t>SKÅNE LÄN</t>
        </is>
      </c>
      <c r="E2602" t="inlineStr">
        <is>
          <t>BROMÖLLA</t>
        </is>
      </c>
      <c r="G2602" t="n">
        <v>7.4</v>
      </c>
      <c r="H2602" t="n">
        <v>0</v>
      </c>
      <c r="I2602" t="n">
        <v>0</v>
      </c>
      <c r="J2602" t="n">
        <v>0</v>
      </c>
      <c r="K2602" t="n">
        <v>0</v>
      </c>
      <c r="L2602" t="n">
        <v>0</v>
      </c>
      <c r="M2602" t="n">
        <v>0</v>
      </c>
      <c r="N2602" t="n">
        <v>0</v>
      </c>
      <c r="O2602" t="n">
        <v>0</v>
      </c>
      <c r="P2602" t="n">
        <v>0</v>
      </c>
      <c r="Q2602" t="n">
        <v>0</v>
      </c>
      <c r="R2602" s="2" t="inlineStr"/>
    </row>
    <row r="2603" ht="15" customHeight="1">
      <c r="A2603" t="inlineStr">
        <is>
          <t>A 5334-2022</t>
        </is>
      </c>
      <c r="B2603" s="1" t="n">
        <v>44594</v>
      </c>
      <c r="C2603" s="1" t="n">
        <v>45744</v>
      </c>
      <c r="D2603" t="inlineStr">
        <is>
          <t>SKÅNE LÄN</t>
        </is>
      </c>
      <c r="E2603" t="inlineStr">
        <is>
          <t>HÄSSLEHOLM</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5537-2022</t>
        </is>
      </c>
      <c r="B2604" s="1" t="n">
        <v>44595</v>
      </c>
      <c r="C2604" s="1" t="n">
        <v>45744</v>
      </c>
      <c r="D2604" t="inlineStr">
        <is>
          <t>SKÅNE LÄN</t>
        </is>
      </c>
      <c r="E2604" t="inlineStr">
        <is>
          <t>KRISTIANSTAD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5484-2022</t>
        </is>
      </c>
      <c r="B2605" s="1" t="n">
        <v>44595</v>
      </c>
      <c r="C2605" s="1" t="n">
        <v>45744</v>
      </c>
      <c r="D2605" t="inlineStr">
        <is>
          <t>SKÅNE LÄN</t>
        </is>
      </c>
      <c r="E2605" t="inlineStr">
        <is>
          <t>OSBY</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5569-2022</t>
        </is>
      </c>
      <c r="B2606" s="1" t="n">
        <v>44595</v>
      </c>
      <c r="C2606" s="1" t="n">
        <v>45744</v>
      </c>
      <c r="D2606" t="inlineStr">
        <is>
          <t>SKÅNE LÄN</t>
        </is>
      </c>
      <c r="E2606" t="inlineStr">
        <is>
          <t>OSBY</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5564-2022</t>
        </is>
      </c>
      <c r="B2607" s="1" t="n">
        <v>44595</v>
      </c>
      <c r="C2607" s="1" t="n">
        <v>45744</v>
      </c>
      <c r="D2607" t="inlineStr">
        <is>
          <t>SKÅNE LÄN</t>
        </is>
      </c>
      <c r="E2607" t="inlineStr">
        <is>
          <t>HÄSSLEHOLM</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5570-2022</t>
        </is>
      </c>
      <c r="B2608" s="1" t="n">
        <v>44595</v>
      </c>
      <c r="C2608" s="1" t="n">
        <v>45744</v>
      </c>
      <c r="D2608" t="inlineStr">
        <is>
          <t>SKÅNE LÄN</t>
        </is>
      </c>
      <c r="E2608" t="inlineStr">
        <is>
          <t>HÖÖR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5590-2022</t>
        </is>
      </c>
      <c r="B2609" s="1" t="n">
        <v>44595</v>
      </c>
      <c r="C2609" s="1" t="n">
        <v>45744</v>
      </c>
      <c r="D2609" t="inlineStr">
        <is>
          <t>SKÅNE LÄN</t>
        </is>
      </c>
      <c r="E2609" t="inlineStr">
        <is>
          <t>KRISTIANSTAD</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5816-2022</t>
        </is>
      </c>
      <c r="B2610" s="1" t="n">
        <v>44596</v>
      </c>
      <c r="C2610" s="1" t="n">
        <v>45744</v>
      </c>
      <c r="D2610" t="inlineStr">
        <is>
          <t>SKÅNE LÄN</t>
        </is>
      </c>
      <c r="E2610" t="inlineStr">
        <is>
          <t>BROMÖLLA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5730-2022</t>
        </is>
      </c>
      <c r="B2611" s="1" t="n">
        <v>44596</v>
      </c>
      <c r="C2611" s="1" t="n">
        <v>45744</v>
      </c>
      <c r="D2611" t="inlineStr">
        <is>
          <t>SKÅNE LÄN</t>
        </is>
      </c>
      <c r="E2611" t="inlineStr">
        <is>
          <t>HÖÖR</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5779-2022</t>
        </is>
      </c>
      <c r="B2612" s="1" t="n">
        <v>44596</v>
      </c>
      <c r="C2612" s="1" t="n">
        <v>45744</v>
      </c>
      <c r="D2612" t="inlineStr">
        <is>
          <t>SKÅNE LÄN</t>
        </is>
      </c>
      <c r="E2612" t="inlineStr">
        <is>
          <t>BROMÖLLA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5726-2022</t>
        </is>
      </c>
      <c r="B2613" s="1" t="n">
        <v>44596</v>
      </c>
      <c r="C2613" s="1" t="n">
        <v>45744</v>
      </c>
      <c r="D2613" t="inlineStr">
        <is>
          <t>SKÅNE LÄN</t>
        </is>
      </c>
      <c r="E2613" t="inlineStr">
        <is>
          <t>HÖÖR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5791-2022</t>
        </is>
      </c>
      <c r="B2614" s="1" t="n">
        <v>44596</v>
      </c>
      <c r="C2614" s="1" t="n">
        <v>45744</v>
      </c>
      <c r="D2614" t="inlineStr">
        <is>
          <t>SKÅNE LÄN</t>
        </is>
      </c>
      <c r="E2614" t="inlineStr">
        <is>
          <t>KLIPPAN</t>
        </is>
      </c>
      <c r="F2614" t="inlineStr">
        <is>
          <t>Övriga Aktiebolag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5812-2022</t>
        </is>
      </c>
      <c r="B2615" s="1" t="n">
        <v>44596</v>
      </c>
      <c r="C2615" s="1" t="n">
        <v>45744</v>
      </c>
      <c r="D2615" t="inlineStr">
        <is>
          <t>SKÅNE LÄN</t>
        </is>
      </c>
      <c r="E2615" t="inlineStr">
        <is>
          <t>ESLÖV</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5853-2022</t>
        </is>
      </c>
      <c r="B2616" s="1" t="n">
        <v>44596</v>
      </c>
      <c r="C2616" s="1" t="n">
        <v>45744</v>
      </c>
      <c r="D2616" t="inlineStr">
        <is>
          <t>SKÅNE LÄN</t>
        </is>
      </c>
      <c r="E2616" t="inlineStr">
        <is>
          <t>KRISTIANSTAD</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6204-2022</t>
        </is>
      </c>
      <c r="B2617" s="1" t="n">
        <v>44596</v>
      </c>
      <c r="C2617" s="1" t="n">
        <v>45744</v>
      </c>
      <c r="D2617" t="inlineStr">
        <is>
          <t>SKÅNE LÄN</t>
        </is>
      </c>
      <c r="E2617" t="inlineStr">
        <is>
          <t>KLIPPAN</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5856-2022</t>
        </is>
      </c>
      <c r="B2618" s="1" t="n">
        <v>44596</v>
      </c>
      <c r="C2618" s="1" t="n">
        <v>45744</v>
      </c>
      <c r="D2618" t="inlineStr">
        <is>
          <t>SKÅNE LÄN</t>
        </is>
      </c>
      <c r="E2618" t="inlineStr">
        <is>
          <t>KRISTIANSTAD</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5941-2022</t>
        </is>
      </c>
      <c r="B2619" s="1" t="n">
        <v>44598</v>
      </c>
      <c r="C2619" s="1" t="n">
        <v>45744</v>
      </c>
      <c r="D2619" t="inlineStr">
        <is>
          <t>SKÅNE LÄN</t>
        </is>
      </c>
      <c r="E2619" t="inlineStr">
        <is>
          <t>ÖSTRA GÖINGE</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5937-2022</t>
        </is>
      </c>
      <c r="B2620" s="1" t="n">
        <v>44598</v>
      </c>
      <c r="C2620" s="1" t="n">
        <v>45744</v>
      </c>
      <c r="D2620" t="inlineStr">
        <is>
          <t>SKÅNE LÄN</t>
        </is>
      </c>
      <c r="E2620" t="inlineStr">
        <is>
          <t>SVALÖV</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6048-2022</t>
        </is>
      </c>
      <c r="B2621" s="1" t="n">
        <v>44599</v>
      </c>
      <c r="C2621" s="1" t="n">
        <v>45744</v>
      </c>
      <c r="D2621" t="inlineStr">
        <is>
          <t>SKÅNE LÄN</t>
        </is>
      </c>
      <c r="E2621" t="inlineStr">
        <is>
          <t>HÄSSLEHOLM</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6101-2022</t>
        </is>
      </c>
      <c r="B2622" s="1" t="n">
        <v>44599</v>
      </c>
      <c r="C2622" s="1" t="n">
        <v>45744</v>
      </c>
      <c r="D2622" t="inlineStr">
        <is>
          <t>SKÅNE LÄN</t>
        </is>
      </c>
      <c r="E2622" t="inlineStr">
        <is>
          <t>HÄSSLEHOLM</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5987-2022</t>
        </is>
      </c>
      <c r="B2623" s="1" t="n">
        <v>44599</v>
      </c>
      <c r="C2623" s="1" t="n">
        <v>45744</v>
      </c>
      <c r="D2623" t="inlineStr">
        <is>
          <t>SKÅNE LÄN</t>
        </is>
      </c>
      <c r="E2623" t="inlineStr">
        <is>
          <t>KRISTIANSTAD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6007-2022</t>
        </is>
      </c>
      <c r="B2624" s="1" t="n">
        <v>44599</v>
      </c>
      <c r="C2624" s="1" t="n">
        <v>45744</v>
      </c>
      <c r="D2624" t="inlineStr">
        <is>
          <t>SKÅNE LÄN</t>
        </is>
      </c>
      <c r="E2624" t="inlineStr">
        <is>
          <t>SVALÖV</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6042-2022</t>
        </is>
      </c>
      <c r="B2625" s="1" t="n">
        <v>44599</v>
      </c>
      <c r="C2625" s="1" t="n">
        <v>45744</v>
      </c>
      <c r="D2625" t="inlineStr">
        <is>
          <t>SKÅNE LÄN</t>
        </is>
      </c>
      <c r="E2625" t="inlineStr">
        <is>
          <t>HÖÖR</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5992-2022</t>
        </is>
      </c>
      <c r="B2626" s="1" t="n">
        <v>44599</v>
      </c>
      <c r="C2626" s="1" t="n">
        <v>45744</v>
      </c>
      <c r="D2626" t="inlineStr">
        <is>
          <t>SKÅNE LÄN</t>
        </is>
      </c>
      <c r="E2626" t="inlineStr">
        <is>
          <t>HÄSSLEHOLM</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6020-2022</t>
        </is>
      </c>
      <c r="B2627" s="1" t="n">
        <v>44599</v>
      </c>
      <c r="C2627" s="1" t="n">
        <v>45744</v>
      </c>
      <c r="D2627" t="inlineStr">
        <is>
          <t>SKÅNE LÄN</t>
        </is>
      </c>
      <c r="E2627" t="inlineStr">
        <is>
          <t>ÖRKELLJUNGA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6229-2022</t>
        </is>
      </c>
      <c r="B2628" s="1" t="n">
        <v>44600</v>
      </c>
      <c r="C2628" s="1" t="n">
        <v>45744</v>
      </c>
      <c r="D2628" t="inlineStr">
        <is>
          <t>SKÅNE LÄN</t>
        </is>
      </c>
      <c r="E2628" t="inlineStr">
        <is>
          <t>SJÖBO</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6253-2022</t>
        </is>
      </c>
      <c r="B2629" s="1" t="n">
        <v>44600</v>
      </c>
      <c r="C2629" s="1" t="n">
        <v>45744</v>
      </c>
      <c r="D2629" t="inlineStr">
        <is>
          <t>SKÅNE LÄN</t>
        </is>
      </c>
      <c r="E2629" t="inlineStr">
        <is>
          <t>HÄSSLEHOLM</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6314-2022</t>
        </is>
      </c>
      <c r="B2630" s="1" t="n">
        <v>44600</v>
      </c>
      <c r="C2630" s="1" t="n">
        <v>45744</v>
      </c>
      <c r="D2630" t="inlineStr">
        <is>
          <t>SKÅNE LÄN</t>
        </is>
      </c>
      <c r="E2630" t="inlineStr">
        <is>
          <t>TRELLEBORG</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6335-2022</t>
        </is>
      </c>
      <c r="B2631" s="1" t="n">
        <v>44600</v>
      </c>
      <c r="C2631" s="1" t="n">
        <v>45744</v>
      </c>
      <c r="D2631" t="inlineStr">
        <is>
          <t>SKÅNE LÄN</t>
        </is>
      </c>
      <c r="E2631" t="inlineStr">
        <is>
          <t>SVALÖV</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6300-2022</t>
        </is>
      </c>
      <c r="B2632" s="1" t="n">
        <v>44600</v>
      </c>
      <c r="C2632" s="1" t="n">
        <v>45744</v>
      </c>
      <c r="D2632" t="inlineStr">
        <is>
          <t>SKÅNE LÄN</t>
        </is>
      </c>
      <c r="E2632" t="inlineStr">
        <is>
          <t>ÖSTRA GÖINGE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6414-2022</t>
        </is>
      </c>
      <c r="B2633" s="1" t="n">
        <v>44600</v>
      </c>
      <c r="C2633" s="1" t="n">
        <v>45744</v>
      </c>
      <c r="D2633" t="inlineStr">
        <is>
          <t>SKÅNE LÄN</t>
        </is>
      </c>
      <c r="E2633" t="inlineStr">
        <is>
          <t>HÄSSLEHOLM</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6473-2022</t>
        </is>
      </c>
      <c r="B2634" s="1" t="n">
        <v>44601</v>
      </c>
      <c r="C2634" s="1" t="n">
        <v>45744</v>
      </c>
      <c r="D2634" t="inlineStr">
        <is>
          <t>SKÅNE LÄN</t>
        </is>
      </c>
      <c r="E2634" t="inlineStr">
        <is>
          <t>HÖÖR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6616-2022</t>
        </is>
      </c>
      <c r="B2635" s="1" t="n">
        <v>44601</v>
      </c>
      <c r="C2635" s="1" t="n">
        <v>45744</v>
      </c>
      <c r="D2635" t="inlineStr">
        <is>
          <t>SKÅNE LÄN</t>
        </is>
      </c>
      <c r="E2635" t="inlineStr">
        <is>
          <t>KRISTIANSTAD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6632-2022</t>
        </is>
      </c>
      <c r="B2636" s="1" t="n">
        <v>44601</v>
      </c>
      <c r="C2636" s="1" t="n">
        <v>45744</v>
      </c>
      <c r="D2636" t="inlineStr">
        <is>
          <t>SKÅNE LÄN</t>
        </is>
      </c>
      <c r="E2636" t="inlineStr">
        <is>
          <t>YSTAD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6802-2022</t>
        </is>
      </c>
      <c r="B2637" s="1" t="n">
        <v>44602</v>
      </c>
      <c r="C2637" s="1" t="n">
        <v>45744</v>
      </c>
      <c r="D2637" t="inlineStr">
        <is>
          <t>SKÅNE LÄN</t>
        </is>
      </c>
      <c r="E2637" t="inlineStr">
        <is>
          <t>ÖSTRA GÖINGE</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6782-2022</t>
        </is>
      </c>
      <c r="B2638" s="1" t="n">
        <v>44602</v>
      </c>
      <c r="C2638" s="1" t="n">
        <v>45744</v>
      </c>
      <c r="D2638" t="inlineStr">
        <is>
          <t>SKÅNE LÄN</t>
        </is>
      </c>
      <c r="E2638" t="inlineStr">
        <is>
          <t>ÖSTRA GÖINGE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6755-2022</t>
        </is>
      </c>
      <c r="B2639" s="1" t="n">
        <v>44602</v>
      </c>
      <c r="C2639" s="1" t="n">
        <v>45744</v>
      </c>
      <c r="D2639" t="inlineStr">
        <is>
          <t>SKÅNE LÄN</t>
        </is>
      </c>
      <c r="E2639" t="inlineStr">
        <is>
          <t>OSBY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6818-2022</t>
        </is>
      </c>
      <c r="B2640" s="1" t="n">
        <v>44602</v>
      </c>
      <c r="C2640" s="1" t="n">
        <v>45744</v>
      </c>
      <c r="D2640" t="inlineStr">
        <is>
          <t>SKÅNE LÄN</t>
        </is>
      </c>
      <c r="E2640" t="inlineStr">
        <is>
          <t>ÖSTRA GÖINGE</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6964-2022</t>
        </is>
      </c>
      <c r="B2641" s="1" t="n">
        <v>44603</v>
      </c>
      <c r="C2641" s="1" t="n">
        <v>45744</v>
      </c>
      <c r="D2641" t="inlineStr">
        <is>
          <t>SKÅNE LÄN</t>
        </is>
      </c>
      <c r="E2641" t="inlineStr">
        <is>
          <t>OSBY</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6968-2022</t>
        </is>
      </c>
      <c r="B2642" s="1" t="n">
        <v>44603</v>
      </c>
      <c r="C2642" s="1" t="n">
        <v>45744</v>
      </c>
      <c r="D2642" t="inlineStr">
        <is>
          <t>SKÅNE LÄN</t>
        </is>
      </c>
      <c r="E2642" t="inlineStr">
        <is>
          <t>OSBY</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7202-2022</t>
        </is>
      </c>
      <c r="B2643" s="1" t="n">
        <v>44606</v>
      </c>
      <c r="C2643" s="1" t="n">
        <v>45744</v>
      </c>
      <c r="D2643" t="inlineStr">
        <is>
          <t>SKÅNE LÄN</t>
        </is>
      </c>
      <c r="E2643" t="inlineStr">
        <is>
          <t>HÄSSLEHOLM</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7258-2022</t>
        </is>
      </c>
      <c r="B2644" s="1" t="n">
        <v>44606</v>
      </c>
      <c r="C2644" s="1" t="n">
        <v>45744</v>
      </c>
      <c r="D2644" t="inlineStr">
        <is>
          <t>SKÅNE LÄN</t>
        </is>
      </c>
      <c r="E2644" t="inlineStr">
        <is>
          <t>SIMRISHAMN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7250-2022</t>
        </is>
      </c>
      <c r="B2645" s="1" t="n">
        <v>44606</v>
      </c>
      <c r="C2645" s="1" t="n">
        <v>45744</v>
      </c>
      <c r="D2645" t="inlineStr">
        <is>
          <t>SKÅNE LÄN</t>
        </is>
      </c>
      <c r="E2645" t="inlineStr">
        <is>
          <t>HÄSSLEHOLM</t>
        </is>
      </c>
      <c r="F2645" t="inlineStr">
        <is>
          <t>Övriga Aktiebolag</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7262-2022</t>
        </is>
      </c>
      <c r="B2646" s="1" t="n">
        <v>44606</v>
      </c>
      <c r="C2646" s="1" t="n">
        <v>45744</v>
      </c>
      <c r="D2646" t="inlineStr">
        <is>
          <t>SKÅNE LÄN</t>
        </is>
      </c>
      <c r="E2646" t="inlineStr">
        <is>
          <t>HÄSSLEHOLM</t>
        </is>
      </c>
      <c r="F2646" t="inlineStr">
        <is>
          <t>Övriga Aktiebolag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7249-2022</t>
        </is>
      </c>
      <c r="B2647" s="1" t="n">
        <v>44606</v>
      </c>
      <c r="C2647" s="1" t="n">
        <v>45744</v>
      </c>
      <c r="D2647" t="inlineStr">
        <is>
          <t>SKÅNE LÄN</t>
        </is>
      </c>
      <c r="E2647" t="inlineStr">
        <is>
          <t>HÄSSLEHOLM</t>
        </is>
      </c>
      <c r="F2647" t="inlineStr">
        <is>
          <t>Övriga Aktiebolag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7391-2022</t>
        </is>
      </c>
      <c r="B2648" s="1" t="n">
        <v>44606</v>
      </c>
      <c r="C2648" s="1" t="n">
        <v>45744</v>
      </c>
      <c r="D2648" t="inlineStr">
        <is>
          <t>SKÅNE LÄN</t>
        </is>
      </c>
      <c r="E2648" t="inlineStr">
        <is>
          <t>ÖSTRA GÖINGE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7387-2022</t>
        </is>
      </c>
      <c r="B2649" s="1" t="n">
        <v>44606</v>
      </c>
      <c r="C2649" s="1" t="n">
        <v>45744</v>
      </c>
      <c r="D2649" t="inlineStr">
        <is>
          <t>SKÅNE LÄN</t>
        </is>
      </c>
      <c r="E2649" t="inlineStr">
        <is>
          <t>ÖSTRA GÖINGE</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7514-2022</t>
        </is>
      </c>
      <c r="B2650" s="1" t="n">
        <v>44607</v>
      </c>
      <c r="C2650" s="1" t="n">
        <v>45744</v>
      </c>
      <c r="D2650" t="inlineStr">
        <is>
          <t>SKÅNE LÄN</t>
        </is>
      </c>
      <c r="E2650" t="inlineStr">
        <is>
          <t>SJÖBO</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7535-2022</t>
        </is>
      </c>
      <c r="B2651" s="1" t="n">
        <v>44607</v>
      </c>
      <c r="C2651" s="1" t="n">
        <v>45744</v>
      </c>
      <c r="D2651" t="inlineStr">
        <is>
          <t>SKÅNE LÄN</t>
        </is>
      </c>
      <c r="E2651" t="inlineStr">
        <is>
          <t>ÖRKELLJUNGA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7546-2022</t>
        </is>
      </c>
      <c r="B2652" s="1" t="n">
        <v>44607</v>
      </c>
      <c r="C2652" s="1" t="n">
        <v>45744</v>
      </c>
      <c r="D2652" t="inlineStr">
        <is>
          <t>SKÅNE LÄN</t>
        </is>
      </c>
      <c r="E2652" t="inlineStr">
        <is>
          <t>KRISTIANSTAD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7861-2022</t>
        </is>
      </c>
      <c r="B2653" s="1" t="n">
        <v>44607</v>
      </c>
      <c r="C2653" s="1" t="n">
        <v>45744</v>
      </c>
      <c r="D2653" t="inlineStr">
        <is>
          <t>SKÅNE LÄN</t>
        </is>
      </c>
      <c r="E2653" t="inlineStr">
        <is>
          <t>HÄSSLEHOLM</t>
        </is>
      </c>
      <c r="F2653" t="inlineStr">
        <is>
          <t>Kyrkan</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7904-2022</t>
        </is>
      </c>
      <c r="B2654" s="1" t="n">
        <v>44607</v>
      </c>
      <c r="C2654" s="1" t="n">
        <v>45744</v>
      </c>
      <c r="D2654" t="inlineStr">
        <is>
          <t>SKÅNE LÄN</t>
        </is>
      </c>
      <c r="E2654" t="inlineStr">
        <is>
          <t>HÄSSLEHOLM</t>
        </is>
      </c>
      <c r="F2654" t="inlineStr">
        <is>
          <t>Kyrkan</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7857-2022</t>
        </is>
      </c>
      <c r="B2655" s="1" t="n">
        <v>44607</v>
      </c>
      <c r="C2655" s="1" t="n">
        <v>45744</v>
      </c>
      <c r="D2655" t="inlineStr">
        <is>
          <t>SKÅNE LÄN</t>
        </is>
      </c>
      <c r="E2655" t="inlineStr">
        <is>
          <t>HÄSSLEHOLM</t>
        </is>
      </c>
      <c r="F2655" t="inlineStr">
        <is>
          <t>Kyrkan</t>
        </is>
      </c>
      <c r="G2655" t="n">
        <v>12.2</v>
      </c>
      <c r="H2655" t="n">
        <v>0</v>
      </c>
      <c r="I2655" t="n">
        <v>0</v>
      </c>
      <c r="J2655" t="n">
        <v>0</v>
      </c>
      <c r="K2655" t="n">
        <v>0</v>
      </c>
      <c r="L2655" t="n">
        <v>0</v>
      </c>
      <c r="M2655" t="n">
        <v>0</v>
      </c>
      <c r="N2655" t="n">
        <v>0</v>
      </c>
      <c r="O2655" t="n">
        <v>0</v>
      </c>
      <c r="P2655" t="n">
        <v>0</v>
      </c>
      <c r="Q2655" t="n">
        <v>0</v>
      </c>
      <c r="R2655" s="2" t="inlineStr"/>
    </row>
    <row r="2656" ht="15" customHeight="1">
      <c r="A2656" t="inlineStr">
        <is>
          <t>A 8111-2022</t>
        </is>
      </c>
      <c r="B2656" s="1" t="n">
        <v>44607</v>
      </c>
      <c r="C2656" s="1" t="n">
        <v>45744</v>
      </c>
      <c r="D2656" t="inlineStr">
        <is>
          <t>SKÅNE LÄN</t>
        </is>
      </c>
      <c r="E2656" t="inlineStr">
        <is>
          <t>ÖRKELLJUNGA</t>
        </is>
      </c>
      <c r="F2656" t="inlineStr">
        <is>
          <t>Kyrkan</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8843-2022</t>
        </is>
      </c>
      <c r="B2657" s="1" t="n">
        <v>44607</v>
      </c>
      <c r="C2657" s="1" t="n">
        <v>45744</v>
      </c>
      <c r="D2657" t="inlineStr">
        <is>
          <t>SKÅNE LÄN</t>
        </is>
      </c>
      <c r="E2657" t="inlineStr">
        <is>
          <t>KRISTIANSTAD</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8177-2022</t>
        </is>
      </c>
      <c r="B2658" s="1" t="n">
        <v>44607</v>
      </c>
      <c r="C2658" s="1" t="n">
        <v>45744</v>
      </c>
      <c r="D2658" t="inlineStr">
        <is>
          <t>SKÅNE LÄN</t>
        </is>
      </c>
      <c r="E2658" t="inlineStr">
        <is>
          <t>HÄSSLEHOLM</t>
        </is>
      </c>
      <c r="F2658" t="inlineStr">
        <is>
          <t>Kyrkan</t>
        </is>
      </c>
      <c r="G2658" t="n">
        <v>9.699999999999999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8844-2022</t>
        </is>
      </c>
      <c r="B2659" s="1" t="n">
        <v>44607</v>
      </c>
      <c r="C2659" s="1" t="n">
        <v>45744</v>
      </c>
      <c r="D2659" t="inlineStr">
        <is>
          <t>SKÅNE LÄN</t>
        </is>
      </c>
      <c r="E2659" t="inlineStr">
        <is>
          <t>KRISTIANSTAD</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7782-2022</t>
        </is>
      </c>
      <c r="B2660" s="1" t="n">
        <v>44608</v>
      </c>
      <c r="C2660" s="1" t="n">
        <v>45744</v>
      </c>
      <c r="D2660" t="inlineStr">
        <is>
          <t>SKÅNE LÄN</t>
        </is>
      </c>
      <c r="E2660" t="inlineStr">
        <is>
          <t>HÖÖR</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7820-2022</t>
        </is>
      </c>
      <c r="B2661" s="1" t="n">
        <v>44608</v>
      </c>
      <c r="C2661" s="1" t="n">
        <v>45744</v>
      </c>
      <c r="D2661" t="inlineStr">
        <is>
          <t>SKÅNE LÄN</t>
        </is>
      </c>
      <c r="E2661" t="inlineStr">
        <is>
          <t>HÄSSLEHOLM</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7839-2022</t>
        </is>
      </c>
      <c r="B2662" s="1" t="n">
        <v>44608</v>
      </c>
      <c r="C2662" s="1" t="n">
        <v>45744</v>
      </c>
      <c r="D2662" t="inlineStr">
        <is>
          <t>SKÅNE LÄN</t>
        </is>
      </c>
      <c r="E2662" t="inlineStr">
        <is>
          <t>KLIPPAN</t>
        </is>
      </c>
      <c r="F2662" t="inlineStr">
        <is>
          <t>Övriga Aktiebolag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8084-2022</t>
        </is>
      </c>
      <c r="B2663" s="1" t="n">
        <v>44608</v>
      </c>
      <c r="C2663" s="1" t="n">
        <v>45744</v>
      </c>
      <c r="D2663" t="inlineStr">
        <is>
          <t>SKÅNE LÄN</t>
        </is>
      </c>
      <c r="E2663" t="inlineStr">
        <is>
          <t>KRISTIANSTAD</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8017-2022</t>
        </is>
      </c>
      <c r="B2664" s="1" t="n">
        <v>44609</v>
      </c>
      <c r="C2664" s="1" t="n">
        <v>45744</v>
      </c>
      <c r="D2664" t="inlineStr">
        <is>
          <t>SKÅNE LÄN</t>
        </is>
      </c>
      <c r="E2664" t="inlineStr">
        <is>
          <t>KLIPPAN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8206-2022</t>
        </is>
      </c>
      <c r="B2665" s="1" t="n">
        <v>44609</v>
      </c>
      <c r="C2665" s="1" t="n">
        <v>45744</v>
      </c>
      <c r="D2665" t="inlineStr">
        <is>
          <t>SKÅNE LÄN</t>
        </is>
      </c>
      <c r="E2665" t="inlineStr">
        <is>
          <t>KRISTIANSTAD</t>
        </is>
      </c>
      <c r="F2665" t="inlineStr">
        <is>
          <t>Kyrkan</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8250-2022</t>
        </is>
      </c>
      <c r="B2666" s="1" t="n">
        <v>44609</v>
      </c>
      <c r="C2666" s="1" t="n">
        <v>45744</v>
      </c>
      <c r="D2666" t="inlineStr">
        <is>
          <t>SKÅNE LÄN</t>
        </is>
      </c>
      <c r="E2666" t="inlineStr">
        <is>
          <t>OSBY</t>
        </is>
      </c>
      <c r="F2666" t="inlineStr">
        <is>
          <t>Kyrkan</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8136-2022</t>
        </is>
      </c>
      <c r="B2667" s="1" t="n">
        <v>44609</v>
      </c>
      <c r="C2667" s="1" t="n">
        <v>45744</v>
      </c>
      <c r="D2667" t="inlineStr">
        <is>
          <t>SKÅNE LÄN</t>
        </is>
      </c>
      <c r="E2667" t="inlineStr">
        <is>
          <t>ESLÖV</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8204-2022</t>
        </is>
      </c>
      <c r="B2668" s="1" t="n">
        <v>44609</v>
      </c>
      <c r="C2668" s="1" t="n">
        <v>45744</v>
      </c>
      <c r="D2668" t="inlineStr">
        <is>
          <t>SKÅNE LÄN</t>
        </is>
      </c>
      <c r="E2668" t="inlineStr">
        <is>
          <t>HÄSSLEHOLM</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8248-2022</t>
        </is>
      </c>
      <c r="B2669" s="1" t="n">
        <v>44609</v>
      </c>
      <c r="C2669" s="1" t="n">
        <v>45744</v>
      </c>
      <c r="D2669" t="inlineStr">
        <is>
          <t>SKÅNE LÄN</t>
        </is>
      </c>
      <c r="E2669" t="inlineStr">
        <is>
          <t>OSBY</t>
        </is>
      </c>
      <c r="F2669" t="inlineStr">
        <is>
          <t>Kyrkan</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8260-2022</t>
        </is>
      </c>
      <c r="B2670" s="1" t="n">
        <v>44610</v>
      </c>
      <c r="C2670" s="1" t="n">
        <v>45744</v>
      </c>
      <c r="D2670" t="inlineStr">
        <is>
          <t>SKÅNE LÄN</t>
        </is>
      </c>
      <c r="E2670" t="inlineStr">
        <is>
          <t>KRISTIANSTAD</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8280-2022</t>
        </is>
      </c>
      <c r="B2671" s="1" t="n">
        <v>44610</v>
      </c>
      <c r="C2671" s="1" t="n">
        <v>45744</v>
      </c>
      <c r="D2671" t="inlineStr">
        <is>
          <t>SKÅNE LÄN</t>
        </is>
      </c>
      <c r="E2671" t="inlineStr">
        <is>
          <t>HÄSSLEHOLM</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8370-2022</t>
        </is>
      </c>
      <c r="B2672" s="1" t="n">
        <v>44610</v>
      </c>
      <c r="C2672" s="1" t="n">
        <v>45744</v>
      </c>
      <c r="D2672" t="inlineStr">
        <is>
          <t>SKÅNE LÄN</t>
        </is>
      </c>
      <c r="E2672" t="inlineStr">
        <is>
          <t>OSBY</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8371-2022</t>
        </is>
      </c>
      <c r="B2673" s="1" t="n">
        <v>44610</v>
      </c>
      <c r="C2673" s="1" t="n">
        <v>45744</v>
      </c>
      <c r="D2673" t="inlineStr">
        <is>
          <t>SKÅNE LÄN</t>
        </is>
      </c>
      <c r="E2673" t="inlineStr">
        <is>
          <t>OSBY</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8386-2022</t>
        </is>
      </c>
      <c r="B2674" s="1" t="n">
        <v>44610</v>
      </c>
      <c r="C2674" s="1" t="n">
        <v>45744</v>
      </c>
      <c r="D2674" t="inlineStr">
        <is>
          <t>SKÅNE LÄN</t>
        </is>
      </c>
      <c r="E2674" t="inlineStr">
        <is>
          <t>ÖSTRA GÖINGE</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8367-2022</t>
        </is>
      </c>
      <c r="B2675" s="1" t="n">
        <v>44610</v>
      </c>
      <c r="C2675" s="1" t="n">
        <v>45744</v>
      </c>
      <c r="D2675" t="inlineStr">
        <is>
          <t>SKÅNE LÄN</t>
        </is>
      </c>
      <c r="E2675" t="inlineStr">
        <is>
          <t>OSBY</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8382-2022</t>
        </is>
      </c>
      <c r="B2676" s="1" t="n">
        <v>44610</v>
      </c>
      <c r="C2676" s="1" t="n">
        <v>45744</v>
      </c>
      <c r="D2676" t="inlineStr">
        <is>
          <t>SKÅNE LÄN</t>
        </is>
      </c>
      <c r="E2676" t="inlineStr">
        <is>
          <t>OSBY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8443-2022</t>
        </is>
      </c>
      <c r="B2677" s="1" t="n">
        <v>44612</v>
      </c>
      <c r="C2677" s="1" t="n">
        <v>45744</v>
      </c>
      <c r="D2677" t="inlineStr">
        <is>
          <t>SKÅNE LÄN</t>
        </is>
      </c>
      <c r="E2677" t="inlineStr">
        <is>
          <t>HÖÖR</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8445-2022</t>
        </is>
      </c>
      <c r="B2678" s="1" t="n">
        <v>44612</v>
      </c>
      <c r="C2678" s="1" t="n">
        <v>45744</v>
      </c>
      <c r="D2678" t="inlineStr">
        <is>
          <t>SKÅNE LÄN</t>
        </is>
      </c>
      <c r="E2678" t="inlineStr">
        <is>
          <t>HÖÖR</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8619-2022</t>
        </is>
      </c>
      <c r="B2679" s="1" t="n">
        <v>44613</v>
      </c>
      <c r="C2679" s="1" t="n">
        <v>45744</v>
      </c>
      <c r="D2679" t="inlineStr">
        <is>
          <t>SKÅNE LÄN</t>
        </is>
      </c>
      <c r="E2679" t="inlineStr">
        <is>
          <t>KRISTIANSTAD</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8665-2022</t>
        </is>
      </c>
      <c r="B2680" s="1" t="n">
        <v>44613</v>
      </c>
      <c r="C2680" s="1" t="n">
        <v>45744</v>
      </c>
      <c r="D2680" t="inlineStr">
        <is>
          <t>SKÅNE LÄN</t>
        </is>
      </c>
      <c r="E2680" t="inlineStr">
        <is>
          <t>ÄNGELHOLM</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8700-2022</t>
        </is>
      </c>
      <c r="B2681" s="1" t="n">
        <v>44613</v>
      </c>
      <c r="C2681" s="1" t="n">
        <v>45744</v>
      </c>
      <c r="D2681" t="inlineStr">
        <is>
          <t>SKÅNE LÄN</t>
        </is>
      </c>
      <c r="E2681" t="inlineStr">
        <is>
          <t>TOMELILLA</t>
        </is>
      </c>
      <c r="F2681" t="inlineStr">
        <is>
          <t>Övriga Aktiebolag</t>
        </is>
      </c>
      <c r="G2681" t="n">
        <v>9.800000000000001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8714-2022</t>
        </is>
      </c>
      <c r="B2682" s="1" t="n">
        <v>44613</v>
      </c>
      <c r="C2682" s="1" t="n">
        <v>45744</v>
      </c>
      <c r="D2682" t="inlineStr">
        <is>
          <t>SKÅNE LÄN</t>
        </is>
      </c>
      <c r="E2682" t="inlineStr">
        <is>
          <t>HÖRBY</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8842-2022</t>
        </is>
      </c>
      <c r="B2683" s="1" t="n">
        <v>44614</v>
      </c>
      <c r="C2683" s="1" t="n">
        <v>45744</v>
      </c>
      <c r="D2683" t="inlineStr">
        <is>
          <t>SKÅNE LÄN</t>
        </is>
      </c>
      <c r="E2683" t="inlineStr">
        <is>
          <t>ÖSTRA GÖINGE</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8947-2022</t>
        </is>
      </c>
      <c r="B2684" s="1" t="n">
        <v>44614</v>
      </c>
      <c r="C2684" s="1" t="n">
        <v>45744</v>
      </c>
      <c r="D2684" t="inlineStr">
        <is>
          <t>SKÅNE LÄN</t>
        </is>
      </c>
      <c r="E2684" t="inlineStr">
        <is>
          <t>KLIPPAN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8794-2022</t>
        </is>
      </c>
      <c r="B2685" s="1" t="n">
        <v>44614</v>
      </c>
      <c r="C2685" s="1" t="n">
        <v>45744</v>
      </c>
      <c r="D2685" t="inlineStr">
        <is>
          <t>SKÅNE LÄN</t>
        </is>
      </c>
      <c r="E2685" t="inlineStr">
        <is>
          <t>OSBY</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9098-2022</t>
        </is>
      </c>
      <c r="B2686" s="1" t="n">
        <v>44615</v>
      </c>
      <c r="C2686" s="1" t="n">
        <v>45744</v>
      </c>
      <c r="D2686" t="inlineStr">
        <is>
          <t>SKÅNE LÄN</t>
        </is>
      </c>
      <c r="E2686" t="inlineStr">
        <is>
          <t>HÄSSLEHOLM</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9208-2022</t>
        </is>
      </c>
      <c r="B2687" s="1" t="n">
        <v>44616</v>
      </c>
      <c r="C2687" s="1" t="n">
        <v>45744</v>
      </c>
      <c r="D2687" t="inlineStr">
        <is>
          <t>SKÅNE LÄN</t>
        </is>
      </c>
      <c r="E2687" t="inlineStr">
        <is>
          <t>HÖÖR</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9270-2022</t>
        </is>
      </c>
      <c r="B2688" s="1" t="n">
        <v>44616</v>
      </c>
      <c r="C2688" s="1" t="n">
        <v>45744</v>
      </c>
      <c r="D2688" t="inlineStr">
        <is>
          <t>SKÅNE LÄN</t>
        </is>
      </c>
      <c r="E2688" t="inlineStr">
        <is>
          <t>KLIPPAN</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9292-2022</t>
        </is>
      </c>
      <c r="B2689" s="1" t="n">
        <v>44616</v>
      </c>
      <c r="C2689" s="1" t="n">
        <v>45744</v>
      </c>
      <c r="D2689" t="inlineStr">
        <is>
          <t>SKÅNE LÄN</t>
        </is>
      </c>
      <c r="E2689" t="inlineStr">
        <is>
          <t>HÄSSLEHOLM</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9559-2022</t>
        </is>
      </c>
      <c r="B2690" s="1" t="n">
        <v>44617</v>
      </c>
      <c r="C2690" s="1" t="n">
        <v>45744</v>
      </c>
      <c r="D2690" t="inlineStr">
        <is>
          <t>SKÅNE LÄN</t>
        </is>
      </c>
      <c r="E2690" t="inlineStr">
        <is>
          <t>ÖRKELLJUNGA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9655-2022</t>
        </is>
      </c>
      <c r="B2691" s="1" t="n">
        <v>44617</v>
      </c>
      <c r="C2691" s="1" t="n">
        <v>45744</v>
      </c>
      <c r="D2691" t="inlineStr">
        <is>
          <t>SKÅNE LÄN</t>
        </is>
      </c>
      <c r="E2691" t="inlineStr">
        <is>
          <t>YSTAD</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9716-2022</t>
        </is>
      </c>
      <c r="B2692" s="1" t="n">
        <v>44617</v>
      </c>
      <c r="C2692" s="1" t="n">
        <v>45744</v>
      </c>
      <c r="D2692" t="inlineStr">
        <is>
          <t>SKÅNE LÄN</t>
        </is>
      </c>
      <c r="E2692" t="inlineStr">
        <is>
          <t>SVALÖV</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9808-2022</t>
        </is>
      </c>
      <c r="B2693" s="1" t="n">
        <v>44620</v>
      </c>
      <c r="C2693" s="1" t="n">
        <v>45744</v>
      </c>
      <c r="D2693" t="inlineStr">
        <is>
          <t>SKÅNE LÄN</t>
        </is>
      </c>
      <c r="E2693" t="inlineStr">
        <is>
          <t>ÖSTRA GÖINGE</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9840-2022</t>
        </is>
      </c>
      <c r="B2694" s="1" t="n">
        <v>44620</v>
      </c>
      <c r="C2694" s="1" t="n">
        <v>45744</v>
      </c>
      <c r="D2694" t="inlineStr">
        <is>
          <t>SKÅNE LÄN</t>
        </is>
      </c>
      <c r="E2694" t="inlineStr">
        <is>
          <t>OSBY</t>
        </is>
      </c>
      <c r="F2694" t="inlineStr">
        <is>
          <t>Kommuner</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10007-2022</t>
        </is>
      </c>
      <c r="B2695" s="1" t="n">
        <v>44621</v>
      </c>
      <c r="C2695" s="1" t="n">
        <v>45744</v>
      </c>
      <c r="D2695" t="inlineStr">
        <is>
          <t>SKÅNE LÄN</t>
        </is>
      </c>
      <c r="E2695" t="inlineStr">
        <is>
          <t>HÖÖR</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10050-2022</t>
        </is>
      </c>
      <c r="B2696" s="1" t="n">
        <v>44621</v>
      </c>
      <c r="C2696" s="1" t="n">
        <v>45744</v>
      </c>
      <c r="D2696" t="inlineStr">
        <is>
          <t>SKÅNE LÄN</t>
        </is>
      </c>
      <c r="E2696" t="inlineStr">
        <is>
          <t>KLIPPAN</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10055-2022</t>
        </is>
      </c>
      <c r="B2697" s="1" t="n">
        <v>44621</v>
      </c>
      <c r="C2697" s="1" t="n">
        <v>45744</v>
      </c>
      <c r="D2697" t="inlineStr">
        <is>
          <t>SKÅNE LÄN</t>
        </is>
      </c>
      <c r="E2697" t="inlineStr">
        <is>
          <t>KLIPPAN</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10194-2022</t>
        </is>
      </c>
      <c r="B2698" s="1" t="n">
        <v>44622</v>
      </c>
      <c r="C2698" s="1" t="n">
        <v>45744</v>
      </c>
      <c r="D2698" t="inlineStr">
        <is>
          <t>SKÅNE LÄN</t>
        </is>
      </c>
      <c r="E2698" t="inlineStr">
        <is>
          <t>KRISTIANSTAD</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10352-2022</t>
        </is>
      </c>
      <c r="B2699" s="1" t="n">
        <v>44623</v>
      </c>
      <c r="C2699" s="1" t="n">
        <v>45744</v>
      </c>
      <c r="D2699" t="inlineStr">
        <is>
          <t>SKÅNE LÄN</t>
        </is>
      </c>
      <c r="E2699" t="inlineStr">
        <is>
          <t>KRISTIANSTAD</t>
        </is>
      </c>
      <c r="G2699" t="n">
        <v>0</v>
      </c>
      <c r="H2699" t="n">
        <v>0</v>
      </c>
      <c r="I2699" t="n">
        <v>0</v>
      </c>
      <c r="J2699" t="n">
        <v>0</v>
      </c>
      <c r="K2699" t="n">
        <v>0</v>
      </c>
      <c r="L2699" t="n">
        <v>0</v>
      </c>
      <c r="M2699" t="n">
        <v>0</v>
      </c>
      <c r="N2699" t="n">
        <v>0</v>
      </c>
      <c r="O2699" t="n">
        <v>0</v>
      </c>
      <c r="P2699" t="n">
        <v>0</v>
      </c>
      <c r="Q2699" t="n">
        <v>0</v>
      </c>
      <c r="R2699" s="2" t="inlineStr"/>
    </row>
    <row r="2700" ht="15" customHeight="1">
      <c r="A2700" t="inlineStr">
        <is>
          <t>A 10355-2022</t>
        </is>
      </c>
      <c r="B2700" s="1" t="n">
        <v>44623</v>
      </c>
      <c r="C2700" s="1" t="n">
        <v>45744</v>
      </c>
      <c r="D2700" t="inlineStr">
        <is>
          <t>SKÅNE LÄN</t>
        </is>
      </c>
      <c r="E2700" t="inlineStr">
        <is>
          <t>KRISTIANSTAD</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10372-2022</t>
        </is>
      </c>
      <c r="B2701" s="1" t="n">
        <v>44623</v>
      </c>
      <c r="C2701" s="1" t="n">
        <v>45744</v>
      </c>
      <c r="D2701" t="inlineStr">
        <is>
          <t>SKÅNE LÄN</t>
        </is>
      </c>
      <c r="E2701" t="inlineStr">
        <is>
          <t>OSBY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10367-2022</t>
        </is>
      </c>
      <c r="B2702" s="1" t="n">
        <v>44623</v>
      </c>
      <c r="C2702" s="1" t="n">
        <v>45744</v>
      </c>
      <c r="D2702" t="inlineStr">
        <is>
          <t>SKÅNE LÄN</t>
        </is>
      </c>
      <c r="E2702" t="inlineStr">
        <is>
          <t>ÖSTRA GÖINGE</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10454-2022</t>
        </is>
      </c>
      <c r="B2703" s="1" t="n">
        <v>44623</v>
      </c>
      <c r="C2703" s="1" t="n">
        <v>45744</v>
      </c>
      <c r="D2703" t="inlineStr">
        <is>
          <t>SKÅNE LÄN</t>
        </is>
      </c>
      <c r="E2703" t="inlineStr">
        <is>
          <t>SJÖBO</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10474-2022</t>
        </is>
      </c>
      <c r="B2704" s="1" t="n">
        <v>44623</v>
      </c>
      <c r="C2704" s="1" t="n">
        <v>45744</v>
      </c>
      <c r="D2704" t="inlineStr">
        <is>
          <t>SKÅNE LÄN</t>
        </is>
      </c>
      <c r="E2704" t="inlineStr">
        <is>
          <t>KRISTIANSTAD</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10501-2022</t>
        </is>
      </c>
      <c r="B2705" s="1" t="n">
        <v>44623</v>
      </c>
      <c r="C2705" s="1" t="n">
        <v>45744</v>
      </c>
      <c r="D2705" t="inlineStr">
        <is>
          <t>SKÅNE LÄN</t>
        </is>
      </c>
      <c r="E2705" t="inlineStr">
        <is>
          <t>ÖSTRA GÖINGE</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10497-2022</t>
        </is>
      </c>
      <c r="B2706" s="1" t="n">
        <v>44623</v>
      </c>
      <c r="C2706" s="1" t="n">
        <v>45744</v>
      </c>
      <c r="D2706" t="inlineStr">
        <is>
          <t>SKÅNE LÄN</t>
        </is>
      </c>
      <c r="E2706" t="inlineStr">
        <is>
          <t>ÖSTRA GÖINGE</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10781-2022</t>
        </is>
      </c>
      <c r="B2707" s="1" t="n">
        <v>44627</v>
      </c>
      <c r="C2707" s="1" t="n">
        <v>45744</v>
      </c>
      <c r="D2707" t="inlineStr">
        <is>
          <t>SKÅNE LÄN</t>
        </is>
      </c>
      <c r="E2707" t="inlineStr">
        <is>
          <t>KRISTIANSTAD</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10805-2022</t>
        </is>
      </c>
      <c r="B2708" s="1" t="n">
        <v>44627</v>
      </c>
      <c r="C2708" s="1" t="n">
        <v>45744</v>
      </c>
      <c r="D2708" t="inlineStr">
        <is>
          <t>SKÅNE LÄN</t>
        </is>
      </c>
      <c r="E2708" t="inlineStr">
        <is>
          <t>KRISTIANSTAD</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10937-2022</t>
        </is>
      </c>
      <c r="B2709" s="1" t="n">
        <v>44627</v>
      </c>
      <c r="C2709" s="1" t="n">
        <v>45744</v>
      </c>
      <c r="D2709" t="inlineStr">
        <is>
          <t>SKÅNE LÄN</t>
        </is>
      </c>
      <c r="E2709" t="inlineStr">
        <is>
          <t>ÖSTRA GÖINGE</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10939-2022</t>
        </is>
      </c>
      <c r="B2710" s="1" t="n">
        <v>44627</v>
      </c>
      <c r="C2710" s="1" t="n">
        <v>45744</v>
      </c>
      <c r="D2710" t="inlineStr">
        <is>
          <t>SKÅNE LÄN</t>
        </is>
      </c>
      <c r="E2710" t="inlineStr">
        <is>
          <t>ÖSTRA GÖINGE</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10971-2022</t>
        </is>
      </c>
      <c r="B2711" s="1" t="n">
        <v>44628</v>
      </c>
      <c r="C2711" s="1" t="n">
        <v>45744</v>
      </c>
      <c r="D2711" t="inlineStr">
        <is>
          <t>SKÅNE LÄN</t>
        </is>
      </c>
      <c r="E2711" t="inlineStr">
        <is>
          <t>HÖRBY</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10968-2022</t>
        </is>
      </c>
      <c r="B2712" s="1" t="n">
        <v>44628</v>
      </c>
      <c r="C2712" s="1" t="n">
        <v>45744</v>
      </c>
      <c r="D2712" t="inlineStr">
        <is>
          <t>SKÅNE LÄN</t>
        </is>
      </c>
      <c r="E2712" t="inlineStr">
        <is>
          <t>HÄSSLEHOLM</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11067-2022</t>
        </is>
      </c>
      <c r="B2713" s="1" t="n">
        <v>44628</v>
      </c>
      <c r="C2713" s="1" t="n">
        <v>45744</v>
      </c>
      <c r="D2713" t="inlineStr">
        <is>
          <t>SKÅNE LÄN</t>
        </is>
      </c>
      <c r="E2713" t="inlineStr">
        <is>
          <t>KRISTIANSTAD</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10970-2022</t>
        </is>
      </c>
      <c r="B2714" s="1" t="n">
        <v>44628</v>
      </c>
      <c r="C2714" s="1" t="n">
        <v>45744</v>
      </c>
      <c r="D2714" t="inlineStr">
        <is>
          <t>SKÅNE LÄN</t>
        </is>
      </c>
      <c r="E2714" t="inlineStr">
        <is>
          <t>KRISTIANSTAD</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11054-2022</t>
        </is>
      </c>
      <c r="B2715" s="1" t="n">
        <v>44628</v>
      </c>
      <c r="C2715" s="1" t="n">
        <v>45744</v>
      </c>
      <c r="D2715" t="inlineStr">
        <is>
          <t>SKÅNE LÄN</t>
        </is>
      </c>
      <c r="E2715" t="inlineStr">
        <is>
          <t>KRISTIANSTAD</t>
        </is>
      </c>
      <c r="G2715" t="n">
        <v>14.5</v>
      </c>
      <c r="H2715" t="n">
        <v>0</v>
      </c>
      <c r="I2715" t="n">
        <v>0</v>
      </c>
      <c r="J2715" t="n">
        <v>0</v>
      </c>
      <c r="K2715" t="n">
        <v>0</v>
      </c>
      <c r="L2715" t="n">
        <v>0</v>
      </c>
      <c r="M2715" t="n">
        <v>0</v>
      </c>
      <c r="N2715" t="n">
        <v>0</v>
      </c>
      <c r="O2715" t="n">
        <v>0</v>
      </c>
      <c r="P2715" t="n">
        <v>0</v>
      </c>
      <c r="Q2715" t="n">
        <v>0</v>
      </c>
      <c r="R2715" s="2" t="inlineStr"/>
    </row>
    <row r="2716" ht="15" customHeight="1">
      <c r="A2716" t="inlineStr">
        <is>
          <t>A 11186-2022</t>
        </is>
      </c>
      <c r="B2716" s="1" t="n">
        <v>44629</v>
      </c>
      <c r="C2716" s="1" t="n">
        <v>45744</v>
      </c>
      <c r="D2716" t="inlineStr">
        <is>
          <t>SKÅNE LÄN</t>
        </is>
      </c>
      <c r="E2716" t="inlineStr">
        <is>
          <t>HÖÖR</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11207-2022</t>
        </is>
      </c>
      <c r="B2717" s="1" t="n">
        <v>44629</v>
      </c>
      <c r="C2717" s="1" t="n">
        <v>45744</v>
      </c>
      <c r="D2717" t="inlineStr">
        <is>
          <t>SKÅNE LÄN</t>
        </is>
      </c>
      <c r="E2717" t="inlineStr">
        <is>
          <t>KRISTIANSTAD</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11555-2022</t>
        </is>
      </c>
      <c r="B2718" s="1" t="n">
        <v>44631</v>
      </c>
      <c r="C2718" s="1" t="n">
        <v>45744</v>
      </c>
      <c r="D2718" t="inlineStr">
        <is>
          <t>SKÅNE LÄN</t>
        </is>
      </c>
      <c r="E2718" t="inlineStr">
        <is>
          <t>OSBY</t>
        </is>
      </c>
      <c r="F2718" t="inlineStr">
        <is>
          <t>Sveaskog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11798-2022</t>
        </is>
      </c>
      <c r="B2719" s="1" t="n">
        <v>44634</v>
      </c>
      <c r="C2719" s="1" t="n">
        <v>45744</v>
      </c>
      <c r="D2719" t="inlineStr">
        <is>
          <t>SKÅNE LÄN</t>
        </is>
      </c>
      <c r="E2719" t="inlineStr">
        <is>
          <t>HÄSSLEHOLM</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11773-2022</t>
        </is>
      </c>
      <c r="B2720" s="1" t="n">
        <v>44634</v>
      </c>
      <c r="C2720" s="1" t="n">
        <v>45744</v>
      </c>
      <c r="D2720" t="inlineStr">
        <is>
          <t>SKÅNE LÄN</t>
        </is>
      </c>
      <c r="E2720" t="inlineStr">
        <is>
          <t>ÄNGELHOLM</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11775-2022</t>
        </is>
      </c>
      <c r="B2721" s="1" t="n">
        <v>44634</v>
      </c>
      <c r="C2721" s="1" t="n">
        <v>45744</v>
      </c>
      <c r="D2721" t="inlineStr">
        <is>
          <t>SKÅNE LÄN</t>
        </is>
      </c>
      <c r="E2721" t="inlineStr">
        <is>
          <t>ÄNGELHOLM</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11786-2022</t>
        </is>
      </c>
      <c r="B2722" s="1" t="n">
        <v>44634</v>
      </c>
      <c r="C2722" s="1" t="n">
        <v>45744</v>
      </c>
      <c r="D2722" t="inlineStr">
        <is>
          <t>SKÅNE LÄN</t>
        </is>
      </c>
      <c r="E2722" t="inlineStr">
        <is>
          <t>KRISTIANSTAD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11795-2022</t>
        </is>
      </c>
      <c r="B2723" s="1" t="n">
        <v>44634</v>
      </c>
      <c r="C2723" s="1" t="n">
        <v>45744</v>
      </c>
      <c r="D2723" t="inlineStr">
        <is>
          <t>SKÅNE LÄN</t>
        </is>
      </c>
      <c r="E2723" t="inlineStr">
        <is>
          <t>KRISTIANSTAD</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11970-2022</t>
        </is>
      </c>
      <c r="B2724" s="1" t="n">
        <v>44635</v>
      </c>
      <c r="C2724" s="1" t="n">
        <v>45744</v>
      </c>
      <c r="D2724" t="inlineStr">
        <is>
          <t>SKÅNE LÄN</t>
        </is>
      </c>
      <c r="E2724" t="inlineStr">
        <is>
          <t>ÖRKELLJUNGA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11947-2022</t>
        </is>
      </c>
      <c r="B2725" s="1" t="n">
        <v>44635</v>
      </c>
      <c r="C2725" s="1" t="n">
        <v>45744</v>
      </c>
      <c r="D2725" t="inlineStr">
        <is>
          <t>SKÅNE LÄN</t>
        </is>
      </c>
      <c r="E2725" t="inlineStr">
        <is>
          <t>ÖSTRA GÖINGE</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12141-2022</t>
        </is>
      </c>
      <c r="B2726" s="1" t="n">
        <v>44636</v>
      </c>
      <c r="C2726" s="1" t="n">
        <v>45744</v>
      </c>
      <c r="D2726" t="inlineStr">
        <is>
          <t>SKÅNE LÄN</t>
        </is>
      </c>
      <c r="E2726" t="inlineStr">
        <is>
          <t>ÖRKELLJUNGA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12182-2022</t>
        </is>
      </c>
      <c r="B2727" s="1" t="n">
        <v>44636</v>
      </c>
      <c r="C2727" s="1" t="n">
        <v>45744</v>
      </c>
      <c r="D2727" t="inlineStr">
        <is>
          <t>SKÅNE LÄN</t>
        </is>
      </c>
      <c r="E2727" t="inlineStr">
        <is>
          <t>PERSTORP</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12036-2022</t>
        </is>
      </c>
      <c r="B2728" s="1" t="n">
        <v>44636</v>
      </c>
      <c r="C2728" s="1" t="n">
        <v>45744</v>
      </c>
      <c r="D2728" t="inlineStr">
        <is>
          <t>SKÅNE LÄN</t>
        </is>
      </c>
      <c r="E2728" t="inlineStr">
        <is>
          <t>HÄSSLEHOLM</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12139-2022</t>
        </is>
      </c>
      <c r="B2729" s="1" t="n">
        <v>44636</v>
      </c>
      <c r="C2729" s="1" t="n">
        <v>45744</v>
      </c>
      <c r="D2729" t="inlineStr">
        <is>
          <t>SKÅNE LÄN</t>
        </is>
      </c>
      <c r="E2729" t="inlineStr">
        <is>
          <t>ÖRKELLJUNGA</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12136-2022</t>
        </is>
      </c>
      <c r="B2730" s="1" t="n">
        <v>44636</v>
      </c>
      <c r="C2730" s="1" t="n">
        <v>45744</v>
      </c>
      <c r="D2730" t="inlineStr">
        <is>
          <t>SKÅNE LÄN</t>
        </is>
      </c>
      <c r="E2730" t="inlineStr">
        <is>
          <t>ÖRKELLJUNGA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12500-2022</t>
        </is>
      </c>
      <c r="B2731" s="1" t="n">
        <v>44638</v>
      </c>
      <c r="C2731" s="1" t="n">
        <v>45744</v>
      </c>
      <c r="D2731" t="inlineStr">
        <is>
          <t>SKÅNE LÄN</t>
        </is>
      </c>
      <c r="E2731" t="inlineStr">
        <is>
          <t>KRISTIANSTAD</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12507-2022</t>
        </is>
      </c>
      <c r="B2732" s="1" t="n">
        <v>44638</v>
      </c>
      <c r="C2732" s="1" t="n">
        <v>45744</v>
      </c>
      <c r="D2732" t="inlineStr">
        <is>
          <t>SKÅNE LÄN</t>
        </is>
      </c>
      <c r="E2732" t="inlineStr">
        <is>
          <t>HÄSSLEHOLM</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12526-2022</t>
        </is>
      </c>
      <c r="B2733" s="1" t="n">
        <v>44638</v>
      </c>
      <c r="C2733" s="1" t="n">
        <v>45744</v>
      </c>
      <c r="D2733" t="inlineStr">
        <is>
          <t>SKÅNE LÄN</t>
        </is>
      </c>
      <c r="E2733" t="inlineStr">
        <is>
          <t>OSBY</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12503-2022</t>
        </is>
      </c>
      <c r="B2734" s="1" t="n">
        <v>44638</v>
      </c>
      <c r="C2734" s="1" t="n">
        <v>45744</v>
      </c>
      <c r="D2734" t="inlineStr">
        <is>
          <t>SKÅNE LÄN</t>
        </is>
      </c>
      <c r="E2734" t="inlineStr">
        <is>
          <t>HÄSSLEHOLM</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12663-2022</t>
        </is>
      </c>
      <c r="B2735" s="1" t="n">
        <v>44641</v>
      </c>
      <c r="C2735" s="1" t="n">
        <v>45744</v>
      </c>
      <c r="D2735" t="inlineStr">
        <is>
          <t>SKÅNE LÄN</t>
        </is>
      </c>
      <c r="E2735" t="inlineStr">
        <is>
          <t>TOMELILLA</t>
        </is>
      </c>
      <c r="F2735" t="inlineStr">
        <is>
          <t>Övriga Aktiebolag</t>
        </is>
      </c>
      <c r="G2735" t="n">
        <v>12.4</v>
      </c>
      <c r="H2735" t="n">
        <v>0</v>
      </c>
      <c r="I2735" t="n">
        <v>0</v>
      </c>
      <c r="J2735" t="n">
        <v>0</v>
      </c>
      <c r="K2735" t="n">
        <v>0</v>
      </c>
      <c r="L2735" t="n">
        <v>0</v>
      </c>
      <c r="M2735" t="n">
        <v>0</v>
      </c>
      <c r="N2735" t="n">
        <v>0</v>
      </c>
      <c r="O2735" t="n">
        <v>0</v>
      </c>
      <c r="P2735" t="n">
        <v>0</v>
      </c>
      <c r="Q2735" t="n">
        <v>0</v>
      </c>
      <c r="R2735" s="2" t="inlineStr"/>
    </row>
    <row r="2736" ht="15" customHeight="1">
      <c r="A2736" t="inlineStr">
        <is>
          <t>A 12639-2022</t>
        </is>
      </c>
      <c r="B2736" s="1" t="n">
        <v>44641</v>
      </c>
      <c r="C2736" s="1" t="n">
        <v>45744</v>
      </c>
      <c r="D2736" t="inlineStr">
        <is>
          <t>SKÅNE LÄN</t>
        </is>
      </c>
      <c r="E2736" t="inlineStr">
        <is>
          <t>HÖGANÄS</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12651-2022</t>
        </is>
      </c>
      <c r="B2737" s="1" t="n">
        <v>44641</v>
      </c>
      <c r="C2737" s="1" t="n">
        <v>45744</v>
      </c>
      <c r="D2737" t="inlineStr">
        <is>
          <t>SKÅNE LÄN</t>
        </is>
      </c>
      <c r="E2737" t="inlineStr">
        <is>
          <t>HELSINGBORG</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12919-2022</t>
        </is>
      </c>
      <c r="B2738" s="1" t="n">
        <v>44642</v>
      </c>
      <c r="C2738" s="1" t="n">
        <v>45744</v>
      </c>
      <c r="D2738" t="inlineStr">
        <is>
          <t>SKÅNE LÄN</t>
        </is>
      </c>
      <c r="E2738" t="inlineStr">
        <is>
          <t>TOMELILLA</t>
        </is>
      </c>
      <c r="F2738" t="inlineStr">
        <is>
          <t>Övriga Aktiebolag</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13055-2022</t>
        </is>
      </c>
      <c r="B2739" s="1" t="n">
        <v>44643</v>
      </c>
      <c r="C2739" s="1" t="n">
        <v>45744</v>
      </c>
      <c r="D2739" t="inlineStr">
        <is>
          <t>SKÅNE LÄN</t>
        </is>
      </c>
      <c r="E2739" t="inlineStr">
        <is>
          <t>SJÖBO</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13109-2022</t>
        </is>
      </c>
      <c r="B2740" s="1" t="n">
        <v>44644</v>
      </c>
      <c r="C2740" s="1" t="n">
        <v>45744</v>
      </c>
      <c r="D2740" t="inlineStr">
        <is>
          <t>SKÅNE LÄN</t>
        </is>
      </c>
      <c r="E2740" t="inlineStr">
        <is>
          <t>OSBY</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13192-2022</t>
        </is>
      </c>
      <c r="B2741" s="1" t="n">
        <v>44644</v>
      </c>
      <c r="C2741" s="1" t="n">
        <v>45744</v>
      </c>
      <c r="D2741" t="inlineStr">
        <is>
          <t>SKÅNE LÄN</t>
        </is>
      </c>
      <c r="E2741" t="inlineStr">
        <is>
          <t>HÖÖR</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13242-2022</t>
        </is>
      </c>
      <c r="B2742" s="1" t="n">
        <v>44644</v>
      </c>
      <c r="C2742" s="1" t="n">
        <v>45744</v>
      </c>
      <c r="D2742" t="inlineStr">
        <is>
          <t>SKÅNE LÄN</t>
        </is>
      </c>
      <c r="E2742" t="inlineStr">
        <is>
          <t>HÖRBY</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13170-2022</t>
        </is>
      </c>
      <c r="B2743" s="1" t="n">
        <v>44644</v>
      </c>
      <c r="C2743" s="1" t="n">
        <v>45744</v>
      </c>
      <c r="D2743" t="inlineStr">
        <is>
          <t>SKÅNE LÄN</t>
        </is>
      </c>
      <c r="E2743" t="inlineStr">
        <is>
          <t>KLIPPAN</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13431-2022</t>
        </is>
      </c>
      <c r="B2744" s="1" t="n">
        <v>44645</v>
      </c>
      <c r="C2744" s="1" t="n">
        <v>45744</v>
      </c>
      <c r="D2744" t="inlineStr">
        <is>
          <t>SKÅNE LÄN</t>
        </is>
      </c>
      <c r="E2744" t="inlineStr">
        <is>
          <t>KRISTIANSTAD</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13410-2022</t>
        </is>
      </c>
      <c r="B2745" s="1" t="n">
        <v>44645</v>
      </c>
      <c r="C2745" s="1" t="n">
        <v>45744</v>
      </c>
      <c r="D2745" t="inlineStr">
        <is>
          <t>SKÅNE LÄN</t>
        </is>
      </c>
      <c r="E2745" t="inlineStr">
        <is>
          <t>HÄSSLEHOLM</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13433-2022</t>
        </is>
      </c>
      <c r="B2746" s="1" t="n">
        <v>44645</v>
      </c>
      <c r="C2746" s="1" t="n">
        <v>45744</v>
      </c>
      <c r="D2746" t="inlineStr">
        <is>
          <t>SKÅNE LÄN</t>
        </is>
      </c>
      <c r="E2746" t="inlineStr">
        <is>
          <t>KRISTIANSTAD</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13337-2022</t>
        </is>
      </c>
      <c r="B2747" s="1" t="n">
        <v>44645</v>
      </c>
      <c r="C2747" s="1" t="n">
        <v>45744</v>
      </c>
      <c r="D2747" t="inlineStr">
        <is>
          <t>SKÅNE LÄN</t>
        </is>
      </c>
      <c r="E2747" t="inlineStr">
        <is>
          <t>ESLÖV</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13754-2022</t>
        </is>
      </c>
      <c r="B2748" s="1" t="n">
        <v>44649</v>
      </c>
      <c r="C2748" s="1" t="n">
        <v>45744</v>
      </c>
      <c r="D2748" t="inlineStr">
        <is>
          <t>SKÅNE LÄN</t>
        </is>
      </c>
      <c r="E2748" t="inlineStr">
        <is>
          <t>LUND</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13903-2022</t>
        </is>
      </c>
      <c r="B2749" s="1" t="n">
        <v>44650</v>
      </c>
      <c r="C2749" s="1" t="n">
        <v>45744</v>
      </c>
      <c r="D2749" t="inlineStr">
        <is>
          <t>SKÅNE LÄN</t>
        </is>
      </c>
      <c r="E2749" t="inlineStr">
        <is>
          <t>OSBY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13990-2022</t>
        </is>
      </c>
      <c r="B2750" s="1" t="n">
        <v>44650</v>
      </c>
      <c r="C2750" s="1" t="n">
        <v>45744</v>
      </c>
      <c r="D2750" t="inlineStr">
        <is>
          <t>SKÅNE LÄN</t>
        </is>
      </c>
      <c r="E2750" t="inlineStr">
        <is>
          <t>HÄSSLEHOLM</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14402-2022</t>
        </is>
      </c>
      <c r="B2751" s="1" t="n">
        <v>44652</v>
      </c>
      <c r="C2751" s="1" t="n">
        <v>45744</v>
      </c>
      <c r="D2751" t="inlineStr">
        <is>
          <t>SKÅNE LÄN</t>
        </is>
      </c>
      <c r="E2751" t="inlineStr">
        <is>
          <t>HÄSSLEHOLM</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14524-2022</t>
        </is>
      </c>
      <c r="B2752" s="1" t="n">
        <v>44655</v>
      </c>
      <c r="C2752" s="1" t="n">
        <v>45744</v>
      </c>
      <c r="D2752" t="inlineStr">
        <is>
          <t>SKÅNE LÄN</t>
        </is>
      </c>
      <c r="E2752" t="inlineStr">
        <is>
          <t>KRISTIANSTAD</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14709-2022</t>
        </is>
      </c>
      <c r="B2753" s="1" t="n">
        <v>44656</v>
      </c>
      <c r="C2753" s="1" t="n">
        <v>45744</v>
      </c>
      <c r="D2753" t="inlineStr">
        <is>
          <t>SKÅNE LÄN</t>
        </is>
      </c>
      <c r="E2753" t="inlineStr">
        <is>
          <t>SJÖBO</t>
        </is>
      </c>
      <c r="F2753" t="inlineStr">
        <is>
          <t>Övriga Aktiebolag</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14913-2022</t>
        </is>
      </c>
      <c r="B2754" s="1" t="n">
        <v>44656</v>
      </c>
      <c r="C2754" s="1" t="n">
        <v>45744</v>
      </c>
      <c r="D2754" t="inlineStr">
        <is>
          <t>SKÅNE LÄN</t>
        </is>
      </c>
      <c r="E2754" t="inlineStr">
        <is>
          <t>KRISTIANSTAD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14994-2022</t>
        </is>
      </c>
      <c r="B2755" s="1" t="n">
        <v>44657</v>
      </c>
      <c r="C2755" s="1" t="n">
        <v>45744</v>
      </c>
      <c r="D2755" t="inlineStr">
        <is>
          <t>SKÅNE LÄN</t>
        </is>
      </c>
      <c r="E2755" t="inlineStr">
        <is>
          <t>SIMRISHAMN</t>
        </is>
      </c>
      <c r="F2755" t="inlineStr">
        <is>
          <t>Övriga Aktiebolag</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15046-2022</t>
        </is>
      </c>
      <c r="B2756" s="1" t="n">
        <v>44657</v>
      </c>
      <c r="C2756" s="1" t="n">
        <v>45744</v>
      </c>
      <c r="D2756" t="inlineStr">
        <is>
          <t>SKÅNE LÄN</t>
        </is>
      </c>
      <c r="E2756" t="inlineStr">
        <is>
          <t>ÄNGELHOLM</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14988-2022</t>
        </is>
      </c>
      <c r="B2757" s="1" t="n">
        <v>44657</v>
      </c>
      <c r="C2757" s="1" t="n">
        <v>45744</v>
      </c>
      <c r="D2757" t="inlineStr">
        <is>
          <t>SKÅNE LÄN</t>
        </is>
      </c>
      <c r="E2757" t="inlineStr">
        <is>
          <t>SIMRISHAMN</t>
        </is>
      </c>
      <c r="F2757" t="inlineStr">
        <is>
          <t>Övriga Aktiebolag</t>
        </is>
      </c>
      <c r="G2757" t="n">
        <v>9</v>
      </c>
      <c r="H2757" t="n">
        <v>0</v>
      </c>
      <c r="I2757" t="n">
        <v>0</v>
      </c>
      <c r="J2757" t="n">
        <v>0</v>
      </c>
      <c r="K2757" t="n">
        <v>0</v>
      </c>
      <c r="L2757" t="n">
        <v>0</v>
      </c>
      <c r="M2757" t="n">
        <v>0</v>
      </c>
      <c r="N2757" t="n">
        <v>0</v>
      </c>
      <c r="O2757" t="n">
        <v>0</v>
      </c>
      <c r="P2757" t="n">
        <v>0</v>
      </c>
      <c r="Q2757" t="n">
        <v>0</v>
      </c>
      <c r="R2757" s="2" t="inlineStr"/>
    </row>
    <row r="2758" ht="15" customHeight="1">
      <c r="A2758" t="inlineStr">
        <is>
          <t>A 15181-2022</t>
        </is>
      </c>
      <c r="B2758" s="1" t="n">
        <v>44658</v>
      </c>
      <c r="C2758" s="1" t="n">
        <v>45744</v>
      </c>
      <c r="D2758" t="inlineStr">
        <is>
          <t>SKÅNE LÄN</t>
        </is>
      </c>
      <c r="E2758" t="inlineStr">
        <is>
          <t>OSBY</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15197-2022</t>
        </is>
      </c>
      <c r="B2759" s="1" t="n">
        <v>44658</v>
      </c>
      <c r="C2759" s="1" t="n">
        <v>45744</v>
      </c>
      <c r="D2759" t="inlineStr">
        <is>
          <t>SKÅNE LÄN</t>
        </is>
      </c>
      <c r="E2759" t="inlineStr">
        <is>
          <t>TOMELILLA</t>
        </is>
      </c>
      <c r="F2759" t="inlineStr">
        <is>
          <t>Övriga Aktiebolag</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15118-2022</t>
        </is>
      </c>
      <c r="B2760" s="1" t="n">
        <v>44659</v>
      </c>
      <c r="C2760" s="1" t="n">
        <v>45744</v>
      </c>
      <c r="D2760" t="inlineStr">
        <is>
          <t>SKÅNE LÄN</t>
        </is>
      </c>
      <c r="E2760" t="inlineStr">
        <is>
          <t>HÄSSLEHOLM</t>
        </is>
      </c>
      <c r="F2760" t="inlineStr">
        <is>
          <t>Kyrkan</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15417-2022</t>
        </is>
      </c>
      <c r="B2761" s="1" t="n">
        <v>44659</v>
      </c>
      <c r="C2761" s="1" t="n">
        <v>45744</v>
      </c>
      <c r="D2761" t="inlineStr">
        <is>
          <t>SKÅNE LÄN</t>
        </is>
      </c>
      <c r="E2761" t="inlineStr">
        <is>
          <t>HÄSSLEHOLM</t>
        </is>
      </c>
      <c r="F2761" t="inlineStr">
        <is>
          <t>Kyrkan</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15423-2022</t>
        </is>
      </c>
      <c r="B2762" s="1" t="n">
        <v>44659</v>
      </c>
      <c r="C2762" s="1" t="n">
        <v>45744</v>
      </c>
      <c r="D2762" t="inlineStr">
        <is>
          <t>SKÅNE LÄN</t>
        </is>
      </c>
      <c r="E2762" t="inlineStr">
        <is>
          <t>HÄSSLEHOLM</t>
        </is>
      </c>
      <c r="F2762" t="inlineStr">
        <is>
          <t>Kyrkan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15320-2022</t>
        </is>
      </c>
      <c r="B2763" s="1" t="n">
        <v>44659</v>
      </c>
      <c r="C2763" s="1" t="n">
        <v>45744</v>
      </c>
      <c r="D2763" t="inlineStr">
        <is>
          <t>SKÅNE LÄN</t>
        </is>
      </c>
      <c r="E2763" t="inlineStr">
        <is>
          <t>SJÖBO</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15442-2022</t>
        </is>
      </c>
      <c r="B2764" s="1" t="n">
        <v>44659</v>
      </c>
      <c r="C2764" s="1" t="n">
        <v>45744</v>
      </c>
      <c r="D2764" t="inlineStr">
        <is>
          <t>SKÅNE LÄN</t>
        </is>
      </c>
      <c r="E2764" t="inlineStr">
        <is>
          <t>KLIPPAN</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15570-2022</t>
        </is>
      </c>
      <c r="B2765" s="1" t="n">
        <v>44662</v>
      </c>
      <c r="C2765" s="1" t="n">
        <v>45744</v>
      </c>
      <c r="D2765" t="inlineStr">
        <is>
          <t>SKÅNE LÄN</t>
        </is>
      </c>
      <c r="E2765" t="inlineStr">
        <is>
          <t>OSBY</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15568-2022</t>
        </is>
      </c>
      <c r="B2766" s="1" t="n">
        <v>44662</v>
      </c>
      <c r="C2766" s="1" t="n">
        <v>45744</v>
      </c>
      <c r="D2766" t="inlineStr">
        <is>
          <t>SKÅNE LÄN</t>
        </is>
      </c>
      <c r="E2766" t="inlineStr">
        <is>
          <t>OSBY</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15703-2022</t>
        </is>
      </c>
      <c r="B2767" s="1" t="n">
        <v>44663</v>
      </c>
      <c r="C2767" s="1" t="n">
        <v>45744</v>
      </c>
      <c r="D2767" t="inlineStr">
        <is>
          <t>SKÅNE LÄN</t>
        </is>
      </c>
      <c r="E2767" t="inlineStr">
        <is>
          <t>HÄSSLEHOLM</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15794-2022</t>
        </is>
      </c>
      <c r="B2768" s="1" t="n">
        <v>44663</v>
      </c>
      <c r="C2768" s="1" t="n">
        <v>45744</v>
      </c>
      <c r="D2768" t="inlineStr">
        <is>
          <t>SKÅNE LÄN</t>
        </is>
      </c>
      <c r="E2768" t="inlineStr">
        <is>
          <t>HÖRBY</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15797-2022</t>
        </is>
      </c>
      <c r="B2769" s="1" t="n">
        <v>44663</v>
      </c>
      <c r="C2769" s="1" t="n">
        <v>45744</v>
      </c>
      <c r="D2769" t="inlineStr">
        <is>
          <t>SKÅNE LÄN</t>
        </is>
      </c>
      <c r="E2769" t="inlineStr">
        <is>
          <t>OSBY</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15856-2022</t>
        </is>
      </c>
      <c r="B2770" s="1" t="n">
        <v>44664</v>
      </c>
      <c r="C2770" s="1" t="n">
        <v>45744</v>
      </c>
      <c r="D2770" t="inlineStr">
        <is>
          <t>SKÅNE LÄN</t>
        </is>
      </c>
      <c r="E2770" t="inlineStr">
        <is>
          <t>SJÖBO</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15986-2022</t>
        </is>
      </c>
      <c r="B2771" s="1" t="n">
        <v>44664</v>
      </c>
      <c r="C2771" s="1" t="n">
        <v>45744</v>
      </c>
      <c r="D2771" t="inlineStr">
        <is>
          <t>SKÅNE LÄN</t>
        </is>
      </c>
      <c r="E2771" t="inlineStr">
        <is>
          <t>HÄSSLEHOLM</t>
        </is>
      </c>
      <c r="F2771" t="inlineStr">
        <is>
          <t>Kyrkan</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15951-2022</t>
        </is>
      </c>
      <c r="B2772" s="1" t="n">
        <v>44664</v>
      </c>
      <c r="C2772" s="1" t="n">
        <v>45744</v>
      </c>
      <c r="D2772" t="inlineStr">
        <is>
          <t>SKÅNE LÄN</t>
        </is>
      </c>
      <c r="E2772" t="inlineStr">
        <is>
          <t>KLIPPAN</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16027-2022</t>
        </is>
      </c>
      <c r="B2773" s="1" t="n">
        <v>44665</v>
      </c>
      <c r="C2773" s="1" t="n">
        <v>45744</v>
      </c>
      <c r="D2773" t="inlineStr">
        <is>
          <t>SKÅNE LÄN</t>
        </is>
      </c>
      <c r="E2773" t="inlineStr">
        <is>
          <t>TOMELILLA</t>
        </is>
      </c>
      <c r="F2773" t="inlineStr">
        <is>
          <t>Övriga Aktiebolag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16056-2022</t>
        </is>
      </c>
      <c r="B2774" s="1" t="n">
        <v>44665</v>
      </c>
      <c r="C2774" s="1" t="n">
        <v>45744</v>
      </c>
      <c r="D2774" t="inlineStr">
        <is>
          <t>SKÅNE LÄN</t>
        </is>
      </c>
      <c r="E2774" t="inlineStr">
        <is>
          <t>OSBY</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16204-2022</t>
        </is>
      </c>
      <c r="B2775" s="1" t="n">
        <v>44669</v>
      </c>
      <c r="C2775" s="1" t="n">
        <v>45744</v>
      </c>
      <c r="D2775" t="inlineStr">
        <is>
          <t>SKÅNE LÄN</t>
        </is>
      </c>
      <c r="E2775" t="inlineStr">
        <is>
          <t>KRISTIANSTAD</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16215-2022</t>
        </is>
      </c>
      <c r="B2776" s="1" t="n">
        <v>44670</v>
      </c>
      <c r="C2776" s="1" t="n">
        <v>45744</v>
      </c>
      <c r="D2776" t="inlineStr">
        <is>
          <t>SKÅNE LÄN</t>
        </is>
      </c>
      <c r="E2776" t="inlineStr">
        <is>
          <t>SVALÖV</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16326-2022</t>
        </is>
      </c>
      <c r="B2777" s="1" t="n">
        <v>44670</v>
      </c>
      <c r="C2777" s="1" t="n">
        <v>45744</v>
      </c>
      <c r="D2777" t="inlineStr">
        <is>
          <t>SKÅNE LÄN</t>
        </is>
      </c>
      <c r="E2777" t="inlineStr">
        <is>
          <t>KRISTIANSTAD</t>
        </is>
      </c>
      <c r="G2777" t="n">
        <v>15.3</v>
      </c>
      <c r="H2777" t="n">
        <v>0</v>
      </c>
      <c r="I2777" t="n">
        <v>0</v>
      </c>
      <c r="J2777" t="n">
        <v>0</v>
      </c>
      <c r="K2777" t="n">
        <v>0</v>
      </c>
      <c r="L2777" t="n">
        <v>0</v>
      </c>
      <c r="M2777" t="n">
        <v>0</v>
      </c>
      <c r="N2777" t="n">
        <v>0</v>
      </c>
      <c r="O2777" t="n">
        <v>0</v>
      </c>
      <c r="P2777" t="n">
        <v>0</v>
      </c>
      <c r="Q2777" t="n">
        <v>0</v>
      </c>
      <c r="R2777" s="2" t="inlineStr"/>
    </row>
    <row r="2778" ht="15" customHeight="1">
      <c r="A2778" t="inlineStr">
        <is>
          <t>A 16397-2022</t>
        </is>
      </c>
      <c r="B2778" s="1" t="n">
        <v>44671</v>
      </c>
      <c r="C2778" s="1" t="n">
        <v>45744</v>
      </c>
      <c r="D2778" t="inlineStr">
        <is>
          <t>SKÅNE LÄN</t>
        </is>
      </c>
      <c r="E2778" t="inlineStr">
        <is>
          <t>HÄSSLEHOLM</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16431-2022</t>
        </is>
      </c>
      <c r="B2779" s="1" t="n">
        <v>44671</v>
      </c>
      <c r="C2779" s="1" t="n">
        <v>45744</v>
      </c>
      <c r="D2779" t="inlineStr">
        <is>
          <t>SKÅNE LÄN</t>
        </is>
      </c>
      <c r="E2779" t="inlineStr">
        <is>
          <t>ÖRKELLJUNGA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16398-2022</t>
        </is>
      </c>
      <c r="B2780" s="1" t="n">
        <v>44671</v>
      </c>
      <c r="C2780" s="1" t="n">
        <v>45744</v>
      </c>
      <c r="D2780" t="inlineStr">
        <is>
          <t>SKÅNE LÄN</t>
        </is>
      </c>
      <c r="E2780" t="inlineStr">
        <is>
          <t>HÄSSLEHOLM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16663-2022</t>
        </is>
      </c>
      <c r="B2781" s="1" t="n">
        <v>44672</v>
      </c>
      <c r="C2781" s="1" t="n">
        <v>45744</v>
      </c>
      <c r="D2781" t="inlineStr">
        <is>
          <t>SKÅNE LÄN</t>
        </is>
      </c>
      <c r="E2781" t="inlineStr">
        <is>
          <t>HÖÖR</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16579-2022</t>
        </is>
      </c>
      <c r="B2782" s="1" t="n">
        <v>44672</v>
      </c>
      <c r="C2782" s="1" t="n">
        <v>45744</v>
      </c>
      <c r="D2782" t="inlineStr">
        <is>
          <t>SKÅNE LÄN</t>
        </is>
      </c>
      <c r="E2782" t="inlineStr">
        <is>
          <t>KRISTIANSTAD</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16564-2022</t>
        </is>
      </c>
      <c r="B2783" s="1" t="n">
        <v>44672</v>
      </c>
      <c r="C2783" s="1" t="n">
        <v>45744</v>
      </c>
      <c r="D2783" t="inlineStr">
        <is>
          <t>SKÅNE LÄN</t>
        </is>
      </c>
      <c r="E2783" t="inlineStr">
        <is>
          <t>KRISTIANSTAD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16588-2022</t>
        </is>
      </c>
      <c r="B2784" s="1" t="n">
        <v>44672</v>
      </c>
      <c r="C2784" s="1" t="n">
        <v>45744</v>
      </c>
      <c r="D2784" t="inlineStr">
        <is>
          <t>SKÅNE LÄN</t>
        </is>
      </c>
      <c r="E2784" t="inlineStr">
        <is>
          <t>KRISTIANSTAD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16665-2022</t>
        </is>
      </c>
      <c r="B2785" s="1" t="n">
        <v>44672</v>
      </c>
      <c r="C2785" s="1" t="n">
        <v>45744</v>
      </c>
      <c r="D2785" t="inlineStr">
        <is>
          <t>SKÅNE LÄN</t>
        </is>
      </c>
      <c r="E2785" t="inlineStr">
        <is>
          <t>HÖÖR</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16571-2022</t>
        </is>
      </c>
      <c r="B2786" s="1" t="n">
        <v>44672</v>
      </c>
      <c r="C2786" s="1" t="n">
        <v>45744</v>
      </c>
      <c r="D2786" t="inlineStr">
        <is>
          <t>SKÅNE LÄN</t>
        </is>
      </c>
      <c r="E2786" t="inlineStr">
        <is>
          <t>KRISTIANSTAD</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16920-2022</t>
        </is>
      </c>
      <c r="B2787" s="1" t="n">
        <v>44676</v>
      </c>
      <c r="C2787" s="1" t="n">
        <v>45744</v>
      </c>
      <c r="D2787" t="inlineStr">
        <is>
          <t>SKÅNE LÄN</t>
        </is>
      </c>
      <c r="E2787" t="inlineStr">
        <is>
          <t>ÖRKELLJUNGA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17373-2022</t>
        </is>
      </c>
      <c r="B2788" s="1" t="n">
        <v>44678</v>
      </c>
      <c r="C2788" s="1" t="n">
        <v>45744</v>
      </c>
      <c r="D2788" t="inlineStr">
        <is>
          <t>SKÅNE LÄN</t>
        </is>
      </c>
      <c r="E2788" t="inlineStr">
        <is>
          <t>OSBY</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17476-2022</t>
        </is>
      </c>
      <c r="B2789" s="1" t="n">
        <v>44679</v>
      </c>
      <c r="C2789" s="1" t="n">
        <v>45744</v>
      </c>
      <c r="D2789" t="inlineStr">
        <is>
          <t>SKÅNE LÄN</t>
        </is>
      </c>
      <c r="E2789" t="inlineStr">
        <is>
          <t>ÖRKELLJUNGA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17425-2022</t>
        </is>
      </c>
      <c r="B2790" s="1" t="n">
        <v>44679</v>
      </c>
      <c r="C2790" s="1" t="n">
        <v>45744</v>
      </c>
      <c r="D2790" t="inlineStr">
        <is>
          <t>SKÅNE LÄN</t>
        </is>
      </c>
      <c r="E2790" t="inlineStr">
        <is>
          <t>KLIPPAN</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17537-2022</t>
        </is>
      </c>
      <c r="B2791" s="1" t="n">
        <v>44679</v>
      </c>
      <c r="C2791" s="1" t="n">
        <v>45744</v>
      </c>
      <c r="D2791" t="inlineStr">
        <is>
          <t>SKÅNE LÄN</t>
        </is>
      </c>
      <c r="E2791" t="inlineStr">
        <is>
          <t>OSBY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17424-2022</t>
        </is>
      </c>
      <c r="B2792" s="1" t="n">
        <v>44679</v>
      </c>
      <c r="C2792" s="1" t="n">
        <v>45744</v>
      </c>
      <c r="D2792" t="inlineStr">
        <is>
          <t>SKÅNE LÄN</t>
        </is>
      </c>
      <c r="E2792" t="inlineStr">
        <is>
          <t>KLIPPAN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17737-2022</t>
        </is>
      </c>
      <c r="B2793" s="1" t="n">
        <v>44681</v>
      </c>
      <c r="C2793" s="1" t="n">
        <v>45744</v>
      </c>
      <c r="D2793" t="inlineStr">
        <is>
          <t>SKÅNE LÄN</t>
        </is>
      </c>
      <c r="E2793" t="inlineStr">
        <is>
          <t>ÖSTRA GÖINGE</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18084-2022</t>
        </is>
      </c>
      <c r="B2794" s="1" t="n">
        <v>44684</v>
      </c>
      <c r="C2794" s="1" t="n">
        <v>45744</v>
      </c>
      <c r="D2794" t="inlineStr">
        <is>
          <t>SKÅNE LÄN</t>
        </is>
      </c>
      <c r="E2794" t="inlineStr">
        <is>
          <t>BJUV</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18146-2022</t>
        </is>
      </c>
      <c r="B2795" s="1" t="n">
        <v>44684</v>
      </c>
      <c r="C2795" s="1" t="n">
        <v>45744</v>
      </c>
      <c r="D2795" t="inlineStr">
        <is>
          <t>SKÅNE LÄN</t>
        </is>
      </c>
      <c r="E2795" t="inlineStr">
        <is>
          <t>KRISTIANSTAD</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18107-2022</t>
        </is>
      </c>
      <c r="B2796" s="1" t="n">
        <v>44684</v>
      </c>
      <c r="C2796" s="1" t="n">
        <v>45744</v>
      </c>
      <c r="D2796" t="inlineStr">
        <is>
          <t>SKÅNE LÄN</t>
        </is>
      </c>
      <c r="E2796" t="inlineStr">
        <is>
          <t>SIMRISHAMN</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18090-2022</t>
        </is>
      </c>
      <c r="B2797" s="1" t="n">
        <v>44684</v>
      </c>
      <c r="C2797" s="1" t="n">
        <v>45744</v>
      </c>
      <c r="D2797" t="inlineStr">
        <is>
          <t>SKÅNE LÄN</t>
        </is>
      </c>
      <c r="E2797" t="inlineStr">
        <is>
          <t>YSTAD</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18118-2022</t>
        </is>
      </c>
      <c r="B2798" s="1" t="n">
        <v>44684</v>
      </c>
      <c r="C2798" s="1" t="n">
        <v>45744</v>
      </c>
      <c r="D2798" t="inlineStr">
        <is>
          <t>SKÅNE LÄN</t>
        </is>
      </c>
      <c r="E2798" t="inlineStr">
        <is>
          <t>BJUV</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18158-2022</t>
        </is>
      </c>
      <c r="B2799" s="1" t="n">
        <v>44684</v>
      </c>
      <c r="C2799" s="1" t="n">
        <v>45744</v>
      </c>
      <c r="D2799" t="inlineStr">
        <is>
          <t>SKÅNE LÄN</t>
        </is>
      </c>
      <c r="E2799" t="inlineStr">
        <is>
          <t>TOMELILLA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18178-2022</t>
        </is>
      </c>
      <c r="B2800" s="1" t="n">
        <v>44684</v>
      </c>
      <c r="C2800" s="1" t="n">
        <v>45744</v>
      </c>
      <c r="D2800" t="inlineStr">
        <is>
          <t>SKÅNE LÄN</t>
        </is>
      </c>
      <c r="E2800" t="inlineStr">
        <is>
          <t>HÄSSLEHOLM</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18345-2022</t>
        </is>
      </c>
      <c r="B2801" s="1" t="n">
        <v>44685</v>
      </c>
      <c r="C2801" s="1" t="n">
        <v>45744</v>
      </c>
      <c r="D2801" t="inlineStr">
        <is>
          <t>SKÅNE LÄN</t>
        </is>
      </c>
      <c r="E2801" t="inlineStr">
        <is>
          <t>HÖÖR</t>
        </is>
      </c>
      <c r="F2801" t="inlineStr">
        <is>
          <t>Sveaskog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18322-2022</t>
        </is>
      </c>
      <c r="B2802" s="1" t="n">
        <v>44685</v>
      </c>
      <c r="C2802" s="1" t="n">
        <v>45744</v>
      </c>
      <c r="D2802" t="inlineStr">
        <is>
          <t>SKÅNE LÄN</t>
        </is>
      </c>
      <c r="E2802" t="inlineStr">
        <is>
          <t>KRISTIANSTAD</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18348-2022</t>
        </is>
      </c>
      <c r="B2803" s="1" t="n">
        <v>44685</v>
      </c>
      <c r="C2803" s="1" t="n">
        <v>45744</v>
      </c>
      <c r="D2803" t="inlineStr">
        <is>
          <t>SKÅNE LÄN</t>
        </is>
      </c>
      <c r="E2803" t="inlineStr">
        <is>
          <t>HÖÖR</t>
        </is>
      </c>
      <c r="F2803" t="inlineStr">
        <is>
          <t>Sveaskog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18449-2022</t>
        </is>
      </c>
      <c r="B2804" s="1" t="n">
        <v>44686</v>
      </c>
      <c r="C2804" s="1" t="n">
        <v>45744</v>
      </c>
      <c r="D2804" t="inlineStr">
        <is>
          <t>SKÅNE LÄN</t>
        </is>
      </c>
      <c r="E2804" t="inlineStr">
        <is>
          <t>KRISTIANSTAD</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18540-2022</t>
        </is>
      </c>
      <c r="B2805" s="1" t="n">
        <v>44686</v>
      </c>
      <c r="C2805" s="1" t="n">
        <v>45744</v>
      </c>
      <c r="D2805" t="inlineStr">
        <is>
          <t>SKÅNE LÄN</t>
        </is>
      </c>
      <c r="E2805" t="inlineStr">
        <is>
          <t>ÖSTRA GÖINGE</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18590-2022</t>
        </is>
      </c>
      <c r="B2806" s="1" t="n">
        <v>44687</v>
      </c>
      <c r="C2806" s="1" t="n">
        <v>45744</v>
      </c>
      <c r="D2806" t="inlineStr">
        <is>
          <t>SKÅNE LÄN</t>
        </is>
      </c>
      <c r="E2806" t="inlineStr">
        <is>
          <t>OSBY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18873-2022</t>
        </is>
      </c>
      <c r="B2807" s="1" t="n">
        <v>44690</v>
      </c>
      <c r="C2807" s="1" t="n">
        <v>45744</v>
      </c>
      <c r="D2807" t="inlineStr">
        <is>
          <t>SKÅNE LÄN</t>
        </is>
      </c>
      <c r="E2807" t="inlineStr">
        <is>
          <t>LUND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18865-2022</t>
        </is>
      </c>
      <c r="B2808" s="1" t="n">
        <v>44690</v>
      </c>
      <c r="C2808" s="1" t="n">
        <v>45744</v>
      </c>
      <c r="D2808" t="inlineStr">
        <is>
          <t>SKÅNE LÄN</t>
        </is>
      </c>
      <c r="E2808" t="inlineStr">
        <is>
          <t>ÖSTRA GÖINGE</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18872-2022</t>
        </is>
      </c>
      <c r="B2809" s="1" t="n">
        <v>44690</v>
      </c>
      <c r="C2809" s="1" t="n">
        <v>45744</v>
      </c>
      <c r="D2809" t="inlineStr">
        <is>
          <t>SKÅNE LÄN</t>
        </is>
      </c>
      <c r="E2809" t="inlineStr">
        <is>
          <t>ESLÖV</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18939-2022</t>
        </is>
      </c>
      <c r="B2810" s="1" t="n">
        <v>44690</v>
      </c>
      <c r="C2810" s="1" t="n">
        <v>45744</v>
      </c>
      <c r="D2810" t="inlineStr">
        <is>
          <t>SKÅNE LÄN</t>
        </is>
      </c>
      <c r="E2810" t="inlineStr">
        <is>
          <t>HÖÖR</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19097-2022</t>
        </is>
      </c>
      <c r="B2811" s="1" t="n">
        <v>44691</v>
      </c>
      <c r="C2811" s="1" t="n">
        <v>45744</v>
      </c>
      <c r="D2811" t="inlineStr">
        <is>
          <t>SKÅNE LÄN</t>
        </is>
      </c>
      <c r="E2811" t="inlineStr">
        <is>
          <t>KLIPPAN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19094-2022</t>
        </is>
      </c>
      <c r="B2812" s="1" t="n">
        <v>44691</v>
      </c>
      <c r="C2812" s="1" t="n">
        <v>45744</v>
      </c>
      <c r="D2812" t="inlineStr">
        <is>
          <t>SKÅNE LÄN</t>
        </is>
      </c>
      <c r="E2812" t="inlineStr">
        <is>
          <t>KLIPPAN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19281-2022</t>
        </is>
      </c>
      <c r="B2813" s="1" t="n">
        <v>44692</v>
      </c>
      <c r="C2813" s="1" t="n">
        <v>45744</v>
      </c>
      <c r="D2813" t="inlineStr">
        <is>
          <t>SKÅNE LÄN</t>
        </is>
      </c>
      <c r="E2813" t="inlineStr">
        <is>
          <t>SIMRISHAMN</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19437-2022</t>
        </is>
      </c>
      <c r="B2814" s="1" t="n">
        <v>44693</v>
      </c>
      <c r="C2814" s="1" t="n">
        <v>45744</v>
      </c>
      <c r="D2814" t="inlineStr">
        <is>
          <t>SKÅNE LÄN</t>
        </is>
      </c>
      <c r="E2814" t="inlineStr">
        <is>
          <t>OSBY</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19503-2022</t>
        </is>
      </c>
      <c r="B2815" s="1" t="n">
        <v>44693</v>
      </c>
      <c r="C2815" s="1" t="n">
        <v>45744</v>
      </c>
      <c r="D2815" t="inlineStr">
        <is>
          <t>SKÅNE LÄN</t>
        </is>
      </c>
      <c r="E2815" t="inlineStr">
        <is>
          <t>ÄNGELHOLM</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19500-2022</t>
        </is>
      </c>
      <c r="B2816" s="1" t="n">
        <v>44693</v>
      </c>
      <c r="C2816" s="1" t="n">
        <v>45744</v>
      </c>
      <c r="D2816" t="inlineStr">
        <is>
          <t>SKÅNE LÄN</t>
        </is>
      </c>
      <c r="E2816" t="inlineStr">
        <is>
          <t>ÄNGELHOLM</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19420-2022</t>
        </is>
      </c>
      <c r="B2817" s="1" t="n">
        <v>44693</v>
      </c>
      <c r="C2817" s="1" t="n">
        <v>45744</v>
      </c>
      <c r="D2817" t="inlineStr">
        <is>
          <t>SKÅNE LÄN</t>
        </is>
      </c>
      <c r="E2817" t="inlineStr">
        <is>
          <t>HÖRBY</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19642-2022</t>
        </is>
      </c>
      <c r="B2818" s="1" t="n">
        <v>44694</v>
      </c>
      <c r="C2818" s="1" t="n">
        <v>45744</v>
      </c>
      <c r="D2818" t="inlineStr">
        <is>
          <t>SKÅNE LÄN</t>
        </is>
      </c>
      <c r="E2818" t="inlineStr">
        <is>
          <t>KRISTIANSTAD</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19651-2022</t>
        </is>
      </c>
      <c r="B2819" s="1" t="n">
        <v>44694</v>
      </c>
      <c r="C2819" s="1" t="n">
        <v>45744</v>
      </c>
      <c r="D2819" t="inlineStr">
        <is>
          <t>SKÅNE LÄN</t>
        </is>
      </c>
      <c r="E2819" t="inlineStr">
        <is>
          <t>TOMELILLA</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19750-2022</t>
        </is>
      </c>
      <c r="B2820" s="1" t="n">
        <v>44694</v>
      </c>
      <c r="C2820" s="1" t="n">
        <v>45744</v>
      </c>
      <c r="D2820" t="inlineStr">
        <is>
          <t>SKÅNE LÄN</t>
        </is>
      </c>
      <c r="E2820" t="inlineStr">
        <is>
          <t>OSBY</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19970-2022</t>
        </is>
      </c>
      <c r="B2821" s="1" t="n">
        <v>44697</v>
      </c>
      <c r="C2821" s="1" t="n">
        <v>45744</v>
      </c>
      <c r="D2821" t="inlineStr">
        <is>
          <t>SKÅNE LÄN</t>
        </is>
      </c>
      <c r="E2821" t="inlineStr">
        <is>
          <t>HÖRBY</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20002-2022</t>
        </is>
      </c>
      <c r="B2822" s="1" t="n">
        <v>44697</v>
      </c>
      <c r="C2822" s="1" t="n">
        <v>45744</v>
      </c>
      <c r="D2822" t="inlineStr">
        <is>
          <t>SKÅNE LÄN</t>
        </is>
      </c>
      <c r="E2822" t="inlineStr">
        <is>
          <t>KLIPPAN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20010-2022</t>
        </is>
      </c>
      <c r="B2823" s="1" t="n">
        <v>44697</v>
      </c>
      <c r="C2823" s="1" t="n">
        <v>45744</v>
      </c>
      <c r="D2823" t="inlineStr">
        <is>
          <t>SKÅNE LÄN</t>
        </is>
      </c>
      <c r="E2823" t="inlineStr">
        <is>
          <t>KLIPPAN</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19999-2022</t>
        </is>
      </c>
      <c r="B2824" s="1" t="n">
        <v>44697</v>
      </c>
      <c r="C2824" s="1" t="n">
        <v>45744</v>
      </c>
      <c r="D2824" t="inlineStr">
        <is>
          <t>SKÅNE LÄN</t>
        </is>
      </c>
      <c r="E2824" t="inlineStr">
        <is>
          <t>KLIPPAN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19981-2022</t>
        </is>
      </c>
      <c r="B2825" s="1" t="n">
        <v>44697</v>
      </c>
      <c r="C2825" s="1" t="n">
        <v>45744</v>
      </c>
      <c r="D2825" t="inlineStr">
        <is>
          <t>SKÅNE LÄN</t>
        </is>
      </c>
      <c r="E2825" t="inlineStr">
        <is>
          <t>HÖRBY</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19910-2022</t>
        </is>
      </c>
      <c r="B2826" s="1" t="n">
        <v>44697</v>
      </c>
      <c r="C2826" s="1" t="n">
        <v>45744</v>
      </c>
      <c r="D2826" t="inlineStr">
        <is>
          <t>SKÅNE LÄN</t>
        </is>
      </c>
      <c r="E2826" t="inlineStr">
        <is>
          <t>KRISTIANSTAD</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20012-2022</t>
        </is>
      </c>
      <c r="B2827" s="1" t="n">
        <v>44697</v>
      </c>
      <c r="C2827" s="1" t="n">
        <v>45744</v>
      </c>
      <c r="D2827" t="inlineStr">
        <is>
          <t>SKÅNE LÄN</t>
        </is>
      </c>
      <c r="E2827" t="inlineStr">
        <is>
          <t>KLIPPAN</t>
        </is>
      </c>
      <c r="G2827" t="n">
        <v>17.2</v>
      </c>
      <c r="H2827" t="n">
        <v>0</v>
      </c>
      <c r="I2827" t="n">
        <v>0</v>
      </c>
      <c r="J2827" t="n">
        <v>0</v>
      </c>
      <c r="K2827" t="n">
        <v>0</v>
      </c>
      <c r="L2827" t="n">
        <v>0</v>
      </c>
      <c r="M2827" t="n">
        <v>0</v>
      </c>
      <c r="N2827" t="n">
        <v>0</v>
      </c>
      <c r="O2827" t="n">
        <v>0</v>
      </c>
      <c r="P2827" t="n">
        <v>0</v>
      </c>
      <c r="Q2827" t="n">
        <v>0</v>
      </c>
      <c r="R2827" s="2" t="inlineStr"/>
    </row>
    <row r="2828" ht="15" customHeight="1">
      <c r="A2828" t="inlineStr">
        <is>
          <t>A 20193-2022</t>
        </is>
      </c>
      <c r="B2828" s="1" t="n">
        <v>44698</v>
      </c>
      <c r="C2828" s="1" t="n">
        <v>45744</v>
      </c>
      <c r="D2828" t="inlineStr">
        <is>
          <t>SKÅNE LÄN</t>
        </is>
      </c>
      <c r="E2828" t="inlineStr">
        <is>
          <t>TOMELILLA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20202-2022</t>
        </is>
      </c>
      <c r="B2829" s="1" t="n">
        <v>44698</v>
      </c>
      <c r="C2829" s="1" t="n">
        <v>45744</v>
      </c>
      <c r="D2829" t="inlineStr">
        <is>
          <t>SKÅNE LÄN</t>
        </is>
      </c>
      <c r="E2829" t="inlineStr">
        <is>
          <t>BJUV</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20227-2022</t>
        </is>
      </c>
      <c r="B2830" s="1" t="n">
        <v>44698</v>
      </c>
      <c r="C2830" s="1" t="n">
        <v>45744</v>
      </c>
      <c r="D2830" t="inlineStr">
        <is>
          <t>SKÅNE LÄN</t>
        </is>
      </c>
      <c r="E2830" t="inlineStr">
        <is>
          <t>OSBY</t>
        </is>
      </c>
      <c r="F2830" t="inlineStr">
        <is>
          <t>Kommuner</t>
        </is>
      </c>
      <c r="G2830" t="n">
        <v>7.1</v>
      </c>
      <c r="H2830" t="n">
        <v>0</v>
      </c>
      <c r="I2830" t="n">
        <v>0</v>
      </c>
      <c r="J2830" t="n">
        <v>0</v>
      </c>
      <c r="K2830" t="n">
        <v>0</v>
      </c>
      <c r="L2830" t="n">
        <v>0</v>
      </c>
      <c r="M2830" t="n">
        <v>0</v>
      </c>
      <c r="N2830" t="n">
        <v>0</v>
      </c>
      <c r="O2830" t="n">
        <v>0</v>
      </c>
      <c r="P2830" t="n">
        <v>0</v>
      </c>
      <c r="Q2830" t="n">
        <v>0</v>
      </c>
      <c r="R2830" s="2" t="inlineStr"/>
    </row>
    <row r="2831" ht="15" customHeight="1">
      <c r="A2831" t="inlineStr">
        <is>
          <t>A 20324-2022</t>
        </is>
      </c>
      <c r="B2831" s="1" t="n">
        <v>44699</v>
      </c>
      <c r="C2831" s="1" t="n">
        <v>45744</v>
      </c>
      <c r="D2831" t="inlineStr">
        <is>
          <t>SKÅNE LÄN</t>
        </is>
      </c>
      <c r="E2831" t="inlineStr">
        <is>
          <t>SKURUP</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20622-2022</t>
        </is>
      </c>
      <c r="B2832" s="1" t="n">
        <v>44700</v>
      </c>
      <c r="C2832" s="1" t="n">
        <v>45744</v>
      </c>
      <c r="D2832" t="inlineStr">
        <is>
          <t>SKÅNE LÄN</t>
        </is>
      </c>
      <c r="E2832" t="inlineStr">
        <is>
          <t>ÖSTRA GÖINGE</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20634-2022</t>
        </is>
      </c>
      <c r="B2833" s="1" t="n">
        <v>44700</v>
      </c>
      <c r="C2833" s="1" t="n">
        <v>45744</v>
      </c>
      <c r="D2833" t="inlineStr">
        <is>
          <t>SKÅNE LÄN</t>
        </is>
      </c>
      <c r="E2833" t="inlineStr">
        <is>
          <t>OSBY</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20657-2022</t>
        </is>
      </c>
      <c r="B2834" s="1" t="n">
        <v>44700</v>
      </c>
      <c r="C2834" s="1" t="n">
        <v>45744</v>
      </c>
      <c r="D2834" t="inlineStr">
        <is>
          <t>SKÅNE LÄN</t>
        </is>
      </c>
      <c r="E2834" t="inlineStr">
        <is>
          <t>HÄSSLEHOLM</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20690-2022</t>
        </is>
      </c>
      <c r="B2835" s="1" t="n">
        <v>44700</v>
      </c>
      <c r="C2835" s="1" t="n">
        <v>45744</v>
      </c>
      <c r="D2835" t="inlineStr">
        <is>
          <t>SKÅNE LÄN</t>
        </is>
      </c>
      <c r="E2835" t="inlineStr">
        <is>
          <t>KLIPPAN</t>
        </is>
      </c>
      <c r="F2835" t="inlineStr">
        <is>
          <t>Kommuner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21072-2022</t>
        </is>
      </c>
      <c r="B2836" s="1" t="n">
        <v>44704</v>
      </c>
      <c r="C2836" s="1" t="n">
        <v>45744</v>
      </c>
      <c r="D2836" t="inlineStr">
        <is>
          <t>SKÅNE LÄN</t>
        </is>
      </c>
      <c r="E2836" t="inlineStr">
        <is>
          <t>SVEDALA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21140-2022</t>
        </is>
      </c>
      <c r="B2837" s="1" t="n">
        <v>44704</v>
      </c>
      <c r="C2837" s="1" t="n">
        <v>45744</v>
      </c>
      <c r="D2837" t="inlineStr">
        <is>
          <t>SKÅNE LÄN</t>
        </is>
      </c>
      <c r="E2837" t="inlineStr">
        <is>
          <t>ÖRKELLJUNGA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21146-2022</t>
        </is>
      </c>
      <c r="B2838" s="1" t="n">
        <v>44704</v>
      </c>
      <c r="C2838" s="1" t="n">
        <v>45744</v>
      </c>
      <c r="D2838" t="inlineStr">
        <is>
          <t>SKÅNE LÄN</t>
        </is>
      </c>
      <c r="E2838" t="inlineStr">
        <is>
          <t>ÖRKELLJUNGA</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21152-2022</t>
        </is>
      </c>
      <c r="B2839" s="1" t="n">
        <v>44704</v>
      </c>
      <c r="C2839" s="1" t="n">
        <v>45744</v>
      </c>
      <c r="D2839" t="inlineStr">
        <is>
          <t>SKÅNE LÄN</t>
        </is>
      </c>
      <c r="E2839" t="inlineStr">
        <is>
          <t>ÖRKELLJUNGA</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21356-2022</t>
        </is>
      </c>
      <c r="B2840" s="1" t="n">
        <v>44705</v>
      </c>
      <c r="C2840" s="1" t="n">
        <v>45744</v>
      </c>
      <c r="D2840" t="inlineStr">
        <is>
          <t>SKÅNE LÄN</t>
        </is>
      </c>
      <c r="E2840" t="inlineStr">
        <is>
          <t>HÄSSLEHOLM</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21310-2022</t>
        </is>
      </c>
      <c r="B2841" s="1" t="n">
        <v>44705</v>
      </c>
      <c r="C2841" s="1" t="n">
        <v>45744</v>
      </c>
      <c r="D2841" t="inlineStr">
        <is>
          <t>SKÅNE LÄN</t>
        </is>
      </c>
      <c r="E2841" t="inlineStr">
        <is>
          <t>HÄSSLEHOLM</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21393-2022</t>
        </is>
      </c>
      <c r="B2842" s="1" t="n">
        <v>44705</v>
      </c>
      <c r="C2842" s="1" t="n">
        <v>45744</v>
      </c>
      <c r="D2842" t="inlineStr">
        <is>
          <t>SKÅNE LÄN</t>
        </is>
      </c>
      <c r="E2842" t="inlineStr">
        <is>
          <t>KRISTIANSTAD</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21390-2022</t>
        </is>
      </c>
      <c r="B2843" s="1" t="n">
        <v>44705</v>
      </c>
      <c r="C2843" s="1" t="n">
        <v>45744</v>
      </c>
      <c r="D2843" t="inlineStr">
        <is>
          <t>SKÅNE LÄN</t>
        </is>
      </c>
      <c r="E2843" t="inlineStr">
        <is>
          <t>KRISTIANSTAD</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21417-2022</t>
        </is>
      </c>
      <c r="B2844" s="1" t="n">
        <v>44706</v>
      </c>
      <c r="C2844" s="1" t="n">
        <v>45744</v>
      </c>
      <c r="D2844" t="inlineStr">
        <is>
          <t>SKÅNE LÄN</t>
        </is>
      </c>
      <c r="E2844" t="inlineStr">
        <is>
          <t>KRISTIANSTAD</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21424-2022</t>
        </is>
      </c>
      <c r="B2845" s="1" t="n">
        <v>44706</v>
      </c>
      <c r="C2845" s="1" t="n">
        <v>45744</v>
      </c>
      <c r="D2845" t="inlineStr">
        <is>
          <t>SKÅNE LÄN</t>
        </is>
      </c>
      <c r="E2845" t="inlineStr">
        <is>
          <t>SJÖBO</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21426-2022</t>
        </is>
      </c>
      <c r="B2846" s="1" t="n">
        <v>44706</v>
      </c>
      <c r="C2846" s="1" t="n">
        <v>45744</v>
      </c>
      <c r="D2846" t="inlineStr">
        <is>
          <t>SKÅNE LÄN</t>
        </is>
      </c>
      <c r="E2846" t="inlineStr">
        <is>
          <t>SJÖBO</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21425-2022</t>
        </is>
      </c>
      <c r="B2847" s="1" t="n">
        <v>44706</v>
      </c>
      <c r="C2847" s="1" t="n">
        <v>45744</v>
      </c>
      <c r="D2847" t="inlineStr">
        <is>
          <t>SKÅNE LÄN</t>
        </is>
      </c>
      <c r="E2847" t="inlineStr">
        <is>
          <t>SJÖBO</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21423-2022</t>
        </is>
      </c>
      <c r="B2848" s="1" t="n">
        <v>44706</v>
      </c>
      <c r="C2848" s="1" t="n">
        <v>45744</v>
      </c>
      <c r="D2848" t="inlineStr">
        <is>
          <t>SKÅNE LÄN</t>
        </is>
      </c>
      <c r="E2848" t="inlineStr">
        <is>
          <t>SJÖBO</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21628-2022</t>
        </is>
      </c>
      <c r="B2849" s="1" t="n">
        <v>44706</v>
      </c>
      <c r="C2849" s="1" t="n">
        <v>45744</v>
      </c>
      <c r="D2849" t="inlineStr">
        <is>
          <t>SKÅNE LÄN</t>
        </is>
      </c>
      <c r="E2849" t="inlineStr">
        <is>
          <t>HÄSSLEHOLM</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22029-2022</t>
        </is>
      </c>
      <c r="B2850" s="1" t="n">
        <v>44711</v>
      </c>
      <c r="C2850" s="1" t="n">
        <v>45744</v>
      </c>
      <c r="D2850" t="inlineStr">
        <is>
          <t>SKÅNE LÄN</t>
        </is>
      </c>
      <c r="E2850" t="inlineStr">
        <is>
          <t>OSBY</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22256-2022</t>
        </is>
      </c>
      <c r="B2851" s="1" t="n">
        <v>44712</v>
      </c>
      <c r="C2851" s="1" t="n">
        <v>45744</v>
      </c>
      <c r="D2851" t="inlineStr">
        <is>
          <t>SKÅNE LÄN</t>
        </is>
      </c>
      <c r="E2851" t="inlineStr">
        <is>
          <t>BJUV</t>
        </is>
      </c>
      <c r="G2851" t="n">
        <v>11.2</v>
      </c>
      <c r="H2851" t="n">
        <v>0</v>
      </c>
      <c r="I2851" t="n">
        <v>0</v>
      </c>
      <c r="J2851" t="n">
        <v>0</v>
      </c>
      <c r="K2851" t="n">
        <v>0</v>
      </c>
      <c r="L2851" t="n">
        <v>0</v>
      </c>
      <c r="M2851" t="n">
        <v>0</v>
      </c>
      <c r="N2851" t="n">
        <v>0</v>
      </c>
      <c r="O2851" t="n">
        <v>0</v>
      </c>
      <c r="P2851" t="n">
        <v>0</v>
      </c>
      <c r="Q2851" t="n">
        <v>0</v>
      </c>
      <c r="R2851" s="2" t="inlineStr"/>
    </row>
    <row r="2852" ht="15" customHeight="1">
      <c r="A2852" t="inlineStr">
        <is>
          <t>A 22292-2022</t>
        </is>
      </c>
      <c r="B2852" s="1" t="n">
        <v>44712</v>
      </c>
      <c r="C2852" s="1" t="n">
        <v>45744</v>
      </c>
      <c r="D2852" t="inlineStr">
        <is>
          <t>SKÅNE LÄN</t>
        </is>
      </c>
      <c r="E2852" t="inlineStr">
        <is>
          <t>KRISTIANSTAD</t>
        </is>
      </c>
      <c r="F2852" t="inlineStr">
        <is>
          <t>Övriga Aktiebolag</t>
        </is>
      </c>
      <c r="G2852" t="n">
        <v>19.5</v>
      </c>
      <c r="H2852" t="n">
        <v>0</v>
      </c>
      <c r="I2852" t="n">
        <v>0</v>
      </c>
      <c r="J2852" t="n">
        <v>0</v>
      </c>
      <c r="K2852" t="n">
        <v>0</v>
      </c>
      <c r="L2852" t="n">
        <v>0</v>
      </c>
      <c r="M2852" t="n">
        <v>0</v>
      </c>
      <c r="N2852" t="n">
        <v>0</v>
      </c>
      <c r="O2852" t="n">
        <v>0</v>
      </c>
      <c r="P2852" t="n">
        <v>0</v>
      </c>
      <c r="Q2852" t="n">
        <v>0</v>
      </c>
      <c r="R2852" s="2" t="inlineStr"/>
    </row>
    <row r="2853" ht="15" customHeight="1">
      <c r="A2853" t="inlineStr">
        <is>
          <t>A 22293-2022</t>
        </is>
      </c>
      <c r="B2853" s="1" t="n">
        <v>44712</v>
      </c>
      <c r="C2853" s="1" t="n">
        <v>45744</v>
      </c>
      <c r="D2853" t="inlineStr">
        <is>
          <t>SKÅNE LÄN</t>
        </is>
      </c>
      <c r="E2853" t="inlineStr">
        <is>
          <t>BJUV</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22406-2022</t>
        </is>
      </c>
      <c r="B2854" s="1" t="n">
        <v>44713</v>
      </c>
      <c r="C2854" s="1" t="n">
        <v>45744</v>
      </c>
      <c r="D2854" t="inlineStr">
        <is>
          <t>SKÅNE LÄN</t>
        </is>
      </c>
      <c r="E2854" t="inlineStr">
        <is>
          <t>SJÖBO</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22392-2022</t>
        </is>
      </c>
      <c r="B2855" s="1" t="n">
        <v>44713</v>
      </c>
      <c r="C2855" s="1" t="n">
        <v>45744</v>
      </c>
      <c r="D2855" t="inlineStr">
        <is>
          <t>SKÅNE LÄN</t>
        </is>
      </c>
      <c r="E2855" t="inlineStr">
        <is>
          <t>HÖÖR</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22548-2022</t>
        </is>
      </c>
      <c r="B2856" s="1" t="n">
        <v>44714</v>
      </c>
      <c r="C2856" s="1" t="n">
        <v>45744</v>
      </c>
      <c r="D2856" t="inlineStr">
        <is>
          <t>SKÅNE LÄN</t>
        </is>
      </c>
      <c r="E2856" t="inlineStr">
        <is>
          <t>KRISTIANSTAD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22504-2022</t>
        </is>
      </c>
      <c r="B2857" s="1" t="n">
        <v>44713</v>
      </c>
      <c r="C2857" s="1" t="n">
        <v>45744</v>
      </c>
      <c r="D2857" t="inlineStr">
        <is>
          <t>SKÅNE LÄN</t>
        </is>
      </c>
      <c r="E2857" t="inlineStr">
        <is>
          <t>KRISTIANSTAD</t>
        </is>
      </c>
      <c r="F2857" t="inlineStr">
        <is>
          <t>Övriga Aktiebolag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22693-2022</t>
        </is>
      </c>
      <c r="B2858" s="1" t="n">
        <v>44714</v>
      </c>
      <c r="C2858" s="1" t="n">
        <v>45744</v>
      </c>
      <c r="D2858" t="inlineStr">
        <is>
          <t>SKÅNE LÄN</t>
        </is>
      </c>
      <c r="E2858" t="inlineStr">
        <is>
          <t>HÄSSLEHOLM</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22690-2022</t>
        </is>
      </c>
      <c r="B2859" s="1" t="n">
        <v>44714</v>
      </c>
      <c r="C2859" s="1" t="n">
        <v>45744</v>
      </c>
      <c r="D2859" t="inlineStr">
        <is>
          <t>SKÅNE LÄN</t>
        </is>
      </c>
      <c r="E2859" t="inlineStr">
        <is>
          <t>HÄSSLEHOLM</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23069-2022</t>
        </is>
      </c>
      <c r="B2860" s="1" t="n">
        <v>44719</v>
      </c>
      <c r="C2860" s="1" t="n">
        <v>45744</v>
      </c>
      <c r="D2860" t="inlineStr">
        <is>
          <t>SKÅNE LÄN</t>
        </is>
      </c>
      <c r="E2860" t="inlineStr">
        <is>
          <t>HÄSSLEHOLM</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23172-2022</t>
        </is>
      </c>
      <c r="B2861" s="1" t="n">
        <v>44719</v>
      </c>
      <c r="C2861" s="1" t="n">
        <v>45744</v>
      </c>
      <c r="D2861" t="inlineStr">
        <is>
          <t>SKÅNE LÄN</t>
        </is>
      </c>
      <c r="E2861" t="inlineStr">
        <is>
          <t>HÄSSLEHOLM</t>
        </is>
      </c>
      <c r="F2861" t="inlineStr">
        <is>
          <t>Övriga Aktiebolag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23173-2022</t>
        </is>
      </c>
      <c r="B2862" s="1" t="n">
        <v>44719</v>
      </c>
      <c r="C2862" s="1" t="n">
        <v>45744</v>
      </c>
      <c r="D2862" t="inlineStr">
        <is>
          <t>SKÅNE LÄN</t>
        </is>
      </c>
      <c r="E2862" t="inlineStr">
        <is>
          <t>HÄSSLEHOLM</t>
        </is>
      </c>
      <c r="F2862" t="inlineStr">
        <is>
          <t>Övriga Aktiebolag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23328-2022</t>
        </is>
      </c>
      <c r="B2863" s="1" t="n">
        <v>44720</v>
      </c>
      <c r="C2863" s="1" t="n">
        <v>45744</v>
      </c>
      <c r="D2863" t="inlineStr">
        <is>
          <t>SKÅNE LÄN</t>
        </is>
      </c>
      <c r="E2863" t="inlineStr">
        <is>
          <t>ÄNGELHOLM</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23287-2022</t>
        </is>
      </c>
      <c r="B2864" s="1" t="n">
        <v>44720</v>
      </c>
      <c r="C2864" s="1" t="n">
        <v>45744</v>
      </c>
      <c r="D2864" t="inlineStr">
        <is>
          <t>SKÅNE LÄN</t>
        </is>
      </c>
      <c r="E2864" t="inlineStr">
        <is>
          <t>SIMRISHAMN</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23310-2022</t>
        </is>
      </c>
      <c r="B2865" s="1" t="n">
        <v>44720</v>
      </c>
      <c r="C2865" s="1" t="n">
        <v>45744</v>
      </c>
      <c r="D2865" t="inlineStr">
        <is>
          <t>SKÅNE LÄN</t>
        </is>
      </c>
      <c r="E2865" t="inlineStr">
        <is>
          <t>TOMELILLA</t>
        </is>
      </c>
      <c r="F2865" t="inlineStr">
        <is>
          <t>Övriga Aktiebolag</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23412-2022</t>
        </is>
      </c>
      <c r="B2866" s="1" t="n">
        <v>44720</v>
      </c>
      <c r="C2866" s="1" t="n">
        <v>45744</v>
      </c>
      <c r="D2866" t="inlineStr">
        <is>
          <t>SKÅNE LÄN</t>
        </is>
      </c>
      <c r="E2866" t="inlineStr">
        <is>
          <t>KRISTIANSTAD</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23288-2022</t>
        </is>
      </c>
      <c r="B2867" s="1" t="n">
        <v>44720</v>
      </c>
      <c r="C2867" s="1" t="n">
        <v>45744</v>
      </c>
      <c r="D2867" t="inlineStr">
        <is>
          <t>SKÅNE LÄN</t>
        </is>
      </c>
      <c r="E2867" t="inlineStr">
        <is>
          <t>SIMRISHAMN</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23457-2022</t>
        </is>
      </c>
      <c r="B2868" s="1" t="n">
        <v>44721</v>
      </c>
      <c r="C2868" s="1" t="n">
        <v>45744</v>
      </c>
      <c r="D2868" t="inlineStr">
        <is>
          <t>SKÅNE LÄN</t>
        </is>
      </c>
      <c r="E2868" t="inlineStr">
        <is>
          <t>KRISTIANSTAD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23461-2022</t>
        </is>
      </c>
      <c r="B2869" s="1" t="n">
        <v>44721</v>
      </c>
      <c r="C2869" s="1" t="n">
        <v>45744</v>
      </c>
      <c r="D2869" t="inlineStr">
        <is>
          <t>SKÅNE LÄN</t>
        </is>
      </c>
      <c r="E2869" t="inlineStr">
        <is>
          <t>TOMELILLA</t>
        </is>
      </c>
      <c r="F2869" t="inlineStr">
        <is>
          <t>Övriga Aktiebolag</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23601-2022</t>
        </is>
      </c>
      <c r="B2870" s="1" t="n">
        <v>44721</v>
      </c>
      <c r="C2870" s="1" t="n">
        <v>45744</v>
      </c>
      <c r="D2870" t="inlineStr">
        <is>
          <t>SKÅNE LÄN</t>
        </is>
      </c>
      <c r="E2870" t="inlineStr">
        <is>
          <t>OSBY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23657-2022</t>
        </is>
      </c>
      <c r="B2871" s="1" t="n">
        <v>44721</v>
      </c>
      <c r="C2871" s="1" t="n">
        <v>45744</v>
      </c>
      <c r="D2871" t="inlineStr">
        <is>
          <t>SKÅNE LÄN</t>
        </is>
      </c>
      <c r="E2871" t="inlineStr">
        <is>
          <t>BJUV</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23733-2022</t>
        </is>
      </c>
      <c r="B2872" s="1" t="n">
        <v>44722</v>
      </c>
      <c r="C2872" s="1" t="n">
        <v>45744</v>
      </c>
      <c r="D2872" t="inlineStr">
        <is>
          <t>SKÅNE LÄN</t>
        </is>
      </c>
      <c r="E2872" t="inlineStr">
        <is>
          <t>ESLÖV</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23967-2022</t>
        </is>
      </c>
      <c r="B2873" s="1" t="n">
        <v>44722</v>
      </c>
      <c r="C2873" s="1" t="n">
        <v>45744</v>
      </c>
      <c r="D2873" t="inlineStr">
        <is>
          <t>SKÅNE LÄN</t>
        </is>
      </c>
      <c r="E2873" t="inlineStr">
        <is>
          <t>HÄSSLEHOLM</t>
        </is>
      </c>
      <c r="F2873" t="inlineStr">
        <is>
          <t>Kyrkan</t>
        </is>
      </c>
      <c r="G2873" t="n">
        <v>12.4</v>
      </c>
      <c r="H2873" t="n">
        <v>0</v>
      </c>
      <c r="I2873" t="n">
        <v>0</v>
      </c>
      <c r="J2873" t="n">
        <v>0</v>
      </c>
      <c r="K2873" t="n">
        <v>0</v>
      </c>
      <c r="L2873" t="n">
        <v>0</v>
      </c>
      <c r="M2873" t="n">
        <v>0</v>
      </c>
      <c r="N2873" t="n">
        <v>0</v>
      </c>
      <c r="O2873" t="n">
        <v>0</v>
      </c>
      <c r="P2873" t="n">
        <v>0</v>
      </c>
      <c r="Q2873" t="n">
        <v>0</v>
      </c>
      <c r="R2873" s="2" t="inlineStr"/>
    </row>
    <row r="2874" ht="15" customHeight="1">
      <c r="A2874" t="inlineStr">
        <is>
          <t>A 23874-2022</t>
        </is>
      </c>
      <c r="B2874" s="1" t="n">
        <v>44722</v>
      </c>
      <c r="C2874" s="1" t="n">
        <v>45744</v>
      </c>
      <c r="D2874" t="inlineStr">
        <is>
          <t>SKÅNE LÄN</t>
        </is>
      </c>
      <c r="E2874" t="inlineStr">
        <is>
          <t>KLIPPAN</t>
        </is>
      </c>
      <c r="G2874" t="n">
        <v>7.8</v>
      </c>
      <c r="H2874" t="n">
        <v>0</v>
      </c>
      <c r="I2874" t="n">
        <v>0</v>
      </c>
      <c r="J2874" t="n">
        <v>0</v>
      </c>
      <c r="K2874" t="n">
        <v>0</v>
      </c>
      <c r="L2874" t="n">
        <v>0</v>
      </c>
      <c r="M2874" t="n">
        <v>0</v>
      </c>
      <c r="N2874" t="n">
        <v>0</v>
      </c>
      <c r="O2874" t="n">
        <v>0</v>
      </c>
      <c r="P2874" t="n">
        <v>0</v>
      </c>
      <c r="Q2874" t="n">
        <v>0</v>
      </c>
      <c r="R2874" s="2" t="inlineStr"/>
    </row>
    <row r="2875" ht="15" customHeight="1">
      <c r="A2875" t="inlineStr">
        <is>
          <t>A 23962-2022</t>
        </is>
      </c>
      <c r="B2875" s="1" t="n">
        <v>44722</v>
      </c>
      <c r="C2875" s="1" t="n">
        <v>45744</v>
      </c>
      <c r="D2875" t="inlineStr">
        <is>
          <t>SKÅNE LÄN</t>
        </is>
      </c>
      <c r="E2875" t="inlineStr">
        <is>
          <t>HÄSSLEHOLM</t>
        </is>
      </c>
      <c r="F2875" t="inlineStr">
        <is>
          <t>Kyrkan</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23879-2022</t>
        </is>
      </c>
      <c r="B2876" s="1" t="n">
        <v>44722</v>
      </c>
      <c r="C2876" s="1" t="n">
        <v>45744</v>
      </c>
      <c r="D2876" t="inlineStr">
        <is>
          <t>SKÅNE LÄN</t>
        </is>
      </c>
      <c r="E2876" t="inlineStr">
        <is>
          <t>HÄSSLEHOLM</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23978-2022</t>
        </is>
      </c>
      <c r="B2877" s="1" t="n">
        <v>44722</v>
      </c>
      <c r="C2877" s="1" t="n">
        <v>45744</v>
      </c>
      <c r="D2877" t="inlineStr">
        <is>
          <t>SKÅNE LÄN</t>
        </is>
      </c>
      <c r="E2877" t="inlineStr">
        <is>
          <t>KLIPPAN</t>
        </is>
      </c>
      <c r="G2877" t="n">
        <v>9.699999999999999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24028-2022</t>
        </is>
      </c>
      <c r="B2878" s="1" t="n">
        <v>44723</v>
      </c>
      <c r="C2878" s="1" t="n">
        <v>45744</v>
      </c>
      <c r="D2878" t="inlineStr">
        <is>
          <t>SKÅNE LÄN</t>
        </is>
      </c>
      <c r="E2878" t="inlineStr">
        <is>
          <t>ÖSTRA GÖINGE</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24027-2022</t>
        </is>
      </c>
      <c r="B2879" s="1" t="n">
        <v>44723</v>
      </c>
      <c r="C2879" s="1" t="n">
        <v>45744</v>
      </c>
      <c r="D2879" t="inlineStr">
        <is>
          <t>SKÅNE LÄN</t>
        </is>
      </c>
      <c r="E2879" t="inlineStr">
        <is>
          <t>ÖSTRA GÖINGE</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24233-2022</t>
        </is>
      </c>
      <c r="B2880" s="1" t="n">
        <v>44725</v>
      </c>
      <c r="C2880" s="1" t="n">
        <v>45744</v>
      </c>
      <c r="D2880" t="inlineStr">
        <is>
          <t>SKÅNE LÄN</t>
        </is>
      </c>
      <c r="E2880" t="inlineStr">
        <is>
          <t>ÄNGELHOLM</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24227-2022</t>
        </is>
      </c>
      <c r="B2881" s="1" t="n">
        <v>44725</v>
      </c>
      <c r="C2881" s="1" t="n">
        <v>45744</v>
      </c>
      <c r="D2881" t="inlineStr">
        <is>
          <t>SKÅNE LÄN</t>
        </is>
      </c>
      <c r="E2881" t="inlineStr">
        <is>
          <t>HELSINGBORG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24415-2022</t>
        </is>
      </c>
      <c r="B2882" s="1" t="n">
        <v>44725</v>
      </c>
      <c r="C2882" s="1" t="n">
        <v>45744</v>
      </c>
      <c r="D2882" t="inlineStr">
        <is>
          <t>SKÅNE LÄN</t>
        </is>
      </c>
      <c r="E2882" t="inlineStr">
        <is>
          <t>KRISTIANSTAD</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24115-2022</t>
        </is>
      </c>
      <c r="B2883" s="1" t="n">
        <v>44725</v>
      </c>
      <c r="C2883" s="1" t="n">
        <v>45744</v>
      </c>
      <c r="D2883" t="inlineStr">
        <is>
          <t>SKÅNE LÄN</t>
        </is>
      </c>
      <c r="E2883" t="inlineStr">
        <is>
          <t>ESLÖV</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24333-2022</t>
        </is>
      </c>
      <c r="B2884" s="1" t="n">
        <v>44726</v>
      </c>
      <c r="C2884" s="1" t="n">
        <v>45744</v>
      </c>
      <c r="D2884" t="inlineStr">
        <is>
          <t>SKÅNE LÄN</t>
        </is>
      </c>
      <c r="E2884" t="inlineStr">
        <is>
          <t>KLIPPAN</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24547-2022</t>
        </is>
      </c>
      <c r="B2885" s="1" t="n">
        <v>44727</v>
      </c>
      <c r="C2885" s="1" t="n">
        <v>45744</v>
      </c>
      <c r="D2885" t="inlineStr">
        <is>
          <t>SKÅNE LÄN</t>
        </is>
      </c>
      <c r="E2885" t="inlineStr">
        <is>
          <t>ÖSTRA GÖINGE</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24634-2022</t>
        </is>
      </c>
      <c r="B2886" s="1" t="n">
        <v>44727</v>
      </c>
      <c r="C2886" s="1" t="n">
        <v>45744</v>
      </c>
      <c r="D2886" t="inlineStr">
        <is>
          <t>SKÅNE LÄN</t>
        </is>
      </c>
      <c r="E2886" t="inlineStr">
        <is>
          <t>ÖSTRA GÖINGE</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24683-2022</t>
        </is>
      </c>
      <c r="B2887" s="1" t="n">
        <v>44727</v>
      </c>
      <c r="C2887" s="1" t="n">
        <v>45744</v>
      </c>
      <c r="D2887" t="inlineStr">
        <is>
          <t>SKÅNE LÄN</t>
        </is>
      </c>
      <c r="E2887" t="inlineStr">
        <is>
          <t>KLIPPAN</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24896-2022</t>
        </is>
      </c>
      <c r="B2888" s="1" t="n">
        <v>44728</v>
      </c>
      <c r="C2888" s="1" t="n">
        <v>45744</v>
      </c>
      <c r="D2888" t="inlineStr">
        <is>
          <t>SKÅNE LÄN</t>
        </is>
      </c>
      <c r="E2888" t="inlineStr">
        <is>
          <t>HÄSSLEHOLM</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24906-2022</t>
        </is>
      </c>
      <c r="B2889" s="1" t="n">
        <v>44728</v>
      </c>
      <c r="C2889" s="1" t="n">
        <v>45744</v>
      </c>
      <c r="D2889" t="inlineStr">
        <is>
          <t>SKÅNE LÄN</t>
        </is>
      </c>
      <c r="E2889" t="inlineStr">
        <is>
          <t>HÄSSLEHOLM</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25046-2022</t>
        </is>
      </c>
      <c r="B2890" s="1" t="n">
        <v>44728</v>
      </c>
      <c r="C2890" s="1" t="n">
        <v>45744</v>
      </c>
      <c r="D2890" t="inlineStr">
        <is>
          <t>SKÅNE LÄN</t>
        </is>
      </c>
      <c r="E2890" t="inlineStr">
        <is>
          <t>HÄSSLEHOLM</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25165-2022</t>
        </is>
      </c>
      <c r="B2891" s="1" t="n">
        <v>44729</v>
      </c>
      <c r="C2891" s="1" t="n">
        <v>45744</v>
      </c>
      <c r="D2891" t="inlineStr">
        <is>
          <t>SKÅNE LÄN</t>
        </is>
      </c>
      <c r="E2891" t="inlineStr">
        <is>
          <t>HÄSSLEHOLM</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25191-2022</t>
        </is>
      </c>
      <c r="B2892" s="1" t="n">
        <v>44729</v>
      </c>
      <c r="C2892" s="1" t="n">
        <v>45744</v>
      </c>
      <c r="D2892" t="inlineStr">
        <is>
          <t>SKÅNE LÄN</t>
        </is>
      </c>
      <c r="E2892" t="inlineStr">
        <is>
          <t>KRISTIANSTAD</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25249-2022</t>
        </is>
      </c>
      <c r="B2893" s="1" t="n">
        <v>44729</v>
      </c>
      <c r="C2893" s="1" t="n">
        <v>45744</v>
      </c>
      <c r="D2893" t="inlineStr">
        <is>
          <t>SKÅNE LÄN</t>
        </is>
      </c>
      <c r="E2893" t="inlineStr">
        <is>
          <t>KRISTIANSTAD</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25464-2022</t>
        </is>
      </c>
      <c r="B2894" s="1" t="n">
        <v>44729</v>
      </c>
      <c r="C2894" s="1" t="n">
        <v>45744</v>
      </c>
      <c r="D2894" t="inlineStr">
        <is>
          <t>SKÅNE LÄN</t>
        </is>
      </c>
      <c r="E2894" t="inlineStr">
        <is>
          <t>HÄSSLEHOLM</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25305-2022</t>
        </is>
      </c>
      <c r="B2895" s="1" t="n">
        <v>44731</v>
      </c>
      <c r="C2895" s="1" t="n">
        <v>45744</v>
      </c>
      <c r="D2895" t="inlineStr">
        <is>
          <t>SKÅNE LÄN</t>
        </is>
      </c>
      <c r="E2895" t="inlineStr">
        <is>
          <t>OSBY</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25351-2022</t>
        </is>
      </c>
      <c r="B2896" s="1" t="n">
        <v>44732</v>
      </c>
      <c r="C2896" s="1" t="n">
        <v>45744</v>
      </c>
      <c r="D2896" t="inlineStr">
        <is>
          <t>SKÅNE LÄN</t>
        </is>
      </c>
      <c r="E2896" t="inlineStr">
        <is>
          <t>ÅSTORP</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25450-2022</t>
        </is>
      </c>
      <c r="B2897" s="1" t="n">
        <v>44732</v>
      </c>
      <c r="C2897" s="1" t="n">
        <v>45744</v>
      </c>
      <c r="D2897" t="inlineStr">
        <is>
          <t>SKÅNE LÄN</t>
        </is>
      </c>
      <c r="E2897" t="inlineStr">
        <is>
          <t>KRISTIANSTAD</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25469-2022</t>
        </is>
      </c>
      <c r="B2898" s="1" t="n">
        <v>44732</v>
      </c>
      <c r="C2898" s="1" t="n">
        <v>45744</v>
      </c>
      <c r="D2898" t="inlineStr">
        <is>
          <t>SKÅNE LÄN</t>
        </is>
      </c>
      <c r="E2898" t="inlineStr">
        <is>
          <t>HÄSSLEHOLM</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25354-2022</t>
        </is>
      </c>
      <c r="B2899" s="1" t="n">
        <v>44732</v>
      </c>
      <c r="C2899" s="1" t="n">
        <v>45744</v>
      </c>
      <c r="D2899" t="inlineStr">
        <is>
          <t>SKÅNE LÄN</t>
        </is>
      </c>
      <c r="E2899" t="inlineStr">
        <is>
          <t>ÅSTORP</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25405-2022</t>
        </is>
      </c>
      <c r="B2900" s="1" t="n">
        <v>44732</v>
      </c>
      <c r="C2900" s="1" t="n">
        <v>45744</v>
      </c>
      <c r="D2900" t="inlineStr">
        <is>
          <t>SKÅNE LÄN</t>
        </is>
      </c>
      <c r="E2900" t="inlineStr">
        <is>
          <t>KLIPPAN</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25350-2022</t>
        </is>
      </c>
      <c r="B2901" s="1" t="n">
        <v>44732</v>
      </c>
      <c r="C2901" s="1" t="n">
        <v>45744</v>
      </c>
      <c r="D2901" t="inlineStr">
        <is>
          <t>SKÅNE LÄN</t>
        </is>
      </c>
      <c r="E2901" t="inlineStr">
        <is>
          <t>SVALÖV</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25353-2022</t>
        </is>
      </c>
      <c r="B2902" s="1" t="n">
        <v>44732</v>
      </c>
      <c r="C2902" s="1" t="n">
        <v>45744</v>
      </c>
      <c r="D2902" t="inlineStr">
        <is>
          <t>SKÅNE LÄN</t>
        </is>
      </c>
      <c r="E2902" t="inlineStr">
        <is>
          <t>ÅSTORP</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25834-2022</t>
        </is>
      </c>
      <c r="B2903" s="1" t="n">
        <v>44733</v>
      </c>
      <c r="C2903" s="1" t="n">
        <v>45744</v>
      </c>
      <c r="D2903" t="inlineStr">
        <is>
          <t>SKÅNE LÄN</t>
        </is>
      </c>
      <c r="E2903" t="inlineStr">
        <is>
          <t>SIMRISHAMN</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25850-2022</t>
        </is>
      </c>
      <c r="B2904" s="1" t="n">
        <v>44733</v>
      </c>
      <c r="C2904" s="1" t="n">
        <v>45744</v>
      </c>
      <c r="D2904" t="inlineStr">
        <is>
          <t>SKÅNE LÄN</t>
        </is>
      </c>
      <c r="E2904" t="inlineStr">
        <is>
          <t>HÖRBY</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25736-2022</t>
        </is>
      </c>
      <c r="B2905" s="1" t="n">
        <v>44733</v>
      </c>
      <c r="C2905" s="1" t="n">
        <v>45744</v>
      </c>
      <c r="D2905" t="inlineStr">
        <is>
          <t>SKÅNE LÄN</t>
        </is>
      </c>
      <c r="E2905" t="inlineStr">
        <is>
          <t>PERSTORP</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25816-2022</t>
        </is>
      </c>
      <c r="B2906" s="1" t="n">
        <v>44733</v>
      </c>
      <c r="C2906" s="1" t="n">
        <v>45744</v>
      </c>
      <c r="D2906" t="inlineStr">
        <is>
          <t>SKÅNE LÄN</t>
        </is>
      </c>
      <c r="E2906" t="inlineStr">
        <is>
          <t>SIMRISHAMN</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25822-2022</t>
        </is>
      </c>
      <c r="B2907" s="1" t="n">
        <v>44733</v>
      </c>
      <c r="C2907" s="1" t="n">
        <v>45744</v>
      </c>
      <c r="D2907" t="inlineStr">
        <is>
          <t>SKÅNE LÄN</t>
        </is>
      </c>
      <c r="E2907" t="inlineStr">
        <is>
          <t>SIMRISHAMN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25852-2022</t>
        </is>
      </c>
      <c r="B2908" s="1" t="n">
        <v>44733</v>
      </c>
      <c r="C2908" s="1" t="n">
        <v>45744</v>
      </c>
      <c r="D2908" t="inlineStr">
        <is>
          <t>SKÅNE LÄN</t>
        </is>
      </c>
      <c r="E2908" t="inlineStr">
        <is>
          <t>HÖRBY</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25934-2022</t>
        </is>
      </c>
      <c r="B2909" s="1" t="n">
        <v>44734</v>
      </c>
      <c r="C2909" s="1" t="n">
        <v>45744</v>
      </c>
      <c r="D2909" t="inlineStr">
        <is>
          <t>SKÅNE LÄN</t>
        </is>
      </c>
      <c r="E2909" t="inlineStr">
        <is>
          <t>HÖÖR</t>
        </is>
      </c>
      <c r="F2909" t="inlineStr">
        <is>
          <t>Övriga statliga verk och myndigheter</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25955-2022</t>
        </is>
      </c>
      <c r="B2910" s="1" t="n">
        <v>44734</v>
      </c>
      <c r="C2910" s="1" t="n">
        <v>45744</v>
      </c>
      <c r="D2910" t="inlineStr">
        <is>
          <t>SKÅNE LÄN</t>
        </is>
      </c>
      <c r="E2910" t="inlineStr">
        <is>
          <t>HÄSSLEHOLM</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26012-2022</t>
        </is>
      </c>
      <c r="B2911" s="1" t="n">
        <v>44734</v>
      </c>
      <c r="C2911" s="1" t="n">
        <v>45744</v>
      </c>
      <c r="D2911" t="inlineStr">
        <is>
          <t>SKÅNE LÄN</t>
        </is>
      </c>
      <c r="E2911" t="inlineStr">
        <is>
          <t>HÄSSLEHOLM</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26033-2022</t>
        </is>
      </c>
      <c r="B2912" s="1" t="n">
        <v>44734</v>
      </c>
      <c r="C2912" s="1" t="n">
        <v>45744</v>
      </c>
      <c r="D2912" t="inlineStr">
        <is>
          <t>SKÅNE LÄN</t>
        </is>
      </c>
      <c r="E2912" t="inlineStr">
        <is>
          <t>HÖÖR</t>
        </is>
      </c>
      <c r="F2912" t="inlineStr">
        <is>
          <t>Övriga statliga verk och myndigheter</t>
        </is>
      </c>
      <c r="G2912" t="n">
        <v>9.300000000000001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26386-2022</t>
        </is>
      </c>
      <c r="B2913" s="1" t="n">
        <v>44735</v>
      </c>
      <c r="C2913" s="1" t="n">
        <v>45744</v>
      </c>
      <c r="D2913" t="inlineStr">
        <is>
          <t>SKÅNE LÄN</t>
        </is>
      </c>
      <c r="E2913" t="inlineStr">
        <is>
          <t>HÄSSLEHOLM</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26387-2022</t>
        </is>
      </c>
      <c r="B2914" s="1" t="n">
        <v>44735</v>
      </c>
      <c r="C2914" s="1" t="n">
        <v>45744</v>
      </c>
      <c r="D2914" t="inlineStr">
        <is>
          <t>SKÅNE LÄN</t>
        </is>
      </c>
      <c r="E2914" t="inlineStr">
        <is>
          <t>HÄSSLEHOLM</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26536-2022</t>
        </is>
      </c>
      <c r="B2915" s="1" t="n">
        <v>44739</v>
      </c>
      <c r="C2915" s="1" t="n">
        <v>45744</v>
      </c>
      <c r="D2915" t="inlineStr">
        <is>
          <t>SKÅNE LÄN</t>
        </is>
      </c>
      <c r="E2915" t="inlineStr">
        <is>
          <t>HÄSSLEHOLM</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26501-2022</t>
        </is>
      </c>
      <c r="B2916" s="1" t="n">
        <v>44739</v>
      </c>
      <c r="C2916" s="1" t="n">
        <v>45744</v>
      </c>
      <c r="D2916" t="inlineStr">
        <is>
          <t>SKÅNE LÄN</t>
        </is>
      </c>
      <c r="E2916" t="inlineStr">
        <is>
          <t>PERSTORP</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26551-2022</t>
        </is>
      </c>
      <c r="B2917" s="1" t="n">
        <v>44739</v>
      </c>
      <c r="C2917" s="1" t="n">
        <v>45744</v>
      </c>
      <c r="D2917" t="inlineStr">
        <is>
          <t>SKÅNE LÄN</t>
        </is>
      </c>
      <c r="E2917" t="inlineStr">
        <is>
          <t>KRISTIANSTAD</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26721-2022</t>
        </is>
      </c>
      <c r="B2918" s="1" t="n">
        <v>44740</v>
      </c>
      <c r="C2918" s="1" t="n">
        <v>45744</v>
      </c>
      <c r="D2918" t="inlineStr">
        <is>
          <t>SKÅNE LÄN</t>
        </is>
      </c>
      <c r="E2918" t="inlineStr">
        <is>
          <t>ÖSTRA GÖINGE</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26720-2022</t>
        </is>
      </c>
      <c r="B2919" s="1" t="n">
        <v>44740</v>
      </c>
      <c r="C2919" s="1" t="n">
        <v>45744</v>
      </c>
      <c r="D2919" t="inlineStr">
        <is>
          <t>SKÅNE LÄN</t>
        </is>
      </c>
      <c r="E2919" t="inlineStr">
        <is>
          <t>ÖSTRA GÖINGE</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26837-2022</t>
        </is>
      </c>
      <c r="B2920" s="1" t="n">
        <v>44740</v>
      </c>
      <c r="C2920" s="1" t="n">
        <v>45744</v>
      </c>
      <c r="D2920" t="inlineStr">
        <is>
          <t>SKÅNE LÄN</t>
        </is>
      </c>
      <c r="E2920" t="inlineStr">
        <is>
          <t>ÖRKELLJUNGA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26845-2022</t>
        </is>
      </c>
      <c r="B2921" s="1" t="n">
        <v>44740</v>
      </c>
      <c r="C2921" s="1" t="n">
        <v>45744</v>
      </c>
      <c r="D2921" t="inlineStr">
        <is>
          <t>SKÅNE LÄN</t>
        </is>
      </c>
      <c r="E2921" t="inlineStr">
        <is>
          <t>OSBY</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26857-2022</t>
        </is>
      </c>
      <c r="B2922" s="1" t="n">
        <v>44740</v>
      </c>
      <c r="C2922" s="1" t="n">
        <v>45744</v>
      </c>
      <c r="D2922" t="inlineStr">
        <is>
          <t>SKÅNE LÄN</t>
        </is>
      </c>
      <c r="E2922" t="inlineStr">
        <is>
          <t>KRISTIANSTAD</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26946-2022</t>
        </is>
      </c>
      <c r="B2923" s="1" t="n">
        <v>44740</v>
      </c>
      <c r="C2923" s="1" t="n">
        <v>45744</v>
      </c>
      <c r="D2923" t="inlineStr">
        <is>
          <t>SKÅNE LÄN</t>
        </is>
      </c>
      <c r="E2923" t="inlineStr">
        <is>
          <t>OSBY</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27154-2022</t>
        </is>
      </c>
      <c r="B2924" s="1" t="n">
        <v>44741</v>
      </c>
      <c r="C2924" s="1" t="n">
        <v>45744</v>
      </c>
      <c r="D2924" t="inlineStr">
        <is>
          <t>SKÅNE LÄN</t>
        </is>
      </c>
      <c r="E2924" t="inlineStr">
        <is>
          <t>ESLÖV</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27112-2022</t>
        </is>
      </c>
      <c r="B2925" s="1" t="n">
        <v>44741</v>
      </c>
      <c r="C2925" s="1" t="n">
        <v>45744</v>
      </c>
      <c r="D2925" t="inlineStr">
        <is>
          <t>SKÅNE LÄN</t>
        </is>
      </c>
      <c r="E2925" t="inlineStr">
        <is>
          <t>SVEDALA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27113-2022</t>
        </is>
      </c>
      <c r="B2926" s="1" t="n">
        <v>44741</v>
      </c>
      <c r="C2926" s="1" t="n">
        <v>45744</v>
      </c>
      <c r="D2926" t="inlineStr">
        <is>
          <t>SKÅNE LÄN</t>
        </is>
      </c>
      <c r="E2926" t="inlineStr">
        <is>
          <t>SVEDALA</t>
        </is>
      </c>
      <c r="G2926" t="n">
        <v>8.9</v>
      </c>
      <c r="H2926" t="n">
        <v>0</v>
      </c>
      <c r="I2926" t="n">
        <v>0</v>
      </c>
      <c r="J2926" t="n">
        <v>0</v>
      </c>
      <c r="K2926" t="n">
        <v>0</v>
      </c>
      <c r="L2926" t="n">
        <v>0</v>
      </c>
      <c r="M2926" t="n">
        <v>0</v>
      </c>
      <c r="N2926" t="n">
        <v>0</v>
      </c>
      <c r="O2926" t="n">
        <v>0</v>
      </c>
      <c r="P2926" t="n">
        <v>0</v>
      </c>
      <c r="Q2926" t="n">
        <v>0</v>
      </c>
      <c r="R2926" s="2" t="inlineStr"/>
    </row>
    <row r="2927" ht="15" customHeight="1">
      <c r="A2927" t="inlineStr">
        <is>
          <t>A 27140-2022</t>
        </is>
      </c>
      <c r="B2927" s="1" t="n">
        <v>44741</v>
      </c>
      <c r="C2927" s="1" t="n">
        <v>45744</v>
      </c>
      <c r="D2927" t="inlineStr">
        <is>
          <t>SKÅNE LÄN</t>
        </is>
      </c>
      <c r="E2927" t="inlineStr">
        <is>
          <t>ESLÖV</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27107-2022</t>
        </is>
      </c>
      <c r="B2928" s="1" t="n">
        <v>44741</v>
      </c>
      <c r="C2928" s="1" t="n">
        <v>45744</v>
      </c>
      <c r="D2928" t="inlineStr">
        <is>
          <t>SKÅNE LÄN</t>
        </is>
      </c>
      <c r="E2928" t="inlineStr">
        <is>
          <t>SVEDALA</t>
        </is>
      </c>
      <c r="G2928" t="n">
        <v>10</v>
      </c>
      <c r="H2928" t="n">
        <v>0</v>
      </c>
      <c r="I2928" t="n">
        <v>0</v>
      </c>
      <c r="J2928" t="n">
        <v>0</v>
      </c>
      <c r="K2928" t="n">
        <v>0</v>
      </c>
      <c r="L2928" t="n">
        <v>0</v>
      </c>
      <c r="M2928" t="n">
        <v>0</v>
      </c>
      <c r="N2928" t="n">
        <v>0</v>
      </c>
      <c r="O2928" t="n">
        <v>0</v>
      </c>
      <c r="P2928" t="n">
        <v>0</v>
      </c>
      <c r="Q2928" t="n">
        <v>0</v>
      </c>
      <c r="R2928" s="2" t="inlineStr"/>
    </row>
    <row r="2929" ht="15" customHeight="1">
      <c r="A2929" t="inlineStr">
        <is>
          <t>A 27233-2022</t>
        </is>
      </c>
      <c r="B2929" s="1" t="n">
        <v>44741</v>
      </c>
      <c r="C2929" s="1" t="n">
        <v>45744</v>
      </c>
      <c r="D2929" t="inlineStr">
        <is>
          <t>SKÅNE LÄN</t>
        </is>
      </c>
      <c r="E2929" t="inlineStr">
        <is>
          <t>HÖÖR</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27242-2022</t>
        </is>
      </c>
      <c r="B2930" s="1" t="n">
        <v>44741</v>
      </c>
      <c r="C2930" s="1" t="n">
        <v>45744</v>
      </c>
      <c r="D2930" t="inlineStr">
        <is>
          <t>SKÅNE LÄN</t>
        </is>
      </c>
      <c r="E2930" t="inlineStr">
        <is>
          <t>HÄSSLEHOLM</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27219-2022</t>
        </is>
      </c>
      <c r="B2931" s="1" t="n">
        <v>44741</v>
      </c>
      <c r="C2931" s="1" t="n">
        <v>45744</v>
      </c>
      <c r="D2931" t="inlineStr">
        <is>
          <t>SKÅNE LÄN</t>
        </is>
      </c>
      <c r="E2931" t="inlineStr">
        <is>
          <t>HÖÖR</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27244-2022</t>
        </is>
      </c>
      <c r="B2932" s="1" t="n">
        <v>44741</v>
      </c>
      <c r="C2932" s="1" t="n">
        <v>45744</v>
      </c>
      <c r="D2932" t="inlineStr">
        <is>
          <t>SKÅNE LÄN</t>
        </is>
      </c>
      <c r="E2932" t="inlineStr">
        <is>
          <t>HÄSSLEHOLM</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27318-2022</t>
        </is>
      </c>
      <c r="B2933" s="1" t="n">
        <v>44742</v>
      </c>
      <c r="C2933" s="1" t="n">
        <v>45744</v>
      </c>
      <c r="D2933" t="inlineStr">
        <is>
          <t>SKÅNE LÄN</t>
        </is>
      </c>
      <c r="E2933" t="inlineStr">
        <is>
          <t>ÖSTRA GÖINGE</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27378-2022</t>
        </is>
      </c>
      <c r="B2934" s="1" t="n">
        <v>44742</v>
      </c>
      <c r="C2934" s="1" t="n">
        <v>45744</v>
      </c>
      <c r="D2934" t="inlineStr">
        <is>
          <t>SKÅNE LÄN</t>
        </is>
      </c>
      <c r="E2934" t="inlineStr">
        <is>
          <t>OSBY</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27452-2022</t>
        </is>
      </c>
      <c r="B2935" s="1" t="n">
        <v>44742</v>
      </c>
      <c r="C2935" s="1" t="n">
        <v>45744</v>
      </c>
      <c r="D2935" t="inlineStr">
        <is>
          <t>SKÅNE LÄN</t>
        </is>
      </c>
      <c r="E2935" t="inlineStr">
        <is>
          <t>HÄSSLEHOLM</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27476-2022</t>
        </is>
      </c>
      <c r="B2936" s="1" t="n">
        <v>44742</v>
      </c>
      <c r="C2936" s="1" t="n">
        <v>45744</v>
      </c>
      <c r="D2936" t="inlineStr">
        <is>
          <t>SKÅNE LÄN</t>
        </is>
      </c>
      <c r="E2936" t="inlineStr">
        <is>
          <t>KRISTIANSTAD</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27314-2022</t>
        </is>
      </c>
      <c r="B2937" s="1" t="n">
        <v>44742</v>
      </c>
      <c r="C2937" s="1" t="n">
        <v>45744</v>
      </c>
      <c r="D2937" t="inlineStr">
        <is>
          <t>SKÅNE LÄN</t>
        </is>
      </c>
      <c r="E2937" t="inlineStr">
        <is>
          <t>ÖSTRA GÖINGE</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27322-2022</t>
        </is>
      </c>
      <c r="B2938" s="1" t="n">
        <v>44742</v>
      </c>
      <c r="C2938" s="1" t="n">
        <v>45744</v>
      </c>
      <c r="D2938" t="inlineStr">
        <is>
          <t>SKÅNE LÄN</t>
        </is>
      </c>
      <c r="E2938" t="inlineStr">
        <is>
          <t>ÖSTRA GÖINGE</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27464-2022</t>
        </is>
      </c>
      <c r="B2939" s="1" t="n">
        <v>44742</v>
      </c>
      <c r="C2939" s="1" t="n">
        <v>45744</v>
      </c>
      <c r="D2939" t="inlineStr">
        <is>
          <t>SKÅNE LÄN</t>
        </is>
      </c>
      <c r="E2939" t="inlineStr">
        <is>
          <t>HÄSSLEHOLM</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27529-2022</t>
        </is>
      </c>
      <c r="B2940" s="1" t="n">
        <v>44742</v>
      </c>
      <c r="C2940" s="1" t="n">
        <v>45744</v>
      </c>
      <c r="D2940" t="inlineStr">
        <is>
          <t>SKÅNE LÄN</t>
        </is>
      </c>
      <c r="E2940" t="inlineStr">
        <is>
          <t>KRISTIANSTAD</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27758-2022</t>
        </is>
      </c>
      <c r="B2941" s="1" t="n">
        <v>44743</v>
      </c>
      <c r="C2941" s="1" t="n">
        <v>45744</v>
      </c>
      <c r="D2941" t="inlineStr">
        <is>
          <t>SKÅNE LÄN</t>
        </is>
      </c>
      <c r="E2941" t="inlineStr">
        <is>
          <t>OSBY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27956-2022</t>
        </is>
      </c>
      <c r="B2942" s="1" t="n">
        <v>44743</v>
      </c>
      <c r="C2942" s="1" t="n">
        <v>45744</v>
      </c>
      <c r="D2942" t="inlineStr">
        <is>
          <t>SKÅNE LÄN</t>
        </is>
      </c>
      <c r="E2942" t="inlineStr">
        <is>
          <t>KRISTIANSTAD</t>
        </is>
      </c>
      <c r="G2942" t="n">
        <v>14.1</v>
      </c>
      <c r="H2942" t="n">
        <v>0</v>
      </c>
      <c r="I2942" t="n">
        <v>0</v>
      </c>
      <c r="J2942" t="n">
        <v>0</v>
      </c>
      <c r="K2942" t="n">
        <v>0</v>
      </c>
      <c r="L2942" t="n">
        <v>0</v>
      </c>
      <c r="M2942" t="n">
        <v>0</v>
      </c>
      <c r="N2942" t="n">
        <v>0</v>
      </c>
      <c r="O2942" t="n">
        <v>0</v>
      </c>
      <c r="P2942" t="n">
        <v>0</v>
      </c>
      <c r="Q2942" t="n">
        <v>0</v>
      </c>
      <c r="R2942" s="2" t="inlineStr"/>
    </row>
    <row r="2943" ht="15" customHeight="1">
      <c r="A2943" t="inlineStr">
        <is>
          <t>A 27954-2022</t>
        </is>
      </c>
      <c r="B2943" s="1" t="n">
        <v>44743</v>
      </c>
      <c r="C2943" s="1" t="n">
        <v>45744</v>
      </c>
      <c r="D2943" t="inlineStr">
        <is>
          <t>SKÅNE LÄN</t>
        </is>
      </c>
      <c r="E2943" t="inlineStr">
        <is>
          <t>HÄSSLEHOLM</t>
        </is>
      </c>
      <c r="G2943" t="n">
        <v>9.4</v>
      </c>
      <c r="H2943" t="n">
        <v>0</v>
      </c>
      <c r="I2943" t="n">
        <v>0</v>
      </c>
      <c r="J2943" t="n">
        <v>0</v>
      </c>
      <c r="K2943" t="n">
        <v>0</v>
      </c>
      <c r="L2943" t="n">
        <v>0</v>
      </c>
      <c r="M2943" t="n">
        <v>0</v>
      </c>
      <c r="N2943" t="n">
        <v>0</v>
      </c>
      <c r="O2943" t="n">
        <v>0</v>
      </c>
      <c r="P2943" t="n">
        <v>0</v>
      </c>
      <c r="Q2943" t="n">
        <v>0</v>
      </c>
      <c r="R2943" s="2" t="inlineStr"/>
    </row>
    <row r="2944" ht="15" customHeight="1">
      <c r="A2944" t="inlineStr">
        <is>
          <t>A 27955-2022</t>
        </is>
      </c>
      <c r="B2944" s="1" t="n">
        <v>44743</v>
      </c>
      <c r="C2944" s="1" t="n">
        <v>45744</v>
      </c>
      <c r="D2944" t="inlineStr">
        <is>
          <t>SKÅNE LÄN</t>
        </is>
      </c>
      <c r="E2944" t="inlineStr">
        <is>
          <t>KRISTIANSTAD</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27953-2022</t>
        </is>
      </c>
      <c r="B2945" s="1" t="n">
        <v>44743</v>
      </c>
      <c r="C2945" s="1" t="n">
        <v>45744</v>
      </c>
      <c r="D2945" t="inlineStr">
        <is>
          <t>SKÅNE LÄN</t>
        </is>
      </c>
      <c r="E2945" t="inlineStr">
        <is>
          <t>KRISTIANSTAD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27957-2022</t>
        </is>
      </c>
      <c r="B2946" s="1" t="n">
        <v>44743</v>
      </c>
      <c r="C2946" s="1" t="n">
        <v>45744</v>
      </c>
      <c r="D2946" t="inlineStr">
        <is>
          <t>SKÅNE LÄN</t>
        </is>
      </c>
      <c r="E2946" t="inlineStr">
        <is>
          <t>KRISTIANSTAD</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27962-2022</t>
        </is>
      </c>
      <c r="B2947" s="1" t="n">
        <v>44744</v>
      </c>
      <c r="C2947" s="1" t="n">
        <v>45744</v>
      </c>
      <c r="D2947" t="inlineStr">
        <is>
          <t>SKÅNE LÄN</t>
        </is>
      </c>
      <c r="E2947" t="inlineStr">
        <is>
          <t>KRISTIANSTAD</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27961-2022</t>
        </is>
      </c>
      <c r="B2948" s="1" t="n">
        <v>44744</v>
      </c>
      <c r="C2948" s="1" t="n">
        <v>45744</v>
      </c>
      <c r="D2948" t="inlineStr">
        <is>
          <t>SKÅNE LÄN</t>
        </is>
      </c>
      <c r="E2948" t="inlineStr">
        <is>
          <t>KRISTIANSTAD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27959-2022</t>
        </is>
      </c>
      <c r="B2949" s="1" t="n">
        <v>44744</v>
      </c>
      <c r="C2949" s="1" t="n">
        <v>45744</v>
      </c>
      <c r="D2949" t="inlineStr">
        <is>
          <t>SKÅNE LÄN</t>
        </is>
      </c>
      <c r="E2949" t="inlineStr">
        <is>
          <t>HÄSSLEHOLM</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27960-2022</t>
        </is>
      </c>
      <c r="B2950" s="1" t="n">
        <v>44744</v>
      </c>
      <c r="C2950" s="1" t="n">
        <v>45744</v>
      </c>
      <c r="D2950" t="inlineStr">
        <is>
          <t>SKÅNE LÄN</t>
        </is>
      </c>
      <c r="E2950" t="inlineStr">
        <is>
          <t>KRISTIANSTAD</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28082-2022</t>
        </is>
      </c>
      <c r="B2951" s="1" t="n">
        <v>44746</v>
      </c>
      <c r="C2951" s="1" t="n">
        <v>45744</v>
      </c>
      <c r="D2951" t="inlineStr">
        <is>
          <t>SKÅNE LÄN</t>
        </is>
      </c>
      <c r="E2951" t="inlineStr">
        <is>
          <t>KRISTIANSTAD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28264-2022</t>
        </is>
      </c>
      <c r="B2952" s="1" t="n">
        <v>44746</v>
      </c>
      <c r="C2952" s="1" t="n">
        <v>45744</v>
      </c>
      <c r="D2952" t="inlineStr">
        <is>
          <t>SKÅNE LÄN</t>
        </is>
      </c>
      <c r="E2952" t="inlineStr">
        <is>
          <t>ÄNGELHOLM</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28240-2022</t>
        </is>
      </c>
      <c r="B2953" s="1" t="n">
        <v>44746</v>
      </c>
      <c r="C2953" s="1" t="n">
        <v>45744</v>
      </c>
      <c r="D2953" t="inlineStr">
        <is>
          <t>SKÅNE LÄN</t>
        </is>
      </c>
      <c r="E2953" t="inlineStr">
        <is>
          <t>OSBY</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28236-2022</t>
        </is>
      </c>
      <c r="B2954" s="1" t="n">
        <v>44746</v>
      </c>
      <c r="C2954" s="1" t="n">
        <v>45744</v>
      </c>
      <c r="D2954" t="inlineStr">
        <is>
          <t>SKÅNE LÄN</t>
        </is>
      </c>
      <c r="E2954" t="inlineStr">
        <is>
          <t>HÄSSLEHOLM</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28221-2022</t>
        </is>
      </c>
      <c r="B2955" s="1" t="n">
        <v>44746</v>
      </c>
      <c r="C2955" s="1" t="n">
        <v>45744</v>
      </c>
      <c r="D2955" t="inlineStr">
        <is>
          <t>SKÅNE LÄN</t>
        </is>
      </c>
      <c r="E2955" t="inlineStr">
        <is>
          <t>HÄSSLEHOLM</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28237-2022</t>
        </is>
      </c>
      <c r="B2956" s="1" t="n">
        <v>44746</v>
      </c>
      <c r="C2956" s="1" t="n">
        <v>45744</v>
      </c>
      <c r="D2956" t="inlineStr">
        <is>
          <t>SKÅNE LÄN</t>
        </is>
      </c>
      <c r="E2956" t="inlineStr">
        <is>
          <t>PERSTORP</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28247-2022</t>
        </is>
      </c>
      <c r="B2957" s="1" t="n">
        <v>44746</v>
      </c>
      <c r="C2957" s="1" t="n">
        <v>45744</v>
      </c>
      <c r="D2957" t="inlineStr">
        <is>
          <t>SKÅNE LÄN</t>
        </is>
      </c>
      <c r="E2957" t="inlineStr">
        <is>
          <t>PERSTORP</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28211-2022</t>
        </is>
      </c>
      <c r="B2958" s="1" t="n">
        <v>44746</v>
      </c>
      <c r="C2958" s="1" t="n">
        <v>45744</v>
      </c>
      <c r="D2958" t="inlineStr">
        <is>
          <t>SKÅNE LÄN</t>
        </is>
      </c>
      <c r="E2958" t="inlineStr">
        <is>
          <t>HÄSSLEHOLM</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28148-2022</t>
        </is>
      </c>
      <c r="B2959" s="1" t="n">
        <v>44746</v>
      </c>
      <c r="C2959" s="1" t="n">
        <v>45744</v>
      </c>
      <c r="D2959" t="inlineStr">
        <is>
          <t>SKÅNE LÄN</t>
        </is>
      </c>
      <c r="E2959" t="inlineStr">
        <is>
          <t>ÖRKELLJUNGA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28143-2022</t>
        </is>
      </c>
      <c r="B2960" s="1" t="n">
        <v>44746</v>
      </c>
      <c r="C2960" s="1" t="n">
        <v>45744</v>
      </c>
      <c r="D2960" t="inlineStr">
        <is>
          <t>SKÅNE LÄN</t>
        </is>
      </c>
      <c r="E2960" t="inlineStr">
        <is>
          <t>ÖSTRA GÖINGE</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28244-2022</t>
        </is>
      </c>
      <c r="B2961" s="1" t="n">
        <v>44746</v>
      </c>
      <c r="C2961" s="1" t="n">
        <v>45744</v>
      </c>
      <c r="D2961" t="inlineStr">
        <is>
          <t>SKÅNE LÄN</t>
        </is>
      </c>
      <c r="E2961" t="inlineStr">
        <is>
          <t>PERSTORP</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28218-2022</t>
        </is>
      </c>
      <c r="B2962" s="1" t="n">
        <v>44746</v>
      </c>
      <c r="C2962" s="1" t="n">
        <v>45744</v>
      </c>
      <c r="D2962" t="inlineStr">
        <is>
          <t>SKÅNE LÄN</t>
        </is>
      </c>
      <c r="E2962" t="inlineStr">
        <is>
          <t>HÄSSLEHOLM</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28174-2022</t>
        </is>
      </c>
      <c r="B2963" s="1" t="n">
        <v>44746</v>
      </c>
      <c r="C2963" s="1" t="n">
        <v>45744</v>
      </c>
      <c r="D2963" t="inlineStr">
        <is>
          <t>SKÅNE LÄN</t>
        </is>
      </c>
      <c r="E2963" t="inlineStr">
        <is>
          <t>OSBY</t>
        </is>
      </c>
      <c r="F2963" t="inlineStr">
        <is>
          <t>Kyrkan</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28394-2022</t>
        </is>
      </c>
      <c r="B2964" s="1" t="n">
        <v>44747</v>
      </c>
      <c r="C2964" s="1" t="n">
        <v>45744</v>
      </c>
      <c r="D2964" t="inlineStr">
        <is>
          <t>SKÅNE LÄN</t>
        </is>
      </c>
      <c r="E2964" t="inlineStr">
        <is>
          <t>ÖSTRA GÖINGE</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28781-2022</t>
        </is>
      </c>
      <c r="B2965" s="1" t="n">
        <v>44749</v>
      </c>
      <c r="C2965" s="1" t="n">
        <v>45744</v>
      </c>
      <c r="D2965" t="inlineStr">
        <is>
          <t>SKÅNE LÄN</t>
        </is>
      </c>
      <c r="E2965" t="inlineStr">
        <is>
          <t>KRISTIANSTAD</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28932-2022</t>
        </is>
      </c>
      <c r="B2966" s="1" t="n">
        <v>44749</v>
      </c>
      <c r="C2966" s="1" t="n">
        <v>45744</v>
      </c>
      <c r="D2966" t="inlineStr">
        <is>
          <t>SKÅNE LÄN</t>
        </is>
      </c>
      <c r="E2966" t="inlineStr">
        <is>
          <t>SJÖBO</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28853-2022</t>
        </is>
      </c>
      <c r="B2967" s="1" t="n">
        <v>44749</v>
      </c>
      <c r="C2967" s="1" t="n">
        <v>45744</v>
      </c>
      <c r="D2967" t="inlineStr">
        <is>
          <t>SKÅNE LÄN</t>
        </is>
      </c>
      <c r="E2967" t="inlineStr">
        <is>
          <t>KRISTIANSTAD</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28885-2022</t>
        </is>
      </c>
      <c r="B2968" s="1" t="n">
        <v>44749</v>
      </c>
      <c r="C2968" s="1" t="n">
        <v>45744</v>
      </c>
      <c r="D2968" t="inlineStr">
        <is>
          <t>SKÅNE LÄN</t>
        </is>
      </c>
      <c r="E2968" t="inlineStr">
        <is>
          <t>LUND</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28966-2022</t>
        </is>
      </c>
      <c r="B2969" s="1" t="n">
        <v>44749</v>
      </c>
      <c r="C2969" s="1" t="n">
        <v>45744</v>
      </c>
      <c r="D2969" t="inlineStr">
        <is>
          <t>SKÅNE LÄN</t>
        </is>
      </c>
      <c r="E2969" t="inlineStr">
        <is>
          <t>TOMELILLA</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29024-2022</t>
        </is>
      </c>
      <c r="B2970" s="1" t="n">
        <v>44749</v>
      </c>
      <c r="C2970" s="1" t="n">
        <v>45744</v>
      </c>
      <c r="D2970" t="inlineStr">
        <is>
          <t>SKÅNE LÄN</t>
        </is>
      </c>
      <c r="E2970" t="inlineStr">
        <is>
          <t>OSBY</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29333-2022</t>
        </is>
      </c>
      <c r="B2971" s="1" t="n">
        <v>44752</v>
      </c>
      <c r="C2971" s="1" t="n">
        <v>45744</v>
      </c>
      <c r="D2971" t="inlineStr">
        <is>
          <t>SKÅNE LÄN</t>
        </is>
      </c>
      <c r="E2971" t="inlineStr">
        <is>
          <t>ÖRKELLJUNGA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29335-2022</t>
        </is>
      </c>
      <c r="B2972" s="1" t="n">
        <v>44752</v>
      </c>
      <c r="C2972" s="1" t="n">
        <v>45744</v>
      </c>
      <c r="D2972" t="inlineStr">
        <is>
          <t>SKÅNE LÄN</t>
        </is>
      </c>
      <c r="E2972" t="inlineStr">
        <is>
          <t>ÖRKELLJUNGA</t>
        </is>
      </c>
      <c r="F2972" t="inlineStr">
        <is>
          <t>Kommuner</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29334-2022</t>
        </is>
      </c>
      <c r="B2973" s="1" t="n">
        <v>44752</v>
      </c>
      <c r="C2973" s="1" t="n">
        <v>45744</v>
      </c>
      <c r="D2973" t="inlineStr">
        <is>
          <t>SKÅNE LÄN</t>
        </is>
      </c>
      <c r="E2973" t="inlineStr">
        <is>
          <t>ÖRKELLJUNGA</t>
        </is>
      </c>
      <c r="F2973" t="inlineStr">
        <is>
          <t>Kommuner</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29700-2022</t>
        </is>
      </c>
      <c r="B2974" s="1" t="n">
        <v>44755</v>
      </c>
      <c r="C2974" s="1" t="n">
        <v>45744</v>
      </c>
      <c r="D2974" t="inlineStr">
        <is>
          <t>SKÅNE LÄN</t>
        </is>
      </c>
      <c r="E2974" t="inlineStr">
        <is>
          <t>HÄSSLEHOLM</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30136-2022</t>
        </is>
      </c>
      <c r="B2975" s="1" t="n">
        <v>44757</v>
      </c>
      <c r="C2975" s="1" t="n">
        <v>45744</v>
      </c>
      <c r="D2975" t="inlineStr">
        <is>
          <t>SKÅNE LÄN</t>
        </is>
      </c>
      <c r="E2975" t="inlineStr">
        <is>
          <t>ÖRKELLJUNGA</t>
        </is>
      </c>
      <c r="F2975" t="inlineStr">
        <is>
          <t>Kyrkan</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30213-2022</t>
        </is>
      </c>
      <c r="B2976" s="1" t="n">
        <v>44757</v>
      </c>
      <c r="C2976" s="1" t="n">
        <v>45744</v>
      </c>
      <c r="D2976" t="inlineStr">
        <is>
          <t>SKÅNE LÄN</t>
        </is>
      </c>
      <c r="E2976" t="inlineStr">
        <is>
          <t>OSBY</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30344-2022</t>
        </is>
      </c>
      <c r="B2977" s="1" t="n">
        <v>44760</v>
      </c>
      <c r="C2977" s="1" t="n">
        <v>45744</v>
      </c>
      <c r="D2977" t="inlineStr">
        <is>
          <t>SKÅNE LÄN</t>
        </is>
      </c>
      <c r="E2977" t="inlineStr">
        <is>
          <t>HÄSSLEHOLM</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30564-2022</t>
        </is>
      </c>
      <c r="B2978" s="1" t="n">
        <v>44762</v>
      </c>
      <c r="C2978" s="1" t="n">
        <v>45744</v>
      </c>
      <c r="D2978" t="inlineStr">
        <is>
          <t>SKÅNE LÄN</t>
        </is>
      </c>
      <c r="E2978" t="inlineStr">
        <is>
          <t>OSBY</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30558-2022</t>
        </is>
      </c>
      <c r="B2979" s="1" t="n">
        <v>44762</v>
      </c>
      <c r="C2979" s="1" t="n">
        <v>45744</v>
      </c>
      <c r="D2979" t="inlineStr">
        <is>
          <t>SKÅNE LÄN</t>
        </is>
      </c>
      <c r="E2979" t="inlineStr">
        <is>
          <t>ÄNGELHOLM</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30645-2022</t>
        </is>
      </c>
      <c r="B2980" s="1" t="n">
        <v>44763</v>
      </c>
      <c r="C2980" s="1" t="n">
        <v>45744</v>
      </c>
      <c r="D2980" t="inlineStr">
        <is>
          <t>SKÅNE LÄN</t>
        </is>
      </c>
      <c r="E2980" t="inlineStr">
        <is>
          <t>HÖÖR</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30657-2022</t>
        </is>
      </c>
      <c r="B2981" s="1" t="n">
        <v>44763</v>
      </c>
      <c r="C2981" s="1" t="n">
        <v>45744</v>
      </c>
      <c r="D2981" t="inlineStr">
        <is>
          <t>SKÅNE LÄN</t>
        </is>
      </c>
      <c r="E2981" t="inlineStr">
        <is>
          <t>SVALÖV</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30641-2022</t>
        </is>
      </c>
      <c r="B2982" s="1" t="n">
        <v>44763</v>
      </c>
      <c r="C2982" s="1" t="n">
        <v>45744</v>
      </c>
      <c r="D2982" t="inlineStr">
        <is>
          <t>SKÅNE LÄN</t>
        </is>
      </c>
      <c r="E2982" t="inlineStr">
        <is>
          <t>KRISTIANSTAD</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30751-2022</t>
        </is>
      </c>
      <c r="B2983" s="1" t="n">
        <v>44764</v>
      </c>
      <c r="C2983" s="1" t="n">
        <v>45744</v>
      </c>
      <c r="D2983" t="inlineStr">
        <is>
          <t>SKÅNE LÄN</t>
        </is>
      </c>
      <c r="E2983" t="inlineStr">
        <is>
          <t>OSBY</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30845-2022</t>
        </is>
      </c>
      <c r="B2984" s="1" t="n">
        <v>44767</v>
      </c>
      <c r="C2984" s="1" t="n">
        <v>45744</v>
      </c>
      <c r="D2984" t="inlineStr">
        <is>
          <t>SKÅNE LÄN</t>
        </is>
      </c>
      <c r="E2984" t="inlineStr">
        <is>
          <t>KRISTIANSTAD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30863-2022</t>
        </is>
      </c>
      <c r="B2985" s="1" t="n">
        <v>44767</v>
      </c>
      <c r="C2985" s="1" t="n">
        <v>45744</v>
      </c>
      <c r="D2985" t="inlineStr">
        <is>
          <t>SKÅNE LÄN</t>
        </is>
      </c>
      <c r="E2985" t="inlineStr">
        <is>
          <t>KRISTIANSTAD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30916-2022</t>
        </is>
      </c>
      <c r="B2986" s="1" t="n">
        <v>44767</v>
      </c>
      <c r="C2986" s="1" t="n">
        <v>45744</v>
      </c>
      <c r="D2986" t="inlineStr">
        <is>
          <t>SKÅNE LÄN</t>
        </is>
      </c>
      <c r="E2986" t="inlineStr">
        <is>
          <t>KRISTIANSTAD</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30864-2022</t>
        </is>
      </c>
      <c r="B2987" s="1" t="n">
        <v>44767</v>
      </c>
      <c r="C2987" s="1" t="n">
        <v>45744</v>
      </c>
      <c r="D2987" t="inlineStr">
        <is>
          <t>SKÅNE LÄN</t>
        </is>
      </c>
      <c r="E2987" t="inlineStr">
        <is>
          <t>KRISTIANSTAD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30918-2022</t>
        </is>
      </c>
      <c r="B2988" s="1" t="n">
        <v>44767</v>
      </c>
      <c r="C2988" s="1" t="n">
        <v>45744</v>
      </c>
      <c r="D2988" t="inlineStr">
        <is>
          <t>SKÅNE LÄN</t>
        </is>
      </c>
      <c r="E2988" t="inlineStr">
        <is>
          <t>KRISTIANSTAD</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30925-2022</t>
        </is>
      </c>
      <c r="B2989" s="1" t="n">
        <v>44767</v>
      </c>
      <c r="C2989" s="1" t="n">
        <v>45744</v>
      </c>
      <c r="D2989" t="inlineStr">
        <is>
          <t>SKÅNE LÄN</t>
        </is>
      </c>
      <c r="E2989" t="inlineStr">
        <is>
          <t>KRISTIANSTAD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30978-2022</t>
        </is>
      </c>
      <c r="B2990" s="1" t="n">
        <v>44768</v>
      </c>
      <c r="C2990" s="1" t="n">
        <v>45744</v>
      </c>
      <c r="D2990" t="inlineStr">
        <is>
          <t>SKÅNE LÄN</t>
        </is>
      </c>
      <c r="E2990" t="inlineStr">
        <is>
          <t>BROMÖLLA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31285-2022</t>
        </is>
      </c>
      <c r="B2991" s="1" t="n">
        <v>44771</v>
      </c>
      <c r="C2991" s="1" t="n">
        <v>45744</v>
      </c>
      <c r="D2991" t="inlineStr">
        <is>
          <t>SKÅNE LÄN</t>
        </is>
      </c>
      <c r="E2991" t="inlineStr">
        <is>
          <t>HÖRBY</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31374-2022</t>
        </is>
      </c>
      <c r="B2992" s="1" t="n">
        <v>44774</v>
      </c>
      <c r="C2992" s="1" t="n">
        <v>45744</v>
      </c>
      <c r="D2992" t="inlineStr">
        <is>
          <t>SKÅNE LÄN</t>
        </is>
      </c>
      <c r="E2992" t="inlineStr">
        <is>
          <t>KRISTIANSTAD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31352-2022</t>
        </is>
      </c>
      <c r="B2993" s="1" t="n">
        <v>44774</v>
      </c>
      <c r="C2993" s="1" t="n">
        <v>45744</v>
      </c>
      <c r="D2993" t="inlineStr">
        <is>
          <t>SKÅNE LÄN</t>
        </is>
      </c>
      <c r="E2993" t="inlineStr">
        <is>
          <t>KRISTIANSTAD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31557-2022</t>
        </is>
      </c>
      <c r="B2994" s="1" t="n">
        <v>44775</v>
      </c>
      <c r="C2994" s="1" t="n">
        <v>45744</v>
      </c>
      <c r="D2994" t="inlineStr">
        <is>
          <t>SKÅNE LÄN</t>
        </is>
      </c>
      <c r="E2994" t="inlineStr">
        <is>
          <t>HÄSSLEHOLM</t>
        </is>
      </c>
      <c r="F2994" t="inlineStr">
        <is>
          <t>Kommuner</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31572-2022</t>
        </is>
      </c>
      <c r="B2995" s="1" t="n">
        <v>44775</v>
      </c>
      <c r="C2995" s="1" t="n">
        <v>45744</v>
      </c>
      <c r="D2995" t="inlineStr">
        <is>
          <t>SKÅNE LÄN</t>
        </is>
      </c>
      <c r="E2995" t="inlineStr">
        <is>
          <t>HÄSSLEHOLM</t>
        </is>
      </c>
      <c r="F2995" t="inlineStr">
        <is>
          <t>Kommuner</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31522-2022</t>
        </is>
      </c>
      <c r="B2996" s="1" t="n">
        <v>44775</v>
      </c>
      <c r="C2996" s="1" t="n">
        <v>45744</v>
      </c>
      <c r="D2996" t="inlineStr">
        <is>
          <t>SKÅNE LÄN</t>
        </is>
      </c>
      <c r="E2996" t="inlineStr">
        <is>
          <t>HÖRBY</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31758-2022</t>
        </is>
      </c>
      <c r="B2997" s="1" t="n">
        <v>44776</v>
      </c>
      <c r="C2997" s="1" t="n">
        <v>45744</v>
      </c>
      <c r="D2997" t="inlineStr">
        <is>
          <t>SKÅNE LÄN</t>
        </is>
      </c>
      <c r="E2997" t="inlineStr">
        <is>
          <t>OSBY</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31701-2022</t>
        </is>
      </c>
      <c r="B2998" s="1" t="n">
        <v>44776</v>
      </c>
      <c r="C2998" s="1" t="n">
        <v>45744</v>
      </c>
      <c r="D2998" t="inlineStr">
        <is>
          <t>SKÅNE LÄN</t>
        </is>
      </c>
      <c r="E2998" t="inlineStr">
        <is>
          <t>HÖÖR</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32455-2022</t>
        </is>
      </c>
      <c r="B2999" s="1" t="n">
        <v>44782</v>
      </c>
      <c r="C2999" s="1" t="n">
        <v>45744</v>
      </c>
      <c r="D2999" t="inlineStr">
        <is>
          <t>SKÅNE LÄN</t>
        </is>
      </c>
      <c r="E2999" t="inlineStr">
        <is>
          <t>KLIPPAN</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32511-2022</t>
        </is>
      </c>
      <c r="B3000" s="1" t="n">
        <v>44782</v>
      </c>
      <c r="C3000" s="1" t="n">
        <v>45744</v>
      </c>
      <c r="D3000" t="inlineStr">
        <is>
          <t>SKÅNE LÄN</t>
        </is>
      </c>
      <c r="E3000" t="inlineStr">
        <is>
          <t>ÖRKELLJUNGA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32584-2022</t>
        </is>
      </c>
      <c r="B3001" s="1" t="n">
        <v>44783</v>
      </c>
      <c r="C3001" s="1" t="n">
        <v>45744</v>
      </c>
      <c r="D3001" t="inlineStr">
        <is>
          <t>SKÅNE LÄN</t>
        </is>
      </c>
      <c r="E3001" t="inlineStr">
        <is>
          <t>OSBY</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32597-2022</t>
        </is>
      </c>
      <c r="B3002" s="1" t="n">
        <v>44783</v>
      </c>
      <c r="C3002" s="1" t="n">
        <v>45744</v>
      </c>
      <c r="D3002" t="inlineStr">
        <is>
          <t>SKÅNE LÄN</t>
        </is>
      </c>
      <c r="E3002" t="inlineStr">
        <is>
          <t>HÖRBY</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32669-2022</t>
        </is>
      </c>
      <c r="B3003" s="1" t="n">
        <v>44783</v>
      </c>
      <c r="C3003" s="1" t="n">
        <v>45744</v>
      </c>
      <c r="D3003" t="inlineStr">
        <is>
          <t>SKÅNE LÄN</t>
        </is>
      </c>
      <c r="E3003" t="inlineStr">
        <is>
          <t>HÄSSLEHOLM</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32732-2022</t>
        </is>
      </c>
      <c r="B3004" s="1" t="n">
        <v>44783</v>
      </c>
      <c r="C3004" s="1" t="n">
        <v>45744</v>
      </c>
      <c r="D3004" t="inlineStr">
        <is>
          <t>SKÅNE LÄN</t>
        </is>
      </c>
      <c r="E3004" t="inlineStr">
        <is>
          <t>SJÖBO</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32863-2022</t>
        </is>
      </c>
      <c r="B3005" s="1" t="n">
        <v>44784</v>
      </c>
      <c r="C3005" s="1" t="n">
        <v>45744</v>
      </c>
      <c r="D3005" t="inlineStr">
        <is>
          <t>SKÅNE LÄN</t>
        </is>
      </c>
      <c r="E3005" t="inlineStr">
        <is>
          <t>HÖRBY</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32877-2022</t>
        </is>
      </c>
      <c r="B3006" s="1" t="n">
        <v>44784</v>
      </c>
      <c r="C3006" s="1" t="n">
        <v>45744</v>
      </c>
      <c r="D3006" t="inlineStr">
        <is>
          <t>SKÅNE LÄN</t>
        </is>
      </c>
      <c r="E3006" t="inlineStr">
        <is>
          <t>HÖRBY</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33323-2022</t>
        </is>
      </c>
      <c r="B3007" s="1" t="n">
        <v>44788</v>
      </c>
      <c r="C3007" s="1" t="n">
        <v>45744</v>
      </c>
      <c r="D3007" t="inlineStr">
        <is>
          <t>SKÅNE LÄN</t>
        </is>
      </c>
      <c r="E3007" t="inlineStr">
        <is>
          <t>ÖRKELLJUNGA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33328-2022</t>
        </is>
      </c>
      <c r="B3008" s="1" t="n">
        <v>44788</v>
      </c>
      <c r="C3008" s="1" t="n">
        <v>45744</v>
      </c>
      <c r="D3008" t="inlineStr">
        <is>
          <t>SKÅNE LÄN</t>
        </is>
      </c>
      <c r="E3008" t="inlineStr">
        <is>
          <t>ÖRKELLJUNGA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33299-2022</t>
        </is>
      </c>
      <c r="B3009" s="1" t="n">
        <v>44788</v>
      </c>
      <c r="C3009" s="1" t="n">
        <v>45744</v>
      </c>
      <c r="D3009" t="inlineStr">
        <is>
          <t>SKÅNE LÄN</t>
        </is>
      </c>
      <c r="E3009" t="inlineStr">
        <is>
          <t>HÄSSLEHOLM</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33487-2022</t>
        </is>
      </c>
      <c r="B3010" s="1" t="n">
        <v>44788</v>
      </c>
      <c r="C3010" s="1" t="n">
        <v>45744</v>
      </c>
      <c r="D3010" t="inlineStr">
        <is>
          <t>SKÅNE LÄN</t>
        </is>
      </c>
      <c r="E3010" t="inlineStr">
        <is>
          <t>OSBY</t>
        </is>
      </c>
      <c r="G3010" t="n">
        <v>7.9</v>
      </c>
      <c r="H3010" t="n">
        <v>0</v>
      </c>
      <c r="I3010" t="n">
        <v>0</v>
      </c>
      <c r="J3010" t="n">
        <v>0</v>
      </c>
      <c r="K3010" t="n">
        <v>0</v>
      </c>
      <c r="L3010" t="n">
        <v>0</v>
      </c>
      <c r="M3010" t="n">
        <v>0</v>
      </c>
      <c r="N3010" t="n">
        <v>0</v>
      </c>
      <c r="O3010" t="n">
        <v>0</v>
      </c>
      <c r="P3010" t="n">
        <v>0</v>
      </c>
      <c r="Q3010" t="n">
        <v>0</v>
      </c>
      <c r="R3010" s="2" t="inlineStr"/>
    </row>
    <row r="3011" ht="15" customHeight="1">
      <c r="A3011" t="inlineStr">
        <is>
          <t>A 33489-2022</t>
        </is>
      </c>
      <c r="B3011" s="1" t="n">
        <v>44788</v>
      </c>
      <c r="C3011" s="1" t="n">
        <v>45744</v>
      </c>
      <c r="D3011" t="inlineStr">
        <is>
          <t>SKÅNE LÄN</t>
        </is>
      </c>
      <c r="E3011" t="inlineStr">
        <is>
          <t>OSBY</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33486-2022</t>
        </is>
      </c>
      <c r="B3012" s="1" t="n">
        <v>44788</v>
      </c>
      <c r="C3012" s="1" t="n">
        <v>45744</v>
      </c>
      <c r="D3012" t="inlineStr">
        <is>
          <t>SKÅNE LÄN</t>
        </is>
      </c>
      <c r="E3012" t="inlineStr">
        <is>
          <t>OSBY</t>
        </is>
      </c>
      <c r="G3012" t="n">
        <v>7.8</v>
      </c>
      <c r="H3012" t="n">
        <v>0</v>
      </c>
      <c r="I3012" t="n">
        <v>0</v>
      </c>
      <c r="J3012" t="n">
        <v>0</v>
      </c>
      <c r="K3012" t="n">
        <v>0</v>
      </c>
      <c r="L3012" t="n">
        <v>0</v>
      </c>
      <c r="M3012" t="n">
        <v>0</v>
      </c>
      <c r="N3012" t="n">
        <v>0</v>
      </c>
      <c r="O3012" t="n">
        <v>0</v>
      </c>
      <c r="P3012" t="n">
        <v>0</v>
      </c>
      <c r="Q3012" t="n">
        <v>0</v>
      </c>
      <c r="R3012" s="2" t="inlineStr"/>
    </row>
    <row r="3013" ht="15" customHeight="1">
      <c r="A3013" t="inlineStr">
        <is>
          <t>A 33571-2022</t>
        </is>
      </c>
      <c r="B3013" s="1" t="n">
        <v>44789</v>
      </c>
      <c r="C3013" s="1" t="n">
        <v>45744</v>
      </c>
      <c r="D3013" t="inlineStr">
        <is>
          <t>SKÅNE LÄN</t>
        </is>
      </c>
      <c r="E3013" t="inlineStr">
        <is>
          <t>HÖRBY</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33682-2022</t>
        </is>
      </c>
      <c r="B3014" s="1" t="n">
        <v>44789</v>
      </c>
      <c r="C3014" s="1" t="n">
        <v>45744</v>
      </c>
      <c r="D3014" t="inlineStr">
        <is>
          <t>SKÅNE LÄN</t>
        </is>
      </c>
      <c r="E3014" t="inlineStr">
        <is>
          <t>KRISTIANSTAD</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33816-2022</t>
        </is>
      </c>
      <c r="B3015" s="1" t="n">
        <v>44790</v>
      </c>
      <c r="C3015" s="1" t="n">
        <v>45744</v>
      </c>
      <c r="D3015" t="inlineStr">
        <is>
          <t>SKÅNE LÄN</t>
        </is>
      </c>
      <c r="E3015" t="inlineStr">
        <is>
          <t>OSBY</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33822-2022</t>
        </is>
      </c>
      <c r="B3016" s="1" t="n">
        <v>44790</v>
      </c>
      <c r="C3016" s="1" t="n">
        <v>45744</v>
      </c>
      <c r="D3016" t="inlineStr">
        <is>
          <t>SKÅNE LÄN</t>
        </is>
      </c>
      <c r="E3016" t="inlineStr">
        <is>
          <t>OSBY</t>
        </is>
      </c>
      <c r="G3016" t="n">
        <v>9.1</v>
      </c>
      <c r="H3016" t="n">
        <v>0</v>
      </c>
      <c r="I3016" t="n">
        <v>0</v>
      </c>
      <c r="J3016" t="n">
        <v>0</v>
      </c>
      <c r="K3016" t="n">
        <v>0</v>
      </c>
      <c r="L3016" t="n">
        <v>0</v>
      </c>
      <c r="M3016" t="n">
        <v>0</v>
      </c>
      <c r="N3016" t="n">
        <v>0</v>
      </c>
      <c r="O3016" t="n">
        <v>0</v>
      </c>
      <c r="P3016" t="n">
        <v>0</v>
      </c>
      <c r="Q3016" t="n">
        <v>0</v>
      </c>
      <c r="R3016" s="2" t="inlineStr"/>
    </row>
    <row r="3017" ht="15" customHeight="1">
      <c r="A3017" t="inlineStr">
        <is>
          <t>A 34348-2022</t>
        </is>
      </c>
      <c r="B3017" s="1" t="n">
        <v>44792</v>
      </c>
      <c r="C3017" s="1" t="n">
        <v>45744</v>
      </c>
      <c r="D3017" t="inlineStr">
        <is>
          <t>SKÅNE LÄN</t>
        </is>
      </c>
      <c r="E3017" t="inlineStr">
        <is>
          <t>HÄSSLEHOLM</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34666-2022</t>
        </is>
      </c>
      <c r="B3018" s="1" t="n">
        <v>44795</v>
      </c>
      <c r="C3018" s="1" t="n">
        <v>45744</v>
      </c>
      <c r="D3018" t="inlineStr">
        <is>
          <t>SKÅNE LÄN</t>
        </is>
      </c>
      <c r="E3018" t="inlineStr">
        <is>
          <t>PERSTORP</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34719-2022</t>
        </is>
      </c>
      <c r="B3019" s="1" t="n">
        <v>44795</v>
      </c>
      <c r="C3019" s="1" t="n">
        <v>45744</v>
      </c>
      <c r="D3019" t="inlineStr">
        <is>
          <t>SKÅNE LÄN</t>
        </is>
      </c>
      <c r="E3019" t="inlineStr">
        <is>
          <t>KRISTIANSTAD</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34873-2022</t>
        </is>
      </c>
      <c r="B3020" s="1" t="n">
        <v>44796</v>
      </c>
      <c r="C3020" s="1" t="n">
        <v>45744</v>
      </c>
      <c r="D3020" t="inlineStr">
        <is>
          <t>SKÅNE LÄN</t>
        </is>
      </c>
      <c r="E3020" t="inlineStr">
        <is>
          <t>KRISTIANSTAD</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34982-2022</t>
        </is>
      </c>
      <c r="B3021" s="1" t="n">
        <v>44796</v>
      </c>
      <c r="C3021" s="1" t="n">
        <v>45744</v>
      </c>
      <c r="D3021" t="inlineStr">
        <is>
          <t>SKÅNE LÄN</t>
        </is>
      </c>
      <c r="E3021" t="inlineStr">
        <is>
          <t>HÄSSLEHOLM</t>
        </is>
      </c>
      <c r="F3021" t="inlineStr">
        <is>
          <t>Kyrkan</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34924-2022</t>
        </is>
      </c>
      <c r="B3022" s="1" t="n">
        <v>44796</v>
      </c>
      <c r="C3022" s="1" t="n">
        <v>45744</v>
      </c>
      <c r="D3022" t="inlineStr">
        <is>
          <t>SKÅNE LÄN</t>
        </is>
      </c>
      <c r="E3022" t="inlineStr">
        <is>
          <t>ÖSTRA GÖINGE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34983-2022</t>
        </is>
      </c>
      <c r="B3023" s="1" t="n">
        <v>44796</v>
      </c>
      <c r="C3023" s="1" t="n">
        <v>45744</v>
      </c>
      <c r="D3023" t="inlineStr">
        <is>
          <t>SKÅNE LÄN</t>
        </is>
      </c>
      <c r="E3023" t="inlineStr">
        <is>
          <t>ÖSTRA GÖINGE</t>
        </is>
      </c>
      <c r="F3023" t="inlineStr">
        <is>
          <t>Kyrkan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35099-2022</t>
        </is>
      </c>
      <c r="B3024" s="1" t="n">
        <v>44797</v>
      </c>
      <c r="C3024" s="1" t="n">
        <v>45744</v>
      </c>
      <c r="D3024" t="inlineStr">
        <is>
          <t>SKÅNE LÄN</t>
        </is>
      </c>
      <c r="E3024" t="inlineStr">
        <is>
          <t>HÄSSLEHOLM</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35383-2022</t>
        </is>
      </c>
      <c r="B3025" s="1" t="n">
        <v>44798</v>
      </c>
      <c r="C3025" s="1" t="n">
        <v>45744</v>
      </c>
      <c r="D3025" t="inlineStr">
        <is>
          <t>SKÅNE LÄN</t>
        </is>
      </c>
      <c r="E3025" t="inlineStr">
        <is>
          <t>OSBY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35438-2022</t>
        </is>
      </c>
      <c r="B3026" s="1" t="n">
        <v>44798</v>
      </c>
      <c r="C3026" s="1" t="n">
        <v>45744</v>
      </c>
      <c r="D3026" t="inlineStr">
        <is>
          <t>SKÅNE LÄN</t>
        </is>
      </c>
      <c r="E3026" t="inlineStr">
        <is>
          <t>HÖÖR</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35533-2022</t>
        </is>
      </c>
      <c r="B3027" s="1" t="n">
        <v>44799</v>
      </c>
      <c r="C3027" s="1" t="n">
        <v>45744</v>
      </c>
      <c r="D3027" t="inlineStr">
        <is>
          <t>SKÅNE LÄN</t>
        </is>
      </c>
      <c r="E3027" t="inlineStr">
        <is>
          <t>ÖRKELLJUNGA</t>
        </is>
      </c>
      <c r="F3027" t="inlineStr">
        <is>
          <t>Kommuner</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35727-2022</t>
        </is>
      </c>
      <c r="B3028" s="1" t="n">
        <v>44799</v>
      </c>
      <c r="C3028" s="1" t="n">
        <v>45744</v>
      </c>
      <c r="D3028" t="inlineStr">
        <is>
          <t>SKÅNE LÄN</t>
        </is>
      </c>
      <c r="E3028" t="inlineStr">
        <is>
          <t>HÄSSLEHOLM</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35777-2022</t>
        </is>
      </c>
      <c r="B3029" s="1" t="n">
        <v>44801</v>
      </c>
      <c r="C3029" s="1" t="n">
        <v>45744</v>
      </c>
      <c r="D3029" t="inlineStr">
        <is>
          <t>SKÅNE LÄN</t>
        </is>
      </c>
      <c r="E3029" t="inlineStr">
        <is>
          <t>OSBY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35845-2022</t>
        </is>
      </c>
      <c r="B3030" s="1" t="n">
        <v>44802</v>
      </c>
      <c r="C3030" s="1" t="n">
        <v>45744</v>
      </c>
      <c r="D3030" t="inlineStr">
        <is>
          <t>SKÅNE LÄN</t>
        </is>
      </c>
      <c r="E3030" t="inlineStr">
        <is>
          <t>HÄSSLEHOLM</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35849-2022</t>
        </is>
      </c>
      <c r="B3031" s="1" t="n">
        <v>44802</v>
      </c>
      <c r="C3031" s="1" t="n">
        <v>45744</v>
      </c>
      <c r="D3031" t="inlineStr">
        <is>
          <t>SKÅNE LÄN</t>
        </is>
      </c>
      <c r="E3031" t="inlineStr">
        <is>
          <t>SIMRISHAMN</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35842-2022</t>
        </is>
      </c>
      <c r="B3032" s="1" t="n">
        <v>44802</v>
      </c>
      <c r="C3032" s="1" t="n">
        <v>45744</v>
      </c>
      <c r="D3032" t="inlineStr">
        <is>
          <t>SKÅNE LÄN</t>
        </is>
      </c>
      <c r="E3032" t="inlineStr">
        <is>
          <t>HÄSSLEHOLM</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35911-2022</t>
        </is>
      </c>
      <c r="B3033" s="1" t="n">
        <v>44802</v>
      </c>
      <c r="C3033" s="1" t="n">
        <v>45744</v>
      </c>
      <c r="D3033" t="inlineStr">
        <is>
          <t>SKÅNE LÄN</t>
        </is>
      </c>
      <c r="E3033" t="inlineStr">
        <is>
          <t>OSBY</t>
        </is>
      </c>
      <c r="F3033" t="inlineStr">
        <is>
          <t>Naturvårdsverket</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35901-2022</t>
        </is>
      </c>
      <c r="B3034" s="1" t="n">
        <v>44802</v>
      </c>
      <c r="C3034" s="1" t="n">
        <v>45744</v>
      </c>
      <c r="D3034" t="inlineStr">
        <is>
          <t>SKÅNE LÄN</t>
        </is>
      </c>
      <c r="E3034" t="inlineStr">
        <is>
          <t>OSBY</t>
        </is>
      </c>
      <c r="F3034" t="inlineStr">
        <is>
          <t>Kyrkan</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36041-2022</t>
        </is>
      </c>
      <c r="B3035" s="1" t="n">
        <v>44802</v>
      </c>
      <c r="C3035" s="1" t="n">
        <v>45744</v>
      </c>
      <c r="D3035" t="inlineStr">
        <is>
          <t>SKÅNE LÄN</t>
        </is>
      </c>
      <c r="E3035" t="inlineStr">
        <is>
          <t>ÄNGELHOLM</t>
        </is>
      </c>
      <c r="G3035" t="n">
        <v>0</v>
      </c>
      <c r="H3035" t="n">
        <v>0</v>
      </c>
      <c r="I3035" t="n">
        <v>0</v>
      </c>
      <c r="J3035" t="n">
        <v>0</v>
      </c>
      <c r="K3035" t="n">
        <v>0</v>
      </c>
      <c r="L3035" t="n">
        <v>0</v>
      </c>
      <c r="M3035" t="n">
        <v>0</v>
      </c>
      <c r="N3035" t="n">
        <v>0</v>
      </c>
      <c r="O3035" t="n">
        <v>0</v>
      </c>
      <c r="P3035" t="n">
        <v>0</v>
      </c>
      <c r="Q3035" t="n">
        <v>0</v>
      </c>
      <c r="R3035" s="2" t="inlineStr"/>
    </row>
    <row r="3036" ht="15" customHeight="1">
      <c r="A3036" t="inlineStr">
        <is>
          <t>A 35974-2022</t>
        </is>
      </c>
      <c r="B3036" s="1" t="n">
        <v>44802</v>
      </c>
      <c r="C3036" s="1" t="n">
        <v>45744</v>
      </c>
      <c r="D3036" t="inlineStr">
        <is>
          <t>SKÅNE LÄN</t>
        </is>
      </c>
      <c r="E3036" t="inlineStr">
        <is>
          <t>HÄSSLEHOLM</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36036-2022</t>
        </is>
      </c>
      <c r="B3037" s="1" t="n">
        <v>44802</v>
      </c>
      <c r="C3037" s="1" t="n">
        <v>45744</v>
      </c>
      <c r="D3037" t="inlineStr">
        <is>
          <t>SKÅNE LÄN</t>
        </is>
      </c>
      <c r="E3037" t="inlineStr">
        <is>
          <t>ÄNGELHOLM</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35986-2022</t>
        </is>
      </c>
      <c r="B3038" s="1" t="n">
        <v>44802</v>
      </c>
      <c r="C3038" s="1" t="n">
        <v>45744</v>
      </c>
      <c r="D3038" t="inlineStr">
        <is>
          <t>SKÅNE LÄN</t>
        </is>
      </c>
      <c r="E3038" t="inlineStr">
        <is>
          <t>OSBY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36324-2022</t>
        </is>
      </c>
      <c r="B3039" s="1" t="n">
        <v>44803</v>
      </c>
      <c r="C3039" s="1" t="n">
        <v>45744</v>
      </c>
      <c r="D3039" t="inlineStr">
        <is>
          <t>SKÅNE LÄN</t>
        </is>
      </c>
      <c r="E3039" t="inlineStr">
        <is>
          <t>ÖSTRA GÖINGE</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36358-2022</t>
        </is>
      </c>
      <c r="B3040" s="1" t="n">
        <v>44803</v>
      </c>
      <c r="C3040" s="1" t="n">
        <v>45744</v>
      </c>
      <c r="D3040" t="inlineStr">
        <is>
          <t>SKÅNE LÄN</t>
        </is>
      </c>
      <c r="E3040" t="inlineStr">
        <is>
          <t>ÄNGELHOLM</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36645-2022</t>
        </is>
      </c>
      <c r="B3041" s="1" t="n">
        <v>44804</v>
      </c>
      <c r="C3041" s="1" t="n">
        <v>45744</v>
      </c>
      <c r="D3041" t="inlineStr">
        <is>
          <t>SKÅNE LÄN</t>
        </is>
      </c>
      <c r="E3041" t="inlineStr">
        <is>
          <t>OSBY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36421-2022</t>
        </is>
      </c>
      <c r="B3042" s="1" t="n">
        <v>44804</v>
      </c>
      <c r="C3042" s="1" t="n">
        <v>45744</v>
      </c>
      <c r="D3042" t="inlineStr">
        <is>
          <t>SKÅNE LÄN</t>
        </is>
      </c>
      <c r="E3042" t="inlineStr">
        <is>
          <t>BROMÖLLA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36523-2022</t>
        </is>
      </c>
      <c r="B3043" s="1" t="n">
        <v>44804</v>
      </c>
      <c r="C3043" s="1" t="n">
        <v>45744</v>
      </c>
      <c r="D3043" t="inlineStr">
        <is>
          <t>SKÅNE LÄN</t>
        </is>
      </c>
      <c r="E3043" t="inlineStr">
        <is>
          <t>VELLINGE</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36540-2022</t>
        </is>
      </c>
      <c r="B3044" s="1" t="n">
        <v>44804</v>
      </c>
      <c r="C3044" s="1" t="n">
        <v>45744</v>
      </c>
      <c r="D3044" t="inlineStr">
        <is>
          <t>SKÅNE LÄN</t>
        </is>
      </c>
      <c r="E3044" t="inlineStr">
        <is>
          <t>KRISTIANSTAD</t>
        </is>
      </c>
      <c r="G3044" t="n">
        <v>17.9</v>
      </c>
      <c r="H3044" t="n">
        <v>0</v>
      </c>
      <c r="I3044" t="n">
        <v>0</v>
      </c>
      <c r="J3044" t="n">
        <v>0</v>
      </c>
      <c r="K3044" t="n">
        <v>0</v>
      </c>
      <c r="L3044" t="n">
        <v>0</v>
      </c>
      <c r="M3044" t="n">
        <v>0</v>
      </c>
      <c r="N3044" t="n">
        <v>0</v>
      </c>
      <c r="O3044" t="n">
        <v>0</v>
      </c>
      <c r="P3044" t="n">
        <v>0</v>
      </c>
      <c r="Q3044" t="n">
        <v>0</v>
      </c>
      <c r="R3044" s="2" t="inlineStr"/>
    </row>
    <row r="3045" ht="15" customHeight="1">
      <c r="A3045" t="inlineStr">
        <is>
          <t>A 36543-2022</t>
        </is>
      </c>
      <c r="B3045" s="1" t="n">
        <v>44804</v>
      </c>
      <c r="C3045" s="1" t="n">
        <v>45744</v>
      </c>
      <c r="D3045" t="inlineStr">
        <is>
          <t>SKÅNE LÄN</t>
        </is>
      </c>
      <c r="E3045" t="inlineStr">
        <is>
          <t>ÖRKELLJUNGA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36578-2022</t>
        </is>
      </c>
      <c r="B3046" s="1" t="n">
        <v>44804</v>
      </c>
      <c r="C3046" s="1" t="n">
        <v>45744</v>
      </c>
      <c r="D3046" t="inlineStr">
        <is>
          <t>SKÅNE LÄN</t>
        </is>
      </c>
      <c r="E3046" t="inlineStr">
        <is>
          <t>VELLINGE</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36595-2022</t>
        </is>
      </c>
      <c r="B3047" s="1" t="n">
        <v>44804</v>
      </c>
      <c r="C3047" s="1" t="n">
        <v>45744</v>
      </c>
      <c r="D3047" t="inlineStr">
        <is>
          <t>SKÅNE LÄN</t>
        </is>
      </c>
      <c r="E3047" t="inlineStr">
        <is>
          <t>ÖRKELLJUNGA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36706-2022</t>
        </is>
      </c>
      <c r="B3048" s="1" t="n">
        <v>44805</v>
      </c>
      <c r="C3048" s="1" t="n">
        <v>45744</v>
      </c>
      <c r="D3048" t="inlineStr">
        <is>
          <t>SKÅNE LÄN</t>
        </is>
      </c>
      <c r="E3048" t="inlineStr">
        <is>
          <t>HÄSSLEHOLM</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36761-2022</t>
        </is>
      </c>
      <c r="B3049" s="1" t="n">
        <v>44805</v>
      </c>
      <c r="C3049" s="1" t="n">
        <v>45744</v>
      </c>
      <c r="D3049" t="inlineStr">
        <is>
          <t>SKÅNE LÄN</t>
        </is>
      </c>
      <c r="E3049" t="inlineStr">
        <is>
          <t>ESLÖV</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36899-2022</t>
        </is>
      </c>
      <c r="B3050" s="1" t="n">
        <v>44805</v>
      </c>
      <c r="C3050" s="1" t="n">
        <v>45744</v>
      </c>
      <c r="D3050" t="inlineStr">
        <is>
          <t>SKÅNE LÄN</t>
        </is>
      </c>
      <c r="E3050" t="inlineStr">
        <is>
          <t>OSBY</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36897-2022</t>
        </is>
      </c>
      <c r="B3051" s="1" t="n">
        <v>44805</v>
      </c>
      <c r="C3051" s="1" t="n">
        <v>45744</v>
      </c>
      <c r="D3051" t="inlineStr">
        <is>
          <t>SKÅNE LÄN</t>
        </is>
      </c>
      <c r="E3051" t="inlineStr">
        <is>
          <t>BROMÖLLA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37061-2022</t>
        </is>
      </c>
      <c r="B3052" s="1" t="n">
        <v>44806</v>
      </c>
      <c r="C3052" s="1" t="n">
        <v>45744</v>
      </c>
      <c r="D3052" t="inlineStr">
        <is>
          <t>SKÅNE LÄN</t>
        </is>
      </c>
      <c r="E3052" t="inlineStr">
        <is>
          <t>ÖRKELLJUNGA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37073-2022</t>
        </is>
      </c>
      <c r="B3053" s="1" t="n">
        <v>44806</v>
      </c>
      <c r="C3053" s="1" t="n">
        <v>45744</v>
      </c>
      <c r="D3053" t="inlineStr">
        <is>
          <t>SKÅNE LÄN</t>
        </is>
      </c>
      <c r="E3053" t="inlineStr">
        <is>
          <t>OSBY</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37055-2022</t>
        </is>
      </c>
      <c r="B3054" s="1" t="n">
        <v>44806</v>
      </c>
      <c r="C3054" s="1" t="n">
        <v>45744</v>
      </c>
      <c r="D3054" t="inlineStr">
        <is>
          <t>SKÅNE LÄN</t>
        </is>
      </c>
      <c r="E3054" t="inlineStr">
        <is>
          <t>ÄNGELHOLM</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37035-2022</t>
        </is>
      </c>
      <c r="B3055" s="1" t="n">
        <v>44806</v>
      </c>
      <c r="C3055" s="1" t="n">
        <v>45744</v>
      </c>
      <c r="D3055" t="inlineStr">
        <is>
          <t>SKÅNE LÄN</t>
        </is>
      </c>
      <c r="E3055" t="inlineStr">
        <is>
          <t>KLIPPAN</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37098-2022</t>
        </is>
      </c>
      <c r="B3056" s="1" t="n">
        <v>44806</v>
      </c>
      <c r="C3056" s="1" t="n">
        <v>45744</v>
      </c>
      <c r="D3056" t="inlineStr">
        <is>
          <t>SKÅNE LÄN</t>
        </is>
      </c>
      <c r="E3056" t="inlineStr">
        <is>
          <t>HÄSSLEHOLM</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37162-2022</t>
        </is>
      </c>
      <c r="B3057" s="1" t="n">
        <v>44806</v>
      </c>
      <c r="C3057" s="1" t="n">
        <v>45744</v>
      </c>
      <c r="D3057" t="inlineStr">
        <is>
          <t>SKÅNE LÄN</t>
        </is>
      </c>
      <c r="E3057" t="inlineStr">
        <is>
          <t>HÄSSLEHOLM</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37170-2022</t>
        </is>
      </c>
      <c r="B3058" s="1" t="n">
        <v>44806</v>
      </c>
      <c r="C3058" s="1" t="n">
        <v>45744</v>
      </c>
      <c r="D3058" t="inlineStr">
        <is>
          <t>SKÅNE LÄN</t>
        </is>
      </c>
      <c r="E3058" t="inlineStr">
        <is>
          <t>HÄSSLEHOLM</t>
        </is>
      </c>
      <c r="F3058" t="inlineStr">
        <is>
          <t>Kyrkan</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37181-2022</t>
        </is>
      </c>
      <c r="B3059" s="1" t="n">
        <v>44806</v>
      </c>
      <c r="C3059" s="1" t="n">
        <v>45744</v>
      </c>
      <c r="D3059" t="inlineStr">
        <is>
          <t>SKÅNE LÄN</t>
        </is>
      </c>
      <c r="E3059" t="inlineStr">
        <is>
          <t>HÄSSLEHOLM</t>
        </is>
      </c>
      <c r="F3059" t="inlineStr">
        <is>
          <t>Kyrkan</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37354-2022</t>
        </is>
      </c>
      <c r="B3060" s="1" t="n">
        <v>44806</v>
      </c>
      <c r="C3060" s="1" t="n">
        <v>45744</v>
      </c>
      <c r="D3060" t="inlineStr">
        <is>
          <t>SKÅNE LÄN</t>
        </is>
      </c>
      <c r="E3060" t="inlineStr">
        <is>
          <t>SVALÖV</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37359-2022</t>
        </is>
      </c>
      <c r="B3061" s="1" t="n">
        <v>44806</v>
      </c>
      <c r="C3061" s="1" t="n">
        <v>45744</v>
      </c>
      <c r="D3061" t="inlineStr">
        <is>
          <t>SKÅNE LÄN</t>
        </is>
      </c>
      <c r="E3061" t="inlineStr">
        <is>
          <t>KLIPPAN</t>
        </is>
      </c>
      <c r="F3061" t="inlineStr">
        <is>
          <t>Övriga Aktiebolag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37457-2022</t>
        </is>
      </c>
      <c r="B3062" s="1" t="n">
        <v>44809</v>
      </c>
      <c r="C3062" s="1" t="n">
        <v>45744</v>
      </c>
      <c r="D3062" t="inlineStr">
        <is>
          <t>SKÅNE LÄN</t>
        </is>
      </c>
      <c r="E3062" t="inlineStr">
        <is>
          <t>HÄSSLEHOLM</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37724-2022</t>
        </is>
      </c>
      <c r="B3063" s="1" t="n">
        <v>44810</v>
      </c>
      <c r="C3063" s="1" t="n">
        <v>45744</v>
      </c>
      <c r="D3063" t="inlineStr">
        <is>
          <t>SKÅNE LÄN</t>
        </is>
      </c>
      <c r="E3063" t="inlineStr">
        <is>
          <t>HÖRBY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37784-2022</t>
        </is>
      </c>
      <c r="B3064" s="1" t="n">
        <v>44810</v>
      </c>
      <c r="C3064" s="1" t="n">
        <v>45744</v>
      </c>
      <c r="D3064" t="inlineStr">
        <is>
          <t>SKÅNE LÄN</t>
        </is>
      </c>
      <c r="E3064" t="inlineStr">
        <is>
          <t>ÖSTRA GÖINGE</t>
        </is>
      </c>
      <c r="F3064" t="inlineStr">
        <is>
          <t>Kyrkan</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37728-2022</t>
        </is>
      </c>
      <c r="B3065" s="1" t="n">
        <v>44810</v>
      </c>
      <c r="C3065" s="1" t="n">
        <v>45744</v>
      </c>
      <c r="D3065" t="inlineStr">
        <is>
          <t>SKÅNE LÄN</t>
        </is>
      </c>
      <c r="E3065" t="inlineStr">
        <is>
          <t>HÖRBY</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37764-2022</t>
        </is>
      </c>
      <c r="B3066" s="1" t="n">
        <v>44810</v>
      </c>
      <c r="C3066" s="1" t="n">
        <v>45744</v>
      </c>
      <c r="D3066" t="inlineStr">
        <is>
          <t>SKÅNE LÄN</t>
        </is>
      </c>
      <c r="E3066" t="inlineStr">
        <is>
          <t>HÄSSLEHOLM</t>
        </is>
      </c>
      <c r="F3066" t="inlineStr">
        <is>
          <t>Kyrkan</t>
        </is>
      </c>
      <c r="G3066" t="n">
        <v>9.4</v>
      </c>
      <c r="H3066" t="n">
        <v>0</v>
      </c>
      <c r="I3066" t="n">
        <v>0</v>
      </c>
      <c r="J3066" t="n">
        <v>0</v>
      </c>
      <c r="K3066" t="n">
        <v>0</v>
      </c>
      <c r="L3066" t="n">
        <v>0</v>
      </c>
      <c r="M3066" t="n">
        <v>0</v>
      </c>
      <c r="N3066" t="n">
        <v>0</v>
      </c>
      <c r="O3066" t="n">
        <v>0</v>
      </c>
      <c r="P3066" t="n">
        <v>0</v>
      </c>
      <c r="Q3066" t="n">
        <v>0</v>
      </c>
      <c r="R3066" s="2" t="inlineStr"/>
    </row>
    <row r="3067" ht="15" customHeight="1">
      <c r="A3067" t="inlineStr">
        <is>
          <t>A 38013-2022</t>
        </is>
      </c>
      <c r="B3067" s="1" t="n">
        <v>44811</v>
      </c>
      <c r="C3067" s="1" t="n">
        <v>45744</v>
      </c>
      <c r="D3067" t="inlineStr">
        <is>
          <t>SKÅNE LÄN</t>
        </is>
      </c>
      <c r="E3067" t="inlineStr">
        <is>
          <t>BÅSTAD</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38148-2022</t>
        </is>
      </c>
      <c r="B3068" s="1" t="n">
        <v>44811</v>
      </c>
      <c r="C3068" s="1" t="n">
        <v>45744</v>
      </c>
      <c r="D3068" t="inlineStr">
        <is>
          <t>SKÅNE LÄN</t>
        </is>
      </c>
      <c r="E3068" t="inlineStr">
        <is>
          <t>HÄSSLEHOLM</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38133-2022</t>
        </is>
      </c>
      <c r="B3069" s="1" t="n">
        <v>44811</v>
      </c>
      <c r="C3069" s="1" t="n">
        <v>45744</v>
      </c>
      <c r="D3069" t="inlineStr">
        <is>
          <t>SKÅNE LÄN</t>
        </is>
      </c>
      <c r="E3069" t="inlineStr">
        <is>
          <t>HÄSSLEHOLM</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38154-2022</t>
        </is>
      </c>
      <c r="B3070" s="1" t="n">
        <v>44812</v>
      </c>
      <c r="C3070" s="1" t="n">
        <v>45744</v>
      </c>
      <c r="D3070" t="inlineStr">
        <is>
          <t>SKÅNE LÄN</t>
        </is>
      </c>
      <c r="E3070" t="inlineStr">
        <is>
          <t>KLIPPAN</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38156-2022</t>
        </is>
      </c>
      <c r="B3071" s="1" t="n">
        <v>44812</v>
      </c>
      <c r="C3071" s="1" t="n">
        <v>45744</v>
      </c>
      <c r="D3071" t="inlineStr">
        <is>
          <t>SKÅNE LÄN</t>
        </is>
      </c>
      <c r="E3071" t="inlineStr">
        <is>
          <t>KLIPPAN</t>
        </is>
      </c>
      <c r="G3071" t="n">
        <v>0</v>
      </c>
      <c r="H3071" t="n">
        <v>0</v>
      </c>
      <c r="I3071" t="n">
        <v>0</v>
      </c>
      <c r="J3071" t="n">
        <v>0</v>
      </c>
      <c r="K3071" t="n">
        <v>0</v>
      </c>
      <c r="L3071" t="n">
        <v>0</v>
      </c>
      <c r="M3071" t="n">
        <v>0</v>
      </c>
      <c r="N3071" t="n">
        <v>0</v>
      </c>
      <c r="O3071" t="n">
        <v>0</v>
      </c>
      <c r="P3071" t="n">
        <v>0</v>
      </c>
      <c r="Q3071" t="n">
        <v>0</v>
      </c>
      <c r="R3071" s="2" t="inlineStr"/>
    </row>
    <row r="3072" ht="15" customHeight="1">
      <c r="A3072" t="inlineStr">
        <is>
          <t>A 38306-2022</t>
        </is>
      </c>
      <c r="B3072" s="1" t="n">
        <v>44812</v>
      </c>
      <c r="C3072" s="1" t="n">
        <v>45744</v>
      </c>
      <c r="D3072" t="inlineStr">
        <is>
          <t>SKÅNE LÄN</t>
        </is>
      </c>
      <c r="E3072" t="inlineStr">
        <is>
          <t>HÄSSLEHOLM</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38376-2022</t>
        </is>
      </c>
      <c r="B3073" s="1" t="n">
        <v>44812</v>
      </c>
      <c r="C3073" s="1" t="n">
        <v>45744</v>
      </c>
      <c r="D3073" t="inlineStr">
        <is>
          <t>SKÅNE LÄN</t>
        </is>
      </c>
      <c r="E3073" t="inlineStr">
        <is>
          <t>HÄSSLEHOLM</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38492-2022</t>
        </is>
      </c>
      <c r="B3074" s="1" t="n">
        <v>44813</v>
      </c>
      <c r="C3074" s="1" t="n">
        <v>45744</v>
      </c>
      <c r="D3074" t="inlineStr">
        <is>
          <t>SKÅNE LÄN</t>
        </is>
      </c>
      <c r="E3074" t="inlineStr">
        <is>
          <t>KRISTIANSTAD</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38556-2022</t>
        </is>
      </c>
      <c r="B3075" s="1" t="n">
        <v>44813</v>
      </c>
      <c r="C3075" s="1" t="n">
        <v>45744</v>
      </c>
      <c r="D3075" t="inlineStr">
        <is>
          <t>SKÅNE LÄN</t>
        </is>
      </c>
      <c r="E3075" t="inlineStr">
        <is>
          <t>ÖRKELLJUNGA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38560-2022</t>
        </is>
      </c>
      <c r="B3076" s="1" t="n">
        <v>44813</v>
      </c>
      <c r="C3076" s="1" t="n">
        <v>45744</v>
      </c>
      <c r="D3076" t="inlineStr">
        <is>
          <t>SKÅNE LÄN</t>
        </is>
      </c>
      <c r="E3076" t="inlineStr">
        <is>
          <t>ÖRKELLJUNGA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38463-2022</t>
        </is>
      </c>
      <c r="B3077" s="1" t="n">
        <v>44813</v>
      </c>
      <c r="C3077" s="1" t="n">
        <v>45744</v>
      </c>
      <c r="D3077" t="inlineStr">
        <is>
          <t>SKÅNE LÄN</t>
        </is>
      </c>
      <c r="E3077" t="inlineStr">
        <is>
          <t>HÄSSLEHOLM</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38500-2022</t>
        </is>
      </c>
      <c r="B3078" s="1" t="n">
        <v>44813</v>
      </c>
      <c r="C3078" s="1" t="n">
        <v>45744</v>
      </c>
      <c r="D3078" t="inlineStr">
        <is>
          <t>SKÅNE LÄN</t>
        </is>
      </c>
      <c r="E3078" t="inlineStr">
        <is>
          <t>KRISTIANSTAD</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38632-2022</t>
        </is>
      </c>
      <c r="B3079" s="1" t="n">
        <v>44813</v>
      </c>
      <c r="C3079" s="1" t="n">
        <v>45744</v>
      </c>
      <c r="D3079" t="inlineStr">
        <is>
          <t>SKÅNE LÄN</t>
        </is>
      </c>
      <c r="E3079" t="inlineStr">
        <is>
          <t>OSBY</t>
        </is>
      </c>
      <c r="F3079" t="inlineStr">
        <is>
          <t>Kyrkan</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38629-2022</t>
        </is>
      </c>
      <c r="B3080" s="1" t="n">
        <v>44813</v>
      </c>
      <c r="C3080" s="1" t="n">
        <v>45744</v>
      </c>
      <c r="D3080" t="inlineStr">
        <is>
          <t>SKÅNE LÄN</t>
        </is>
      </c>
      <c r="E3080" t="inlineStr">
        <is>
          <t>OSBY</t>
        </is>
      </c>
      <c r="F3080" t="inlineStr">
        <is>
          <t>Kyrkan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38647-2022</t>
        </is>
      </c>
      <c r="B3081" s="1" t="n">
        <v>44813</v>
      </c>
      <c r="C3081" s="1" t="n">
        <v>45744</v>
      </c>
      <c r="D3081" t="inlineStr">
        <is>
          <t>SKÅNE LÄN</t>
        </is>
      </c>
      <c r="E3081" t="inlineStr">
        <is>
          <t>OSBY</t>
        </is>
      </c>
      <c r="F3081" t="inlineStr">
        <is>
          <t>Kyrkan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38684-2022</t>
        </is>
      </c>
      <c r="B3082" s="1" t="n">
        <v>44814</v>
      </c>
      <c r="C3082" s="1" t="n">
        <v>45744</v>
      </c>
      <c r="D3082" t="inlineStr">
        <is>
          <t>SKÅNE LÄN</t>
        </is>
      </c>
      <c r="E3082" t="inlineStr">
        <is>
          <t>HÖRBY</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38704-2022</t>
        </is>
      </c>
      <c r="B3083" s="1" t="n">
        <v>44814</v>
      </c>
      <c r="C3083" s="1" t="n">
        <v>45744</v>
      </c>
      <c r="D3083" t="inlineStr">
        <is>
          <t>SKÅNE LÄN</t>
        </is>
      </c>
      <c r="E3083" t="inlineStr">
        <is>
          <t>HÖRBY</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38861-2022</t>
        </is>
      </c>
      <c r="B3084" s="1" t="n">
        <v>44816</v>
      </c>
      <c r="C3084" s="1" t="n">
        <v>45744</v>
      </c>
      <c r="D3084" t="inlineStr">
        <is>
          <t>SKÅNE LÄN</t>
        </is>
      </c>
      <c r="E3084" t="inlineStr">
        <is>
          <t>OSBY</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38778-2022</t>
        </is>
      </c>
      <c r="B3085" s="1" t="n">
        <v>44816</v>
      </c>
      <c r="C3085" s="1" t="n">
        <v>45744</v>
      </c>
      <c r="D3085" t="inlineStr">
        <is>
          <t>SKÅNE LÄN</t>
        </is>
      </c>
      <c r="E3085" t="inlineStr">
        <is>
          <t>KRISTIANSTAD</t>
        </is>
      </c>
      <c r="G3085" t="n">
        <v>17.1</v>
      </c>
      <c r="H3085" t="n">
        <v>0</v>
      </c>
      <c r="I3085" t="n">
        <v>0</v>
      </c>
      <c r="J3085" t="n">
        <v>0</v>
      </c>
      <c r="K3085" t="n">
        <v>0</v>
      </c>
      <c r="L3085" t="n">
        <v>0</v>
      </c>
      <c r="M3085" t="n">
        <v>0</v>
      </c>
      <c r="N3085" t="n">
        <v>0</v>
      </c>
      <c r="O3085" t="n">
        <v>0</v>
      </c>
      <c r="P3085" t="n">
        <v>0</v>
      </c>
      <c r="Q3085" t="n">
        <v>0</v>
      </c>
      <c r="R3085" s="2" t="inlineStr"/>
    </row>
    <row r="3086" ht="15" customHeight="1">
      <c r="A3086" t="inlineStr">
        <is>
          <t>A 38938-2022</t>
        </is>
      </c>
      <c r="B3086" s="1" t="n">
        <v>44816</v>
      </c>
      <c r="C3086" s="1" t="n">
        <v>45744</v>
      </c>
      <c r="D3086" t="inlineStr">
        <is>
          <t>SKÅNE LÄN</t>
        </is>
      </c>
      <c r="E3086" t="inlineStr">
        <is>
          <t>KRISTIANSTAD</t>
        </is>
      </c>
      <c r="F3086" t="inlineStr">
        <is>
          <t>Sveaskog</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39066-2022</t>
        </is>
      </c>
      <c r="B3087" s="1" t="n">
        <v>44816</v>
      </c>
      <c r="C3087" s="1" t="n">
        <v>45744</v>
      </c>
      <c r="D3087" t="inlineStr">
        <is>
          <t>SKÅNE LÄN</t>
        </is>
      </c>
      <c r="E3087" t="inlineStr">
        <is>
          <t>ESLÖV</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39056-2022</t>
        </is>
      </c>
      <c r="B3088" s="1" t="n">
        <v>44816</v>
      </c>
      <c r="C3088" s="1" t="n">
        <v>45744</v>
      </c>
      <c r="D3088" t="inlineStr">
        <is>
          <t>SKÅNE LÄN</t>
        </is>
      </c>
      <c r="E3088" t="inlineStr">
        <is>
          <t>KLIPPAN</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39102-2022</t>
        </is>
      </c>
      <c r="B3089" s="1" t="n">
        <v>44817</v>
      </c>
      <c r="C3089" s="1" t="n">
        <v>45744</v>
      </c>
      <c r="D3089" t="inlineStr">
        <is>
          <t>SKÅNE LÄN</t>
        </is>
      </c>
      <c r="E3089" t="inlineStr">
        <is>
          <t>HÄSSLEHOLM</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39238-2022</t>
        </is>
      </c>
      <c r="B3090" s="1" t="n">
        <v>44817</v>
      </c>
      <c r="C3090" s="1" t="n">
        <v>45744</v>
      </c>
      <c r="D3090" t="inlineStr">
        <is>
          <t>SKÅNE LÄN</t>
        </is>
      </c>
      <c r="E3090" t="inlineStr">
        <is>
          <t>KLIPPAN</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39244-2022</t>
        </is>
      </c>
      <c r="B3091" s="1" t="n">
        <v>44817</v>
      </c>
      <c r="C3091" s="1" t="n">
        <v>45744</v>
      </c>
      <c r="D3091" t="inlineStr">
        <is>
          <t>SKÅNE LÄN</t>
        </is>
      </c>
      <c r="E3091" t="inlineStr">
        <is>
          <t>KLIPPAN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39266-2022</t>
        </is>
      </c>
      <c r="B3092" s="1" t="n">
        <v>44817</v>
      </c>
      <c r="C3092" s="1" t="n">
        <v>45744</v>
      </c>
      <c r="D3092" t="inlineStr">
        <is>
          <t>SKÅNE LÄN</t>
        </is>
      </c>
      <c r="E3092" t="inlineStr">
        <is>
          <t>HÖÖR</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39567-2022</t>
        </is>
      </c>
      <c r="B3093" s="1" t="n">
        <v>44817</v>
      </c>
      <c r="C3093" s="1" t="n">
        <v>45744</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40181-2022</t>
        </is>
      </c>
      <c r="B3094" s="1" t="n">
        <v>44818</v>
      </c>
      <c r="C3094" s="1" t="n">
        <v>45744</v>
      </c>
      <c r="D3094" t="inlineStr">
        <is>
          <t>SKÅNE LÄN</t>
        </is>
      </c>
      <c r="E3094" t="inlineStr">
        <is>
          <t>KRISTIANSTAD</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40037-2022</t>
        </is>
      </c>
      <c r="B3095" s="1" t="n">
        <v>44818</v>
      </c>
      <c r="C3095" s="1" t="n">
        <v>45744</v>
      </c>
      <c r="D3095" t="inlineStr">
        <is>
          <t>SKÅNE LÄN</t>
        </is>
      </c>
      <c r="E3095" t="inlineStr">
        <is>
          <t>KRISTIANSTAD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39844-2022</t>
        </is>
      </c>
      <c r="B3096" s="1" t="n">
        <v>44819</v>
      </c>
      <c r="C3096" s="1" t="n">
        <v>45744</v>
      </c>
      <c r="D3096" t="inlineStr">
        <is>
          <t>SKÅNE LÄN</t>
        </is>
      </c>
      <c r="E3096" t="inlineStr">
        <is>
          <t>HÖRBY</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39849-2022</t>
        </is>
      </c>
      <c r="B3097" s="1" t="n">
        <v>44819</v>
      </c>
      <c r="C3097" s="1" t="n">
        <v>45744</v>
      </c>
      <c r="D3097" t="inlineStr">
        <is>
          <t>SKÅNE LÄN</t>
        </is>
      </c>
      <c r="E3097" t="inlineStr">
        <is>
          <t>HÖRBY</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40202-2022</t>
        </is>
      </c>
      <c r="B3098" s="1" t="n">
        <v>44820</v>
      </c>
      <c r="C3098" s="1" t="n">
        <v>45744</v>
      </c>
      <c r="D3098" t="inlineStr">
        <is>
          <t>SKÅNE LÄN</t>
        </is>
      </c>
      <c r="E3098" t="inlineStr">
        <is>
          <t>HÄSSLEHOLM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40199-2022</t>
        </is>
      </c>
      <c r="B3099" s="1" t="n">
        <v>44820</v>
      </c>
      <c r="C3099" s="1" t="n">
        <v>45744</v>
      </c>
      <c r="D3099" t="inlineStr">
        <is>
          <t>SKÅNE LÄN</t>
        </is>
      </c>
      <c r="E3099" t="inlineStr">
        <is>
          <t>HÄSSLEHOLM</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40139-2022</t>
        </is>
      </c>
      <c r="B3100" s="1" t="n">
        <v>44820</v>
      </c>
      <c r="C3100" s="1" t="n">
        <v>45744</v>
      </c>
      <c r="D3100" t="inlineStr">
        <is>
          <t>SKÅNE LÄN</t>
        </is>
      </c>
      <c r="E3100" t="inlineStr">
        <is>
          <t>ÖSTRA GÖINGE</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40190-2022</t>
        </is>
      </c>
      <c r="B3101" s="1" t="n">
        <v>44820</v>
      </c>
      <c r="C3101" s="1" t="n">
        <v>45744</v>
      </c>
      <c r="D3101" t="inlineStr">
        <is>
          <t>SKÅNE LÄN</t>
        </is>
      </c>
      <c r="E3101" t="inlineStr">
        <is>
          <t>ÖRKELLJUNGA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40184-2022</t>
        </is>
      </c>
      <c r="B3102" s="1" t="n">
        <v>44820</v>
      </c>
      <c r="C3102" s="1" t="n">
        <v>45744</v>
      </c>
      <c r="D3102" t="inlineStr">
        <is>
          <t>SKÅNE LÄN</t>
        </is>
      </c>
      <c r="E3102" t="inlineStr">
        <is>
          <t>ÖRKELLJUNGA</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40196-2022</t>
        </is>
      </c>
      <c r="B3103" s="1" t="n">
        <v>44820</v>
      </c>
      <c r="C3103" s="1" t="n">
        <v>45744</v>
      </c>
      <c r="D3103" t="inlineStr">
        <is>
          <t>SKÅNE LÄN</t>
        </is>
      </c>
      <c r="E3103" t="inlineStr">
        <is>
          <t>ÖRKELLJUNGA</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40764-2022</t>
        </is>
      </c>
      <c r="B3104" s="1" t="n">
        <v>44820</v>
      </c>
      <c r="C3104" s="1" t="n">
        <v>45744</v>
      </c>
      <c r="D3104" t="inlineStr">
        <is>
          <t>SKÅNE LÄN</t>
        </is>
      </c>
      <c r="E3104" t="inlineStr">
        <is>
          <t>HÄSSLEHOLM</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40780-2022</t>
        </is>
      </c>
      <c r="B3105" s="1" t="n">
        <v>44820</v>
      </c>
      <c r="C3105" s="1" t="n">
        <v>45744</v>
      </c>
      <c r="D3105" t="inlineStr">
        <is>
          <t>SKÅNE LÄN</t>
        </is>
      </c>
      <c r="E3105" t="inlineStr">
        <is>
          <t>HÄSSLEHOLM</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40795-2022</t>
        </is>
      </c>
      <c r="B3106" s="1" t="n">
        <v>44820</v>
      </c>
      <c r="C3106" s="1" t="n">
        <v>45744</v>
      </c>
      <c r="D3106" t="inlineStr">
        <is>
          <t>SKÅNE LÄN</t>
        </is>
      </c>
      <c r="E3106" t="inlineStr">
        <is>
          <t>KLIPPAN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40886-2022</t>
        </is>
      </c>
      <c r="B3107" s="1" t="n">
        <v>44820</v>
      </c>
      <c r="C3107" s="1" t="n">
        <v>45744</v>
      </c>
      <c r="D3107" t="inlineStr">
        <is>
          <t>SKÅNE LÄN</t>
        </is>
      </c>
      <c r="E3107" t="inlineStr">
        <is>
          <t>HÖÖR</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40768-2022</t>
        </is>
      </c>
      <c r="B3108" s="1" t="n">
        <v>44820</v>
      </c>
      <c r="C3108" s="1" t="n">
        <v>45744</v>
      </c>
      <c r="D3108" t="inlineStr">
        <is>
          <t>SKÅNE LÄN</t>
        </is>
      </c>
      <c r="E3108" t="inlineStr">
        <is>
          <t>HÄSSLEHOLM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40417-2022</t>
        </is>
      </c>
      <c r="B3109" s="1" t="n">
        <v>44823</v>
      </c>
      <c r="C3109" s="1" t="n">
        <v>45744</v>
      </c>
      <c r="D3109" t="inlineStr">
        <is>
          <t>SKÅNE LÄN</t>
        </is>
      </c>
      <c r="E3109" t="inlineStr">
        <is>
          <t>YSTAD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40524-2022</t>
        </is>
      </c>
      <c r="B3110" s="1" t="n">
        <v>44823</v>
      </c>
      <c r="C3110" s="1" t="n">
        <v>45744</v>
      </c>
      <c r="D3110" t="inlineStr">
        <is>
          <t>SKÅNE LÄN</t>
        </is>
      </c>
      <c r="E3110" t="inlineStr">
        <is>
          <t>OSBY</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40584-2022</t>
        </is>
      </c>
      <c r="B3111" s="1" t="n">
        <v>44823</v>
      </c>
      <c r="C3111" s="1" t="n">
        <v>45744</v>
      </c>
      <c r="D3111" t="inlineStr">
        <is>
          <t>SKÅNE LÄN</t>
        </is>
      </c>
      <c r="E3111" t="inlineStr">
        <is>
          <t>OSBY</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40974-2022</t>
        </is>
      </c>
      <c r="B3112" s="1" t="n">
        <v>44823</v>
      </c>
      <c r="C3112" s="1" t="n">
        <v>45744</v>
      </c>
      <c r="D3112" t="inlineStr">
        <is>
          <t>SKÅNE LÄN</t>
        </is>
      </c>
      <c r="E3112" t="inlineStr">
        <is>
          <t>KRISTIANSTAD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40719-2022</t>
        </is>
      </c>
      <c r="B3113" s="1" t="n">
        <v>44824</v>
      </c>
      <c r="C3113" s="1" t="n">
        <v>45744</v>
      </c>
      <c r="D3113" t="inlineStr">
        <is>
          <t>SKÅNE LÄN</t>
        </is>
      </c>
      <c r="E3113" t="inlineStr">
        <is>
          <t>BROMÖLLA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40712-2022</t>
        </is>
      </c>
      <c r="B3114" s="1" t="n">
        <v>44824</v>
      </c>
      <c r="C3114" s="1" t="n">
        <v>45744</v>
      </c>
      <c r="D3114" t="inlineStr">
        <is>
          <t>SKÅNE LÄN</t>
        </is>
      </c>
      <c r="E3114" t="inlineStr">
        <is>
          <t>KRISTIANSTAD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40762-2022</t>
        </is>
      </c>
      <c r="B3115" s="1" t="n">
        <v>44824</v>
      </c>
      <c r="C3115" s="1" t="n">
        <v>45744</v>
      </c>
      <c r="D3115" t="inlineStr">
        <is>
          <t>SKÅNE LÄN</t>
        </is>
      </c>
      <c r="E3115" t="inlineStr">
        <is>
          <t>KRISTIANSTAD</t>
        </is>
      </c>
      <c r="F3115" t="inlineStr">
        <is>
          <t>Övriga Aktiebolag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40661-2022</t>
        </is>
      </c>
      <c r="B3116" s="1" t="n">
        <v>44824</v>
      </c>
      <c r="C3116" s="1" t="n">
        <v>45744</v>
      </c>
      <c r="D3116" t="inlineStr">
        <is>
          <t>SKÅNE LÄN</t>
        </is>
      </c>
      <c r="E3116" t="inlineStr">
        <is>
          <t>KRISTIANSTAD</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40695-2022</t>
        </is>
      </c>
      <c r="B3117" s="1" t="n">
        <v>44824</v>
      </c>
      <c r="C3117" s="1" t="n">
        <v>45744</v>
      </c>
      <c r="D3117" t="inlineStr">
        <is>
          <t>SKÅNE LÄN</t>
        </is>
      </c>
      <c r="E3117" t="inlineStr">
        <is>
          <t>BROMÖLLA</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41042-2022</t>
        </is>
      </c>
      <c r="B3118" s="1" t="n">
        <v>44825</v>
      </c>
      <c r="C3118" s="1" t="n">
        <v>45744</v>
      </c>
      <c r="D3118" t="inlineStr">
        <is>
          <t>SKÅNE LÄN</t>
        </is>
      </c>
      <c r="E3118" t="inlineStr">
        <is>
          <t>BROMÖLLA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41272-2022</t>
        </is>
      </c>
      <c r="B3119" s="1" t="n">
        <v>44825</v>
      </c>
      <c r="C3119" s="1" t="n">
        <v>45744</v>
      </c>
      <c r="D3119" t="inlineStr">
        <is>
          <t>SKÅNE LÄN</t>
        </is>
      </c>
      <c r="E3119" t="inlineStr">
        <is>
          <t>KLIPPAN</t>
        </is>
      </c>
      <c r="F3119" t="inlineStr">
        <is>
          <t>Övriga Aktiebolag</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41268-2022</t>
        </is>
      </c>
      <c r="B3120" s="1" t="n">
        <v>44825</v>
      </c>
      <c r="C3120" s="1" t="n">
        <v>45744</v>
      </c>
      <c r="D3120" t="inlineStr">
        <is>
          <t>SKÅNE LÄN</t>
        </is>
      </c>
      <c r="E3120" t="inlineStr">
        <is>
          <t>KLIPPAN</t>
        </is>
      </c>
      <c r="F3120" t="inlineStr">
        <is>
          <t>Övriga Aktiebolag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41294-2022</t>
        </is>
      </c>
      <c r="B3121" s="1" t="n">
        <v>44825</v>
      </c>
      <c r="C3121" s="1" t="n">
        <v>45744</v>
      </c>
      <c r="D3121" t="inlineStr">
        <is>
          <t>SKÅNE LÄN</t>
        </is>
      </c>
      <c r="E3121" t="inlineStr">
        <is>
          <t>KLIPPAN</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41230-2022</t>
        </is>
      </c>
      <c r="B3122" s="1" t="n">
        <v>44826</v>
      </c>
      <c r="C3122" s="1" t="n">
        <v>45744</v>
      </c>
      <c r="D3122" t="inlineStr">
        <is>
          <t>SKÅNE LÄN</t>
        </is>
      </c>
      <c r="E3122" t="inlineStr">
        <is>
          <t>ÖRKELLJUNGA</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41375-2022</t>
        </is>
      </c>
      <c r="B3123" s="1" t="n">
        <v>44826</v>
      </c>
      <c r="C3123" s="1" t="n">
        <v>45744</v>
      </c>
      <c r="D3123" t="inlineStr">
        <is>
          <t>SKÅNE LÄN</t>
        </is>
      </c>
      <c r="E3123" t="inlineStr">
        <is>
          <t>OSBY</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41459-2022</t>
        </is>
      </c>
      <c r="B3124" s="1" t="n">
        <v>44827</v>
      </c>
      <c r="C3124" s="1" t="n">
        <v>45744</v>
      </c>
      <c r="D3124" t="inlineStr">
        <is>
          <t>SKÅNE LÄN</t>
        </is>
      </c>
      <c r="E3124" t="inlineStr">
        <is>
          <t>HÄSSLEHOLM</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41537-2022</t>
        </is>
      </c>
      <c r="B3125" s="1" t="n">
        <v>44826</v>
      </c>
      <c r="C3125" s="1" t="n">
        <v>45744</v>
      </c>
      <c r="D3125" t="inlineStr">
        <is>
          <t>SKÅNE LÄN</t>
        </is>
      </c>
      <c r="E3125" t="inlineStr">
        <is>
          <t>OSBY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41548-2022</t>
        </is>
      </c>
      <c r="B3126" s="1" t="n">
        <v>44826</v>
      </c>
      <c r="C3126" s="1" t="n">
        <v>45744</v>
      </c>
      <c r="D3126" t="inlineStr">
        <is>
          <t>SKÅNE LÄN</t>
        </is>
      </c>
      <c r="E3126" t="inlineStr">
        <is>
          <t>ÖSTRA GÖINGE</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41547-2022</t>
        </is>
      </c>
      <c r="B3127" s="1" t="n">
        <v>44826</v>
      </c>
      <c r="C3127" s="1" t="n">
        <v>45744</v>
      </c>
      <c r="D3127" t="inlineStr">
        <is>
          <t>SKÅNE LÄN</t>
        </is>
      </c>
      <c r="E3127" t="inlineStr">
        <is>
          <t>OSBY</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41557-2022</t>
        </is>
      </c>
      <c r="B3128" s="1" t="n">
        <v>44827</v>
      </c>
      <c r="C3128" s="1" t="n">
        <v>45744</v>
      </c>
      <c r="D3128" t="inlineStr">
        <is>
          <t>SKÅNE LÄN</t>
        </is>
      </c>
      <c r="E3128" t="inlineStr">
        <is>
          <t>OSBY</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41560-2022</t>
        </is>
      </c>
      <c r="B3129" s="1" t="n">
        <v>44827</v>
      </c>
      <c r="C3129" s="1" t="n">
        <v>45744</v>
      </c>
      <c r="D3129" t="inlineStr">
        <is>
          <t>SKÅNE LÄN</t>
        </is>
      </c>
      <c r="E3129" t="inlineStr">
        <is>
          <t>OSBY</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41725-2022</t>
        </is>
      </c>
      <c r="B3130" s="1" t="n">
        <v>44827</v>
      </c>
      <c r="C3130" s="1" t="n">
        <v>45744</v>
      </c>
      <c r="D3130" t="inlineStr">
        <is>
          <t>SKÅNE LÄN</t>
        </is>
      </c>
      <c r="E3130" t="inlineStr">
        <is>
          <t>ÄNGELHOLM</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41682-2022</t>
        </is>
      </c>
      <c r="B3131" s="1" t="n">
        <v>44827</v>
      </c>
      <c r="C3131" s="1" t="n">
        <v>45744</v>
      </c>
      <c r="D3131" t="inlineStr">
        <is>
          <t>SKÅNE LÄN</t>
        </is>
      </c>
      <c r="E3131" t="inlineStr">
        <is>
          <t>ESLÖV</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41769-2022</t>
        </is>
      </c>
      <c r="B3132" s="1" t="n">
        <v>44827</v>
      </c>
      <c r="C3132" s="1" t="n">
        <v>45744</v>
      </c>
      <c r="D3132" t="inlineStr">
        <is>
          <t>SKÅNE LÄN</t>
        </is>
      </c>
      <c r="E3132" t="inlineStr">
        <is>
          <t>ÄNGELHOLM</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41764-2022</t>
        </is>
      </c>
      <c r="B3133" s="1" t="n">
        <v>44827</v>
      </c>
      <c r="C3133" s="1" t="n">
        <v>45744</v>
      </c>
      <c r="D3133" t="inlineStr">
        <is>
          <t>SKÅNE LÄN</t>
        </is>
      </c>
      <c r="E3133" t="inlineStr">
        <is>
          <t>ÄNGELHOLM</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42016-2022</t>
        </is>
      </c>
      <c r="B3134" s="1" t="n">
        <v>44827</v>
      </c>
      <c r="C3134" s="1" t="n">
        <v>45744</v>
      </c>
      <c r="D3134" t="inlineStr">
        <is>
          <t>SKÅNE LÄN</t>
        </is>
      </c>
      <c r="E3134" t="inlineStr">
        <is>
          <t>SIMRISHAMN</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42034-2022</t>
        </is>
      </c>
      <c r="B3135" s="1" t="n">
        <v>44830</v>
      </c>
      <c r="C3135" s="1" t="n">
        <v>45744</v>
      </c>
      <c r="D3135" t="inlineStr">
        <is>
          <t>SKÅNE LÄN</t>
        </is>
      </c>
      <c r="E3135" t="inlineStr">
        <is>
          <t>OSBY</t>
        </is>
      </c>
      <c r="G3135" t="n">
        <v>0.1</v>
      </c>
      <c r="H3135" t="n">
        <v>0</v>
      </c>
      <c r="I3135" t="n">
        <v>0</v>
      </c>
      <c r="J3135" t="n">
        <v>0</v>
      </c>
      <c r="K3135" t="n">
        <v>0</v>
      </c>
      <c r="L3135" t="n">
        <v>0</v>
      </c>
      <c r="M3135" t="n">
        <v>0</v>
      </c>
      <c r="N3135" t="n">
        <v>0</v>
      </c>
      <c r="O3135" t="n">
        <v>0</v>
      </c>
      <c r="P3135" t="n">
        <v>0</v>
      </c>
      <c r="Q3135" t="n">
        <v>0</v>
      </c>
      <c r="R3135" s="2" t="inlineStr"/>
    </row>
    <row r="3136" ht="15" customHeight="1">
      <c r="A3136" t="inlineStr">
        <is>
          <t>A 42153-2022</t>
        </is>
      </c>
      <c r="B3136" s="1" t="n">
        <v>44830</v>
      </c>
      <c r="C3136" s="1" t="n">
        <v>45744</v>
      </c>
      <c r="D3136" t="inlineStr">
        <is>
          <t>SKÅNE LÄN</t>
        </is>
      </c>
      <c r="E3136" t="inlineStr">
        <is>
          <t>OSBY</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42031-2022</t>
        </is>
      </c>
      <c r="B3137" s="1" t="n">
        <v>44830</v>
      </c>
      <c r="C3137" s="1" t="n">
        <v>45744</v>
      </c>
      <c r="D3137" t="inlineStr">
        <is>
          <t>SKÅNE LÄN</t>
        </is>
      </c>
      <c r="E3137" t="inlineStr">
        <is>
          <t>OSBY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42105-2022</t>
        </is>
      </c>
      <c r="B3138" s="1" t="n">
        <v>44830</v>
      </c>
      <c r="C3138" s="1" t="n">
        <v>45744</v>
      </c>
      <c r="D3138" t="inlineStr">
        <is>
          <t>SKÅNE LÄN</t>
        </is>
      </c>
      <c r="E3138" t="inlineStr">
        <is>
          <t>ÄNGELHOLM</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42232-2022</t>
        </is>
      </c>
      <c r="B3139" s="1" t="n">
        <v>44830</v>
      </c>
      <c r="C3139" s="1" t="n">
        <v>45744</v>
      </c>
      <c r="D3139" t="inlineStr">
        <is>
          <t>SKÅNE LÄN</t>
        </is>
      </c>
      <c r="E3139" t="inlineStr">
        <is>
          <t>HÄSSLEHOLM</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42231-2022</t>
        </is>
      </c>
      <c r="B3140" s="1" t="n">
        <v>44830</v>
      </c>
      <c r="C3140" s="1" t="n">
        <v>45744</v>
      </c>
      <c r="D3140" t="inlineStr">
        <is>
          <t>SKÅNE LÄN</t>
        </is>
      </c>
      <c r="E3140" t="inlineStr">
        <is>
          <t>HÄSSLEHOLM</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42387-2022</t>
        </is>
      </c>
      <c r="B3141" s="1" t="n">
        <v>44830</v>
      </c>
      <c r="C3141" s="1" t="n">
        <v>45744</v>
      </c>
      <c r="D3141" t="inlineStr">
        <is>
          <t>SKÅNE LÄN</t>
        </is>
      </c>
      <c r="E3141" t="inlineStr">
        <is>
          <t>TOMELILLA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42497-2022</t>
        </is>
      </c>
      <c r="B3142" s="1" t="n">
        <v>44831</v>
      </c>
      <c r="C3142" s="1" t="n">
        <v>45744</v>
      </c>
      <c r="D3142" t="inlineStr">
        <is>
          <t>SKÅNE LÄN</t>
        </is>
      </c>
      <c r="E3142" t="inlineStr">
        <is>
          <t>OSBY</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42428-2022</t>
        </is>
      </c>
      <c r="B3143" s="1" t="n">
        <v>44831</v>
      </c>
      <c r="C3143" s="1" t="n">
        <v>45744</v>
      </c>
      <c r="D3143" t="inlineStr">
        <is>
          <t>SKÅNE LÄN</t>
        </is>
      </c>
      <c r="E3143" t="inlineStr">
        <is>
          <t>HÄSSLEHOLM</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42617-2022</t>
        </is>
      </c>
      <c r="B3144" s="1" t="n">
        <v>44831</v>
      </c>
      <c r="C3144" s="1" t="n">
        <v>45744</v>
      </c>
      <c r="D3144" t="inlineStr">
        <is>
          <t>SKÅNE LÄN</t>
        </is>
      </c>
      <c r="E3144" t="inlineStr">
        <is>
          <t>SVALÖV</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42748-2022</t>
        </is>
      </c>
      <c r="B3145" s="1" t="n">
        <v>44831</v>
      </c>
      <c r="C3145" s="1" t="n">
        <v>45744</v>
      </c>
      <c r="D3145" t="inlineStr">
        <is>
          <t>SKÅNE LÄN</t>
        </is>
      </c>
      <c r="E3145" t="inlineStr">
        <is>
          <t>BROMÖLLA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42751-2022</t>
        </is>
      </c>
      <c r="B3146" s="1" t="n">
        <v>44832</v>
      </c>
      <c r="C3146" s="1" t="n">
        <v>45744</v>
      </c>
      <c r="D3146" t="inlineStr">
        <is>
          <t>SKÅNE LÄN</t>
        </is>
      </c>
      <c r="E3146" t="inlineStr">
        <is>
          <t>OSBY</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42692-2022</t>
        </is>
      </c>
      <c r="B3147" s="1" t="n">
        <v>44832</v>
      </c>
      <c r="C3147" s="1" t="n">
        <v>45744</v>
      </c>
      <c r="D3147" t="inlineStr">
        <is>
          <t>SKÅNE LÄN</t>
        </is>
      </c>
      <c r="E3147" t="inlineStr">
        <is>
          <t>HÖÖR</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42925-2022</t>
        </is>
      </c>
      <c r="B3148" s="1" t="n">
        <v>44833</v>
      </c>
      <c r="C3148" s="1" t="n">
        <v>45744</v>
      </c>
      <c r="D3148" t="inlineStr">
        <is>
          <t>SKÅNE LÄN</t>
        </is>
      </c>
      <c r="E3148" t="inlineStr">
        <is>
          <t>HÄSSLEHOLM</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42963-2022</t>
        </is>
      </c>
      <c r="B3149" s="1" t="n">
        <v>44833</v>
      </c>
      <c r="C3149" s="1" t="n">
        <v>45744</v>
      </c>
      <c r="D3149" t="inlineStr">
        <is>
          <t>SKÅNE LÄN</t>
        </is>
      </c>
      <c r="E3149" t="inlineStr">
        <is>
          <t>BROMÖLLA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43004-2022</t>
        </is>
      </c>
      <c r="B3150" s="1" t="n">
        <v>44833</v>
      </c>
      <c r="C3150" s="1" t="n">
        <v>45744</v>
      </c>
      <c r="D3150" t="inlineStr">
        <is>
          <t>SKÅNE LÄN</t>
        </is>
      </c>
      <c r="E3150" t="inlineStr">
        <is>
          <t>ÖSTRA GÖINGE</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42906-2022</t>
        </is>
      </c>
      <c r="B3151" s="1" t="n">
        <v>44833</v>
      </c>
      <c r="C3151" s="1" t="n">
        <v>45744</v>
      </c>
      <c r="D3151" t="inlineStr">
        <is>
          <t>SKÅNE LÄN</t>
        </is>
      </c>
      <c r="E3151" t="inlineStr">
        <is>
          <t>HÄSSLEHOLM</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41940-2022</t>
        </is>
      </c>
      <c r="B3152" s="1" t="n">
        <v>44833</v>
      </c>
      <c r="C3152" s="1" t="n">
        <v>45744</v>
      </c>
      <c r="D3152" t="inlineStr">
        <is>
          <t>SKÅNE LÄN</t>
        </is>
      </c>
      <c r="E3152" t="inlineStr">
        <is>
          <t>KRISTIANSTAD</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43114-2022</t>
        </is>
      </c>
      <c r="B3153" s="1" t="n">
        <v>44833</v>
      </c>
      <c r="C3153" s="1" t="n">
        <v>45744</v>
      </c>
      <c r="D3153" t="inlineStr">
        <is>
          <t>SKÅNE LÄN</t>
        </is>
      </c>
      <c r="E3153" t="inlineStr">
        <is>
          <t>SIMRISHAMN</t>
        </is>
      </c>
      <c r="F3153" t="inlineStr">
        <is>
          <t>Övriga Aktiebolag</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43175-2022</t>
        </is>
      </c>
      <c r="B3154" s="1" t="n">
        <v>44834</v>
      </c>
      <c r="C3154" s="1" t="n">
        <v>45744</v>
      </c>
      <c r="D3154" t="inlineStr">
        <is>
          <t>SKÅNE LÄN</t>
        </is>
      </c>
      <c r="E3154" t="inlineStr">
        <is>
          <t>OSBY</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43380-2022</t>
        </is>
      </c>
      <c r="B3155" s="1" t="n">
        <v>44834</v>
      </c>
      <c r="C3155" s="1" t="n">
        <v>45744</v>
      </c>
      <c r="D3155" t="inlineStr">
        <is>
          <t>SKÅNE LÄN</t>
        </is>
      </c>
      <c r="E3155" t="inlineStr">
        <is>
          <t>HÖRBY</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43389-2022</t>
        </is>
      </c>
      <c r="B3156" s="1" t="n">
        <v>44834</v>
      </c>
      <c r="C3156" s="1" t="n">
        <v>45744</v>
      </c>
      <c r="D3156" t="inlineStr">
        <is>
          <t>SKÅNE LÄN</t>
        </is>
      </c>
      <c r="E3156" t="inlineStr">
        <is>
          <t>HÖRBY</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43392-2022</t>
        </is>
      </c>
      <c r="B3157" s="1" t="n">
        <v>44834</v>
      </c>
      <c r="C3157" s="1" t="n">
        <v>45744</v>
      </c>
      <c r="D3157" t="inlineStr">
        <is>
          <t>SKÅNE LÄN</t>
        </is>
      </c>
      <c r="E3157" t="inlineStr">
        <is>
          <t>HÖRBY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43663-2022</t>
        </is>
      </c>
      <c r="B3158" s="1" t="n">
        <v>44837</v>
      </c>
      <c r="C3158" s="1" t="n">
        <v>45744</v>
      </c>
      <c r="D3158" t="inlineStr">
        <is>
          <t>SKÅNE LÄN</t>
        </is>
      </c>
      <c r="E3158" t="inlineStr">
        <is>
          <t>KRISTIANSTAD</t>
        </is>
      </c>
      <c r="F3158" t="inlineStr">
        <is>
          <t>Övriga Aktiebolag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43674-2022</t>
        </is>
      </c>
      <c r="B3159" s="1" t="n">
        <v>44837</v>
      </c>
      <c r="C3159" s="1" t="n">
        <v>45744</v>
      </c>
      <c r="D3159" t="inlineStr">
        <is>
          <t>SKÅNE LÄN</t>
        </is>
      </c>
      <c r="E3159" t="inlineStr">
        <is>
          <t>ÖRKELLJUNGA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43682-2022</t>
        </is>
      </c>
      <c r="B3160" s="1" t="n">
        <v>44837</v>
      </c>
      <c r="C3160" s="1" t="n">
        <v>45744</v>
      </c>
      <c r="D3160" t="inlineStr">
        <is>
          <t>SKÅNE LÄN</t>
        </is>
      </c>
      <c r="E3160" t="inlineStr">
        <is>
          <t>HÖRBY</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43692-2022</t>
        </is>
      </c>
      <c r="B3161" s="1" t="n">
        <v>44837</v>
      </c>
      <c r="C3161" s="1" t="n">
        <v>45744</v>
      </c>
      <c r="D3161" t="inlineStr">
        <is>
          <t>SKÅNE LÄN</t>
        </is>
      </c>
      <c r="E3161" t="inlineStr">
        <is>
          <t>KLIPPAN</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43689-2022</t>
        </is>
      </c>
      <c r="B3162" s="1" t="n">
        <v>44837</v>
      </c>
      <c r="C3162" s="1" t="n">
        <v>45744</v>
      </c>
      <c r="D3162" t="inlineStr">
        <is>
          <t>SKÅNE LÄN</t>
        </is>
      </c>
      <c r="E3162" t="inlineStr">
        <is>
          <t>KLIPPAN</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43685-2022</t>
        </is>
      </c>
      <c r="B3163" s="1" t="n">
        <v>44837</v>
      </c>
      <c r="C3163" s="1" t="n">
        <v>45744</v>
      </c>
      <c r="D3163" t="inlineStr">
        <is>
          <t>SKÅNE LÄN</t>
        </is>
      </c>
      <c r="E3163" t="inlineStr">
        <is>
          <t>HÖRBY</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43865-2022</t>
        </is>
      </c>
      <c r="B3164" s="1" t="n">
        <v>44838</v>
      </c>
      <c r="C3164" s="1" t="n">
        <v>45744</v>
      </c>
      <c r="D3164" t="inlineStr">
        <is>
          <t>SKÅNE LÄN</t>
        </is>
      </c>
      <c r="E3164" t="inlineStr">
        <is>
          <t>KRISTIANSTAD</t>
        </is>
      </c>
      <c r="F3164" t="inlineStr">
        <is>
          <t>Sveaskog</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43874-2022</t>
        </is>
      </c>
      <c r="B3165" s="1" t="n">
        <v>44838</v>
      </c>
      <c r="C3165" s="1" t="n">
        <v>45744</v>
      </c>
      <c r="D3165" t="inlineStr">
        <is>
          <t>SKÅNE LÄN</t>
        </is>
      </c>
      <c r="E3165" t="inlineStr">
        <is>
          <t>HÄSSLEHOLM</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43884-2022</t>
        </is>
      </c>
      <c r="B3166" s="1" t="n">
        <v>44838</v>
      </c>
      <c r="C3166" s="1" t="n">
        <v>45744</v>
      </c>
      <c r="D3166" t="inlineStr">
        <is>
          <t>SKÅNE LÄN</t>
        </is>
      </c>
      <c r="E3166" t="inlineStr">
        <is>
          <t>HÖÖR</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43897-2022</t>
        </is>
      </c>
      <c r="B3167" s="1" t="n">
        <v>44838</v>
      </c>
      <c r="C3167" s="1" t="n">
        <v>45744</v>
      </c>
      <c r="D3167" t="inlineStr">
        <is>
          <t>SKÅNE LÄN</t>
        </is>
      </c>
      <c r="E3167" t="inlineStr">
        <is>
          <t>HÖÖR</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43931-2022</t>
        </is>
      </c>
      <c r="B3168" s="1" t="n">
        <v>44838</v>
      </c>
      <c r="C3168" s="1" t="n">
        <v>45744</v>
      </c>
      <c r="D3168" t="inlineStr">
        <is>
          <t>SKÅNE LÄN</t>
        </is>
      </c>
      <c r="E3168" t="inlineStr">
        <is>
          <t>OSBY</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43996-2022</t>
        </is>
      </c>
      <c r="B3169" s="1" t="n">
        <v>44838</v>
      </c>
      <c r="C3169" s="1" t="n">
        <v>45744</v>
      </c>
      <c r="D3169" t="inlineStr">
        <is>
          <t>SKÅNE LÄN</t>
        </is>
      </c>
      <c r="E3169" t="inlineStr">
        <is>
          <t>HÖÖR</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43871-2022</t>
        </is>
      </c>
      <c r="B3170" s="1" t="n">
        <v>44838</v>
      </c>
      <c r="C3170" s="1" t="n">
        <v>45744</v>
      </c>
      <c r="D3170" t="inlineStr">
        <is>
          <t>SKÅNE LÄN</t>
        </is>
      </c>
      <c r="E3170" t="inlineStr">
        <is>
          <t>HÖÖR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43950-2022</t>
        </is>
      </c>
      <c r="B3171" s="1" t="n">
        <v>44838</v>
      </c>
      <c r="C3171" s="1" t="n">
        <v>45744</v>
      </c>
      <c r="D3171" t="inlineStr">
        <is>
          <t>SKÅNE LÄN</t>
        </is>
      </c>
      <c r="E3171" t="inlineStr">
        <is>
          <t>HÄSSLEHOLM</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43849-2022</t>
        </is>
      </c>
      <c r="B3172" s="1" t="n">
        <v>44838</v>
      </c>
      <c r="C3172" s="1" t="n">
        <v>45744</v>
      </c>
      <c r="D3172" t="inlineStr">
        <is>
          <t>SKÅNE LÄN</t>
        </is>
      </c>
      <c r="E3172" t="inlineStr">
        <is>
          <t>ÖSTRA GÖINGE</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43855-2022</t>
        </is>
      </c>
      <c r="B3173" s="1" t="n">
        <v>44838</v>
      </c>
      <c r="C3173" s="1" t="n">
        <v>45744</v>
      </c>
      <c r="D3173" t="inlineStr">
        <is>
          <t>SKÅNE LÄN</t>
        </is>
      </c>
      <c r="E3173" t="inlineStr">
        <is>
          <t>KLIPPAN</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43868-2022</t>
        </is>
      </c>
      <c r="B3174" s="1" t="n">
        <v>44838</v>
      </c>
      <c r="C3174" s="1" t="n">
        <v>45744</v>
      </c>
      <c r="D3174" t="inlineStr">
        <is>
          <t>SKÅNE LÄN</t>
        </is>
      </c>
      <c r="E3174" t="inlineStr">
        <is>
          <t>KRISTIANSTAD</t>
        </is>
      </c>
      <c r="F3174" t="inlineStr">
        <is>
          <t>Sveaskog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43877-2022</t>
        </is>
      </c>
      <c r="B3175" s="1" t="n">
        <v>44838</v>
      </c>
      <c r="C3175" s="1" t="n">
        <v>45744</v>
      </c>
      <c r="D3175" t="inlineStr">
        <is>
          <t>SKÅNE LÄN</t>
        </is>
      </c>
      <c r="E3175" t="inlineStr">
        <is>
          <t>HÖÖR</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43891-2022</t>
        </is>
      </c>
      <c r="B3176" s="1" t="n">
        <v>44838</v>
      </c>
      <c r="C3176" s="1" t="n">
        <v>45744</v>
      </c>
      <c r="D3176" t="inlineStr">
        <is>
          <t>SKÅNE LÄN</t>
        </is>
      </c>
      <c r="E3176" t="inlineStr">
        <is>
          <t>HÖÖR</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44062-2022</t>
        </is>
      </c>
      <c r="B3177" s="1" t="n">
        <v>44839</v>
      </c>
      <c r="C3177" s="1" t="n">
        <v>45744</v>
      </c>
      <c r="D3177" t="inlineStr">
        <is>
          <t>SKÅNE LÄN</t>
        </is>
      </c>
      <c r="E3177" t="inlineStr">
        <is>
          <t>ÄNGELHOLM</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44060-2022</t>
        </is>
      </c>
      <c r="B3178" s="1" t="n">
        <v>44839</v>
      </c>
      <c r="C3178" s="1" t="n">
        <v>45744</v>
      </c>
      <c r="D3178" t="inlineStr">
        <is>
          <t>SKÅNE LÄN</t>
        </is>
      </c>
      <c r="E3178" t="inlineStr">
        <is>
          <t>ÄNGELHOLM</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44247-2022</t>
        </is>
      </c>
      <c r="B3179" s="1" t="n">
        <v>44839</v>
      </c>
      <c r="C3179" s="1" t="n">
        <v>45744</v>
      </c>
      <c r="D3179" t="inlineStr">
        <is>
          <t>SKÅNE LÄN</t>
        </is>
      </c>
      <c r="E3179" t="inlineStr">
        <is>
          <t>ÄNGELHOLM</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44403-2022</t>
        </is>
      </c>
      <c r="B3180" s="1" t="n">
        <v>44839</v>
      </c>
      <c r="C3180" s="1" t="n">
        <v>45744</v>
      </c>
      <c r="D3180" t="inlineStr">
        <is>
          <t>SKÅNE LÄN</t>
        </is>
      </c>
      <c r="E3180" t="inlineStr">
        <is>
          <t>ÖSTRA GÖINGE</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44582-2022</t>
        </is>
      </c>
      <c r="B3181" s="1" t="n">
        <v>44840</v>
      </c>
      <c r="C3181" s="1" t="n">
        <v>45744</v>
      </c>
      <c r="D3181" t="inlineStr">
        <is>
          <t>SKÅNE LÄN</t>
        </is>
      </c>
      <c r="E3181" t="inlineStr">
        <is>
          <t>KRISTIANSTAD</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44473-2022</t>
        </is>
      </c>
      <c r="B3182" s="1" t="n">
        <v>44840</v>
      </c>
      <c r="C3182" s="1" t="n">
        <v>45744</v>
      </c>
      <c r="D3182" t="inlineStr">
        <is>
          <t>SKÅNE LÄN</t>
        </is>
      </c>
      <c r="E3182" t="inlineStr">
        <is>
          <t>ÄNGELHOLM</t>
        </is>
      </c>
      <c r="G3182" t="n">
        <v>0</v>
      </c>
      <c r="H3182" t="n">
        <v>0</v>
      </c>
      <c r="I3182" t="n">
        <v>0</v>
      </c>
      <c r="J3182" t="n">
        <v>0</v>
      </c>
      <c r="K3182" t="n">
        <v>0</v>
      </c>
      <c r="L3182" t="n">
        <v>0</v>
      </c>
      <c r="M3182" t="n">
        <v>0</v>
      </c>
      <c r="N3182" t="n">
        <v>0</v>
      </c>
      <c r="O3182" t="n">
        <v>0</v>
      </c>
      <c r="P3182" t="n">
        <v>0</v>
      </c>
      <c r="Q3182" t="n">
        <v>0</v>
      </c>
      <c r="R3182" s="2" t="inlineStr"/>
    </row>
    <row r="3183" ht="15" customHeight="1">
      <c r="A3183" t="inlineStr">
        <is>
          <t>A 44669-2022</t>
        </is>
      </c>
      <c r="B3183" s="1" t="n">
        <v>44840</v>
      </c>
      <c r="C3183" s="1" t="n">
        <v>45744</v>
      </c>
      <c r="D3183" t="inlineStr">
        <is>
          <t>SKÅNE LÄN</t>
        </is>
      </c>
      <c r="E3183" t="inlineStr">
        <is>
          <t>HÄSSLEHOLM</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44725-2022</t>
        </is>
      </c>
      <c r="B3184" s="1" t="n">
        <v>44840</v>
      </c>
      <c r="C3184" s="1" t="n">
        <v>45744</v>
      </c>
      <c r="D3184" t="inlineStr">
        <is>
          <t>SKÅNE LÄN</t>
        </is>
      </c>
      <c r="E3184" t="inlineStr">
        <is>
          <t>ÖSTRA GÖINGE</t>
        </is>
      </c>
      <c r="G3184" t="n">
        <v>8.300000000000001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44814-2022</t>
        </is>
      </c>
      <c r="B3185" s="1" t="n">
        <v>44841</v>
      </c>
      <c r="C3185" s="1" t="n">
        <v>45744</v>
      </c>
      <c r="D3185" t="inlineStr">
        <is>
          <t>SKÅNE LÄN</t>
        </is>
      </c>
      <c r="E3185" t="inlineStr">
        <is>
          <t>ÖRKELLJUNGA</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44885-2022</t>
        </is>
      </c>
      <c r="B3186" s="1" t="n">
        <v>44841</v>
      </c>
      <c r="C3186" s="1" t="n">
        <v>45744</v>
      </c>
      <c r="D3186" t="inlineStr">
        <is>
          <t>SKÅNE LÄN</t>
        </is>
      </c>
      <c r="E3186" t="inlineStr">
        <is>
          <t>KLIPPAN</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45043-2022</t>
        </is>
      </c>
      <c r="B3187" s="1" t="n">
        <v>44841</v>
      </c>
      <c r="C3187" s="1" t="n">
        <v>45744</v>
      </c>
      <c r="D3187" t="inlineStr">
        <is>
          <t>SKÅNE LÄN</t>
        </is>
      </c>
      <c r="E3187" t="inlineStr">
        <is>
          <t>KRISTIANSTAD</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44837-2022</t>
        </is>
      </c>
      <c r="B3188" s="1" t="n">
        <v>44841</v>
      </c>
      <c r="C3188" s="1" t="n">
        <v>45744</v>
      </c>
      <c r="D3188" t="inlineStr">
        <is>
          <t>SKÅNE LÄN</t>
        </is>
      </c>
      <c r="E3188" t="inlineStr">
        <is>
          <t>ÖSTRA GÖINGE</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44882-2022</t>
        </is>
      </c>
      <c r="B3189" s="1" t="n">
        <v>44841</v>
      </c>
      <c r="C3189" s="1" t="n">
        <v>45744</v>
      </c>
      <c r="D3189" t="inlineStr">
        <is>
          <t>SKÅNE LÄN</t>
        </is>
      </c>
      <c r="E3189" t="inlineStr">
        <is>
          <t>ÖRKELLJUNGA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44891-2022</t>
        </is>
      </c>
      <c r="B3190" s="1" t="n">
        <v>44841</v>
      </c>
      <c r="C3190" s="1" t="n">
        <v>45744</v>
      </c>
      <c r="D3190" t="inlineStr">
        <is>
          <t>SKÅNE LÄN</t>
        </is>
      </c>
      <c r="E3190" t="inlineStr">
        <is>
          <t>KLIPPAN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45063-2022</t>
        </is>
      </c>
      <c r="B3191" s="1" t="n">
        <v>44841</v>
      </c>
      <c r="C3191" s="1" t="n">
        <v>45744</v>
      </c>
      <c r="D3191" t="inlineStr">
        <is>
          <t>SKÅNE LÄN</t>
        </is>
      </c>
      <c r="E3191" t="inlineStr">
        <is>
          <t>ÖRKELLJUNGA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45042-2022</t>
        </is>
      </c>
      <c r="B3192" s="1" t="n">
        <v>44841</v>
      </c>
      <c r="C3192" s="1" t="n">
        <v>45744</v>
      </c>
      <c r="D3192" t="inlineStr">
        <is>
          <t>SKÅNE LÄN</t>
        </is>
      </c>
      <c r="E3192" t="inlineStr">
        <is>
          <t>KRISTIANSTAD</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44880-2022</t>
        </is>
      </c>
      <c r="B3193" s="1" t="n">
        <v>44841</v>
      </c>
      <c r="C3193" s="1" t="n">
        <v>45744</v>
      </c>
      <c r="D3193" t="inlineStr">
        <is>
          <t>SKÅNE LÄN</t>
        </is>
      </c>
      <c r="E3193" t="inlineStr">
        <is>
          <t>ÖRKELLJUNGA</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45108-2022</t>
        </is>
      </c>
      <c r="B3194" s="1" t="n">
        <v>44843</v>
      </c>
      <c r="C3194" s="1" t="n">
        <v>45744</v>
      </c>
      <c r="D3194" t="inlineStr">
        <is>
          <t>SKÅNE LÄN</t>
        </is>
      </c>
      <c r="E3194" t="inlineStr">
        <is>
          <t>OSBY</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45109-2022</t>
        </is>
      </c>
      <c r="B3195" s="1" t="n">
        <v>44843</v>
      </c>
      <c r="C3195" s="1" t="n">
        <v>45744</v>
      </c>
      <c r="D3195" t="inlineStr">
        <is>
          <t>SKÅNE LÄN</t>
        </is>
      </c>
      <c r="E3195" t="inlineStr">
        <is>
          <t>KRISTIANSTAD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45192-2022</t>
        </is>
      </c>
      <c r="B3196" s="1" t="n">
        <v>44844</v>
      </c>
      <c r="C3196" s="1" t="n">
        <v>45744</v>
      </c>
      <c r="D3196" t="inlineStr">
        <is>
          <t>SKÅNE LÄN</t>
        </is>
      </c>
      <c r="E3196" t="inlineStr">
        <is>
          <t>ÖRKELLJUNGA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45214-2022</t>
        </is>
      </c>
      <c r="B3197" s="1" t="n">
        <v>44844</v>
      </c>
      <c r="C3197" s="1" t="n">
        <v>45744</v>
      </c>
      <c r="D3197" t="inlineStr">
        <is>
          <t>SKÅNE LÄN</t>
        </is>
      </c>
      <c r="E3197" t="inlineStr">
        <is>
          <t>SJÖBO</t>
        </is>
      </c>
      <c r="G3197" t="n">
        <v>0</v>
      </c>
      <c r="H3197" t="n">
        <v>0</v>
      </c>
      <c r="I3197" t="n">
        <v>0</v>
      </c>
      <c r="J3197" t="n">
        <v>0</v>
      </c>
      <c r="K3197" t="n">
        <v>0</v>
      </c>
      <c r="L3197" t="n">
        <v>0</v>
      </c>
      <c r="M3197" t="n">
        <v>0</v>
      </c>
      <c r="N3197" t="n">
        <v>0</v>
      </c>
      <c r="O3197" t="n">
        <v>0</v>
      </c>
      <c r="P3197" t="n">
        <v>0</v>
      </c>
      <c r="Q3197" t="n">
        <v>0</v>
      </c>
      <c r="R3197" s="2" t="inlineStr"/>
    </row>
    <row r="3198" ht="15" customHeight="1">
      <c r="A3198" t="inlineStr">
        <is>
          <t>A 45330-2022</t>
        </is>
      </c>
      <c r="B3198" s="1" t="n">
        <v>44844</v>
      </c>
      <c r="C3198" s="1" t="n">
        <v>45744</v>
      </c>
      <c r="D3198" t="inlineStr">
        <is>
          <t>SKÅNE LÄN</t>
        </is>
      </c>
      <c r="E3198" t="inlineStr">
        <is>
          <t>HÖRBY</t>
        </is>
      </c>
      <c r="F3198" t="inlineStr">
        <is>
          <t>Sveaskog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45400-2022</t>
        </is>
      </c>
      <c r="B3199" s="1" t="n">
        <v>44844</v>
      </c>
      <c r="C3199" s="1" t="n">
        <v>45744</v>
      </c>
      <c r="D3199" t="inlineStr">
        <is>
          <t>SKÅNE LÄN</t>
        </is>
      </c>
      <c r="E3199" t="inlineStr">
        <is>
          <t>HÄSSLEHOLM</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45317-2022</t>
        </is>
      </c>
      <c r="B3200" s="1" t="n">
        <v>44844</v>
      </c>
      <c r="C3200" s="1" t="n">
        <v>45744</v>
      </c>
      <c r="D3200" t="inlineStr">
        <is>
          <t>SKÅNE LÄN</t>
        </is>
      </c>
      <c r="E3200" t="inlineStr">
        <is>
          <t>HÖRBY</t>
        </is>
      </c>
      <c r="F3200" t="inlineStr">
        <is>
          <t>Sveaskog</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45288-2022</t>
        </is>
      </c>
      <c r="B3201" s="1" t="n">
        <v>44844</v>
      </c>
      <c r="C3201" s="1" t="n">
        <v>45744</v>
      </c>
      <c r="D3201" t="inlineStr">
        <is>
          <t>SKÅNE LÄN</t>
        </is>
      </c>
      <c r="E3201" t="inlineStr">
        <is>
          <t>ÄNGELHOLM</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45349-2022</t>
        </is>
      </c>
      <c r="B3202" s="1" t="n">
        <v>44844</v>
      </c>
      <c r="C3202" s="1" t="n">
        <v>45744</v>
      </c>
      <c r="D3202" t="inlineStr">
        <is>
          <t>SKÅNE LÄN</t>
        </is>
      </c>
      <c r="E3202" t="inlineStr">
        <is>
          <t>HÄSSLEHOLM</t>
        </is>
      </c>
      <c r="G3202" t="n">
        <v>6.2</v>
      </c>
      <c r="H3202" t="n">
        <v>0</v>
      </c>
      <c r="I3202" t="n">
        <v>0</v>
      </c>
      <c r="J3202" t="n">
        <v>0</v>
      </c>
      <c r="K3202" t="n">
        <v>0</v>
      </c>
      <c r="L3202" t="n">
        <v>0</v>
      </c>
      <c r="M3202" t="n">
        <v>0</v>
      </c>
      <c r="N3202" t="n">
        <v>0</v>
      </c>
      <c r="O3202" t="n">
        <v>0</v>
      </c>
      <c r="P3202" t="n">
        <v>0</v>
      </c>
      <c r="Q3202" t="n">
        <v>0</v>
      </c>
      <c r="R3202" s="2" t="inlineStr"/>
    </row>
    <row r="3203" ht="15" customHeight="1">
      <c r="A3203" t="inlineStr">
        <is>
          <t>A 45357-2022</t>
        </is>
      </c>
      <c r="B3203" s="1" t="n">
        <v>44844</v>
      </c>
      <c r="C3203" s="1" t="n">
        <v>45744</v>
      </c>
      <c r="D3203" t="inlineStr">
        <is>
          <t>SKÅNE LÄN</t>
        </is>
      </c>
      <c r="E3203" t="inlineStr">
        <is>
          <t>HÄSSLEHOLM</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45399-2022</t>
        </is>
      </c>
      <c r="B3204" s="1" t="n">
        <v>44844</v>
      </c>
      <c r="C3204" s="1" t="n">
        <v>45744</v>
      </c>
      <c r="D3204" t="inlineStr">
        <is>
          <t>SKÅNE LÄN</t>
        </is>
      </c>
      <c r="E3204" t="inlineStr">
        <is>
          <t>HÄSSLEHOLM</t>
        </is>
      </c>
      <c r="G3204" t="n">
        <v>0</v>
      </c>
      <c r="H3204" t="n">
        <v>0</v>
      </c>
      <c r="I3204" t="n">
        <v>0</v>
      </c>
      <c r="J3204" t="n">
        <v>0</v>
      </c>
      <c r="K3204" t="n">
        <v>0</v>
      </c>
      <c r="L3204" t="n">
        <v>0</v>
      </c>
      <c r="M3204" t="n">
        <v>0</v>
      </c>
      <c r="N3204" t="n">
        <v>0</v>
      </c>
      <c r="O3204" t="n">
        <v>0</v>
      </c>
      <c r="P3204" t="n">
        <v>0</v>
      </c>
      <c r="Q3204" t="n">
        <v>0</v>
      </c>
      <c r="R3204" s="2" t="inlineStr"/>
    </row>
    <row r="3205" ht="15" customHeight="1">
      <c r="A3205" t="inlineStr">
        <is>
          <t>A 45187-2022</t>
        </is>
      </c>
      <c r="B3205" s="1" t="n">
        <v>44844</v>
      </c>
      <c r="C3205" s="1" t="n">
        <v>45744</v>
      </c>
      <c r="D3205" t="inlineStr">
        <is>
          <t>SKÅNE LÄN</t>
        </is>
      </c>
      <c r="E3205" t="inlineStr">
        <is>
          <t>HÄSSLEHOLM</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45196-2022</t>
        </is>
      </c>
      <c r="B3206" s="1" t="n">
        <v>44844</v>
      </c>
      <c r="C3206" s="1" t="n">
        <v>45744</v>
      </c>
      <c r="D3206" t="inlineStr">
        <is>
          <t>SKÅNE LÄN</t>
        </is>
      </c>
      <c r="E3206" t="inlineStr">
        <is>
          <t>HÄSSLEHOLM</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45305-2022</t>
        </is>
      </c>
      <c r="B3207" s="1" t="n">
        <v>44844</v>
      </c>
      <c r="C3207" s="1" t="n">
        <v>45744</v>
      </c>
      <c r="D3207" t="inlineStr">
        <is>
          <t>SKÅNE LÄN</t>
        </is>
      </c>
      <c r="E3207" t="inlineStr">
        <is>
          <t>ÄNGELHOLM</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45323-2022</t>
        </is>
      </c>
      <c r="B3208" s="1" t="n">
        <v>44844</v>
      </c>
      <c r="C3208" s="1" t="n">
        <v>45744</v>
      </c>
      <c r="D3208" t="inlineStr">
        <is>
          <t>SKÅNE LÄN</t>
        </is>
      </c>
      <c r="E3208" t="inlineStr">
        <is>
          <t>HÖRBY</t>
        </is>
      </c>
      <c r="F3208" t="inlineStr">
        <is>
          <t>Sveaskog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45447-2022</t>
        </is>
      </c>
      <c r="B3209" s="1" t="n">
        <v>44845</v>
      </c>
      <c r="C3209" s="1" t="n">
        <v>45744</v>
      </c>
      <c r="D3209" t="inlineStr">
        <is>
          <t>SKÅNE LÄN</t>
        </is>
      </c>
      <c r="E3209" t="inlineStr">
        <is>
          <t>OSBY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45572-2022</t>
        </is>
      </c>
      <c r="B3210" s="1" t="n">
        <v>44845</v>
      </c>
      <c r="C3210" s="1" t="n">
        <v>45744</v>
      </c>
      <c r="D3210" t="inlineStr">
        <is>
          <t>SKÅNE LÄN</t>
        </is>
      </c>
      <c r="E3210" t="inlineStr">
        <is>
          <t>ÖSTRA GÖINGE</t>
        </is>
      </c>
      <c r="G3210" t="n">
        <v>10.4</v>
      </c>
      <c r="H3210" t="n">
        <v>0</v>
      </c>
      <c r="I3210" t="n">
        <v>0</v>
      </c>
      <c r="J3210" t="n">
        <v>0</v>
      </c>
      <c r="K3210" t="n">
        <v>0</v>
      </c>
      <c r="L3210" t="n">
        <v>0</v>
      </c>
      <c r="M3210" t="n">
        <v>0</v>
      </c>
      <c r="N3210" t="n">
        <v>0</v>
      </c>
      <c r="O3210" t="n">
        <v>0</v>
      </c>
      <c r="P3210" t="n">
        <v>0</v>
      </c>
      <c r="Q3210" t="n">
        <v>0</v>
      </c>
      <c r="R3210" s="2" t="inlineStr"/>
    </row>
    <row r="3211" ht="15" customHeight="1">
      <c r="A3211" t="inlineStr">
        <is>
          <t>A 45641-2022</t>
        </is>
      </c>
      <c r="B3211" s="1" t="n">
        <v>44845</v>
      </c>
      <c r="C3211" s="1" t="n">
        <v>45744</v>
      </c>
      <c r="D3211" t="inlineStr">
        <is>
          <t>SKÅNE LÄN</t>
        </is>
      </c>
      <c r="E3211" t="inlineStr">
        <is>
          <t>KLIPPAN</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45650-2022</t>
        </is>
      </c>
      <c r="B3212" s="1" t="n">
        <v>44845</v>
      </c>
      <c r="C3212" s="1" t="n">
        <v>45744</v>
      </c>
      <c r="D3212" t="inlineStr">
        <is>
          <t>SKÅNE LÄN</t>
        </is>
      </c>
      <c r="E3212" t="inlineStr">
        <is>
          <t>OSBY</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45648-2022</t>
        </is>
      </c>
      <c r="B3213" s="1" t="n">
        <v>44845</v>
      </c>
      <c r="C3213" s="1" t="n">
        <v>45744</v>
      </c>
      <c r="D3213" t="inlineStr">
        <is>
          <t>SKÅNE LÄN</t>
        </is>
      </c>
      <c r="E3213" t="inlineStr">
        <is>
          <t>OSBY</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45946-2022</t>
        </is>
      </c>
      <c r="B3214" s="1" t="n">
        <v>44845</v>
      </c>
      <c r="C3214" s="1" t="n">
        <v>45744</v>
      </c>
      <c r="D3214" t="inlineStr">
        <is>
          <t>SKÅNE LÄN</t>
        </is>
      </c>
      <c r="E3214" t="inlineStr">
        <is>
          <t>SIMRISHAMN</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45726-2022</t>
        </is>
      </c>
      <c r="B3215" s="1" t="n">
        <v>44846</v>
      </c>
      <c r="C3215" s="1" t="n">
        <v>45744</v>
      </c>
      <c r="D3215" t="inlineStr">
        <is>
          <t>SKÅNE LÄN</t>
        </is>
      </c>
      <c r="E3215" t="inlineStr">
        <is>
          <t>SJÖBO</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45764-2022</t>
        </is>
      </c>
      <c r="B3216" s="1" t="n">
        <v>44846</v>
      </c>
      <c r="C3216" s="1" t="n">
        <v>45744</v>
      </c>
      <c r="D3216" t="inlineStr">
        <is>
          <t>SKÅNE LÄN</t>
        </is>
      </c>
      <c r="E3216" t="inlineStr">
        <is>
          <t>KRISTIANSTAD</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45728-2022</t>
        </is>
      </c>
      <c r="B3217" s="1" t="n">
        <v>44846</v>
      </c>
      <c r="C3217" s="1" t="n">
        <v>45744</v>
      </c>
      <c r="D3217" t="inlineStr">
        <is>
          <t>SKÅNE LÄN</t>
        </is>
      </c>
      <c r="E3217" t="inlineStr">
        <is>
          <t>KRISTIANSTAD</t>
        </is>
      </c>
      <c r="F3217" t="inlineStr">
        <is>
          <t>Övriga Aktiebolag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45739-2022</t>
        </is>
      </c>
      <c r="B3218" s="1" t="n">
        <v>44846</v>
      </c>
      <c r="C3218" s="1" t="n">
        <v>45744</v>
      </c>
      <c r="D3218" t="inlineStr">
        <is>
          <t>SKÅNE LÄN</t>
        </is>
      </c>
      <c r="E3218" t="inlineStr">
        <is>
          <t>HÄSSLEHOLM</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45725-2022</t>
        </is>
      </c>
      <c r="B3219" s="1" t="n">
        <v>44846</v>
      </c>
      <c r="C3219" s="1" t="n">
        <v>45744</v>
      </c>
      <c r="D3219" t="inlineStr">
        <is>
          <t>SKÅNE LÄN</t>
        </is>
      </c>
      <c r="E3219" t="inlineStr">
        <is>
          <t>LUND</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45749-2022</t>
        </is>
      </c>
      <c r="B3220" s="1" t="n">
        <v>44846</v>
      </c>
      <c r="C3220" s="1" t="n">
        <v>45744</v>
      </c>
      <c r="D3220" t="inlineStr">
        <is>
          <t>SKÅNE LÄN</t>
        </is>
      </c>
      <c r="E3220" t="inlineStr">
        <is>
          <t>ÄNGELHOLM</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45771-2022</t>
        </is>
      </c>
      <c r="B3221" s="1" t="n">
        <v>44846</v>
      </c>
      <c r="C3221" s="1" t="n">
        <v>45744</v>
      </c>
      <c r="D3221" t="inlineStr">
        <is>
          <t>SKÅNE LÄN</t>
        </is>
      </c>
      <c r="E3221" t="inlineStr">
        <is>
          <t>LUND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45968-2022</t>
        </is>
      </c>
      <c r="B3222" s="1" t="n">
        <v>44846</v>
      </c>
      <c r="C3222" s="1" t="n">
        <v>45744</v>
      </c>
      <c r="D3222" t="inlineStr">
        <is>
          <t>SKÅNE LÄN</t>
        </is>
      </c>
      <c r="E3222" t="inlineStr">
        <is>
          <t>ÖRKELLJUNGA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46217-2022</t>
        </is>
      </c>
      <c r="B3223" s="1" t="n">
        <v>44846</v>
      </c>
      <c r="C3223" s="1" t="n">
        <v>45744</v>
      </c>
      <c r="D3223" t="inlineStr">
        <is>
          <t>SKÅNE LÄN</t>
        </is>
      </c>
      <c r="E3223" t="inlineStr">
        <is>
          <t>HÄSSLEHOLM</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46147-2022</t>
        </is>
      </c>
      <c r="B3224" s="1" t="n">
        <v>44846</v>
      </c>
      <c r="C3224" s="1" t="n">
        <v>45744</v>
      </c>
      <c r="D3224" t="inlineStr">
        <is>
          <t>SKÅNE LÄN</t>
        </is>
      </c>
      <c r="E3224" t="inlineStr">
        <is>
          <t>KLIPPAN</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46185-2022</t>
        </is>
      </c>
      <c r="B3225" s="1" t="n">
        <v>44847</v>
      </c>
      <c r="C3225" s="1" t="n">
        <v>45744</v>
      </c>
      <c r="D3225" t="inlineStr">
        <is>
          <t>SKÅNE LÄN</t>
        </is>
      </c>
      <c r="E3225" t="inlineStr">
        <is>
          <t>HÄSSLEHOLM</t>
        </is>
      </c>
      <c r="G3225" t="n">
        <v>16.8</v>
      </c>
      <c r="H3225" t="n">
        <v>0</v>
      </c>
      <c r="I3225" t="n">
        <v>0</v>
      </c>
      <c r="J3225" t="n">
        <v>0</v>
      </c>
      <c r="K3225" t="n">
        <v>0</v>
      </c>
      <c r="L3225" t="n">
        <v>0</v>
      </c>
      <c r="M3225" t="n">
        <v>0</v>
      </c>
      <c r="N3225" t="n">
        <v>0</v>
      </c>
      <c r="O3225" t="n">
        <v>0</v>
      </c>
      <c r="P3225" t="n">
        <v>0</v>
      </c>
      <c r="Q3225" t="n">
        <v>0</v>
      </c>
      <c r="R3225" s="2" t="inlineStr"/>
    </row>
    <row r="3226" ht="15" customHeight="1">
      <c r="A3226" t="inlineStr">
        <is>
          <t>A 46061-2022</t>
        </is>
      </c>
      <c r="B3226" s="1" t="n">
        <v>44847</v>
      </c>
      <c r="C3226" s="1" t="n">
        <v>45744</v>
      </c>
      <c r="D3226" t="inlineStr">
        <is>
          <t>SKÅNE LÄN</t>
        </is>
      </c>
      <c r="E3226" t="inlineStr">
        <is>
          <t>HÖRBY</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46229-2022</t>
        </is>
      </c>
      <c r="B3227" s="1" t="n">
        <v>44847</v>
      </c>
      <c r="C3227" s="1" t="n">
        <v>45744</v>
      </c>
      <c r="D3227" t="inlineStr">
        <is>
          <t>SKÅNE LÄN</t>
        </is>
      </c>
      <c r="E3227" t="inlineStr">
        <is>
          <t>HÄSSLEHOLM</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46254-2022</t>
        </is>
      </c>
      <c r="B3228" s="1" t="n">
        <v>44847</v>
      </c>
      <c r="C3228" s="1" t="n">
        <v>45744</v>
      </c>
      <c r="D3228" t="inlineStr">
        <is>
          <t>SKÅNE LÄN</t>
        </is>
      </c>
      <c r="E3228" t="inlineStr">
        <is>
          <t>SVALÖV</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46515-2022</t>
        </is>
      </c>
      <c r="B3229" s="1" t="n">
        <v>44847</v>
      </c>
      <c r="C3229" s="1" t="n">
        <v>45744</v>
      </c>
      <c r="D3229" t="inlineStr">
        <is>
          <t>SKÅNE LÄN</t>
        </is>
      </c>
      <c r="E3229" t="inlineStr">
        <is>
          <t>KRISTIANSTAD</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46222-2022</t>
        </is>
      </c>
      <c r="B3230" s="1" t="n">
        <v>44847</v>
      </c>
      <c r="C3230" s="1" t="n">
        <v>45744</v>
      </c>
      <c r="D3230" t="inlineStr">
        <is>
          <t>SKÅNE LÄN</t>
        </is>
      </c>
      <c r="E3230" t="inlineStr">
        <is>
          <t>HÄSSLEHOLM</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46504-2022</t>
        </is>
      </c>
      <c r="B3231" s="1" t="n">
        <v>44847</v>
      </c>
      <c r="C3231" s="1" t="n">
        <v>45744</v>
      </c>
      <c r="D3231" t="inlineStr">
        <is>
          <t>SKÅNE LÄN</t>
        </is>
      </c>
      <c r="E3231" t="inlineStr">
        <is>
          <t>KRISTIANSTAD</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47136-2022</t>
        </is>
      </c>
      <c r="B3232" s="1" t="n">
        <v>44848</v>
      </c>
      <c r="C3232" s="1" t="n">
        <v>45744</v>
      </c>
      <c r="D3232" t="inlineStr">
        <is>
          <t>SKÅNE LÄN</t>
        </is>
      </c>
      <c r="E3232" t="inlineStr">
        <is>
          <t>HÖÖR</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46725-2022</t>
        </is>
      </c>
      <c r="B3233" s="1" t="n">
        <v>44851</v>
      </c>
      <c r="C3233" s="1" t="n">
        <v>45744</v>
      </c>
      <c r="D3233" t="inlineStr">
        <is>
          <t>SKÅNE LÄN</t>
        </is>
      </c>
      <c r="E3233" t="inlineStr">
        <is>
          <t>ÖRKELLJUNGA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47222-2022</t>
        </is>
      </c>
      <c r="B3234" s="1" t="n">
        <v>44852</v>
      </c>
      <c r="C3234" s="1" t="n">
        <v>45744</v>
      </c>
      <c r="D3234" t="inlineStr">
        <is>
          <t>SKÅNE LÄN</t>
        </is>
      </c>
      <c r="E3234" t="inlineStr">
        <is>
          <t>HÖÖR</t>
        </is>
      </c>
      <c r="G3234" t="n">
        <v>12.3</v>
      </c>
      <c r="H3234" t="n">
        <v>0</v>
      </c>
      <c r="I3234" t="n">
        <v>0</v>
      </c>
      <c r="J3234" t="n">
        <v>0</v>
      </c>
      <c r="K3234" t="n">
        <v>0</v>
      </c>
      <c r="L3234" t="n">
        <v>0</v>
      </c>
      <c r="M3234" t="n">
        <v>0</v>
      </c>
      <c r="N3234" t="n">
        <v>0</v>
      </c>
      <c r="O3234" t="n">
        <v>0</v>
      </c>
      <c r="P3234" t="n">
        <v>0</v>
      </c>
      <c r="Q3234" t="n">
        <v>0</v>
      </c>
      <c r="R3234" s="2" t="inlineStr"/>
    </row>
    <row r="3235" ht="15" customHeight="1">
      <c r="A3235" t="inlineStr">
        <is>
          <t>A 47628-2022</t>
        </is>
      </c>
      <c r="B3235" s="1" t="n">
        <v>44852</v>
      </c>
      <c r="C3235" s="1" t="n">
        <v>45744</v>
      </c>
      <c r="D3235" t="inlineStr">
        <is>
          <t>SKÅNE LÄN</t>
        </is>
      </c>
      <c r="E3235" t="inlineStr">
        <is>
          <t>ÖSTRA GÖINGE</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47405-2022</t>
        </is>
      </c>
      <c r="B3236" s="1" t="n">
        <v>44853</v>
      </c>
      <c r="C3236" s="1" t="n">
        <v>45744</v>
      </c>
      <c r="D3236" t="inlineStr">
        <is>
          <t>SKÅNE LÄN</t>
        </is>
      </c>
      <c r="E3236" t="inlineStr">
        <is>
          <t>ÖSTRA GÖINGE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47407-2022</t>
        </is>
      </c>
      <c r="B3237" s="1" t="n">
        <v>44853</v>
      </c>
      <c r="C3237" s="1" t="n">
        <v>45744</v>
      </c>
      <c r="D3237" t="inlineStr">
        <is>
          <t>SKÅNE LÄN</t>
        </is>
      </c>
      <c r="E3237" t="inlineStr">
        <is>
          <t>ÖSTRA GÖINGE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48217-2022</t>
        </is>
      </c>
      <c r="B3238" s="1" t="n">
        <v>44853</v>
      </c>
      <c r="C3238" s="1" t="n">
        <v>45744</v>
      </c>
      <c r="D3238" t="inlineStr">
        <is>
          <t>SKÅNE LÄN</t>
        </is>
      </c>
      <c r="E3238" t="inlineStr">
        <is>
          <t>KRISTIANSTAD</t>
        </is>
      </c>
      <c r="F3238" t="inlineStr">
        <is>
          <t>Kyrkan</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47717-2022</t>
        </is>
      </c>
      <c r="B3239" s="1" t="n">
        <v>44854</v>
      </c>
      <c r="C3239" s="1" t="n">
        <v>45744</v>
      </c>
      <c r="D3239" t="inlineStr">
        <is>
          <t>SKÅNE LÄN</t>
        </is>
      </c>
      <c r="E3239" t="inlineStr">
        <is>
          <t>SVALÖV</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47870-2022</t>
        </is>
      </c>
      <c r="B3240" s="1" t="n">
        <v>44855</v>
      </c>
      <c r="C3240" s="1" t="n">
        <v>45744</v>
      </c>
      <c r="D3240" t="inlineStr">
        <is>
          <t>SKÅNE LÄN</t>
        </is>
      </c>
      <c r="E3240" t="inlineStr">
        <is>
          <t>KLIPPAN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47869-2022</t>
        </is>
      </c>
      <c r="B3241" s="1" t="n">
        <v>44855</v>
      </c>
      <c r="C3241" s="1" t="n">
        <v>45744</v>
      </c>
      <c r="D3241" t="inlineStr">
        <is>
          <t>SKÅNE LÄN</t>
        </is>
      </c>
      <c r="E3241" t="inlineStr">
        <is>
          <t>KLIPPAN</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47890-2022</t>
        </is>
      </c>
      <c r="B3242" s="1" t="n">
        <v>44855</v>
      </c>
      <c r="C3242" s="1" t="n">
        <v>45744</v>
      </c>
      <c r="D3242" t="inlineStr">
        <is>
          <t>SKÅNE LÄN</t>
        </is>
      </c>
      <c r="E3242" t="inlineStr">
        <is>
          <t>ÖRKELLJUNGA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48012-2022</t>
        </is>
      </c>
      <c r="B3243" s="1" t="n">
        <v>44855</v>
      </c>
      <c r="C3243" s="1" t="n">
        <v>45744</v>
      </c>
      <c r="D3243" t="inlineStr">
        <is>
          <t>SKÅNE LÄN</t>
        </is>
      </c>
      <c r="E3243" t="inlineStr">
        <is>
          <t>KRISTIANSTAD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48038-2022</t>
        </is>
      </c>
      <c r="B3244" s="1" t="n">
        <v>44855</v>
      </c>
      <c r="C3244" s="1" t="n">
        <v>45744</v>
      </c>
      <c r="D3244" t="inlineStr">
        <is>
          <t>SKÅNE LÄN</t>
        </is>
      </c>
      <c r="E3244" t="inlineStr">
        <is>
          <t>ÖSTRA GÖINGE</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48693-2022</t>
        </is>
      </c>
      <c r="B3245" s="1" t="n">
        <v>44855</v>
      </c>
      <c r="C3245" s="1" t="n">
        <v>45744</v>
      </c>
      <c r="D3245" t="inlineStr">
        <is>
          <t>SKÅNE LÄN</t>
        </is>
      </c>
      <c r="E3245" t="inlineStr">
        <is>
          <t>KRISTIANSTAD</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47871-2022</t>
        </is>
      </c>
      <c r="B3246" s="1" t="n">
        <v>44855</v>
      </c>
      <c r="C3246" s="1" t="n">
        <v>45744</v>
      </c>
      <c r="D3246" t="inlineStr">
        <is>
          <t>SKÅNE LÄN</t>
        </is>
      </c>
      <c r="E3246" t="inlineStr">
        <is>
          <t>ÖRKELLJUNGA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48434-2022</t>
        </is>
      </c>
      <c r="B3247" s="1" t="n">
        <v>44858</v>
      </c>
      <c r="C3247" s="1" t="n">
        <v>45744</v>
      </c>
      <c r="D3247" t="inlineStr">
        <is>
          <t>SKÅNE LÄN</t>
        </is>
      </c>
      <c r="E3247" t="inlineStr">
        <is>
          <t>HÖRBY</t>
        </is>
      </c>
      <c r="F3247" t="inlineStr">
        <is>
          <t>Sveaskog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48204-2022</t>
        </is>
      </c>
      <c r="B3248" s="1" t="n">
        <v>44858</v>
      </c>
      <c r="C3248" s="1" t="n">
        <v>45744</v>
      </c>
      <c r="D3248" t="inlineStr">
        <is>
          <t>SKÅNE LÄN</t>
        </is>
      </c>
      <c r="E3248" t="inlineStr">
        <is>
          <t>HÖRBY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48397-2022</t>
        </is>
      </c>
      <c r="B3249" s="1" t="n">
        <v>44858</v>
      </c>
      <c r="C3249" s="1" t="n">
        <v>45744</v>
      </c>
      <c r="D3249" t="inlineStr">
        <is>
          <t>SKÅNE LÄN</t>
        </is>
      </c>
      <c r="E3249" t="inlineStr">
        <is>
          <t>HÖRBY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48441-2022</t>
        </is>
      </c>
      <c r="B3250" s="1" t="n">
        <v>44858</v>
      </c>
      <c r="C3250" s="1" t="n">
        <v>45744</v>
      </c>
      <c r="D3250" t="inlineStr">
        <is>
          <t>SKÅNE LÄN</t>
        </is>
      </c>
      <c r="E3250" t="inlineStr">
        <is>
          <t>HÖRBY</t>
        </is>
      </c>
      <c r="F3250" t="inlineStr">
        <is>
          <t>Sveaskog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48427-2022</t>
        </is>
      </c>
      <c r="B3251" s="1" t="n">
        <v>44858</v>
      </c>
      <c r="C3251" s="1" t="n">
        <v>45744</v>
      </c>
      <c r="D3251" t="inlineStr">
        <is>
          <t>SKÅNE LÄN</t>
        </is>
      </c>
      <c r="E3251" t="inlineStr">
        <is>
          <t>HÖRBY</t>
        </is>
      </c>
      <c r="F3251" t="inlineStr">
        <is>
          <t>Sveaskog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49250-2022</t>
        </is>
      </c>
      <c r="B3252" s="1" t="n">
        <v>44858</v>
      </c>
      <c r="C3252" s="1" t="n">
        <v>45744</v>
      </c>
      <c r="D3252" t="inlineStr">
        <is>
          <t>SKÅNE LÄN</t>
        </is>
      </c>
      <c r="E3252" t="inlineStr">
        <is>
          <t>HÄSSLEHOLM</t>
        </is>
      </c>
      <c r="F3252" t="inlineStr">
        <is>
          <t>Kyrkan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49239-2022</t>
        </is>
      </c>
      <c r="B3253" s="1" t="n">
        <v>44858</v>
      </c>
      <c r="C3253" s="1" t="n">
        <v>45744</v>
      </c>
      <c r="D3253" t="inlineStr">
        <is>
          <t>SKÅNE LÄN</t>
        </is>
      </c>
      <c r="E3253" t="inlineStr">
        <is>
          <t>KRISTIANSTAD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49233-2022</t>
        </is>
      </c>
      <c r="B3254" s="1" t="n">
        <v>44858</v>
      </c>
      <c r="C3254" s="1" t="n">
        <v>45744</v>
      </c>
      <c r="D3254" t="inlineStr">
        <is>
          <t>SKÅNE LÄN</t>
        </is>
      </c>
      <c r="E3254" t="inlineStr">
        <is>
          <t>KRISTIANSTAD</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48592-2022</t>
        </is>
      </c>
      <c r="B3255" s="1" t="n">
        <v>44859</v>
      </c>
      <c r="C3255" s="1" t="n">
        <v>45744</v>
      </c>
      <c r="D3255" t="inlineStr">
        <is>
          <t>SKÅNE LÄN</t>
        </is>
      </c>
      <c r="E3255" t="inlineStr">
        <is>
          <t>ÄNGELHOLM</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48747-2022</t>
        </is>
      </c>
      <c r="B3256" s="1" t="n">
        <v>44859</v>
      </c>
      <c r="C3256" s="1" t="n">
        <v>45744</v>
      </c>
      <c r="D3256" t="inlineStr">
        <is>
          <t>SKÅNE LÄN</t>
        </is>
      </c>
      <c r="E3256" t="inlineStr">
        <is>
          <t>HÄSSLEHOLM</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48952-2022</t>
        </is>
      </c>
      <c r="B3257" s="1" t="n">
        <v>44859</v>
      </c>
      <c r="C3257" s="1" t="n">
        <v>45744</v>
      </c>
      <c r="D3257" t="inlineStr">
        <is>
          <t>SKÅNE LÄN</t>
        </is>
      </c>
      <c r="E3257" t="inlineStr">
        <is>
          <t>ÖSTRA GÖINGE</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49827-2022</t>
        </is>
      </c>
      <c r="B3258" s="1" t="n">
        <v>44859</v>
      </c>
      <c r="C3258" s="1" t="n">
        <v>45744</v>
      </c>
      <c r="D3258" t="inlineStr">
        <is>
          <t>SKÅNE LÄN</t>
        </is>
      </c>
      <c r="E3258" t="inlineStr">
        <is>
          <t>HÄSSLEHOLM</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49032-2022</t>
        </is>
      </c>
      <c r="B3259" s="1" t="n">
        <v>44860</v>
      </c>
      <c r="C3259" s="1" t="n">
        <v>45744</v>
      </c>
      <c r="D3259" t="inlineStr">
        <is>
          <t>SKÅNE LÄN</t>
        </is>
      </c>
      <c r="E3259" t="inlineStr">
        <is>
          <t>SVALÖV</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49071-2022</t>
        </is>
      </c>
      <c r="B3260" s="1" t="n">
        <v>44860</v>
      </c>
      <c r="C3260" s="1" t="n">
        <v>45744</v>
      </c>
      <c r="D3260" t="inlineStr">
        <is>
          <t>SKÅNE LÄN</t>
        </is>
      </c>
      <c r="E3260" t="inlineStr">
        <is>
          <t>HÖRBY</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49167-2022</t>
        </is>
      </c>
      <c r="B3261" s="1" t="n">
        <v>44860</v>
      </c>
      <c r="C3261" s="1" t="n">
        <v>45744</v>
      </c>
      <c r="D3261" t="inlineStr">
        <is>
          <t>SKÅNE LÄN</t>
        </is>
      </c>
      <c r="E3261" t="inlineStr">
        <is>
          <t>HÄSSLEHOLM</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50196-2022</t>
        </is>
      </c>
      <c r="B3262" s="1" t="n">
        <v>44860</v>
      </c>
      <c r="C3262" s="1" t="n">
        <v>45744</v>
      </c>
      <c r="D3262" t="inlineStr">
        <is>
          <t>SKÅNE LÄN</t>
        </is>
      </c>
      <c r="E3262" t="inlineStr">
        <is>
          <t>HÖÖR</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49630-2022</t>
        </is>
      </c>
      <c r="B3263" s="1" t="n">
        <v>44862</v>
      </c>
      <c r="C3263" s="1" t="n">
        <v>45744</v>
      </c>
      <c r="D3263" t="inlineStr">
        <is>
          <t>SKÅNE LÄN</t>
        </is>
      </c>
      <c r="E3263" t="inlineStr">
        <is>
          <t>HÖÖR</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49691-2022</t>
        </is>
      </c>
      <c r="B3264" s="1" t="n">
        <v>44862</v>
      </c>
      <c r="C3264" s="1" t="n">
        <v>45744</v>
      </c>
      <c r="D3264" t="inlineStr">
        <is>
          <t>SKÅNE LÄN</t>
        </is>
      </c>
      <c r="E3264" t="inlineStr">
        <is>
          <t>HÄSSLEHOLM</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49747-2022</t>
        </is>
      </c>
      <c r="B3265" s="1" t="n">
        <v>44862</v>
      </c>
      <c r="C3265" s="1" t="n">
        <v>45744</v>
      </c>
      <c r="D3265" t="inlineStr">
        <is>
          <t>SKÅNE LÄN</t>
        </is>
      </c>
      <c r="E3265" t="inlineStr">
        <is>
          <t>KRISTIANSTAD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49831-2022</t>
        </is>
      </c>
      <c r="B3266" s="1" t="n">
        <v>44862</v>
      </c>
      <c r="C3266" s="1" t="n">
        <v>45744</v>
      </c>
      <c r="D3266" t="inlineStr">
        <is>
          <t>SKÅNE LÄN</t>
        </is>
      </c>
      <c r="E3266" t="inlineStr">
        <is>
          <t>BROMÖLLA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49885-2022</t>
        </is>
      </c>
      <c r="B3267" s="1" t="n">
        <v>44864</v>
      </c>
      <c r="C3267" s="1" t="n">
        <v>45744</v>
      </c>
      <c r="D3267" t="inlineStr">
        <is>
          <t>SKÅNE LÄN</t>
        </is>
      </c>
      <c r="E3267" t="inlineStr">
        <is>
          <t>ÄNGELHOLM</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50520-2022</t>
        </is>
      </c>
      <c r="B3268" s="1" t="n">
        <v>44866</v>
      </c>
      <c r="C3268" s="1" t="n">
        <v>45744</v>
      </c>
      <c r="D3268" t="inlineStr">
        <is>
          <t>SKÅNE LÄN</t>
        </is>
      </c>
      <c r="E3268" t="inlineStr">
        <is>
          <t>KRISTIANSTAD</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50585-2022</t>
        </is>
      </c>
      <c r="B3269" s="1" t="n">
        <v>44866</v>
      </c>
      <c r="C3269" s="1" t="n">
        <v>45744</v>
      </c>
      <c r="D3269" t="inlineStr">
        <is>
          <t>SKÅNE LÄN</t>
        </is>
      </c>
      <c r="E3269" t="inlineStr">
        <is>
          <t>HÄSSLEHOLM</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50516-2022</t>
        </is>
      </c>
      <c r="B3270" s="1" t="n">
        <v>44866</v>
      </c>
      <c r="C3270" s="1" t="n">
        <v>45744</v>
      </c>
      <c r="D3270" t="inlineStr">
        <is>
          <t>SKÅNE LÄN</t>
        </is>
      </c>
      <c r="E3270" t="inlineStr">
        <is>
          <t>KRISTIANSTAD</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50880-2022</t>
        </is>
      </c>
      <c r="B3271" s="1" t="n">
        <v>44867</v>
      </c>
      <c r="C3271" s="1" t="n">
        <v>45744</v>
      </c>
      <c r="D3271" t="inlineStr">
        <is>
          <t>SKÅNE LÄN</t>
        </is>
      </c>
      <c r="E3271" t="inlineStr">
        <is>
          <t>OSBY</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50963-2022</t>
        </is>
      </c>
      <c r="B3272" s="1" t="n">
        <v>44867</v>
      </c>
      <c r="C3272" s="1" t="n">
        <v>45744</v>
      </c>
      <c r="D3272" t="inlineStr">
        <is>
          <t>SKÅNE LÄN</t>
        </is>
      </c>
      <c r="E3272" t="inlineStr">
        <is>
          <t>HÖRBY</t>
        </is>
      </c>
      <c r="G3272" t="n">
        <v>15.1</v>
      </c>
      <c r="H3272" t="n">
        <v>0</v>
      </c>
      <c r="I3272" t="n">
        <v>0</v>
      </c>
      <c r="J3272" t="n">
        <v>0</v>
      </c>
      <c r="K3272" t="n">
        <v>0</v>
      </c>
      <c r="L3272" t="n">
        <v>0</v>
      </c>
      <c r="M3272" t="n">
        <v>0</v>
      </c>
      <c r="N3272" t="n">
        <v>0</v>
      </c>
      <c r="O3272" t="n">
        <v>0</v>
      </c>
      <c r="P3272" t="n">
        <v>0</v>
      </c>
      <c r="Q3272" t="n">
        <v>0</v>
      </c>
      <c r="R3272" s="2" t="inlineStr"/>
    </row>
    <row r="3273" ht="15" customHeight="1">
      <c r="A3273" t="inlineStr">
        <is>
          <t>A 50964-2022</t>
        </is>
      </c>
      <c r="B3273" s="1" t="n">
        <v>44867</v>
      </c>
      <c r="C3273" s="1" t="n">
        <v>45744</v>
      </c>
      <c r="D3273" t="inlineStr">
        <is>
          <t>SKÅNE LÄN</t>
        </is>
      </c>
      <c r="E3273" t="inlineStr">
        <is>
          <t>HÖRBY</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51287-2022</t>
        </is>
      </c>
      <c r="B3274" s="1" t="n">
        <v>44868</v>
      </c>
      <c r="C3274" s="1" t="n">
        <v>45744</v>
      </c>
      <c r="D3274" t="inlineStr">
        <is>
          <t>SKÅNE LÄN</t>
        </is>
      </c>
      <c r="E3274" t="inlineStr">
        <is>
          <t>HÄSSLEHOLM</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51912-2022</t>
        </is>
      </c>
      <c r="B3275" s="1" t="n">
        <v>44868</v>
      </c>
      <c r="C3275" s="1" t="n">
        <v>45744</v>
      </c>
      <c r="D3275" t="inlineStr">
        <is>
          <t>SKÅNE LÄN</t>
        </is>
      </c>
      <c r="E3275" t="inlineStr">
        <is>
          <t>KLIPPAN</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51207-2022</t>
        </is>
      </c>
      <c r="B3276" s="1" t="n">
        <v>44868</v>
      </c>
      <c r="C3276" s="1" t="n">
        <v>45744</v>
      </c>
      <c r="D3276" t="inlineStr">
        <is>
          <t>SKÅNE LÄN</t>
        </is>
      </c>
      <c r="E3276" t="inlineStr">
        <is>
          <t>PERSTORP</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51508-2022</t>
        </is>
      </c>
      <c r="B3277" s="1" t="n">
        <v>44869</v>
      </c>
      <c r="C3277" s="1" t="n">
        <v>45744</v>
      </c>
      <c r="D3277" t="inlineStr">
        <is>
          <t>SKÅNE LÄN</t>
        </is>
      </c>
      <c r="E3277" t="inlineStr">
        <is>
          <t>OSBY</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51826-2022</t>
        </is>
      </c>
      <c r="B3278" s="1" t="n">
        <v>44872</v>
      </c>
      <c r="C3278" s="1" t="n">
        <v>45744</v>
      </c>
      <c r="D3278" t="inlineStr">
        <is>
          <t>SKÅNE LÄN</t>
        </is>
      </c>
      <c r="E3278" t="inlineStr">
        <is>
          <t>HÖRBY</t>
        </is>
      </c>
      <c r="F3278" t="inlineStr">
        <is>
          <t>Sveaskog</t>
        </is>
      </c>
      <c r="G3278" t="n">
        <v>14.3</v>
      </c>
      <c r="H3278" t="n">
        <v>0</v>
      </c>
      <c r="I3278" t="n">
        <v>0</v>
      </c>
      <c r="J3278" t="n">
        <v>0</v>
      </c>
      <c r="K3278" t="n">
        <v>0</v>
      </c>
      <c r="L3278" t="n">
        <v>0</v>
      </c>
      <c r="M3278" t="n">
        <v>0</v>
      </c>
      <c r="N3278" t="n">
        <v>0</v>
      </c>
      <c r="O3278" t="n">
        <v>0</v>
      </c>
      <c r="P3278" t="n">
        <v>0</v>
      </c>
      <c r="Q3278" t="n">
        <v>0</v>
      </c>
      <c r="R3278" s="2" t="inlineStr"/>
    </row>
    <row r="3279" ht="15" customHeight="1">
      <c r="A3279" t="inlineStr">
        <is>
          <t>A 52857-2022</t>
        </is>
      </c>
      <c r="B3279" s="1" t="n">
        <v>44872</v>
      </c>
      <c r="C3279" s="1" t="n">
        <v>45744</v>
      </c>
      <c r="D3279" t="inlineStr">
        <is>
          <t>SKÅNE LÄN</t>
        </is>
      </c>
      <c r="E3279" t="inlineStr">
        <is>
          <t>OSBY</t>
        </is>
      </c>
      <c r="F3279" t="inlineStr">
        <is>
          <t>Sveaskog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52912-2022</t>
        </is>
      </c>
      <c r="B3280" s="1" t="n">
        <v>44872</v>
      </c>
      <c r="C3280" s="1" t="n">
        <v>45744</v>
      </c>
      <c r="D3280" t="inlineStr">
        <is>
          <t>SKÅNE LÄN</t>
        </is>
      </c>
      <c r="E3280" t="inlineStr">
        <is>
          <t>HÄSSLEHOLM</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52089-2022</t>
        </is>
      </c>
      <c r="B3281" s="1" t="n">
        <v>44873</v>
      </c>
      <c r="C3281" s="1" t="n">
        <v>45744</v>
      </c>
      <c r="D3281" t="inlineStr">
        <is>
          <t>SKÅNE LÄN</t>
        </is>
      </c>
      <c r="E3281" t="inlineStr">
        <is>
          <t>OSBY</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52051-2022</t>
        </is>
      </c>
      <c r="B3282" s="1" t="n">
        <v>44873</v>
      </c>
      <c r="C3282" s="1" t="n">
        <v>45744</v>
      </c>
      <c r="D3282" t="inlineStr">
        <is>
          <t>SKÅNE LÄN</t>
        </is>
      </c>
      <c r="E3282" t="inlineStr">
        <is>
          <t>ÖSTRA GÖINGE</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53067-2022</t>
        </is>
      </c>
      <c r="B3283" s="1" t="n">
        <v>44873</v>
      </c>
      <c r="C3283" s="1" t="n">
        <v>45744</v>
      </c>
      <c r="D3283" t="inlineStr">
        <is>
          <t>SKÅNE LÄN</t>
        </is>
      </c>
      <c r="E3283" t="inlineStr">
        <is>
          <t>HÄSSLEHOLM</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53085-2022</t>
        </is>
      </c>
      <c r="B3284" s="1" t="n">
        <v>44873</v>
      </c>
      <c r="C3284" s="1" t="n">
        <v>45744</v>
      </c>
      <c r="D3284" t="inlineStr">
        <is>
          <t>SKÅNE LÄN</t>
        </is>
      </c>
      <c r="E3284" t="inlineStr">
        <is>
          <t>HÄSSLEHOLM</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53077-2022</t>
        </is>
      </c>
      <c r="B3285" s="1" t="n">
        <v>44873</v>
      </c>
      <c r="C3285" s="1" t="n">
        <v>45744</v>
      </c>
      <c r="D3285" t="inlineStr">
        <is>
          <t>SKÅNE LÄN</t>
        </is>
      </c>
      <c r="E3285" t="inlineStr">
        <is>
          <t>HÄSSLEHOLM</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52564-2022</t>
        </is>
      </c>
      <c r="B3286" s="1" t="n">
        <v>44874</v>
      </c>
      <c r="C3286" s="1" t="n">
        <v>45744</v>
      </c>
      <c r="D3286" t="inlineStr">
        <is>
          <t>SKÅNE LÄN</t>
        </is>
      </c>
      <c r="E3286" t="inlineStr">
        <is>
          <t>HÄSSLEHOLM</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53455-2022</t>
        </is>
      </c>
      <c r="B3287" s="1" t="n">
        <v>44874</v>
      </c>
      <c r="C3287" s="1" t="n">
        <v>45744</v>
      </c>
      <c r="D3287" t="inlineStr">
        <is>
          <t>SKÅNE LÄN</t>
        </is>
      </c>
      <c r="E3287" t="inlineStr">
        <is>
          <t>HÖÖR</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52968-2022</t>
        </is>
      </c>
      <c r="B3288" s="1" t="n">
        <v>44875</v>
      </c>
      <c r="C3288" s="1" t="n">
        <v>45744</v>
      </c>
      <c r="D3288" t="inlineStr">
        <is>
          <t>SKÅNE LÄN</t>
        </is>
      </c>
      <c r="E3288" t="inlineStr">
        <is>
          <t>HÄSSLEHOLM</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52877-2022</t>
        </is>
      </c>
      <c r="B3289" s="1" t="n">
        <v>44875</v>
      </c>
      <c r="C3289" s="1" t="n">
        <v>45744</v>
      </c>
      <c r="D3289" t="inlineStr">
        <is>
          <t>SKÅNE LÄN</t>
        </is>
      </c>
      <c r="E3289" t="inlineStr">
        <is>
          <t>KLIPPAN</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53586-2022</t>
        </is>
      </c>
      <c r="B3290" s="1" t="n">
        <v>44875</v>
      </c>
      <c r="C3290" s="1" t="n">
        <v>45744</v>
      </c>
      <c r="D3290" t="inlineStr">
        <is>
          <t>SKÅNE LÄN</t>
        </is>
      </c>
      <c r="E3290" t="inlineStr">
        <is>
          <t>PERSTORP</t>
        </is>
      </c>
      <c r="F3290" t="inlineStr">
        <is>
          <t>Övriga Aktiebolag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53582-2022</t>
        </is>
      </c>
      <c r="B3291" s="1" t="n">
        <v>44875</v>
      </c>
      <c r="C3291" s="1" t="n">
        <v>45744</v>
      </c>
      <c r="D3291" t="inlineStr">
        <is>
          <t>SKÅNE LÄN</t>
        </is>
      </c>
      <c r="E3291" t="inlineStr">
        <is>
          <t>KLIPPAN</t>
        </is>
      </c>
      <c r="F3291" t="inlineStr">
        <is>
          <t>Övriga Aktiebolag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53576-2022</t>
        </is>
      </c>
      <c r="B3292" s="1" t="n">
        <v>44875</v>
      </c>
      <c r="C3292" s="1" t="n">
        <v>45744</v>
      </c>
      <c r="D3292" t="inlineStr">
        <is>
          <t>SKÅNE LÄN</t>
        </is>
      </c>
      <c r="E3292" t="inlineStr">
        <is>
          <t>HÄSSLEHOLM</t>
        </is>
      </c>
      <c r="F3292" t="inlineStr">
        <is>
          <t>Övriga Aktiebolag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53593-2022</t>
        </is>
      </c>
      <c r="B3293" s="1" t="n">
        <v>44875</v>
      </c>
      <c r="C3293" s="1" t="n">
        <v>45744</v>
      </c>
      <c r="D3293" t="inlineStr">
        <is>
          <t>SKÅNE LÄN</t>
        </is>
      </c>
      <c r="E3293" t="inlineStr">
        <is>
          <t>HÄSSLEHOLM</t>
        </is>
      </c>
      <c r="F3293" t="inlineStr">
        <is>
          <t>Övriga Aktiebolag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53590-2022</t>
        </is>
      </c>
      <c r="B3294" s="1" t="n">
        <v>44875</v>
      </c>
      <c r="C3294" s="1" t="n">
        <v>45744</v>
      </c>
      <c r="D3294" t="inlineStr">
        <is>
          <t>SKÅNE LÄN</t>
        </is>
      </c>
      <c r="E3294" t="inlineStr">
        <is>
          <t>HÄSSLEHOLM</t>
        </is>
      </c>
      <c r="F3294" t="inlineStr">
        <is>
          <t>Övriga Aktiebolag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53058-2022</t>
        </is>
      </c>
      <c r="B3295" s="1" t="n">
        <v>44876</v>
      </c>
      <c r="C3295" s="1" t="n">
        <v>45744</v>
      </c>
      <c r="D3295" t="inlineStr">
        <is>
          <t>SKÅNE LÄN</t>
        </is>
      </c>
      <c r="E3295" t="inlineStr">
        <is>
          <t>HÄSSLEHOLM</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53136-2022</t>
        </is>
      </c>
      <c r="B3296" s="1" t="n">
        <v>44876</v>
      </c>
      <c r="C3296" s="1" t="n">
        <v>45744</v>
      </c>
      <c r="D3296" t="inlineStr">
        <is>
          <t>SKÅNE LÄN</t>
        </is>
      </c>
      <c r="E3296" t="inlineStr">
        <is>
          <t>HÄSSLEHOLM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53982-2022</t>
        </is>
      </c>
      <c r="B3297" s="1" t="n">
        <v>44876</v>
      </c>
      <c r="C3297" s="1" t="n">
        <v>45744</v>
      </c>
      <c r="D3297" t="inlineStr">
        <is>
          <t>SKÅNE LÄN</t>
        </is>
      </c>
      <c r="E3297" t="inlineStr">
        <is>
          <t>KRISTIANSTAD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53978-2022</t>
        </is>
      </c>
      <c r="B3298" s="1" t="n">
        <v>44876</v>
      </c>
      <c r="C3298" s="1" t="n">
        <v>45744</v>
      </c>
      <c r="D3298" t="inlineStr">
        <is>
          <t>SKÅNE LÄN</t>
        </is>
      </c>
      <c r="E3298" t="inlineStr">
        <is>
          <t>SIMRISHAMN</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53977-2022</t>
        </is>
      </c>
      <c r="B3299" s="1" t="n">
        <v>44876</v>
      </c>
      <c r="C3299" s="1" t="n">
        <v>45744</v>
      </c>
      <c r="D3299" t="inlineStr">
        <is>
          <t>SKÅNE LÄN</t>
        </is>
      </c>
      <c r="E3299" t="inlineStr">
        <is>
          <t>TOMELILLA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53302-2022</t>
        </is>
      </c>
      <c r="B3300" s="1" t="n">
        <v>44877</v>
      </c>
      <c r="C3300" s="1" t="n">
        <v>45744</v>
      </c>
      <c r="D3300" t="inlineStr">
        <is>
          <t>SKÅNE LÄN</t>
        </is>
      </c>
      <c r="E3300" t="inlineStr">
        <is>
          <t>HÄSSLEHOLM</t>
        </is>
      </c>
      <c r="G3300" t="n">
        <v>0.1</v>
      </c>
      <c r="H3300" t="n">
        <v>0</v>
      </c>
      <c r="I3300" t="n">
        <v>0</v>
      </c>
      <c r="J3300" t="n">
        <v>0</v>
      </c>
      <c r="K3300" t="n">
        <v>0</v>
      </c>
      <c r="L3300" t="n">
        <v>0</v>
      </c>
      <c r="M3300" t="n">
        <v>0</v>
      </c>
      <c r="N3300" t="n">
        <v>0</v>
      </c>
      <c r="O3300" t="n">
        <v>0</v>
      </c>
      <c r="P3300" t="n">
        <v>0</v>
      </c>
      <c r="Q3300" t="n">
        <v>0</v>
      </c>
      <c r="R3300" s="2" t="inlineStr"/>
    </row>
    <row r="3301" ht="15" customHeight="1">
      <c r="A3301" t="inlineStr">
        <is>
          <t>A 53460-2022</t>
        </is>
      </c>
      <c r="B3301" s="1" t="n">
        <v>44879</v>
      </c>
      <c r="C3301" s="1" t="n">
        <v>45744</v>
      </c>
      <c r="D3301" t="inlineStr">
        <is>
          <t>SKÅNE LÄN</t>
        </is>
      </c>
      <c r="E3301" t="inlineStr">
        <is>
          <t>HÖÖR</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53464-2022</t>
        </is>
      </c>
      <c r="B3302" s="1" t="n">
        <v>44879</v>
      </c>
      <c r="C3302" s="1" t="n">
        <v>45744</v>
      </c>
      <c r="D3302" t="inlineStr">
        <is>
          <t>SKÅNE LÄN</t>
        </is>
      </c>
      <c r="E3302" t="inlineStr">
        <is>
          <t>HÖRBY</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53501-2022</t>
        </is>
      </c>
      <c r="B3303" s="1" t="n">
        <v>44879</v>
      </c>
      <c r="C3303" s="1" t="n">
        <v>45744</v>
      </c>
      <c r="D3303" t="inlineStr">
        <is>
          <t>SKÅNE LÄN</t>
        </is>
      </c>
      <c r="E3303" t="inlineStr">
        <is>
          <t>ÄNGELHOLM</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53466-2022</t>
        </is>
      </c>
      <c r="B3304" s="1" t="n">
        <v>44879</v>
      </c>
      <c r="C3304" s="1" t="n">
        <v>45744</v>
      </c>
      <c r="D3304" t="inlineStr">
        <is>
          <t>SKÅNE LÄN</t>
        </is>
      </c>
      <c r="E3304" t="inlineStr">
        <is>
          <t>KRISTIANSTAD</t>
        </is>
      </c>
      <c r="F3304" t="inlineStr">
        <is>
          <t>Sveaskog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54095-2022</t>
        </is>
      </c>
      <c r="B3305" s="1" t="n">
        <v>44879</v>
      </c>
      <c r="C3305" s="1" t="n">
        <v>45744</v>
      </c>
      <c r="D3305" t="inlineStr">
        <is>
          <t>SKÅNE LÄN</t>
        </is>
      </c>
      <c r="E3305" t="inlineStr">
        <is>
          <t>PERSTORP</t>
        </is>
      </c>
      <c r="F3305" t="inlineStr">
        <is>
          <t>Övriga Aktiebolag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54106-2022</t>
        </is>
      </c>
      <c r="B3306" s="1" t="n">
        <v>44879</v>
      </c>
      <c r="C3306" s="1" t="n">
        <v>45744</v>
      </c>
      <c r="D3306" t="inlineStr">
        <is>
          <t>SKÅNE LÄN</t>
        </is>
      </c>
      <c r="E3306" t="inlineStr">
        <is>
          <t>HÄSSLEHOLM</t>
        </is>
      </c>
      <c r="F3306" t="inlineStr">
        <is>
          <t>Övriga Aktiebolag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54100-2022</t>
        </is>
      </c>
      <c r="B3307" s="1" t="n">
        <v>44879</v>
      </c>
      <c r="C3307" s="1" t="n">
        <v>45744</v>
      </c>
      <c r="D3307" t="inlineStr">
        <is>
          <t>SKÅNE LÄN</t>
        </is>
      </c>
      <c r="E3307" t="inlineStr">
        <is>
          <t>PERSTORP</t>
        </is>
      </c>
      <c r="F3307" t="inlineStr">
        <is>
          <t>Övriga Aktiebolag</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54110-2022</t>
        </is>
      </c>
      <c r="B3308" s="1" t="n">
        <v>44879</v>
      </c>
      <c r="C3308" s="1" t="n">
        <v>45744</v>
      </c>
      <c r="D3308" t="inlineStr">
        <is>
          <t>SKÅNE LÄN</t>
        </is>
      </c>
      <c r="E3308" t="inlineStr">
        <is>
          <t>KLIPPAN</t>
        </is>
      </c>
      <c r="F3308" t="inlineStr">
        <is>
          <t>Övriga Aktiebolag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53742-2022</t>
        </is>
      </c>
      <c r="B3309" s="1" t="n">
        <v>44880</v>
      </c>
      <c r="C3309" s="1" t="n">
        <v>45744</v>
      </c>
      <c r="D3309" t="inlineStr">
        <is>
          <t>SKÅNE LÄN</t>
        </is>
      </c>
      <c r="E3309" t="inlineStr">
        <is>
          <t>ÄNGELHOLM</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53868-2022</t>
        </is>
      </c>
      <c r="B3310" s="1" t="n">
        <v>44880</v>
      </c>
      <c r="C3310" s="1" t="n">
        <v>45744</v>
      </c>
      <c r="D3310" t="inlineStr">
        <is>
          <t>SKÅNE LÄN</t>
        </is>
      </c>
      <c r="E3310" t="inlineStr">
        <is>
          <t>KLIPPAN</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54431-2022</t>
        </is>
      </c>
      <c r="B3311" s="1" t="n">
        <v>44880</v>
      </c>
      <c r="C3311" s="1" t="n">
        <v>45744</v>
      </c>
      <c r="D3311" t="inlineStr">
        <is>
          <t>SKÅNE LÄN</t>
        </is>
      </c>
      <c r="E3311" t="inlineStr">
        <is>
          <t>HELSINGBORG</t>
        </is>
      </c>
      <c r="F3311" t="inlineStr">
        <is>
          <t>Kommuner</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54516-2022</t>
        </is>
      </c>
      <c r="B3312" s="1" t="n">
        <v>44880</v>
      </c>
      <c r="C3312" s="1" t="n">
        <v>45744</v>
      </c>
      <c r="D3312" t="inlineStr">
        <is>
          <t>SKÅNE LÄN</t>
        </is>
      </c>
      <c r="E3312" t="inlineStr">
        <is>
          <t>KLIPPAN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54495-2022</t>
        </is>
      </c>
      <c r="B3313" s="1" t="n">
        <v>44880</v>
      </c>
      <c r="C3313" s="1" t="n">
        <v>45744</v>
      </c>
      <c r="D3313" t="inlineStr">
        <is>
          <t>SKÅNE LÄN</t>
        </is>
      </c>
      <c r="E3313" t="inlineStr">
        <is>
          <t>ÖSTRA GÖINGE</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54517-2022</t>
        </is>
      </c>
      <c r="B3314" s="1" t="n">
        <v>44880</v>
      </c>
      <c r="C3314" s="1" t="n">
        <v>45744</v>
      </c>
      <c r="D3314" t="inlineStr">
        <is>
          <t>SKÅNE LÄN</t>
        </is>
      </c>
      <c r="E3314" t="inlineStr">
        <is>
          <t>KLIPPAN</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54102-2022</t>
        </is>
      </c>
      <c r="B3315" s="1" t="n">
        <v>44881</v>
      </c>
      <c r="C3315" s="1" t="n">
        <v>45744</v>
      </c>
      <c r="D3315" t="inlineStr">
        <is>
          <t>SKÅNE LÄN</t>
        </is>
      </c>
      <c r="E3315" t="inlineStr">
        <is>
          <t>HÖRBY</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54174-2022</t>
        </is>
      </c>
      <c r="B3316" s="1" t="n">
        <v>44881</v>
      </c>
      <c r="C3316" s="1" t="n">
        <v>45744</v>
      </c>
      <c r="D3316" t="inlineStr">
        <is>
          <t>SKÅNE LÄN</t>
        </is>
      </c>
      <c r="E3316" t="inlineStr">
        <is>
          <t>HÄSSLEHOLM</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54099-2022</t>
        </is>
      </c>
      <c r="B3317" s="1" t="n">
        <v>44881</v>
      </c>
      <c r="C3317" s="1" t="n">
        <v>45744</v>
      </c>
      <c r="D3317" t="inlineStr">
        <is>
          <t>SKÅNE LÄN</t>
        </is>
      </c>
      <c r="E3317" t="inlineStr">
        <is>
          <t>HÖRBY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54164-2022</t>
        </is>
      </c>
      <c r="B3318" s="1" t="n">
        <v>44881</v>
      </c>
      <c r="C3318" s="1" t="n">
        <v>45744</v>
      </c>
      <c r="D3318" t="inlineStr">
        <is>
          <t>SKÅNE LÄN</t>
        </is>
      </c>
      <c r="E3318" t="inlineStr">
        <is>
          <t>HÄSSLEHOLM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54171-2022</t>
        </is>
      </c>
      <c r="B3319" s="1" t="n">
        <v>44881</v>
      </c>
      <c r="C3319" s="1" t="n">
        <v>45744</v>
      </c>
      <c r="D3319" t="inlineStr">
        <is>
          <t>SKÅNE LÄN</t>
        </is>
      </c>
      <c r="E3319" t="inlineStr">
        <is>
          <t>HÄSSLEHOLM</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54187-2022</t>
        </is>
      </c>
      <c r="B3320" s="1" t="n">
        <v>44881</v>
      </c>
      <c r="C3320" s="1" t="n">
        <v>45744</v>
      </c>
      <c r="D3320" t="inlineStr">
        <is>
          <t>SKÅNE LÄN</t>
        </is>
      </c>
      <c r="E3320" t="inlineStr">
        <is>
          <t>OSBY</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54176-2022</t>
        </is>
      </c>
      <c r="B3321" s="1" t="n">
        <v>44881</v>
      </c>
      <c r="C3321" s="1" t="n">
        <v>45744</v>
      </c>
      <c r="D3321" t="inlineStr">
        <is>
          <t>SKÅNE LÄN</t>
        </is>
      </c>
      <c r="E3321" t="inlineStr">
        <is>
          <t>HÄSSLEHOLM</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54874-2022</t>
        </is>
      </c>
      <c r="B3322" s="1" t="n">
        <v>44881</v>
      </c>
      <c r="C3322" s="1" t="n">
        <v>45744</v>
      </c>
      <c r="D3322" t="inlineStr">
        <is>
          <t>SKÅNE LÄN</t>
        </is>
      </c>
      <c r="E3322" t="inlineStr">
        <is>
          <t>HÄSSLEHOLM</t>
        </is>
      </c>
      <c r="G3322" t="n">
        <v>8.1</v>
      </c>
      <c r="H3322" t="n">
        <v>0</v>
      </c>
      <c r="I3322" t="n">
        <v>0</v>
      </c>
      <c r="J3322" t="n">
        <v>0</v>
      </c>
      <c r="K3322" t="n">
        <v>0</v>
      </c>
      <c r="L3322" t="n">
        <v>0</v>
      </c>
      <c r="M3322" t="n">
        <v>0</v>
      </c>
      <c r="N3322" t="n">
        <v>0</v>
      </c>
      <c r="O3322" t="n">
        <v>0</v>
      </c>
      <c r="P3322" t="n">
        <v>0</v>
      </c>
      <c r="Q3322" t="n">
        <v>0</v>
      </c>
      <c r="R3322" s="2" t="inlineStr"/>
    </row>
    <row r="3323" ht="15" customHeight="1">
      <c r="A3323" t="inlineStr">
        <is>
          <t>A 54326-2022</t>
        </is>
      </c>
      <c r="B3323" s="1" t="n">
        <v>44882</v>
      </c>
      <c r="C3323" s="1" t="n">
        <v>45744</v>
      </c>
      <c r="D3323" t="inlineStr">
        <is>
          <t>SKÅNE LÄN</t>
        </is>
      </c>
      <c r="E3323" t="inlineStr">
        <is>
          <t>HÄSSLEHOLM</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54348-2022</t>
        </is>
      </c>
      <c r="B3324" s="1" t="n">
        <v>44882</v>
      </c>
      <c r="C3324" s="1" t="n">
        <v>45744</v>
      </c>
      <c r="D3324" t="inlineStr">
        <is>
          <t>SKÅNE LÄN</t>
        </is>
      </c>
      <c r="E3324" t="inlineStr">
        <is>
          <t>KLIPPAN</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54462-2022</t>
        </is>
      </c>
      <c r="B3325" s="1" t="n">
        <v>44882</v>
      </c>
      <c r="C3325" s="1" t="n">
        <v>45744</v>
      </c>
      <c r="D3325" t="inlineStr">
        <is>
          <t>SKÅNE LÄN</t>
        </is>
      </c>
      <c r="E3325" t="inlineStr">
        <is>
          <t>HÄSSLEHOLM</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54563-2022</t>
        </is>
      </c>
      <c r="B3326" s="1" t="n">
        <v>44882</v>
      </c>
      <c r="C3326" s="1" t="n">
        <v>45744</v>
      </c>
      <c r="D3326" t="inlineStr">
        <is>
          <t>SKÅNE LÄN</t>
        </is>
      </c>
      <c r="E3326" t="inlineStr">
        <is>
          <t>HÖÖR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54518-2022</t>
        </is>
      </c>
      <c r="B3327" s="1" t="n">
        <v>44882</v>
      </c>
      <c r="C3327" s="1" t="n">
        <v>45744</v>
      </c>
      <c r="D3327" t="inlineStr">
        <is>
          <t>SKÅNE LÄN</t>
        </is>
      </c>
      <c r="E3327" t="inlineStr">
        <is>
          <t>HÄSSLEHOLM</t>
        </is>
      </c>
      <c r="F3327" t="inlineStr">
        <is>
          <t>Övriga Aktiebolag</t>
        </is>
      </c>
      <c r="G3327" t="n">
        <v>6.8</v>
      </c>
      <c r="H3327" t="n">
        <v>0</v>
      </c>
      <c r="I3327" t="n">
        <v>0</v>
      </c>
      <c r="J3327" t="n">
        <v>0</v>
      </c>
      <c r="K3327" t="n">
        <v>0</v>
      </c>
      <c r="L3327" t="n">
        <v>0</v>
      </c>
      <c r="M3327" t="n">
        <v>0</v>
      </c>
      <c r="N3327" t="n">
        <v>0</v>
      </c>
      <c r="O3327" t="n">
        <v>0</v>
      </c>
      <c r="P3327" t="n">
        <v>0</v>
      </c>
      <c r="Q3327" t="n">
        <v>0</v>
      </c>
      <c r="R3327" s="2" t="inlineStr"/>
    </row>
    <row r="3328" ht="15" customHeight="1">
      <c r="A3328" t="inlineStr">
        <is>
          <t>A 55410-2022</t>
        </is>
      </c>
      <c r="B3328" s="1" t="n">
        <v>44882</v>
      </c>
      <c r="C3328" s="1" t="n">
        <v>45744</v>
      </c>
      <c r="D3328" t="inlineStr">
        <is>
          <t>SKÅNE LÄN</t>
        </is>
      </c>
      <c r="E3328" t="inlineStr">
        <is>
          <t>PERSTORP</t>
        </is>
      </c>
      <c r="F3328" t="inlineStr">
        <is>
          <t>Övriga Aktiebolag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55415-2022</t>
        </is>
      </c>
      <c r="B3329" s="1" t="n">
        <v>44882</v>
      </c>
      <c r="C3329" s="1" t="n">
        <v>45744</v>
      </c>
      <c r="D3329" t="inlineStr">
        <is>
          <t>SKÅNE LÄN</t>
        </is>
      </c>
      <c r="E3329" t="inlineStr">
        <is>
          <t>KLIPPAN</t>
        </is>
      </c>
      <c r="F3329" t="inlineStr">
        <is>
          <t>Övriga Aktiebolag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55424-2022</t>
        </is>
      </c>
      <c r="B3330" s="1" t="n">
        <v>44882</v>
      </c>
      <c r="C3330" s="1" t="n">
        <v>45744</v>
      </c>
      <c r="D3330" t="inlineStr">
        <is>
          <t>SKÅNE LÄN</t>
        </is>
      </c>
      <c r="E3330" t="inlineStr">
        <is>
          <t>HÄSSLEHOLM</t>
        </is>
      </c>
      <c r="F3330" t="inlineStr">
        <is>
          <t>Övriga Aktiebolag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55416-2022</t>
        </is>
      </c>
      <c r="B3331" s="1" t="n">
        <v>44882</v>
      </c>
      <c r="C3331" s="1" t="n">
        <v>45744</v>
      </c>
      <c r="D3331" t="inlineStr">
        <is>
          <t>SKÅNE LÄN</t>
        </is>
      </c>
      <c r="E3331" t="inlineStr">
        <is>
          <t>PERSTORP</t>
        </is>
      </c>
      <c r="F3331" t="inlineStr">
        <is>
          <t>Övriga Aktiebolag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55429-2022</t>
        </is>
      </c>
      <c r="B3332" s="1" t="n">
        <v>44882</v>
      </c>
      <c r="C3332" s="1" t="n">
        <v>45744</v>
      </c>
      <c r="D3332" t="inlineStr">
        <is>
          <t>SKÅNE LÄN</t>
        </is>
      </c>
      <c r="E3332" t="inlineStr">
        <is>
          <t>HÄSSLEHOLM</t>
        </is>
      </c>
      <c r="F3332" t="inlineStr">
        <is>
          <t>Övriga Aktiebolag</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55412-2022</t>
        </is>
      </c>
      <c r="B3333" s="1" t="n">
        <v>44882</v>
      </c>
      <c r="C3333" s="1" t="n">
        <v>45744</v>
      </c>
      <c r="D3333" t="inlineStr">
        <is>
          <t>SKÅNE LÄN</t>
        </is>
      </c>
      <c r="E3333" t="inlineStr">
        <is>
          <t>HÄSSLEHOLM</t>
        </is>
      </c>
      <c r="F3333" t="inlineStr">
        <is>
          <t>Övriga Aktiebolag</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55419-2022</t>
        </is>
      </c>
      <c r="B3334" s="1" t="n">
        <v>44882</v>
      </c>
      <c r="C3334" s="1" t="n">
        <v>45744</v>
      </c>
      <c r="D3334" t="inlineStr">
        <is>
          <t>SKÅNE LÄN</t>
        </is>
      </c>
      <c r="E3334" t="inlineStr">
        <is>
          <t>HÄSSLEHOLM</t>
        </is>
      </c>
      <c r="F3334" t="inlineStr">
        <is>
          <t>Övriga Aktiebolag</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54662-2022</t>
        </is>
      </c>
      <c r="B3335" s="1" t="n">
        <v>44883</v>
      </c>
      <c r="C3335" s="1" t="n">
        <v>45744</v>
      </c>
      <c r="D3335" t="inlineStr">
        <is>
          <t>SKÅNE LÄN</t>
        </is>
      </c>
      <c r="E3335" t="inlineStr">
        <is>
          <t>HÄSSLEHOLM</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54777-2022</t>
        </is>
      </c>
      <c r="B3336" s="1" t="n">
        <v>44883</v>
      </c>
      <c r="C3336" s="1" t="n">
        <v>45744</v>
      </c>
      <c r="D3336" t="inlineStr">
        <is>
          <t>SKÅNE LÄN</t>
        </is>
      </c>
      <c r="E3336" t="inlineStr">
        <is>
          <t>HÄSSLEHOLM</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54738-2022</t>
        </is>
      </c>
      <c r="B3337" s="1" t="n">
        <v>44883</v>
      </c>
      <c r="C3337" s="1" t="n">
        <v>45744</v>
      </c>
      <c r="D3337" t="inlineStr">
        <is>
          <t>SKÅNE LÄN</t>
        </is>
      </c>
      <c r="E3337" t="inlineStr">
        <is>
          <t>HÖÖR</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54671-2022</t>
        </is>
      </c>
      <c r="B3338" s="1" t="n">
        <v>44883</v>
      </c>
      <c r="C3338" s="1" t="n">
        <v>45744</v>
      </c>
      <c r="D3338" t="inlineStr">
        <is>
          <t>SKÅNE LÄN</t>
        </is>
      </c>
      <c r="E3338" t="inlineStr">
        <is>
          <t>HÄSSLEHOLM</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54753-2022</t>
        </is>
      </c>
      <c r="B3339" s="1" t="n">
        <v>44883</v>
      </c>
      <c r="C3339" s="1" t="n">
        <v>45744</v>
      </c>
      <c r="D3339" t="inlineStr">
        <is>
          <t>SKÅNE LÄN</t>
        </is>
      </c>
      <c r="E3339" t="inlineStr">
        <is>
          <t>HÖÖR</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54782-2022</t>
        </is>
      </c>
      <c r="B3340" s="1" t="n">
        <v>44883</v>
      </c>
      <c r="C3340" s="1" t="n">
        <v>45744</v>
      </c>
      <c r="D3340" t="inlineStr">
        <is>
          <t>SKÅNE LÄN</t>
        </is>
      </c>
      <c r="E3340" t="inlineStr">
        <is>
          <t>SKURUP</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54807-2022</t>
        </is>
      </c>
      <c r="B3341" s="1" t="n">
        <v>44883</v>
      </c>
      <c r="C3341" s="1" t="n">
        <v>45744</v>
      </c>
      <c r="D3341" t="inlineStr">
        <is>
          <t>SKÅNE LÄN</t>
        </is>
      </c>
      <c r="E3341" t="inlineStr">
        <is>
          <t>HÄSSLEHOLM</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55662-2022</t>
        </is>
      </c>
      <c r="B3342" s="1" t="n">
        <v>44883</v>
      </c>
      <c r="C3342" s="1" t="n">
        <v>45744</v>
      </c>
      <c r="D3342" t="inlineStr">
        <is>
          <t>SKÅNE LÄN</t>
        </is>
      </c>
      <c r="E3342" t="inlineStr">
        <is>
          <t>HÄSSLEHOLM</t>
        </is>
      </c>
      <c r="F3342" t="inlineStr">
        <is>
          <t>Övriga Aktiebolag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55613-2022</t>
        </is>
      </c>
      <c r="B3343" s="1" t="n">
        <v>44883</v>
      </c>
      <c r="C3343" s="1" t="n">
        <v>45744</v>
      </c>
      <c r="D3343" t="inlineStr">
        <is>
          <t>SKÅNE LÄN</t>
        </is>
      </c>
      <c r="E3343" t="inlineStr">
        <is>
          <t>KLIPPAN</t>
        </is>
      </c>
      <c r="F3343" t="inlineStr">
        <is>
          <t>Övriga Aktiebolag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55637-2022</t>
        </is>
      </c>
      <c r="B3344" s="1" t="n">
        <v>44883</v>
      </c>
      <c r="C3344" s="1" t="n">
        <v>45744</v>
      </c>
      <c r="D3344" t="inlineStr">
        <is>
          <t>SKÅNE LÄN</t>
        </is>
      </c>
      <c r="E3344" t="inlineStr">
        <is>
          <t>KLIPPAN</t>
        </is>
      </c>
      <c r="F3344" t="inlineStr">
        <is>
          <t>Övriga Aktiebolag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55629-2022</t>
        </is>
      </c>
      <c r="B3345" s="1" t="n">
        <v>44883</v>
      </c>
      <c r="C3345" s="1" t="n">
        <v>45744</v>
      </c>
      <c r="D3345" t="inlineStr">
        <is>
          <t>SKÅNE LÄN</t>
        </is>
      </c>
      <c r="E3345" t="inlineStr">
        <is>
          <t>KLIPPAN</t>
        </is>
      </c>
      <c r="F3345" t="inlineStr">
        <is>
          <t>Övriga Aktiebolag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55663-2022</t>
        </is>
      </c>
      <c r="B3346" s="1" t="n">
        <v>44883</v>
      </c>
      <c r="C3346" s="1" t="n">
        <v>45744</v>
      </c>
      <c r="D3346" t="inlineStr">
        <is>
          <t>SKÅNE LÄN</t>
        </is>
      </c>
      <c r="E3346" t="inlineStr">
        <is>
          <t>SVEDALA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55690-2022</t>
        </is>
      </c>
      <c r="B3347" s="1" t="n">
        <v>44883</v>
      </c>
      <c r="C3347" s="1" t="n">
        <v>45744</v>
      </c>
      <c r="D3347" t="inlineStr">
        <is>
          <t>SKÅNE LÄN</t>
        </is>
      </c>
      <c r="E3347" t="inlineStr">
        <is>
          <t>HÄSSLEHOLM</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55618-2022</t>
        </is>
      </c>
      <c r="B3348" s="1" t="n">
        <v>44883</v>
      </c>
      <c r="C3348" s="1" t="n">
        <v>45744</v>
      </c>
      <c r="D3348" t="inlineStr">
        <is>
          <t>SKÅNE LÄN</t>
        </is>
      </c>
      <c r="E3348" t="inlineStr">
        <is>
          <t>HÄSSLEHOLM</t>
        </is>
      </c>
      <c r="F3348" t="inlineStr">
        <is>
          <t>Övriga Aktiebolag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55649-2022</t>
        </is>
      </c>
      <c r="B3349" s="1" t="n">
        <v>44883</v>
      </c>
      <c r="C3349" s="1" t="n">
        <v>45744</v>
      </c>
      <c r="D3349" t="inlineStr">
        <is>
          <t>SKÅNE LÄN</t>
        </is>
      </c>
      <c r="E3349" t="inlineStr">
        <is>
          <t>HÄSSLEHOLM</t>
        </is>
      </c>
      <c r="F3349" t="inlineStr">
        <is>
          <t>Övriga Aktiebolag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54948-2022</t>
        </is>
      </c>
      <c r="B3350" s="1" t="n">
        <v>44886</v>
      </c>
      <c r="C3350" s="1" t="n">
        <v>45744</v>
      </c>
      <c r="D3350" t="inlineStr">
        <is>
          <t>SKÅNE LÄN</t>
        </is>
      </c>
      <c r="E3350" t="inlineStr">
        <is>
          <t>HÄSSLEHOLM</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54959-2022</t>
        </is>
      </c>
      <c r="B3351" s="1" t="n">
        <v>44886</v>
      </c>
      <c r="C3351" s="1" t="n">
        <v>45744</v>
      </c>
      <c r="D3351" t="inlineStr">
        <is>
          <t>SKÅNE LÄN</t>
        </is>
      </c>
      <c r="E3351" t="inlineStr">
        <is>
          <t>SJÖBO</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55029-2022</t>
        </is>
      </c>
      <c r="B3352" s="1" t="n">
        <v>44886</v>
      </c>
      <c r="C3352" s="1" t="n">
        <v>45744</v>
      </c>
      <c r="D3352" t="inlineStr">
        <is>
          <t>SKÅNE LÄN</t>
        </is>
      </c>
      <c r="E3352" t="inlineStr">
        <is>
          <t>OSBY</t>
        </is>
      </c>
      <c r="F3352" t="inlineStr">
        <is>
          <t>Sveaskog</t>
        </is>
      </c>
      <c r="G3352" t="n">
        <v>7.2</v>
      </c>
      <c r="H3352" t="n">
        <v>0</v>
      </c>
      <c r="I3352" t="n">
        <v>0</v>
      </c>
      <c r="J3352" t="n">
        <v>0</v>
      </c>
      <c r="K3352" t="n">
        <v>0</v>
      </c>
      <c r="L3352" t="n">
        <v>0</v>
      </c>
      <c r="M3352" t="n">
        <v>0</v>
      </c>
      <c r="N3352" t="n">
        <v>0</v>
      </c>
      <c r="O3352" t="n">
        <v>0</v>
      </c>
      <c r="P3352" t="n">
        <v>0</v>
      </c>
      <c r="Q3352" t="n">
        <v>0</v>
      </c>
      <c r="R3352" s="2" t="inlineStr"/>
    </row>
    <row r="3353" ht="15" customHeight="1">
      <c r="A3353" t="inlineStr">
        <is>
          <t>A 55130-2022</t>
        </is>
      </c>
      <c r="B3353" s="1" t="n">
        <v>44886</v>
      </c>
      <c r="C3353" s="1" t="n">
        <v>45744</v>
      </c>
      <c r="D3353" t="inlineStr">
        <is>
          <t>SKÅNE LÄN</t>
        </is>
      </c>
      <c r="E3353" t="inlineStr">
        <is>
          <t>ÖSTRA GÖINGE</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55154-2022</t>
        </is>
      </c>
      <c r="B3354" s="1" t="n">
        <v>44886</v>
      </c>
      <c r="C3354" s="1" t="n">
        <v>45744</v>
      </c>
      <c r="D3354" t="inlineStr">
        <is>
          <t>SKÅNE LÄN</t>
        </is>
      </c>
      <c r="E3354" t="inlineStr">
        <is>
          <t>HÄSSLEHOLM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55140-2022</t>
        </is>
      </c>
      <c r="B3355" s="1" t="n">
        <v>44886</v>
      </c>
      <c r="C3355" s="1" t="n">
        <v>45744</v>
      </c>
      <c r="D3355" t="inlineStr">
        <is>
          <t>SKÅNE LÄN</t>
        </is>
      </c>
      <c r="E3355" t="inlineStr">
        <is>
          <t>ÖSTRA GÖINGE</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55155-2022</t>
        </is>
      </c>
      <c r="B3356" s="1" t="n">
        <v>44886</v>
      </c>
      <c r="C3356" s="1" t="n">
        <v>45744</v>
      </c>
      <c r="D3356" t="inlineStr">
        <is>
          <t>SKÅNE LÄN</t>
        </is>
      </c>
      <c r="E3356" t="inlineStr">
        <is>
          <t>HÄSSLEHOLM</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55364-2022</t>
        </is>
      </c>
      <c r="B3357" s="1" t="n">
        <v>44887</v>
      </c>
      <c r="C3357" s="1" t="n">
        <v>45744</v>
      </c>
      <c r="D3357" t="inlineStr">
        <is>
          <t>SKÅNE LÄN</t>
        </is>
      </c>
      <c r="E3357" t="inlineStr">
        <is>
          <t>HÄSSLEHOLM</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55394-2022</t>
        </is>
      </c>
      <c r="B3358" s="1" t="n">
        <v>44887</v>
      </c>
      <c r="C3358" s="1" t="n">
        <v>45744</v>
      </c>
      <c r="D3358" t="inlineStr">
        <is>
          <t>SKÅNE LÄN</t>
        </is>
      </c>
      <c r="E3358" t="inlineStr">
        <is>
          <t>HÄSSLEHOLM</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56342-2022</t>
        </is>
      </c>
      <c r="B3359" s="1" t="n">
        <v>44887</v>
      </c>
      <c r="C3359" s="1" t="n">
        <v>45744</v>
      </c>
      <c r="D3359" t="inlineStr">
        <is>
          <t>SKÅNE LÄN</t>
        </is>
      </c>
      <c r="E3359" t="inlineStr">
        <is>
          <t>HÖÖR</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55490-2022</t>
        </is>
      </c>
      <c r="B3360" s="1" t="n">
        <v>44887</v>
      </c>
      <c r="C3360" s="1" t="n">
        <v>45744</v>
      </c>
      <c r="D3360" t="inlineStr">
        <is>
          <t>SKÅNE LÄN</t>
        </is>
      </c>
      <c r="E3360" t="inlineStr">
        <is>
          <t>ÖSTRA GÖINGE</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56303-2022</t>
        </is>
      </c>
      <c r="B3361" s="1" t="n">
        <v>44887</v>
      </c>
      <c r="C3361" s="1" t="n">
        <v>45744</v>
      </c>
      <c r="D3361" t="inlineStr">
        <is>
          <t>SKÅNE LÄN</t>
        </is>
      </c>
      <c r="E3361" t="inlineStr">
        <is>
          <t>SJÖBO</t>
        </is>
      </c>
      <c r="G3361" t="n">
        <v>11.1</v>
      </c>
      <c r="H3361" t="n">
        <v>0</v>
      </c>
      <c r="I3361" t="n">
        <v>0</v>
      </c>
      <c r="J3361" t="n">
        <v>0</v>
      </c>
      <c r="K3361" t="n">
        <v>0</v>
      </c>
      <c r="L3361" t="n">
        <v>0</v>
      </c>
      <c r="M3361" t="n">
        <v>0</v>
      </c>
      <c r="N3361" t="n">
        <v>0</v>
      </c>
      <c r="O3361" t="n">
        <v>0</v>
      </c>
      <c r="P3361" t="n">
        <v>0</v>
      </c>
      <c r="Q3361" t="n">
        <v>0</v>
      </c>
      <c r="R3361" s="2" t="inlineStr"/>
    </row>
    <row r="3362" ht="15" customHeight="1">
      <c r="A3362" t="inlineStr">
        <is>
          <t>A 56332-2022</t>
        </is>
      </c>
      <c r="B3362" s="1" t="n">
        <v>44887</v>
      </c>
      <c r="C3362" s="1" t="n">
        <v>45744</v>
      </c>
      <c r="D3362" t="inlineStr">
        <is>
          <t>SKÅNE LÄN</t>
        </is>
      </c>
      <c r="E3362" t="inlineStr">
        <is>
          <t>HÖÖR</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55489-2022</t>
        </is>
      </c>
      <c r="B3363" s="1" t="n">
        <v>44887</v>
      </c>
      <c r="C3363" s="1" t="n">
        <v>45744</v>
      </c>
      <c r="D3363" t="inlineStr">
        <is>
          <t>SKÅNE LÄN</t>
        </is>
      </c>
      <c r="E3363" t="inlineStr">
        <is>
          <t>ÖSTRA GÖINGE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55544-2022</t>
        </is>
      </c>
      <c r="B3364" s="1" t="n">
        <v>44887</v>
      </c>
      <c r="C3364" s="1" t="n">
        <v>45744</v>
      </c>
      <c r="D3364" t="inlineStr">
        <is>
          <t>SKÅNE LÄN</t>
        </is>
      </c>
      <c r="E3364" t="inlineStr">
        <is>
          <t>ÄNGELHOLM</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55425-2022</t>
        </is>
      </c>
      <c r="B3365" s="1" t="n">
        <v>44887</v>
      </c>
      <c r="C3365" s="1" t="n">
        <v>45744</v>
      </c>
      <c r="D3365" t="inlineStr">
        <is>
          <t>SKÅNE LÄN</t>
        </is>
      </c>
      <c r="E3365" t="inlineStr">
        <is>
          <t>HÄSSLEHOLM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55495-2022</t>
        </is>
      </c>
      <c r="B3366" s="1" t="n">
        <v>44887</v>
      </c>
      <c r="C3366" s="1" t="n">
        <v>45744</v>
      </c>
      <c r="D3366" t="inlineStr">
        <is>
          <t>SKÅNE LÄN</t>
        </is>
      </c>
      <c r="E3366" t="inlineStr">
        <is>
          <t>ÖSTRA GÖINGE</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55545-2022</t>
        </is>
      </c>
      <c r="B3367" s="1" t="n">
        <v>44887</v>
      </c>
      <c r="C3367" s="1" t="n">
        <v>45744</v>
      </c>
      <c r="D3367" t="inlineStr">
        <is>
          <t>SKÅNE LÄN</t>
        </is>
      </c>
      <c r="E3367" t="inlineStr">
        <is>
          <t>ÄNGELHOLM</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55676-2022</t>
        </is>
      </c>
      <c r="B3368" s="1" t="n">
        <v>44888</v>
      </c>
      <c r="C3368" s="1" t="n">
        <v>45744</v>
      </c>
      <c r="D3368" t="inlineStr">
        <is>
          <t>SKÅNE LÄN</t>
        </is>
      </c>
      <c r="E3368" t="inlineStr">
        <is>
          <t>TOMELILLA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55670-2022</t>
        </is>
      </c>
      <c r="B3369" s="1" t="n">
        <v>44888</v>
      </c>
      <c r="C3369" s="1" t="n">
        <v>45744</v>
      </c>
      <c r="D3369" t="inlineStr">
        <is>
          <t>SKÅNE LÄN</t>
        </is>
      </c>
      <c r="E3369" t="inlineStr">
        <is>
          <t>KRISTIANSTAD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55587-2022</t>
        </is>
      </c>
      <c r="B3370" s="1" t="n">
        <v>44888</v>
      </c>
      <c r="C3370" s="1" t="n">
        <v>45744</v>
      </c>
      <c r="D3370" t="inlineStr">
        <is>
          <t>SKÅNE LÄN</t>
        </is>
      </c>
      <c r="E3370" t="inlineStr">
        <is>
          <t>KRISTIANSTAD</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55776-2022</t>
        </is>
      </c>
      <c r="B3371" s="1" t="n">
        <v>44888</v>
      </c>
      <c r="C3371" s="1" t="n">
        <v>45744</v>
      </c>
      <c r="D3371" t="inlineStr">
        <is>
          <t>SKÅNE LÄN</t>
        </is>
      </c>
      <c r="E3371" t="inlineStr">
        <is>
          <t>ÖSTRA GÖINGE</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55750-2022</t>
        </is>
      </c>
      <c r="B3372" s="1" t="n">
        <v>44888</v>
      </c>
      <c r="C3372" s="1" t="n">
        <v>45744</v>
      </c>
      <c r="D3372" t="inlineStr">
        <is>
          <t>SKÅNE LÄN</t>
        </is>
      </c>
      <c r="E3372" t="inlineStr">
        <is>
          <t>ÄNGELHOLM</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56596-2022</t>
        </is>
      </c>
      <c r="B3373" s="1" t="n">
        <v>44888</v>
      </c>
      <c r="C3373" s="1" t="n">
        <v>45744</v>
      </c>
      <c r="D3373" t="inlineStr">
        <is>
          <t>SKÅNE LÄN</t>
        </is>
      </c>
      <c r="E3373" t="inlineStr">
        <is>
          <t>HÖÖR</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56102-2022</t>
        </is>
      </c>
      <c r="B3374" s="1" t="n">
        <v>44889</v>
      </c>
      <c r="C3374" s="1" t="n">
        <v>45744</v>
      </c>
      <c r="D3374" t="inlineStr">
        <is>
          <t>SKÅNE LÄN</t>
        </is>
      </c>
      <c r="E3374" t="inlineStr">
        <is>
          <t>ÖSTRA GÖINGE</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57429-2022</t>
        </is>
      </c>
      <c r="B3375" s="1" t="n">
        <v>44889</v>
      </c>
      <c r="C3375" s="1" t="n">
        <v>45744</v>
      </c>
      <c r="D3375" t="inlineStr">
        <is>
          <t>SKÅNE LÄN</t>
        </is>
      </c>
      <c r="E3375" t="inlineStr">
        <is>
          <t>KRISTIANSTAD</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56203-2022</t>
        </is>
      </c>
      <c r="B3376" s="1" t="n">
        <v>44890</v>
      </c>
      <c r="C3376" s="1" t="n">
        <v>45744</v>
      </c>
      <c r="D3376" t="inlineStr">
        <is>
          <t>SKÅNE LÄN</t>
        </is>
      </c>
      <c r="E3376" t="inlineStr">
        <is>
          <t>HÖRBY</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56231-2022</t>
        </is>
      </c>
      <c r="B3377" s="1" t="n">
        <v>44890</v>
      </c>
      <c r="C3377" s="1" t="n">
        <v>45744</v>
      </c>
      <c r="D3377" t="inlineStr">
        <is>
          <t>SKÅNE LÄN</t>
        </is>
      </c>
      <c r="E3377" t="inlineStr">
        <is>
          <t>HÖÖR</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56380-2022</t>
        </is>
      </c>
      <c r="B3378" s="1" t="n">
        <v>44890</v>
      </c>
      <c r="C3378" s="1" t="n">
        <v>45744</v>
      </c>
      <c r="D3378" t="inlineStr">
        <is>
          <t>SKÅNE LÄN</t>
        </is>
      </c>
      <c r="E3378" t="inlineStr">
        <is>
          <t>ÄNGELHOLM</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56427-2022</t>
        </is>
      </c>
      <c r="B3379" s="1" t="n">
        <v>44891</v>
      </c>
      <c r="C3379" s="1" t="n">
        <v>45744</v>
      </c>
      <c r="D3379" t="inlineStr">
        <is>
          <t>SKÅNE LÄN</t>
        </is>
      </c>
      <c r="E3379" t="inlineStr">
        <is>
          <t>HÖRBY</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56486-2022</t>
        </is>
      </c>
      <c r="B3380" s="1" t="n">
        <v>44893</v>
      </c>
      <c r="C3380" s="1" t="n">
        <v>45744</v>
      </c>
      <c r="D3380" t="inlineStr">
        <is>
          <t>SKÅNE LÄN</t>
        </is>
      </c>
      <c r="E3380" t="inlineStr">
        <is>
          <t>HÖRBY</t>
        </is>
      </c>
      <c r="F3380" t="inlineStr">
        <is>
          <t>Sveaskog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56633-2022</t>
        </is>
      </c>
      <c r="B3381" s="1" t="n">
        <v>44893</v>
      </c>
      <c r="C3381" s="1" t="n">
        <v>45744</v>
      </c>
      <c r="D3381" t="inlineStr">
        <is>
          <t>SKÅNE LÄN</t>
        </is>
      </c>
      <c r="E3381" t="inlineStr">
        <is>
          <t>KRISTIANSTAD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58230-2022</t>
        </is>
      </c>
      <c r="B3382" s="1" t="n">
        <v>44893</v>
      </c>
      <c r="C3382" s="1" t="n">
        <v>45744</v>
      </c>
      <c r="D3382" t="inlineStr">
        <is>
          <t>SKÅNE LÄN</t>
        </is>
      </c>
      <c r="E3382" t="inlineStr">
        <is>
          <t>OSBY</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56930-2022</t>
        </is>
      </c>
      <c r="B3383" s="1" t="n">
        <v>44894</v>
      </c>
      <c r="C3383" s="1" t="n">
        <v>45744</v>
      </c>
      <c r="D3383" t="inlineStr">
        <is>
          <t>SKÅNE LÄN</t>
        </is>
      </c>
      <c r="E3383" t="inlineStr">
        <is>
          <t>KRISTIANSTAD</t>
        </is>
      </c>
      <c r="F3383" t="inlineStr">
        <is>
          <t>Kyrkan</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58269-2022</t>
        </is>
      </c>
      <c r="B3384" s="1" t="n">
        <v>44894</v>
      </c>
      <c r="C3384" s="1" t="n">
        <v>45744</v>
      </c>
      <c r="D3384" t="inlineStr">
        <is>
          <t>SKÅNE LÄN</t>
        </is>
      </c>
      <c r="E3384" t="inlineStr">
        <is>
          <t>KRISTIANSTAD</t>
        </is>
      </c>
      <c r="G3384" t="n">
        <v>14.9</v>
      </c>
      <c r="H3384" t="n">
        <v>0</v>
      </c>
      <c r="I3384" t="n">
        <v>0</v>
      </c>
      <c r="J3384" t="n">
        <v>0</v>
      </c>
      <c r="K3384" t="n">
        <v>0</v>
      </c>
      <c r="L3384" t="n">
        <v>0</v>
      </c>
      <c r="M3384" t="n">
        <v>0</v>
      </c>
      <c r="N3384" t="n">
        <v>0</v>
      </c>
      <c r="O3384" t="n">
        <v>0</v>
      </c>
      <c r="P3384" t="n">
        <v>0</v>
      </c>
      <c r="Q3384" t="n">
        <v>0</v>
      </c>
      <c r="R3384" s="2" t="inlineStr"/>
    </row>
    <row r="3385" ht="15" customHeight="1">
      <c r="A3385" t="inlineStr">
        <is>
          <t>A 56818-2022</t>
        </is>
      </c>
      <c r="B3385" s="1" t="n">
        <v>44894</v>
      </c>
      <c r="C3385" s="1" t="n">
        <v>45744</v>
      </c>
      <c r="D3385" t="inlineStr">
        <is>
          <t>SKÅNE LÄN</t>
        </is>
      </c>
      <c r="E3385" t="inlineStr">
        <is>
          <t>HÖRBY</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58288-2022</t>
        </is>
      </c>
      <c r="B3386" s="1" t="n">
        <v>44894</v>
      </c>
      <c r="C3386" s="1" t="n">
        <v>45744</v>
      </c>
      <c r="D3386" t="inlineStr">
        <is>
          <t>SKÅNE LÄN</t>
        </is>
      </c>
      <c r="E3386" t="inlineStr">
        <is>
          <t>KRISTIANSTAD</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57034-2022</t>
        </is>
      </c>
      <c r="B3387" s="1" t="n">
        <v>44895</v>
      </c>
      <c r="C3387" s="1" t="n">
        <v>45744</v>
      </c>
      <c r="D3387" t="inlineStr">
        <is>
          <t>SKÅNE LÄN</t>
        </is>
      </c>
      <c r="E3387" t="inlineStr">
        <is>
          <t>KRISTIANSTAD</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57028-2022</t>
        </is>
      </c>
      <c r="B3388" s="1" t="n">
        <v>44895</v>
      </c>
      <c r="C3388" s="1" t="n">
        <v>45744</v>
      </c>
      <c r="D3388" t="inlineStr">
        <is>
          <t>SKÅNE LÄN</t>
        </is>
      </c>
      <c r="E3388" t="inlineStr">
        <is>
          <t>SJÖBO</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57033-2022</t>
        </is>
      </c>
      <c r="B3389" s="1" t="n">
        <v>44895</v>
      </c>
      <c r="C3389" s="1" t="n">
        <v>45744</v>
      </c>
      <c r="D3389" t="inlineStr">
        <is>
          <t>SKÅNE LÄN</t>
        </is>
      </c>
      <c r="E3389" t="inlineStr">
        <is>
          <t>HÄSSLEHOLM</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57161-2022</t>
        </is>
      </c>
      <c r="B3390" s="1" t="n">
        <v>44895</v>
      </c>
      <c r="C3390" s="1" t="n">
        <v>45744</v>
      </c>
      <c r="D3390" t="inlineStr">
        <is>
          <t>SKÅNE LÄN</t>
        </is>
      </c>
      <c r="E3390" t="inlineStr">
        <is>
          <t>ÖRKELLJUNGA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57208-2022</t>
        </is>
      </c>
      <c r="B3391" s="1" t="n">
        <v>44895</v>
      </c>
      <c r="C3391" s="1" t="n">
        <v>45744</v>
      </c>
      <c r="D3391" t="inlineStr">
        <is>
          <t>SKÅNE LÄN</t>
        </is>
      </c>
      <c r="E3391" t="inlineStr">
        <is>
          <t>ÖRKELLJUNGA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57036-2022</t>
        </is>
      </c>
      <c r="B3392" s="1" t="n">
        <v>44895</v>
      </c>
      <c r="C3392" s="1" t="n">
        <v>45744</v>
      </c>
      <c r="D3392" t="inlineStr">
        <is>
          <t>SKÅNE LÄN</t>
        </is>
      </c>
      <c r="E3392" t="inlineStr">
        <is>
          <t>HÖRBY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57079-2022</t>
        </is>
      </c>
      <c r="B3393" s="1" t="n">
        <v>44895</v>
      </c>
      <c r="C3393" s="1" t="n">
        <v>45744</v>
      </c>
      <c r="D3393" t="inlineStr">
        <is>
          <t>SKÅNE LÄN</t>
        </is>
      </c>
      <c r="E3393" t="inlineStr">
        <is>
          <t>HÄSSLEHOLM</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57222-2022</t>
        </is>
      </c>
      <c r="B3394" s="1" t="n">
        <v>44895</v>
      </c>
      <c r="C3394" s="1" t="n">
        <v>45744</v>
      </c>
      <c r="D3394" t="inlineStr">
        <is>
          <t>SKÅNE LÄN</t>
        </is>
      </c>
      <c r="E3394" t="inlineStr">
        <is>
          <t>OSBY</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57543-2022</t>
        </is>
      </c>
      <c r="B3395" s="1" t="n">
        <v>44896</v>
      </c>
      <c r="C3395" s="1" t="n">
        <v>45744</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57537-2022</t>
        </is>
      </c>
      <c r="B3396" s="1" t="n">
        <v>44896</v>
      </c>
      <c r="C3396" s="1" t="n">
        <v>45744</v>
      </c>
      <c r="D3396" t="inlineStr">
        <is>
          <t>SKÅNE LÄN</t>
        </is>
      </c>
      <c r="E3396" t="inlineStr">
        <is>
          <t>ÖSTRA GÖINGE</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57461-2022</t>
        </is>
      </c>
      <c r="B3397" s="1" t="n">
        <v>44896</v>
      </c>
      <c r="C3397" s="1" t="n">
        <v>45744</v>
      </c>
      <c r="D3397" t="inlineStr">
        <is>
          <t>SKÅNE LÄN</t>
        </is>
      </c>
      <c r="E3397" t="inlineStr">
        <is>
          <t>HÖÖR</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57539-2022</t>
        </is>
      </c>
      <c r="B3398" s="1" t="n">
        <v>44896</v>
      </c>
      <c r="C3398" s="1" t="n">
        <v>45744</v>
      </c>
      <c r="D3398" t="inlineStr">
        <is>
          <t>SKÅNE LÄN</t>
        </is>
      </c>
      <c r="E3398" t="inlineStr">
        <is>
          <t>ÖSTRA GÖINGE</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57521-2022</t>
        </is>
      </c>
      <c r="B3399" s="1" t="n">
        <v>44896</v>
      </c>
      <c r="C3399" s="1" t="n">
        <v>45744</v>
      </c>
      <c r="D3399" t="inlineStr">
        <is>
          <t>SKÅNE LÄN</t>
        </is>
      </c>
      <c r="E3399" t="inlineStr">
        <is>
          <t>ÖSTRA GÖINGE</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57529-2022</t>
        </is>
      </c>
      <c r="B3400" s="1" t="n">
        <v>44896</v>
      </c>
      <c r="C3400" s="1" t="n">
        <v>45744</v>
      </c>
      <c r="D3400" t="inlineStr">
        <is>
          <t>SKÅNE LÄN</t>
        </is>
      </c>
      <c r="E3400" t="inlineStr">
        <is>
          <t>ÖSTRA GÖINGE</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57547-2022</t>
        </is>
      </c>
      <c r="B3401" s="1" t="n">
        <v>44896</v>
      </c>
      <c r="C3401" s="1" t="n">
        <v>45744</v>
      </c>
      <c r="D3401" t="inlineStr">
        <is>
          <t>SKÅNE LÄN</t>
        </is>
      </c>
      <c r="E3401" t="inlineStr">
        <is>
          <t>ÖSTRA GÖINGE</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58891-2022</t>
        </is>
      </c>
      <c r="B3402" s="1" t="n">
        <v>44896</v>
      </c>
      <c r="C3402" s="1" t="n">
        <v>45744</v>
      </c>
      <c r="D3402" t="inlineStr">
        <is>
          <t>SKÅNE LÄN</t>
        </is>
      </c>
      <c r="E3402" t="inlineStr">
        <is>
          <t>HÄSSLEHOLM</t>
        </is>
      </c>
      <c r="F3402" t="inlineStr">
        <is>
          <t>Kyrkan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57656-2022</t>
        </is>
      </c>
      <c r="B3403" s="1" t="n">
        <v>44897</v>
      </c>
      <c r="C3403" s="1" t="n">
        <v>45744</v>
      </c>
      <c r="D3403" t="inlineStr">
        <is>
          <t>SKÅNE LÄN</t>
        </is>
      </c>
      <c r="E3403" t="inlineStr">
        <is>
          <t>HÄSSLEHOLM</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57649-2022</t>
        </is>
      </c>
      <c r="B3404" s="1" t="n">
        <v>44897</v>
      </c>
      <c r="C3404" s="1" t="n">
        <v>45744</v>
      </c>
      <c r="D3404" t="inlineStr">
        <is>
          <t>SKÅNE LÄN</t>
        </is>
      </c>
      <c r="E3404" t="inlineStr">
        <is>
          <t>HÄSSLEHOLM</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57676-2022</t>
        </is>
      </c>
      <c r="B3405" s="1" t="n">
        <v>44897</v>
      </c>
      <c r="C3405" s="1" t="n">
        <v>45744</v>
      </c>
      <c r="D3405" t="inlineStr">
        <is>
          <t>SKÅNE LÄN</t>
        </is>
      </c>
      <c r="E3405" t="inlineStr">
        <is>
          <t>HÄSSLEHOLM</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57709-2022</t>
        </is>
      </c>
      <c r="B3406" s="1" t="n">
        <v>44897</v>
      </c>
      <c r="C3406" s="1" t="n">
        <v>45744</v>
      </c>
      <c r="D3406" t="inlineStr">
        <is>
          <t>SKÅNE LÄN</t>
        </is>
      </c>
      <c r="E3406" t="inlineStr">
        <is>
          <t>ÖRKELLJUNGA</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57665-2022</t>
        </is>
      </c>
      <c r="B3407" s="1" t="n">
        <v>44897</v>
      </c>
      <c r="C3407" s="1" t="n">
        <v>45744</v>
      </c>
      <c r="D3407" t="inlineStr">
        <is>
          <t>SKÅNE LÄN</t>
        </is>
      </c>
      <c r="E3407" t="inlineStr">
        <is>
          <t>HÄSSLEHOLM</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57703-2022</t>
        </is>
      </c>
      <c r="B3408" s="1" t="n">
        <v>44897</v>
      </c>
      <c r="C3408" s="1" t="n">
        <v>45744</v>
      </c>
      <c r="D3408" t="inlineStr">
        <is>
          <t>SKÅNE LÄN</t>
        </is>
      </c>
      <c r="E3408" t="inlineStr">
        <is>
          <t>ÖRKELLJUNGA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57795-2022</t>
        </is>
      </c>
      <c r="B3409" s="1" t="n">
        <v>44897</v>
      </c>
      <c r="C3409" s="1" t="n">
        <v>45744</v>
      </c>
      <c r="D3409" t="inlineStr">
        <is>
          <t>SKÅNE LÄN</t>
        </is>
      </c>
      <c r="E3409" t="inlineStr">
        <is>
          <t>ÖRKELLJUNGA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57810-2022</t>
        </is>
      </c>
      <c r="B3410" s="1" t="n">
        <v>44897</v>
      </c>
      <c r="C3410" s="1" t="n">
        <v>45744</v>
      </c>
      <c r="D3410" t="inlineStr">
        <is>
          <t>SKÅNE LÄN</t>
        </is>
      </c>
      <c r="E3410" t="inlineStr">
        <is>
          <t>TRELLEBORG</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57803-2022</t>
        </is>
      </c>
      <c r="B3411" s="1" t="n">
        <v>44897</v>
      </c>
      <c r="C3411" s="1" t="n">
        <v>45744</v>
      </c>
      <c r="D3411" t="inlineStr">
        <is>
          <t>SKÅNE LÄN</t>
        </is>
      </c>
      <c r="E3411" t="inlineStr">
        <is>
          <t>SVEDALA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57798-2022</t>
        </is>
      </c>
      <c r="B3412" s="1" t="n">
        <v>44897</v>
      </c>
      <c r="C3412" s="1" t="n">
        <v>45744</v>
      </c>
      <c r="D3412" t="inlineStr">
        <is>
          <t>SKÅNE LÄN</t>
        </is>
      </c>
      <c r="E3412" t="inlineStr">
        <is>
          <t>SVEDALA</t>
        </is>
      </c>
      <c r="G3412" t="n">
        <v>8.9</v>
      </c>
      <c r="H3412" t="n">
        <v>0</v>
      </c>
      <c r="I3412" t="n">
        <v>0</v>
      </c>
      <c r="J3412" t="n">
        <v>0</v>
      </c>
      <c r="K3412" t="n">
        <v>0</v>
      </c>
      <c r="L3412" t="n">
        <v>0</v>
      </c>
      <c r="M3412" t="n">
        <v>0</v>
      </c>
      <c r="N3412" t="n">
        <v>0</v>
      </c>
      <c r="O3412" t="n">
        <v>0</v>
      </c>
      <c r="P3412" t="n">
        <v>0</v>
      </c>
      <c r="Q3412" t="n">
        <v>0</v>
      </c>
      <c r="R3412" s="2" t="inlineStr"/>
    </row>
    <row r="3413" ht="15" customHeight="1">
      <c r="A3413" t="inlineStr">
        <is>
          <t>A 59201-2022</t>
        </is>
      </c>
      <c r="B3413" s="1" t="n">
        <v>44897</v>
      </c>
      <c r="C3413" s="1" t="n">
        <v>45744</v>
      </c>
      <c r="D3413" t="inlineStr">
        <is>
          <t>SKÅNE LÄN</t>
        </is>
      </c>
      <c r="E3413" t="inlineStr">
        <is>
          <t>ÖSTRA GÖINGE</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59188-2022</t>
        </is>
      </c>
      <c r="B3414" s="1" t="n">
        <v>44897</v>
      </c>
      <c r="C3414" s="1" t="n">
        <v>45744</v>
      </c>
      <c r="D3414" t="inlineStr">
        <is>
          <t>SKÅNE LÄN</t>
        </is>
      </c>
      <c r="E3414" t="inlineStr">
        <is>
          <t>ÖSTRA GÖINGE</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57990-2022</t>
        </is>
      </c>
      <c r="B3415" s="1" t="n">
        <v>44900</v>
      </c>
      <c r="C3415" s="1" t="n">
        <v>45744</v>
      </c>
      <c r="D3415" t="inlineStr">
        <is>
          <t>SKÅNE LÄN</t>
        </is>
      </c>
      <c r="E3415" t="inlineStr">
        <is>
          <t>OSBY</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57978-2022</t>
        </is>
      </c>
      <c r="B3416" s="1" t="n">
        <v>44900</v>
      </c>
      <c r="C3416" s="1" t="n">
        <v>45744</v>
      </c>
      <c r="D3416" t="inlineStr">
        <is>
          <t>SKÅNE LÄN</t>
        </is>
      </c>
      <c r="E3416" t="inlineStr">
        <is>
          <t>HÄSSLEHOLM</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58135-2022</t>
        </is>
      </c>
      <c r="B3417" s="1" t="n">
        <v>44900</v>
      </c>
      <c r="C3417" s="1" t="n">
        <v>45744</v>
      </c>
      <c r="D3417" t="inlineStr">
        <is>
          <t>SKÅNE LÄN</t>
        </is>
      </c>
      <c r="E3417" t="inlineStr">
        <is>
          <t>ÄNGELHOLM</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58130-2022</t>
        </is>
      </c>
      <c r="B3418" s="1" t="n">
        <v>44900</v>
      </c>
      <c r="C3418" s="1" t="n">
        <v>45744</v>
      </c>
      <c r="D3418" t="inlineStr">
        <is>
          <t>SKÅNE LÄN</t>
        </is>
      </c>
      <c r="E3418" t="inlineStr">
        <is>
          <t>ÖRKELLJUNGA</t>
        </is>
      </c>
      <c r="G3418" t="n">
        <v>23.2</v>
      </c>
      <c r="H3418" t="n">
        <v>0</v>
      </c>
      <c r="I3418" t="n">
        <v>0</v>
      </c>
      <c r="J3418" t="n">
        <v>0</v>
      </c>
      <c r="K3418" t="n">
        <v>0</v>
      </c>
      <c r="L3418" t="n">
        <v>0</v>
      </c>
      <c r="M3418" t="n">
        <v>0</v>
      </c>
      <c r="N3418" t="n">
        <v>0</v>
      </c>
      <c r="O3418" t="n">
        <v>0</v>
      </c>
      <c r="P3418" t="n">
        <v>0</v>
      </c>
      <c r="Q3418" t="n">
        <v>0</v>
      </c>
      <c r="R3418" s="2" t="inlineStr"/>
    </row>
    <row r="3419" ht="15" customHeight="1">
      <c r="A3419" t="inlineStr">
        <is>
          <t>A 58134-2022</t>
        </is>
      </c>
      <c r="B3419" s="1" t="n">
        <v>44900</v>
      </c>
      <c r="C3419" s="1" t="n">
        <v>45744</v>
      </c>
      <c r="D3419" t="inlineStr">
        <is>
          <t>SKÅNE LÄN</t>
        </is>
      </c>
      <c r="E3419" t="inlineStr">
        <is>
          <t>ÄNGELHOLM</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58137-2022</t>
        </is>
      </c>
      <c r="B3420" s="1" t="n">
        <v>44900</v>
      </c>
      <c r="C3420" s="1" t="n">
        <v>45744</v>
      </c>
      <c r="D3420" t="inlineStr">
        <is>
          <t>SKÅNE LÄN</t>
        </is>
      </c>
      <c r="E3420" t="inlineStr">
        <is>
          <t>ÄNGELHOLM</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59760-2022</t>
        </is>
      </c>
      <c r="B3421" s="1" t="n">
        <v>44900</v>
      </c>
      <c r="C3421" s="1" t="n">
        <v>45744</v>
      </c>
      <c r="D3421" t="inlineStr">
        <is>
          <t>SKÅNE LÄN</t>
        </is>
      </c>
      <c r="E3421" t="inlineStr">
        <is>
          <t>PERSTORP</t>
        </is>
      </c>
      <c r="F3421" t="inlineStr">
        <is>
          <t>Övriga Aktiebolag</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59763-2022</t>
        </is>
      </c>
      <c r="B3422" s="1" t="n">
        <v>44900</v>
      </c>
      <c r="C3422" s="1" t="n">
        <v>45744</v>
      </c>
      <c r="D3422" t="inlineStr">
        <is>
          <t>SKÅNE LÄN</t>
        </is>
      </c>
      <c r="E3422" t="inlineStr">
        <is>
          <t>HÄSSLEHOLM</t>
        </is>
      </c>
      <c r="F3422" t="inlineStr">
        <is>
          <t>Övriga Aktiebolag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59728-2022</t>
        </is>
      </c>
      <c r="B3423" s="1" t="n">
        <v>44900</v>
      </c>
      <c r="C3423" s="1" t="n">
        <v>45744</v>
      </c>
      <c r="D3423" t="inlineStr">
        <is>
          <t>SKÅNE LÄN</t>
        </is>
      </c>
      <c r="E3423" t="inlineStr">
        <is>
          <t>HÄSSLEHOLM</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59756-2022</t>
        </is>
      </c>
      <c r="B3424" s="1" t="n">
        <v>44900</v>
      </c>
      <c r="C3424" s="1" t="n">
        <v>45744</v>
      </c>
      <c r="D3424" t="inlineStr">
        <is>
          <t>SKÅNE LÄN</t>
        </is>
      </c>
      <c r="E3424" t="inlineStr">
        <is>
          <t>KLIPPAN</t>
        </is>
      </c>
      <c r="F3424" t="inlineStr">
        <is>
          <t>Övriga Aktiebolag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58387-2022</t>
        </is>
      </c>
      <c r="B3425" s="1" t="n">
        <v>44901</v>
      </c>
      <c r="C3425" s="1" t="n">
        <v>45744</v>
      </c>
      <c r="D3425" t="inlineStr">
        <is>
          <t>SKÅNE LÄN</t>
        </is>
      </c>
      <c r="E3425" t="inlineStr">
        <is>
          <t>KLIPPAN</t>
        </is>
      </c>
      <c r="F3425" t="inlineStr">
        <is>
          <t>Kommuner</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58562-2022</t>
        </is>
      </c>
      <c r="B3426" s="1" t="n">
        <v>44902</v>
      </c>
      <c r="C3426" s="1" t="n">
        <v>45744</v>
      </c>
      <c r="D3426" t="inlineStr">
        <is>
          <t>SKÅNE LÄN</t>
        </is>
      </c>
      <c r="E3426" t="inlineStr">
        <is>
          <t>OSBY</t>
        </is>
      </c>
      <c r="F3426" t="inlineStr">
        <is>
          <t>Sveaskog</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58584-2022</t>
        </is>
      </c>
      <c r="B3427" s="1" t="n">
        <v>44902</v>
      </c>
      <c r="C3427" s="1" t="n">
        <v>45744</v>
      </c>
      <c r="D3427" t="inlineStr">
        <is>
          <t>SKÅNE LÄN</t>
        </is>
      </c>
      <c r="E3427" t="inlineStr">
        <is>
          <t>KLIPPAN</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58582-2022</t>
        </is>
      </c>
      <c r="B3428" s="1" t="n">
        <v>44902</v>
      </c>
      <c r="C3428" s="1" t="n">
        <v>45744</v>
      </c>
      <c r="D3428" t="inlineStr">
        <is>
          <t>SKÅNE LÄN</t>
        </is>
      </c>
      <c r="E3428" t="inlineStr">
        <is>
          <t>TOMELILLA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58638-2022</t>
        </is>
      </c>
      <c r="B3429" s="1" t="n">
        <v>44902</v>
      </c>
      <c r="C3429" s="1" t="n">
        <v>45744</v>
      </c>
      <c r="D3429" t="inlineStr">
        <is>
          <t>SKÅNE LÄN</t>
        </is>
      </c>
      <c r="E3429" t="inlineStr">
        <is>
          <t>OSBY</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58767-2022</t>
        </is>
      </c>
      <c r="B3430" s="1" t="n">
        <v>44903</v>
      </c>
      <c r="C3430" s="1" t="n">
        <v>45744</v>
      </c>
      <c r="D3430" t="inlineStr">
        <is>
          <t>SKÅNE LÄN</t>
        </is>
      </c>
      <c r="E3430" t="inlineStr">
        <is>
          <t>OSBY</t>
        </is>
      </c>
      <c r="F3430" t="inlineStr">
        <is>
          <t>Kommuner</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58761-2022</t>
        </is>
      </c>
      <c r="B3431" s="1" t="n">
        <v>44903</v>
      </c>
      <c r="C3431" s="1" t="n">
        <v>45744</v>
      </c>
      <c r="D3431" t="inlineStr">
        <is>
          <t>SKÅNE LÄN</t>
        </is>
      </c>
      <c r="E3431" t="inlineStr">
        <is>
          <t>OSBY</t>
        </is>
      </c>
      <c r="F3431" t="inlineStr">
        <is>
          <t>Kommuner</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58764-2022</t>
        </is>
      </c>
      <c r="B3432" s="1" t="n">
        <v>44903</v>
      </c>
      <c r="C3432" s="1" t="n">
        <v>45744</v>
      </c>
      <c r="D3432" t="inlineStr">
        <is>
          <t>SKÅNE LÄN</t>
        </is>
      </c>
      <c r="E3432" t="inlineStr">
        <is>
          <t>OSBY</t>
        </is>
      </c>
      <c r="F3432" t="inlineStr">
        <is>
          <t>Kommuner</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58985-2022</t>
        </is>
      </c>
      <c r="B3433" s="1" t="n">
        <v>44903</v>
      </c>
      <c r="C3433" s="1" t="n">
        <v>45744</v>
      </c>
      <c r="D3433" t="inlineStr">
        <is>
          <t>SKÅNE LÄN</t>
        </is>
      </c>
      <c r="E3433" t="inlineStr">
        <is>
          <t>SIMRISHAMN</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59257-2022</t>
        </is>
      </c>
      <c r="B3434" s="1" t="n">
        <v>44904</v>
      </c>
      <c r="C3434" s="1" t="n">
        <v>45744</v>
      </c>
      <c r="D3434" t="inlineStr">
        <is>
          <t>SKÅNE LÄN</t>
        </is>
      </c>
      <c r="E3434" t="inlineStr">
        <is>
          <t>OSBY</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59253-2022</t>
        </is>
      </c>
      <c r="B3435" s="1" t="n">
        <v>44904</v>
      </c>
      <c r="C3435" s="1" t="n">
        <v>45744</v>
      </c>
      <c r="D3435" t="inlineStr">
        <is>
          <t>SKÅNE LÄN</t>
        </is>
      </c>
      <c r="E3435" t="inlineStr">
        <is>
          <t>OSBY</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59236-2022</t>
        </is>
      </c>
      <c r="B3436" s="1" t="n">
        <v>44904</v>
      </c>
      <c r="C3436" s="1" t="n">
        <v>45744</v>
      </c>
      <c r="D3436" t="inlineStr">
        <is>
          <t>SKÅNE LÄN</t>
        </is>
      </c>
      <c r="E3436" t="inlineStr">
        <is>
          <t>OSBY</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59252-2022</t>
        </is>
      </c>
      <c r="B3437" s="1" t="n">
        <v>44904</v>
      </c>
      <c r="C3437" s="1" t="n">
        <v>45744</v>
      </c>
      <c r="D3437" t="inlineStr">
        <is>
          <t>SKÅNE LÄN</t>
        </is>
      </c>
      <c r="E3437" t="inlineStr">
        <is>
          <t>OSBY</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59338-2022</t>
        </is>
      </c>
      <c r="B3438" s="1" t="n">
        <v>44904</v>
      </c>
      <c r="C3438" s="1" t="n">
        <v>45744</v>
      </c>
      <c r="D3438" t="inlineStr">
        <is>
          <t>SKÅNE LÄN</t>
        </is>
      </c>
      <c r="E3438" t="inlineStr">
        <is>
          <t>LUND</t>
        </is>
      </c>
      <c r="G3438" t="n">
        <v>12.9</v>
      </c>
      <c r="H3438" t="n">
        <v>0</v>
      </c>
      <c r="I3438" t="n">
        <v>0</v>
      </c>
      <c r="J3438" t="n">
        <v>0</v>
      </c>
      <c r="K3438" t="n">
        <v>0</v>
      </c>
      <c r="L3438" t="n">
        <v>0</v>
      </c>
      <c r="M3438" t="n">
        <v>0</v>
      </c>
      <c r="N3438" t="n">
        <v>0</v>
      </c>
      <c r="O3438" t="n">
        <v>0</v>
      </c>
      <c r="P3438" t="n">
        <v>0</v>
      </c>
      <c r="Q3438" t="n">
        <v>0</v>
      </c>
      <c r="R3438" s="2" t="inlineStr"/>
    </row>
    <row r="3439" ht="15" customHeight="1">
      <c r="A3439" t="inlineStr">
        <is>
          <t>A 60474-2022</t>
        </is>
      </c>
      <c r="B3439" s="1" t="n">
        <v>44904</v>
      </c>
      <c r="C3439" s="1" t="n">
        <v>45744</v>
      </c>
      <c r="D3439" t="inlineStr">
        <is>
          <t>SKÅNE LÄN</t>
        </is>
      </c>
      <c r="E3439" t="inlineStr">
        <is>
          <t>KRISTIANSTAD</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59528-2022</t>
        </is>
      </c>
      <c r="B3440" s="1" t="n">
        <v>44907</v>
      </c>
      <c r="C3440" s="1" t="n">
        <v>45744</v>
      </c>
      <c r="D3440" t="inlineStr">
        <is>
          <t>SKÅNE LÄN</t>
        </is>
      </c>
      <c r="E3440" t="inlineStr">
        <is>
          <t>TOMELILLA</t>
        </is>
      </c>
      <c r="F3440" t="inlineStr">
        <is>
          <t>Övriga Aktiebolag</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59432-2022</t>
        </is>
      </c>
      <c r="B3441" s="1" t="n">
        <v>44907</v>
      </c>
      <c r="C3441" s="1" t="n">
        <v>45744</v>
      </c>
      <c r="D3441" t="inlineStr">
        <is>
          <t>SKÅNE LÄN</t>
        </is>
      </c>
      <c r="E3441" t="inlineStr">
        <is>
          <t>SVEDALA</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59625-2022</t>
        </is>
      </c>
      <c r="B3442" s="1" t="n">
        <v>44907</v>
      </c>
      <c r="C3442" s="1" t="n">
        <v>45744</v>
      </c>
      <c r="D3442" t="inlineStr">
        <is>
          <t>SKÅNE LÄN</t>
        </is>
      </c>
      <c r="E3442" t="inlineStr">
        <is>
          <t>KRISTIANSTAD</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59702-2022</t>
        </is>
      </c>
      <c r="B3443" s="1" t="n">
        <v>44908</v>
      </c>
      <c r="C3443" s="1" t="n">
        <v>45744</v>
      </c>
      <c r="D3443" t="inlineStr">
        <is>
          <t>SKÅNE LÄN</t>
        </is>
      </c>
      <c r="E3443" t="inlineStr">
        <is>
          <t>HÖÖR</t>
        </is>
      </c>
      <c r="F3443" t="inlineStr">
        <is>
          <t>Sveaskog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59721-2022</t>
        </is>
      </c>
      <c r="B3444" s="1" t="n">
        <v>44908</v>
      </c>
      <c r="C3444" s="1" t="n">
        <v>45744</v>
      </c>
      <c r="D3444" t="inlineStr">
        <is>
          <t>SKÅNE LÄN</t>
        </is>
      </c>
      <c r="E3444" t="inlineStr">
        <is>
          <t>KRISTIANSTAD</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59718-2022</t>
        </is>
      </c>
      <c r="B3445" s="1" t="n">
        <v>44908</v>
      </c>
      <c r="C3445" s="1" t="n">
        <v>45744</v>
      </c>
      <c r="D3445" t="inlineStr">
        <is>
          <t>SKÅNE LÄN</t>
        </is>
      </c>
      <c r="E3445" t="inlineStr">
        <is>
          <t>KRISTIANSTAD</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59862-2022</t>
        </is>
      </c>
      <c r="B3446" s="1" t="n">
        <v>44908</v>
      </c>
      <c r="C3446" s="1" t="n">
        <v>45744</v>
      </c>
      <c r="D3446" t="inlineStr">
        <is>
          <t>SKÅNE LÄN</t>
        </is>
      </c>
      <c r="E3446" t="inlineStr">
        <is>
          <t>ÖRKELLJUNGA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59918-2022</t>
        </is>
      </c>
      <c r="B3447" s="1" t="n">
        <v>44909</v>
      </c>
      <c r="C3447" s="1" t="n">
        <v>45744</v>
      </c>
      <c r="D3447" t="inlineStr">
        <is>
          <t>SKÅNE LÄN</t>
        </is>
      </c>
      <c r="E3447" t="inlineStr">
        <is>
          <t>LUND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59947-2022</t>
        </is>
      </c>
      <c r="B3448" s="1" t="n">
        <v>44909</v>
      </c>
      <c r="C3448" s="1" t="n">
        <v>45744</v>
      </c>
      <c r="D3448" t="inlineStr">
        <is>
          <t>SKÅNE LÄN</t>
        </is>
      </c>
      <c r="E3448" t="inlineStr">
        <is>
          <t>HÖÖR</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60251-2022</t>
        </is>
      </c>
      <c r="B3449" s="1" t="n">
        <v>44910</v>
      </c>
      <c r="C3449" s="1" t="n">
        <v>45744</v>
      </c>
      <c r="D3449" t="inlineStr">
        <is>
          <t>SKÅNE LÄN</t>
        </is>
      </c>
      <c r="E3449" t="inlineStr">
        <is>
          <t>ÖSTRA GÖINGE</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61485-2022</t>
        </is>
      </c>
      <c r="B3450" s="1" t="n">
        <v>44910</v>
      </c>
      <c r="C3450" s="1" t="n">
        <v>45744</v>
      </c>
      <c r="D3450" t="inlineStr">
        <is>
          <t>SKÅNE LÄN</t>
        </is>
      </c>
      <c r="E3450" t="inlineStr">
        <is>
          <t>HÄSSLEHOLM</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60333-2022</t>
        </is>
      </c>
      <c r="B3451" s="1" t="n">
        <v>44910</v>
      </c>
      <c r="C3451" s="1" t="n">
        <v>45744</v>
      </c>
      <c r="D3451" t="inlineStr">
        <is>
          <t>SKÅNE LÄN</t>
        </is>
      </c>
      <c r="E3451" t="inlineStr">
        <is>
          <t>KRISTIANSTAD</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61498-2022</t>
        </is>
      </c>
      <c r="B3452" s="1" t="n">
        <v>44910</v>
      </c>
      <c r="C3452" s="1" t="n">
        <v>45744</v>
      </c>
      <c r="D3452" t="inlineStr">
        <is>
          <t>SKÅNE LÄN</t>
        </is>
      </c>
      <c r="E3452" t="inlineStr">
        <is>
          <t>HÄSSLEHOLM</t>
        </is>
      </c>
      <c r="F3452" t="inlineStr">
        <is>
          <t>Kyrkan</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61504-2022</t>
        </is>
      </c>
      <c r="B3453" s="1" t="n">
        <v>44910</v>
      </c>
      <c r="C3453" s="1" t="n">
        <v>45744</v>
      </c>
      <c r="D3453" t="inlineStr">
        <is>
          <t>SKÅNE LÄN</t>
        </is>
      </c>
      <c r="E3453" t="inlineStr">
        <is>
          <t>HÄSSLEHOLM</t>
        </is>
      </c>
      <c r="F3453" t="inlineStr">
        <is>
          <t>Kyrkan</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61520-2022</t>
        </is>
      </c>
      <c r="B3454" s="1" t="n">
        <v>44910</v>
      </c>
      <c r="C3454" s="1" t="n">
        <v>45744</v>
      </c>
      <c r="D3454" t="inlineStr">
        <is>
          <t>SKÅNE LÄN</t>
        </is>
      </c>
      <c r="E3454" t="inlineStr">
        <is>
          <t>OSBY</t>
        </is>
      </c>
      <c r="F3454" t="inlineStr">
        <is>
          <t>Kyrkan</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61507-2022</t>
        </is>
      </c>
      <c r="B3455" s="1" t="n">
        <v>44910</v>
      </c>
      <c r="C3455" s="1" t="n">
        <v>45744</v>
      </c>
      <c r="D3455" t="inlineStr">
        <is>
          <t>SKÅNE LÄN</t>
        </is>
      </c>
      <c r="E3455" t="inlineStr">
        <is>
          <t>HÄSSLEHOLM</t>
        </is>
      </c>
      <c r="F3455" t="inlineStr">
        <is>
          <t>Kyrkan</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61524-2022</t>
        </is>
      </c>
      <c r="B3456" s="1" t="n">
        <v>44910</v>
      </c>
      <c r="C3456" s="1" t="n">
        <v>45744</v>
      </c>
      <c r="D3456" t="inlineStr">
        <is>
          <t>SKÅNE LÄN</t>
        </is>
      </c>
      <c r="E3456" t="inlineStr">
        <is>
          <t>HÄSSLEHOLM</t>
        </is>
      </c>
      <c r="F3456" t="inlineStr">
        <is>
          <t>Kyrkan</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61539-2022</t>
        </is>
      </c>
      <c r="B3457" s="1" t="n">
        <v>44910</v>
      </c>
      <c r="C3457" s="1" t="n">
        <v>45744</v>
      </c>
      <c r="D3457" t="inlineStr">
        <is>
          <t>SKÅNE LÄN</t>
        </is>
      </c>
      <c r="E3457" t="inlineStr">
        <is>
          <t>HÄSSLEHOLM</t>
        </is>
      </c>
      <c r="G3457" t="n">
        <v>8.6</v>
      </c>
      <c r="H3457" t="n">
        <v>0</v>
      </c>
      <c r="I3457" t="n">
        <v>0</v>
      </c>
      <c r="J3457" t="n">
        <v>0</v>
      </c>
      <c r="K3457" t="n">
        <v>0</v>
      </c>
      <c r="L3457" t="n">
        <v>0</v>
      </c>
      <c r="M3457" t="n">
        <v>0</v>
      </c>
      <c r="N3457" t="n">
        <v>0</v>
      </c>
      <c r="O3457" t="n">
        <v>0</v>
      </c>
      <c r="P3457" t="n">
        <v>0</v>
      </c>
      <c r="Q3457" t="n">
        <v>0</v>
      </c>
      <c r="R3457" s="2" t="inlineStr"/>
    </row>
    <row r="3458" ht="15" customHeight="1">
      <c r="A3458" t="inlineStr">
        <is>
          <t>A 61533-2022</t>
        </is>
      </c>
      <c r="B3458" s="1" t="n">
        <v>44910</v>
      </c>
      <c r="C3458" s="1" t="n">
        <v>45744</v>
      </c>
      <c r="D3458" t="inlineStr">
        <is>
          <t>SKÅNE LÄN</t>
        </is>
      </c>
      <c r="E3458" t="inlineStr">
        <is>
          <t>HÄSSLEHOLM</t>
        </is>
      </c>
      <c r="F3458" t="inlineStr">
        <is>
          <t>Kyrkan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61620-2022</t>
        </is>
      </c>
      <c r="B3459" s="1" t="n">
        <v>44910</v>
      </c>
      <c r="C3459" s="1" t="n">
        <v>45744</v>
      </c>
      <c r="D3459" t="inlineStr">
        <is>
          <t>SKÅNE LÄN</t>
        </is>
      </c>
      <c r="E3459" t="inlineStr">
        <is>
          <t>SVALÖV</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60519-2022</t>
        </is>
      </c>
      <c r="B3460" s="1" t="n">
        <v>44911</v>
      </c>
      <c r="C3460" s="1" t="n">
        <v>45744</v>
      </c>
      <c r="D3460" t="inlineStr">
        <is>
          <t>SKÅNE LÄN</t>
        </is>
      </c>
      <c r="E3460" t="inlineStr">
        <is>
          <t>HÄSSLEHOLM</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60425-2022</t>
        </is>
      </c>
      <c r="B3461" s="1" t="n">
        <v>44911</v>
      </c>
      <c r="C3461" s="1" t="n">
        <v>45744</v>
      </c>
      <c r="D3461" t="inlineStr">
        <is>
          <t>SKÅNE LÄN</t>
        </is>
      </c>
      <c r="E3461" t="inlineStr">
        <is>
          <t>HÖÖR</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60600-2022</t>
        </is>
      </c>
      <c r="B3462" s="1" t="n">
        <v>44911</v>
      </c>
      <c r="C3462" s="1" t="n">
        <v>45744</v>
      </c>
      <c r="D3462" t="inlineStr">
        <is>
          <t>SKÅNE LÄN</t>
        </is>
      </c>
      <c r="E3462" t="inlineStr">
        <is>
          <t>OSBY</t>
        </is>
      </c>
      <c r="G3462" t="n">
        <v>15.4</v>
      </c>
      <c r="H3462" t="n">
        <v>0</v>
      </c>
      <c r="I3462" t="n">
        <v>0</v>
      </c>
      <c r="J3462" t="n">
        <v>0</v>
      </c>
      <c r="K3462" t="n">
        <v>0</v>
      </c>
      <c r="L3462" t="n">
        <v>0</v>
      </c>
      <c r="M3462" t="n">
        <v>0</v>
      </c>
      <c r="N3462" t="n">
        <v>0</v>
      </c>
      <c r="O3462" t="n">
        <v>0</v>
      </c>
      <c r="P3462" t="n">
        <v>0</v>
      </c>
      <c r="Q3462" t="n">
        <v>0</v>
      </c>
      <c r="R3462" s="2" t="inlineStr"/>
    </row>
    <row r="3463" ht="15" customHeight="1">
      <c r="A3463" t="inlineStr">
        <is>
          <t>A 61701-2022</t>
        </is>
      </c>
      <c r="B3463" s="1" t="n">
        <v>44911</v>
      </c>
      <c r="C3463" s="1" t="n">
        <v>45744</v>
      </c>
      <c r="D3463" t="inlineStr">
        <is>
          <t>SKÅNE LÄN</t>
        </is>
      </c>
      <c r="E3463" t="inlineStr">
        <is>
          <t>BROMÖLLA</t>
        </is>
      </c>
      <c r="F3463" t="inlineStr">
        <is>
          <t>Kyrkan</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60846-2022</t>
        </is>
      </c>
      <c r="B3464" s="1" t="n">
        <v>44914</v>
      </c>
      <c r="C3464" s="1" t="n">
        <v>45744</v>
      </c>
      <c r="D3464" t="inlineStr">
        <is>
          <t>SKÅNE LÄN</t>
        </is>
      </c>
      <c r="E3464" t="inlineStr">
        <is>
          <t>HÄSSLEHOLM</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60843-2022</t>
        </is>
      </c>
      <c r="B3465" s="1" t="n">
        <v>44914</v>
      </c>
      <c r="C3465" s="1" t="n">
        <v>45744</v>
      </c>
      <c r="D3465" t="inlineStr">
        <is>
          <t>SKÅNE LÄN</t>
        </is>
      </c>
      <c r="E3465" t="inlineStr">
        <is>
          <t>HÄSSLEHOLM</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60780-2022</t>
        </is>
      </c>
      <c r="B3466" s="1" t="n">
        <v>44914</v>
      </c>
      <c r="C3466" s="1" t="n">
        <v>45744</v>
      </c>
      <c r="D3466" t="inlineStr">
        <is>
          <t>SKÅNE LÄN</t>
        </is>
      </c>
      <c r="E3466" t="inlineStr">
        <is>
          <t>ÖSTRA GÖINGE</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60848-2022</t>
        </is>
      </c>
      <c r="B3467" s="1" t="n">
        <v>44914</v>
      </c>
      <c r="C3467" s="1" t="n">
        <v>45744</v>
      </c>
      <c r="D3467" t="inlineStr">
        <is>
          <t>SKÅNE LÄN</t>
        </is>
      </c>
      <c r="E3467" t="inlineStr">
        <is>
          <t>HÄSSLEHOLM</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61031-2022</t>
        </is>
      </c>
      <c r="B3468" s="1" t="n">
        <v>44914</v>
      </c>
      <c r="C3468" s="1" t="n">
        <v>45744</v>
      </c>
      <c r="D3468" t="inlineStr">
        <is>
          <t>SKÅNE LÄN</t>
        </is>
      </c>
      <c r="E3468" t="inlineStr">
        <is>
          <t>SJÖBO</t>
        </is>
      </c>
      <c r="F3468" t="inlineStr">
        <is>
          <t>Övriga Aktiebolag</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60911-2022</t>
        </is>
      </c>
      <c r="B3469" s="1" t="n">
        <v>44914</v>
      </c>
      <c r="C3469" s="1" t="n">
        <v>45744</v>
      </c>
      <c r="D3469" t="inlineStr">
        <is>
          <t>SKÅNE LÄN</t>
        </is>
      </c>
      <c r="E3469" t="inlineStr">
        <is>
          <t>KLIPPAN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60959-2022</t>
        </is>
      </c>
      <c r="B3470" s="1" t="n">
        <v>44914</v>
      </c>
      <c r="C3470" s="1" t="n">
        <v>45744</v>
      </c>
      <c r="D3470" t="inlineStr">
        <is>
          <t>SKÅNE LÄN</t>
        </is>
      </c>
      <c r="E3470" t="inlineStr">
        <is>
          <t>HÄSSLEHOLM</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61096-2022</t>
        </is>
      </c>
      <c r="B3471" s="1" t="n">
        <v>44915</v>
      </c>
      <c r="C3471" s="1" t="n">
        <v>45744</v>
      </c>
      <c r="D3471" t="inlineStr">
        <is>
          <t>SKÅNE LÄN</t>
        </is>
      </c>
      <c r="E3471" t="inlineStr">
        <is>
          <t>ÖSTRA GÖINGE</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61170-2022</t>
        </is>
      </c>
      <c r="B3472" s="1" t="n">
        <v>44915</v>
      </c>
      <c r="C3472" s="1" t="n">
        <v>45744</v>
      </c>
      <c r="D3472" t="inlineStr">
        <is>
          <t>SKÅNE LÄN</t>
        </is>
      </c>
      <c r="E3472" t="inlineStr">
        <is>
          <t>HÄSSLEHOLM</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61186-2022</t>
        </is>
      </c>
      <c r="B3473" s="1" t="n">
        <v>44915</v>
      </c>
      <c r="C3473" s="1" t="n">
        <v>45744</v>
      </c>
      <c r="D3473" t="inlineStr">
        <is>
          <t>SKÅNE LÄN</t>
        </is>
      </c>
      <c r="E3473" t="inlineStr">
        <is>
          <t>HÄSSLEHOLM</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61087-2022</t>
        </is>
      </c>
      <c r="B3474" s="1" t="n">
        <v>44915</v>
      </c>
      <c r="C3474" s="1" t="n">
        <v>45744</v>
      </c>
      <c r="D3474" t="inlineStr">
        <is>
          <t>SKÅNE LÄN</t>
        </is>
      </c>
      <c r="E3474" t="inlineStr">
        <is>
          <t>HÖÖR</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61178-2022</t>
        </is>
      </c>
      <c r="B3475" s="1" t="n">
        <v>44915</v>
      </c>
      <c r="C3475" s="1" t="n">
        <v>45744</v>
      </c>
      <c r="D3475" t="inlineStr">
        <is>
          <t>SKÅNE LÄN</t>
        </is>
      </c>
      <c r="E3475" t="inlineStr">
        <is>
          <t>HÄSSLEHOLM</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61292-2022</t>
        </is>
      </c>
      <c r="B3476" s="1" t="n">
        <v>44915</v>
      </c>
      <c r="C3476" s="1" t="n">
        <v>45744</v>
      </c>
      <c r="D3476" t="inlineStr">
        <is>
          <t>SKÅNE LÄN</t>
        </is>
      </c>
      <c r="E3476" t="inlineStr">
        <is>
          <t>HÄSSLEHOLM</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61158-2022</t>
        </is>
      </c>
      <c r="B3477" s="1" t="n">
        <v>44915</v>
      </c>
      <c r="C3477" s="1" t="n">
        <v>45744</v>
      </c>
      <c r="D3477" t="inlineStr">
        <is>
          <t>SKÅNE LÄN</t>
        </is>
      </c>
      <c r="E3477" t="inlineStr">
        <is>
          <t>HÄSSLEHOLM</t>
        </is>
      </c>
      <c r="G3477" t="n">
        <v>8.4</v>
      </c>
      <c r="H3477" t="n">
        <v>0</v>
      </c>
      <c r="I3477" t="n">
        <v>0</v>
      </c>
      <c r="J3477" t="n">
        <v>0</v>
      </c>
      <c r="K3477" t="n">
        <v>0</v>
      </c>
      <c r="L3477" t="n">
        <v>0</v>
      </c>
      <c r="M3477" t="n">
        <v>0</v>
      </c>
      <c r="N3477" t="n">
        <v>0</v>
      </c>
      <c r="O3477" t="n">
        <v>0</v>
      </c>
      <c r="P3477" t="n">
        <v>0</v>
      </c>
      <c r="Q3477" t="n">
        <v>0</v>
      </c>
      <c r="R3477" s="2" t="inlineStr"/>
    </row>
    <row r="3478" ht="15" customHeight="1">
      <c r="A3478" t="inlineStr">
        <is>
          <t>A 62171-2022</t>
        </is>
      </c>
      <c r="B3478" s="1" t="n">
        <v>44915</v>
      </c>
      <c r="C3478" s="1" t="n">
        <v>45744</v>
      </c>
      <c r="D3478" t="inlineStr">
        <is>
          <t>SKÅNE LÄN</t>
        </is>
      </c>
      <c r="E3478" t="inlineStr">
        <is>
          <t>HÄSSLEHOLM</t>
        </is>
      </c>
      <c r="F3478" t="inlineStr">
        <is>
          <t>Kyrkan</t>
        </is>
      </c>
      <c r="G3478" t="n">
        <v>9</v>
      </c>
      <c r="H3478" t="n">
        <v>0</v>
      </c>
      <c r="I3478" t="n">
        <v>0</v>
      </c>
      <c r="J3478" t="n">
        <v>0</v>
      </c>
      <c r="K3478" t="n">
        <v>0</v>
      </c>
      <c r="L3478" t="n">
        <v>0</v>
      </c>
      <c r="M3478" t="n">
        <v>0</v>
      </c>
      <c r="N3478" t="n">
        <v>0</v>
      </c>
      <c r="O3478" t="n">
        <v>0</v>
      </c>
      <c r="P3478" t="n">
        <v>0</v>
      </c>
      <c r="Q3478" t="n">
        <v>0</v>
      </c>
      <c r="R3478" s="2" t="inlineStr"/>
    </row>
    <row r="3479" ht="15" customHeight="1">
      <c r="A3479" t="inlineStr">
        <is>
          <t>A 61185-2022</t>
        </is>
      </c>
      <c r="B3479" s="1" t="n">
        <v>44915</v>
      </c>
      <c r="C3479" s="1" t="n">
        <v>45744</v>
      </c>
      <c r="D3479" t="inlineStr">
        <is>
          <t>SKÅNE LÄN</t>
        </is>
      </c>
      <c r="E3479" t="inlineStr">
        <is>
          <t>HÄSSLEHOLM</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62180-2022</t>
        </is>
      </c>
      <c r="B3480" s="1" t="n">
        <v>44915</v>
      </c>
      <c r="C3480" s="1" t="n">
        <v>45744</v>
      </c>
      <c r="D3480" t="inlineStr">
        <is>
          <t>SKÅNE LÄN</t>
        </is>
      </c>
      <c r="E3480" t="inlineStr">
        <is>
          <t>ÖRKELLJUNGA</t>
        </is>
      </c>
      <c r="F3480" t="inlineStr">
        <is>
          <t>Kyrkan</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62156-2022</t>
        </is>
      </c>
      <c r="B3481" s="1" t="n">
        <v>44915</v>
      </c>
      <c r="C3481" s="1" t="n">
        <v>45744</v>
      </c>
      <c r="D3481" t="inlineStr">
        <is>
          <t>SKÅNE LÄN</t>
        </is>
      </c>
      <c r="E3481" t="inlineStr">
        <is>
          <t>KRISTIANSTAD</t>
        </is>
      </c>
      <c r="F3481" t="inlineStr">
        <is>
          <t>Kyrkan</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62181-2022</t>
        </is>
      </c>
      <c r="B3482" s="1" t="n">
        <v>44915</v>
      </c>
      <c r="C3482" s="1" t="n">
        <v>45744</v>
      </c>
      <c r="D3482" t="inlineStr">
        <is>
          <t>SKÅNE LÄN</t>
        </is>
      </c>
      <c r="E3482" t="inlineStr">
        <is>
          <t>ÖRKELLJUNGA</t>
        </is>
      </c>
      <c r="F3482" t="inlineStr">
        <is>
          <t>Kyrkan</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62167-2022</t>
        </is>
      </c>
      <c r="B3483" s="1" t="n">
        <v>44915</v>
      </c>
      <c r="C3483" s="1" t="n">
        <v>45744</v>
      </c>
      <c r="D3483" t="inlineStr">
        <is>
          <t>SKÅNE LÄN</t>
        </is>
      </c>
      <c r="E3483" t="inlineStr">
        <is>
          <t>HÄSSLEHOLM</t>
        </is>
      </c>
      <c r="F3483" t="inlineStr">
        <is>
          <t>Kyrkan</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62199-2022</t>
        </is>
      </c>
      <c r="B3484" s="1" t="n">
        <v>44915</v>
      </c>
      <c r="C3484" s="1" t="n">
        <v>45744</v>
      </c>
      <c r="D3484" t="inlineStr">
        <is>
          <t>SKÅNE LÄN</t>
        </is>
      </c>
      <c r="E3484" t="inlineStr">
        <is>
          <t>HÄSSLEHOLM</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61648-2022</t>
        </is>
      </c>
      <c r="B3485" s="1" t="n">
        <v>44916</v>
      </c>
      <c r="C3485" s="1" t="n">
        <v>45744</v>
      </c>
      <c r="D3485" t="inlineStr">
        <is>
          <t>SKÅNE LÄN</t>
        </is>
      </c>
      <c r="E3485" t="inlineStr">
        <is>
          <t>OSBY</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61625-2022</t>
        </is>
      </c>
      <c r="B3486" s="1" t="n">
        <v>44916</v>
      </c>
      <c r="C3486" s="1" t="n">
        <v>45744</v>
      </c>
      <c r="D3486" t="inlineStr">
        <is>
          <t>SKÅNE LÄN</t>
        </is>
      </c>
      <c r="E3486" t="inlineStr">
        <is>
          <t>HÄSSLEHOLM</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61680-2022</t>
        </is>
      </c>
      <c r="B3487" s="1" t="n">
        <v>44917</v>
      </c>
      <c r="C3487" s="1" t="n">
        <v>45744</v>
      </c>
      <c r="D3487" t="inlineStr">
        <is>
          <t>SKÅNE LÄN</t>
        </is>
      </c>
      <c r="E3487" t="inlineStr">
        <is>
          <t>HÄSSLEHOLM</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61909-2022</t>
        </is>
      </c>
      <c r="B3488" s="1" t="n">
        <v>44917</v>
      </c>
      <c r="C3488" s="1" t="n">
        <v>45744</v>
      </c>
      <c r="D3488" t="inlineStr">
        <is>
          <t>SKÅNE LÄN</t>
        </is>
      </c>
      <c r="E3488" t="inlineStr">
        <is>
          <t>HÄSSLEHOLM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61901-2022</t>
        </is>
      </c>
      <c r="B3489" s="1" t="n">
        <v>44917</v>
      </c>
      <c r="C3489" s="1" t="n">
        <v>45744</v>
      </c>
      <c r="D3489" t="inlineStr">
        <is>
          <t>SKÅNE LÄN</t>
        </is>
      </c>
      <c r="E3489" t="inlineStr">
        <is>
          <t>HÄSSLEHOLM</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61972-2022</t>
        </is>
      </c>
      <c r="B3490" s="1" t="n">
        <v>44918</v>
      </c>
      <c r="C3490" s="1" t="n">
        <v>45744</v>
      </c>
      <c r="D3490" t="inlineStr">
        <is>
          <t>SKÅNE LÄN</t>
        </is>
      </c>
      <c r="E3490" t="inlineStr">
        <is>
          <t>PERSTORP</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62044-2022</t>
        </is>
      </c>
      <c r="B3491" s="1" t="n">
        <v>44918</v>
      </c>
      <c r="C3491" s="1" t="n">
        <v>45744</v>
      </c>
      <c r="D3491" t="inlineStr">
        <is>
          <t>SKÅNE LÄN</t>
        </is>
      </c>
      <c r="E3491" t="inlineStr">
        <is>
          <t>HÄSSLEHOLM</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62054-2022</t>
        </is>
      </c>
      <c r="B3492" s="1" t="n">
        <v>44918</v>
      </c>
      <c r="C3492" s="1" t="n">
        <v>45744</v>
      </c>
      <c r="D3492" t="inlineStr">
        <is>
          <t>SKÅNE LÄN</t>
        </is>
      </c>
      <c r="E3492" t="inlineStr">
        <is>
          <t>ÖSTRA GÖINGE</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62062-2022</t>
        </is>
      </c>
      <c r="B3493" s="1" t="n">
        <v>44918</v>
      </c>
      <c r="C3493" s="1" t="n">
        <v>45744</v>
      </c>
      <c r="D3493" t="inlineStr">
        <is>
          <t>SKÅNE LÄN</t>
        </is>
      </c>
      <c r="E3493" t="inlineStr">
        <is>
          <t>KRISTIANSTAD</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62066-2022</t>
        </is>
      </c>
      <c r="B3494" s="1" t="n">
        <v>44918</v>
      </c>
      <c r="C3494" s="1" t="n">
        <v>45744</v>
      </c>
      <c r="D3494" t="inlineStr">
        <is>
          <t>SKÅNE LÄN</t>
        </is>
      </c>
      <c r="E3494" t="inlineStr">
        <is>
          <t>KRISTIANSTAD</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62064-2022</t>
        </is>
      </c>
      <c r="B3495" s="1" t="n">
        <v>44918</v>
      </c>
      <c r="C3495" s="1" t="n">
        <v>45744</v>
      </c>
      <c r="D3495" t="inlineStr">
        <is>
          <t>SKÅNE LÄN</t>
        </is>
      </c>
      <c r="E3495" t="inlineStr">
        <is>
          <t>KRISTIANSTAD</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62041-2022</t>
        </is>
      </c>
      <c r="B3496" s="1" t="n">
        <v>44918</v>
      </c>
      <c r="C3496" s="1" t="n">
        <v>45744</v>
      </c>
      <c r="D3496" t="inlineStr">
        <is>
          <t>SKÅNE LÄN</t>
        </is>
      </c>
      <c r="E3496" t="inlineStr">
        <is>
          <t>HÄSSLEHOLM</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62052-2022</t>
        </is>
      </c>
      <c r="B3497" s="1" t="n">
        <v>44918</v>
      </c>
      <c r="C3497" s="1" t="n">
        <v>45744</v>
      </c>
      <c r="D3497" t="inlineStr">
        <is>
          <t>SKÅNE LÄN</t>
        </is>
      </c>
      <c r="E3497" t="inlineStr">
        <is>
          <t>ÖSTRA GÖINGE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62057-2022</t>
        </is>
      </c>
      <c r="B3498" s="1" t="n">
        <v>44918</v>
      </c>
      <c r="C3498" s="1" t="n">
        <v>45744</v>
      </c>
      <c r="D3498" t="inlineStr">
        <is>
          <t>SKÅNE LÄN</t>
        </is>
      </c>
      <c r="E3498" t="inlineStr">
        <is>
          <t>ÖSTRA GÖINGE</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62063-2022</t>
        </is>
      </c>
      <c r="B3499" s="1" t="n">
        <v>44918</v>
      </c>
      <c r="C3499" s="1" t="n">
        <v>45744</v>
      </c>
      <c r="D3499" t="inlineStr">
        <is>
          <t>SKÅNE LÄN</t>
        </is>
      </c>
      <c r="E3499" t="inlineStr">
        <is>
          <t>KRISTIANSTAD</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62116-2022</t>
        </is>
      </c>
      <c r="B3500" s="1" t="n">
        <v>44921</v>
      </c>
      <c r="C3500" s="1" t="n">
        <v>45744</v>
      </c>
      <c r="D3500" t="inlineStr">
        <is>
          <t>SKÅNE LÄN</t>
        </is>
      </c>
      <c r="E3500" t="inlineStr">
        <is>
          <t>OSBY</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62117-2022</t>
        </is>
      </c>
      <c r="B3501" s="1" t="n">
        <v>44921</v>
      </c>
      <c r="C3501" s="1" t="n">
        <v>45744</v>
      </c>
      <c r="D3501" t="inlineStr">
        <is>
          <t>SKÅNE LÄN</t>
        </is>
      </c>
      <c r="E3501" t="inlineStr">
        <is>
          <t>OSBY</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62234-2022</t>
        </is>
      </c>
      <c r="B3502" s="1" t="n">
        <v>44922</v>
      </c>
      <c r="C3502" s="1" t="n">
        <v>45744</v>
      </c>
      <c r="D3502" t="inlineStr">
        <is>
          <t>SKÅNE LÄN</t>
        </is>
      </c>
      <c r="E3502" t="inlineStr">
        <is>
          <t>HÄSSLEHOLM</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62149-2022</t>
        </is>
      </c>
      <c r="B3503" s="1" t="n">
        <v>44922</v>
      </c>
      <c r="C3503" s="1" t="n">
        <v>45744</v>
      </c>
      <c r="D3503" t="inlineStr">
        <is>
          <t>SKÅNE LÄN</t>
        </is>
      </c>
      <c r="E3503" t="inlineStr">
        <is>
          <t>SIMRISHAMN</t>
        </is>
      </c>
      <c r="F3503" t="inlineStr">
        <is>
          <t>Övriga Aktiebolag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62293-2022</t>
        </is>
      </c>
      <c r="B3504" s="1" t="n">
        <v>44923</v>
      </c>
      <c r="C3504" s="1" t="n">
        <v>45744</v>
      </c>
      <c r="D3504" t="inlineStr">
        <is>
          <t>SKÅNE LÄN</t>
        </is>
      </c>
      <c r="E3504" t="inlineStr">
        <is>
          <t>PERSTORP</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62296-2022</t>
        </is>
      </c>
      <c r="B3505" s="1" t="n">
        <v>44923</v>
      </c>
      <c r="C3505" s="1" t="n">
        <v>45744</v>
      </c>
      <c r="D3505" t="inlineStr">
        <is>
          <t>SKÅNE LÄN</t>
        </is>
      </c>
      <c r="E3505" t="inlineStr">
        <is>
          <t>PERSTORP</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62397-2022</t>
        </is>
      </c>
      <c r="B3506" s="1" t="n">
        <v>44923</v>
      </c>
      <c r="C3506" s="1" t="n">
        <v>45744</v>
      </c>
      <c r="D3506" t="inlineStr">
        <is>
          <t>SKÅNE LÄN</t>
        </is>
      </c>
      <c r="E3506" t="inlineStr">
        <is>
          <t>KRISTIANSTAD</t>
        </is>
      </c>
      <c r="G3506" t="n">
        <v>12.6</v>
      </c>
      <c r="H3506" t="n">
        <v>0</v>
      </c>
      <c r="I3506" t="n">
        <v>0</v>
      </c>
      <c r="J3506" t="n">
        <v>0</v>
      </c>
      <c r="K3506" t="n">
        <v>0</v>
      </c>
      <c r="L3506" t="n">
        <v>0</v>
      </c>
      <c r="M3506" t="n">
        <v>0</v>
      </c>
      <c r="N3506" t="n">
        <v>0</v>
      </c>
      <c r="O3506" t="n">
        <v>0</v>
      </c>
      <c r="P3506" t="n">
        <v>0</v>
      </c>
      <c r="Q3506" t="n">
        <v>0</v>
      </c>
      <c r="R3506" s="2" t="inlineStr"/>
    </row>
    <row r="3507" ht="15" customHeight="1">
      <c r="A3507" t="inlineStr">
        <is>
          <t>A 62413-2022</t>
        </is>
      </c>
      <c r="B3507" s="1" t="n">
        <v>44923</v>
      </c>
      <c r="C3507" s="1" t="n">
        <v>45744</v>
      </c>
      <c r="D3507" t="inlineStr">
        <is>
          <t>SKÅNE LÄN</t>
        </is>
      </c>
      <c r="E3507" t="inlineStr">
        <is>
          <t>SIMRISHAMN</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62412-2022</t>
        </is>
      </c>
      <c r="B3508" s="1" t="n">
        <v>44924</v>
      </c>
      <c r="C3508" s="1" t="n">
        <v>45744</v>
      </c>
      <c r="D3508" t="inlineStr">
        <is>
          <t>SKÅNE LÄN</t>
        </is>
      </c>
      <c r="E3508" t="inlineStr">
        <is>
          <t>SIMRISHAMN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62403-2022</t>
        </is>
      </c>
      <c r="B3509" s="1" t="n">
        <v>44923</v>
      </c>
      <c r="C3509" s="1" t="n">
        <v>45744</v>
      </c>
      <c r="D3509" t="inlineStr">
        <is>
          <t>SKÅNE LÄN</t>
        </is>
      </c>
      <c r="E3509" t="inlineStr">
        <is>
          <t>SVALÖV</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429-2023</t>
        </is>
      </c>
      <c r="B3510" s="1" t="n">
        <v>44923</v>
      </c>
      <c r="C3510" s="1" t="n">
        <v>45744</v>
      </c>
      <c r="D3510" t="inlineStr">
        <is>
          <t>SKÅNE LÄN</t>
        </is>
      </c>
      <c r="E3510" t="inlineStr">
        <is>
          <t>KRISTIANSTAD</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62526-2022</t>
        </is>
      </c>
      <c r="B3511" s="1" t="n">
        <v>44924</v>
      </c>
      <c r="C3511" s="1" t="n">
        <v>45744</v>
      </c>
      <c r="D3511" t="inlineStr">
        <is>
          <t>SKÅNE LÄN</t>
        </is>
      </c>
      <c r="E3511" t="inlineStr">
        <is>
          <t>BROMÖLLA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696-2023</t>
        </is>
      </c>
      <c r="B3512" s="1" t="n">
        <v>44925</v>
      </c>
      <c r="C3512" s="1" t="n">
        <v>45744</v>
      </c>
      <c r="D3512" t="inlineStr">
        <is>
          <t>SKÅNE LÄN</t>
        </is>
      </c>
      <c r="E3512" t="inlineStr">
        <is>
          <t>ESLÖV</t>
        </is>
      </c>
      <c r="F3512" t="inlineStr">
        <is>
          <t>Sveaskog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39-2023</t>
        </is>
      </c>
      <c r="B3513" s="1" t="n">
        <v>44928</v>
      </c>
      <c r="C3513" s="1" t="n">
        <v>45744</v>
      </c>
      <c r="D3513" t="inlineStr">
        <is>
          <t>SKÅNE LÄN</t>
        </is>
      </c>
      <c r="E3513" t="inlineStr">
        <is>
          <t>ÖRKELLJUNGA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119-2023</t>
        </is>
      </c>
      <c r="B3514" s="1" t="n">
        <v>44928</v>
      </c>
      <c r="C3514" s="1" t="n">
        <v>45744</v>
      </c>
      <c r="D3514" t="inlineStr">
        <is>
          <t>SKÅNE LÄN</t>
        </is>
      </c>
      <c r="E3514" t="inlineStr">
        <is>
          <t>HÖRBY</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24-2023</t>
        </is>
      </c>
      <c r="B3515" s="1" t="n">
        <v>44928</v>
      </c>
      <c r="C3515" s="1" t="n">
        <v>45744</v>
      </c>
      <c r="D3515" t="inlineStr">
        <is>
          <t>SKÅNE LÄN</t>
        </is>
      </c>
      <c r="E3515" t="inlineStr">
        <is>
          <t>BÅSTAD</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217-2023</t>
        </is>
      </c>
      <c r="B3516" s="1" t="n">
        <v>44928</v>
      </c>
      <c r="C3516" s="1" t="n">
        <v>45744</v>
      </c>
      <c r="D3516" t="inlineStr">
        <is>
          <t>SKÅNE LÄN</t>
        </is>
      </c>
      <c r="E3516" t="inlineStr">
        <is>
          <t>KLIPPAN</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393-2023</t>
        </is>
      </c>
      <c r="B3517" s="1" t="n">
        <v>44929</v>
      </c>
      <c r="C3517" s="1" t="n">
        <v>45744</v>
      </c>
      <c r="D3517" t="inlineStr">
        <is>
          <t>SKÅNE LÄN</t>
        </is>
      </c>
      <c r="E3517" t="inlineStr">
        <is>
          <t>KLIPPAN</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308-2023</t>
        </is>
      </c>
      <c r="B3518" s="1" t="n">
        <v>44929</v>
      </c>
      <c r="C3518" s="1" t="n">
        <v>45744</v>
      </c>
      <c r="D3518" t="inlineStr">
        <is>
          <t>SKÅNE LÄN</t>
        </is>
      </c>
      <c r="E3518" t="inlineStr">
        <is>
          <t>ÄNGELHOLM</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365-2023</t>
        </is>
      </c>
      <c r="B3519" s="1" t="n">
        <v>44929</v>
      </c>
      <c r="C3519" s="1" t="n">
        <v>45744</v>
      </c>
      <c r="D3519" t="inlineStr">
        <is>
          <t>SKÅNE LÄN</t>
        </is>
      </c>
      <c r="E3519" t="inlineStr">
        <is>
          <t>ÖSTRA GÖINGE</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387-2023</t>
        </is>
      </c>
      <c r="B3520" s="1" t="n">
        <v>44929</v>
      </c>
      <c r="C3520" s="1" t="n">
        <v>45744</v>
      </c>
      <c r="D3520" t="inlineStr">
        <is>
          <t>SKÅNE LÄN</t>
        </is>
      </c>
      <c r="E3520" t="inlineStr">
        <is>
          <t>ÖRKELLJUNGA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427-2023</t>
        </is>
      </c>
      <c r="B3521" s="1" t="n">
        <v>44929</v>
      </c>
      <c r="C3521" s="1" t="n">
        <v>45744</v>
      </c>
      <c r="D3521" t="inlineStr">
        <is>
          <t>SKÅNE LÄN</t>
        </is>
      </c>
      <c r="E3521" t="inlineStr">
        <is>
          <t>ÖSTRA GÖINGE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425-2023</t>
        </is>
      </c>
      <c r="B3522" s="1" t="n">
        <v>44929</v>
      </c>
      <c r="C3522" s="1" t="n">
        <v>45744</v>
      </c>
      <c r="D3522" t="inlineStr">
        <is>
          <t>SKÅNE LÄN</t>
        </is>
      </c>
      <c r="E3522" t="inlineStr">
        <is>
          <t>ÖSTRA GÖINGE</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557-2023</t>
        </is>
      </c>
      <c r="B3523" s="1" t="n">
        <v>44930</v>
      </c>
      <c r="C3523" s="1" t="n">
        <v>45744</v>
      </c>
      <c r="D3523" t="inlineStr">
        <is>
          <t>SKÅNE LÄN</t>
        </is>
      </c>
      <c r="E3523" t="inlineStr">
        <is>
          <t>ÖSTRA GÖINGE</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593-2023</t>
        </is>
      </c>
      <c r="B3524" s="1" t="n">
        <v>44930</v>
      </c>
      <c r="C3524" s="1" t="n">
        <v>45744</v>
      </c>
      <c r="D3524" t="inlineStr">
        <is>
          <t>SKÅNE LÄN</t>
        </is>
      </c>
      <c r="E3524" t="inlineStr">
        <is>
          <t>KLIPPAN</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497-2023</t>
        </is>
      </c>
      <c r="B3525" s="1" t="n">
        <v>44930</v>
      </c>
      <c r="C3525" s="1" t="n">
        <v>45744</v>
      </c>
      <c r="D3525" t="inlineStr">
        <is>
          <t>SKÅNE LÄN</t>
        </is>
      </c>
      <c r="E3525" t="inlineStr">
        <is>
          <t>SVALÖV</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560-2023</t>
        </is>
      </c>
      <c r="B3526" s="1" t="n">
        <v>44930</v>
      </c>
      <c r="C3526" s="1" t="n">
        <v>45744</v>
      </c>
      <c r="D3526" t="inlineStr">
        <is>
          <t>SKÅNE LÄN</t>
        </is>
      </c>
      <c r="E3526" t="inlineStr">
        <is>
          <t>ÖSTRA GÖINGE</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595-2023</t>
        </is>
      </c>
      <c r="B3527" s="1" t="n">
        <v>44930</v>
      </c>
      <c r="C3527" s="1" t="n">
        <v>45744</v>
      </c>
      <c r="D3527" t="inlineStr">
        <is>
          <t>SKÅNE LÄN</t>
        </is>
      </c>
      <c r="E3527" t="inlineStr">
        <is>
          <t>ÄNGELHOLM</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635-2023</t>
        </is>
      </c>
      <c r="B3528" s="1" t="n">
        <v>44930</v>
      </c>
      <c r="C3528" s="1" t="n">
        <v>45744</v>
      </c>
      <c r="D3528" t="inlineStr">
        <is>
          <t>SKÅNE LÄN</t>
        </is>
      </c>
      <c r="E3528" t="inlineStr">
        <is>
          <t>BÅSTAD</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876-2023</t>
        </is>
      </c>
      <c r="B3529" s="1" t="n">
        <v>44931</v>
      </c>
      <c r="C3529" s="1" t="n">
        <v>45744</v>
      </c>
      <c r="D3529" t="inlineStr">
        <is>
          <t>SKÅNE LÄN</t>
        </is>
      </c>
      <c r="E3529" t="inlineStr">
        <is>
          <t>HÄSSLEHOLM</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939-2023</t>
        </is>
      </c>
      <c r="B3530" s="1" t="n">
        <v>44933</v>
      </c>
      <c r="C3530" s="1" t="n">
        <v>45744</v>
      </c>
      <c r="D3530" t="inlineStr">
        <is>
          <t>SKÅNE LÄN</t>
        </is>
      </c>
      <c r="E3530" t="inlineStr">
        <is>
          <t>KRISTIANSTAD</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941-2023</t>
        </is>
      </c>
      <c r="B3531" s="1" t="n">
        <v>44933</v>
      </c>
      <c r="C3531" s="1" t="n">
        <v>45744</v>
      </c>
      <c r="D3531" t="inlineStr">
        <is>
          <t>SKÅNE LÄN</t>
        </is>
      </c>
      <c r="E3531" t="inlineStr">
        <is>
          <t>KRISTIANSTAD</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981-2023</t>
        </is>
      </c>
      <c r="B3532" s="1" t="n">
        <v>44935</v>
      </c>
      <c r="C3532" s="1" t="n">
        <v>45744</v>
      </c>
      <c r="D3532" t="inlineStr">
        <is>
          <t>SKÅNE LÄN</t>
        </is>
      </c>
      <c r="E3532" t="inlineStr">
        <is>
          <t>ÖRKELLJUNGA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1106-2023</t>
        </is>
      </c>
      <c r="B3533" s="1" t="n">
        <v>44935</v>
      </c>
      <c r="C3533" s="1" t="n">
        <v>45744</v>
      </c>
      <c r="D3533" t="inlineStr">
        <is>
          <t>SKÅNE LÄN</t>
        </is>
      </c>
      <c r="E3533" t="inlineStr">
        <is>
          <t>HÖRBY</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1222-2023</t>
        </is>
      </c>
      <c r="B3534" s="1" t="n">
        <v>44935</v>
      </c>
      <c r="C3534" s="1" t="n">
        <v>45744</v>
      </c>
      <c r="D3534" t="inlineStr">
        <is>
          <t>SKÅNE LÄN</t>
        </is>
      </c>
      <c r="E3534" t="inlineStr">
        <is>
          <t>OSBY</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1169-2023</t>
        </is>
      </c>
      <c r="B3535" s="1" t="n">
        <v>44935</v>
      </c>
      <c r="C3535" s="1" t="n">
        <v>45744</v>
      </c>
      <c r="D3535" t="inlineStr">
        <is>
          <t>SKÅNE LÄN</t>
        </is>
      </c>
      <c r="E3535" t="inlineStr">
        <is>
          <t>ÖSTRA GÖINGE</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1280-2023</t>
        </is>
      </c>
      <c r="B3536" s="1" t="n">
        <v>44936</v>
      </c>
      <c r="C3536" s="1" t="n">
        <v>45744</v>
      </c>
      <c r="D3536" t="inlineStr">
        <is>
          <t>SKÅNE LÄN</t>
        </is>
      </c>
      <c r="E3536" t="inlineStr">
        <is>
          <t>KLIPPAN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1397-2023</t>
        </is>
      </c>
      <c r="B3537" s="1" t="n">
        <v>44936</v>
      </c>
      <c r="C3537" s="1" t="n">
        <v>45744</v>
      </c>
      <c r="D3537" t="inlineStr">
        <is>
          <t>SKÅNE LÄN</t>
        </is>
      </c>
      <c r="E3537" t="inlineStr">
        <is>
          <t>ÖRKELLJUNGA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1426-2023</t>
        </is>
      </c>
      <c r="B3538" s="1" t="n">
        <v>44937</v>
      </c>
      <c r="C3538" s="1" t="n">
        <v>45744</v>
      </c>
      <c r="D3538" t="inlineStr">
        <is>
          <t>SKÅNE LÄN</t>
        </is>
      </c>
      <c r="E3538" t="inlineStr">
        <is>
          <t>HÄSSLEHOLM</t>
        </is>
      </c>
      <c r="F3538" t="inlineStr">
        <is>
          <t>Sveaskog</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1505-2023</t>
        </is>
      </c>
      <c r="B3539" s="1" t="n">
        <v>44937</v>
      </c>
      <c r="C3539" s="1" t="n">
        <v>45744</v>
      </c>
      <c r="D3539" t="inlineStr">
        <is>
          <t>SKÅNE LÄN</t>
        </is>
      </c>
      <c r="E3539" t="inlineStr">
        <is>
          <t>SIMRISHAMN</t>
        </is>
      </c>
      <c r="F3539" t="inlineStr">
        <is>
          <t>Övriga Aktiebolag</t>
        </is>
      </c>
      <c r="G3539" t="n">
        <v>8.6</v>
      </c>
      <c r="H3539" t="n">
        <v>0</v>
      </c>
      <c r="I3539" t="n">
        <v>0</v>
      </c>
      <c r="J3539" t="n">
        <v>0</v>
      </c>
      <c r="K3539" t="n">
        <v>0</v>
      </c>
      <c r="L3539" t="n">
        <v>0</v>
      </c>
      <c r="M3539" t="n">
        <v>0</v>
      </c>
      <c r="N3539" t="n">
        <v>0</v>
      </c>
      <c r="O3539" t="n">
        <v>0</v>
      </c>
      <c r="P3539" t="n">
        <v>0</v>
      </c>
      <c r="Q3539" t="n">
        <v>0</v>
      </c>
      <c r="R3539" s="2" t="inlineStr"/>
    </row>
    <row r="3540" ht="15" customHeight="1">
      <c r="A3540" t="inlineStr">
        <is>
          <t>A 1538-2023</t>
        </is>
      </c>
      <c r="B3540" s="1" t="n">
        <v>44937</v>
      </c>
      <c r="C3540" s="1" t="n">
        <v>45744</v>
      </c>
      <c r="D3540" t="inlineStr">
        <is>
          <t>SKÅNE LÄN</t>
        </is>
      </c>
      <c r="E3540" t="inlineStr">
        <is>
          <t>ÖRKELLJUNGA</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1560-2023</t>
        </is>
      </c>
      <c r="B3541" s="1" t="n">
        <v>44937</v>
      </c>
      <c r="C3541" s="1" t="n">
        <v>45744</v>
      </c>
      <c r="D3541" t="inlineStr">
        <is>
          <t>SKÅNE LÄN</t>
        </is>
      </c>
      <c r="E3541" t="inlineStr">
        <is>
          <t>HÄSSLEHOLM</t>
        </is>
      </c>
      <c r="G3541" t="n">
        <v>6.8</v>
      </c>
      <c r="H3541" t="n">
        <v>0</v>
      </c>
      <c r="I3541" t="n">
        <v>0</v>
      </c>
      <c r="J3541" t="n">
        <v>0</v>
      </c>
      <c r="K3541" t="n">
        <v>0</v>
      </c>
      <c r="L3541" t="n">
        <v>0</v>
      </c>
      <c r="M3541" t="n">
        <v>0</v>
      </c>
      <c r="N3541" t="n">
        <v>0</v>
      </c>
      <c r="O3541" t="n">
        <v>0</v>
      </c>
      <c r="P3541" t="n">
        <v>0</v>
      </c>
      <c r="Q3541" t="n">
        <v>0</v>
      </c>
      <c r="R3541" s="2" t="inlineStr"/>
    </row>
    <row r="3542" ht="15" customHeight="1">
      <c r="A3542" t="inlineStr">
        <is>
          <t>A 1427-2023</t>
        </is>
      </c>
      <c r="B3542" s="1" t="n">
        <v>44937</v>
      </c>
      <c r="C3542" s="1" t="n">
        <v>45744</v>
      </c>
      <c r="D3542" t="inlineStr">
        <is>
          <t>SKÅNE LÄN</t>
        </is>
      </c>
      <c r="E3542" t="inlineStr">
        <is>
          <t>KRISTIANSTAD</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1498-2023</t>
        </is>
      </c>
      <c r="B3543" s="1" t="n">
        <v>44937</v>
      </c>
      <c r="C3543" s="1" t="n">
        <v>45744</v>
      </c>
      <c r="D3543" t="inlineStr">
        <is>
          <t>SKÅNE LÄN</t>
        </is>
      </c>
      <c r="E3543" t="inlineStr">
        <is>
          <t>SJÖBO</t>
        </is>
      </c>
      <c r="F3543" t="inlineStr">
        <is>
          <t>Övriga Aktiebolag</t>
        </is>
      </c>
      <c r="G3543" t="n">
        <v>9.5</v>
      </c>
      <c r="H3543" t="n">
        <v>0</v>
      </c>
      <c r="I3543" t="n">
        <v>0</v>
      </c>
      <c r="J3543" t="n">
        <v>0</v>
      </c>
      <c r="K3543" t="n">
        <v>0</v>
      </c>
      <c r="L3543" t="n">
        <v>0</v>
      </c>
      <c r="M3543" t="n">
        <v>0</v>
      </c>
      <c r="N3543" t="n">
        <v>0</v>
      </c>
      <c r="O3543" t="n">
        <v>0</v>
      </c>
      <c r="P3543" t="n">
        <v>0</v>
      </c>
      <c r="Q3543" t="n">
        <v>0</v>
      </c>
      <c r="R3543" s="2" t="inlineStr"/>
    </row>
    <row r="3544" ht="15" customHeight="1">
      <c r="A3544" t="inlineStr">
        <is>
          <t>A 1557-2023</t>
        </is>
      </c>
      <c r="B3544" s="1" t="n">
        <v>44937</v>
      </c>
      <c r="C3544" s="1" t="n">
        <v>45744</v>
      </c>
      <c r="D3544" t="inlineStr">
        <is>
          <t>SKÅNE LÄN</t>
        </is>
      </c>
      <c r="E3544" t="inlineStr">
        <is>
          <t>HÄSSLEHOLM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1562-2023</t>
        </is>
      </c>
      <c r="B3545" s="1" t="n">
        <v>44937</v>
      </c>
      <c r="C3545" s="1" t="n">
        <v>45744</v>
      </c>
      <c r="D3545" t="inlineStr">
        <is>
          <t>SKÅNE LÄN</t>
        </is>
      </c>
      <c r="E3545" t="inlineStr">
        <is>
          <t>HÄSSLEHOLM</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1553-2023</t>
        </is>
      </c>
      <c r="B3546" s="1" t="n">
        <v>44937</v>
      </c>
      <c r="C3546" s="1" t="n">
        <v>45744</v>
      </c>
      <c r="D3546" t="inlineStr">
        <is>
          <t>SKÅNE LÄN</t>
        </is>
      </c>
      <c r="E3546" t="inlineStr">
        <is>
          <t>HÄSSLEHOLM</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1575-2023</t>
        </is>
      </c>
      <c r="B3547" s="1" t="n">
        <v>44937</v>
      </c>
      <c r="C3547" s="1" t="n">
        <v>45744</v>
      </c>
      <c r="D3547" t="inlineStr">
        <is>
          <t>SKÅNE LÄN</t>
        </is>
      </c>
      <c r="E3547" t="inlineStr">
        <is>
          <t>ÖSTRA GÖINGE</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1936-2023</t>
        </is>
      </c>
      <c r="B3548" s="1" t="n">
        <v>44937</v>
      </c>
      <c r="C3548" s="1" t="n">
        <v>45744</v>
      </c>
      <c r="D3548" t="inlineStr">
        <is>
          <t>SKÅNE LÄN</t>
        </is>
      </c>
      <c r="E3548" t="inlineStr">
        <is>
          <t>ÖSTRA GÖINGE</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1953-2023</t>
        </is>
      </c>
      <c r="B3549" s="1" t="n">
        <v>44937</v>
      </c>
      <c r="C3549" s="1" t="n">
        <v>45744</v>
      </c>
      <c r="D3549" t="inlineStr">
        <is>
          <t>SKÅNE LÄN</t>
        </is>
      </c>
      <c r="E3549" t="inlineStr">
        <is>
          <t>ÖSTRA GÖINGE</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1726-2023</t>
        </is>
      </c>
      <c r="B3550" s="1" t="n">
        <v>44938</v>
      </c>
      <c r="C3550" s="1" t="n">
        <v>45744</v>
      </c>
      <c r="D3550" t="inlineStr">
        <is>
          <t>SKÅNE LÄN</t>
        </is>
      </c>
      <c r="E3550" t="inlineStr">
        <is>
          <t>KRISTIANSTAD</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2015-2023</t>
        </is>
      </c>
      <c r="B3551" s="1" t="n">
        <v>44939</v>
      </c>
      <c r="C3551" s="1" t="n">
        <v>45744</v>
      </c>
      <c r="D3551" t="inlineStr">
        <is>
          <t>SKÅNE LÄN</t>
        </is>
      </c>
      <c r="E3551" t="inlineStr">
        <is>
          <t>PERSTORP</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2081-2023</t>
        </is>
      </c>
      <c r="B3552" s="1" t="n">
        <v>44939</v>
      </c>
      <c r="C3552" s="1" t="n">
        <v>45744</v>
      </c>
      <c r="D3552" t="inlineStr">
        <is>
          <t>SKÅNE LÄN</t>
        </is>
      </c>
      <c r="E3552" t="inlineStr">
        <is>
          <t>ÖRKELLJUNGA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2088-2023</t>
        </is>
      </c>
      <c r="B3553" s="1" t="n">
        <v>44939</v>
      </c>
      <c r="C3553" s="1" t="n">
        <v>45744</v>
      </c>
      <c r="D3553" t="inlineStr">
        <is>
          <t>SKÅNE LÄN</t>
        </is>
      </c>
      <c r="E3553" t="inlineStr">
        <is>
          <t>ÖRKELLJUNGA</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1900-2023</t>
        </is>
      </c>
      <c r="B3554" s="1" t="n">
        <v>44939</v>
      </c>
      <c r="C3554" s="1" t="n">
        <v>45744</v>
      </c>
      <c r="D3554" t="inlineStr">
        <is>
          <t>SKÅNE LÄN</t>
        </is>
      </c>
      <c r="E3554" t="inlineStr">
        <is>
          <t>ÖRKELLJUNGA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2092-2023</t>
        </is>
      </c>
      <c r="B3555" s="1" t="n">
        <v>44939</v>
      </c>
      <c r="C3555" s="1" t="n">
        <v>45744</v>
      </c>
      <c r="D3555" t="inlineStr">
        <is>
          <t>SKÅNE LÄN</t>
        </is>
      </c>
      <c r="E3555" t="inlineStr">
        <is>
          <t>ÖRKELLJUNGA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2090-2023</t>
        </is>
      </c>
      <c r="B3556" s="1" t="n">
        <v>44939</v>
      </c>
      <c r="C3556" s="1" t="n">
        <v>45744</v>
      </c>
      <c r="D3556" t="inlineStr">
        <is>
          <t>SKÅNE LÄN</t>
        </is>
      </c>
      <c r="E3556" t="inlineStr">
        <is>
          <t>ÖRKELLJUNGA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2086-2023</t>
        </is>
      </c>
      <c r="B3557" s="1" t="n">
        <v>44939</v>
      </c>
      <c r="C3557" s="1" t="n">
        <v>45744</v>
      </c>
      <c r="D3557" t="inlineStr">
        <is>
          <t>SKÅNE LÄN</t>
        </is>
      </c>
      <c r="E3557" t="inlineStr">
        <is>
          <t>ÖRKELLJUNGA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2145-2023</t>
        </is>
      </c>
      <c r="B3558" s="1" t="n">
        <v>44940</v>
      </c>
      <c r="C3558" s="1" t="n">
        <v>45744</v>
      </c>
      <c r="D3558" t="inlineStr">
        <is>
          <t>SKÅNE LÄN</t>
        </is>
      </c>
      <c r="E3558" t="inlineStr">
        <is>
          <t>HÖRBY</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2359-2023</t>
        </is>
      </c>
      <c r="B3559" s="1" t="n">
        <v>44942</v>
      </c>
      <c r="C3559" s="1" t="n">
        <v>45744</v>
      </c>
      <c r="D3559" t="inlineStr">
        <is>
          <t>SKÅNE LÄN</t>
        </is>
      </c>
      <c r="E3559" t="inlineStr">
        <is>
          <t>ÖRKELLJUNGA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2257-2023</t>
        </is>
      </c>
      <c r="B3560" s="1" t="n">
        <v>44942</v>
      </c>
      <c r="C3560" s="1" t="n">
        <v>45744</v>
      </c>
      <c r="D3560" t="inlineStr">
        <is>
          <t>SKÅNE LÄN</t>
        </is>
      </c>
      <c r="E3560" t="inlineStr">
        <is>
          <t>KRISTIANSTAD</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2663-2023</t>
        </is>
      </c>
      <c r="B3561" s="1" t="n">
        <v>44942</v>
      </c>
      <c r="C3561" s="1" t="n">
        <v>45744</v>
      </c>
      <c r="D3561" t="inlineStr">
        <is>
          <t>SKÅNE LÄN</t>
        </is>
      </c>
      <c r="E3561" t="inlineStr">
        <is>
          <t>HÄSSLEHOLM</t>
        </is>
      </c>
      <c r="F3561" t="inlineStr">
        <is>
          <t>Kyrkan</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2449-2023</t>
        </is>
      </c>
      <c r="B3562" s="1" t="n">
        <v>44943</v>
      </c>
      <c r="C3562" s="1" t="n">
        <v>45744</v>
      </c>
      <c r="D3562" t="inlineStr">
        <is>
          <t>SKÅNE LÄN</t>
        </is>
      </c>
      <c r="E3562" t="inlineStr">
        <is>
          <t>SJÖBO</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2554-2023</t>
        </is>
      </c>
      <c r="B3563" s="1" t="n">
        <v>44943</v>
      </c>
      <c r="C3563" s="1" t="n">
        <v>45744</v>
      </c>
      <c r="D3563" t="inlineStr">
        <is>
          <t>SKÅNE LÄN</t>
        </is>
      </c>
      <c r="E3563" t="inlineStr">
        <is>
          <t>SIMRISHAMN</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2747-2023</t>
        </is>
      </c>
      <c r="B3564" s="1" t="n">
        <v>44944</v>
      </c>
      <c r="C3564" s="1" t="n">
        <v>45744</v>
      </c>
      <c r="D3564" t="inlineStr">
        <is>
          <t>SKÅNE LÄN</t>
        </is>
      </c>
      <c r="E3564" t="inlineStr">
        <is>
          <t>HÖRBY</t>
        </is>
      </c>
      <c r="F3564" t="inlineStr">
        <is>
          <t>Sveaskog</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2743-2023</t>
        </is>
      </c>
      <c r="B3565" s="1" t="n">
        <v>44944</v>
      </c>
      <c r="C3565" s="1" t="n">
        <v>45744</v>
      </c>
      <c r="D3565" t="inlineStr">
        <is>
          <t>SKÅNE LÄN</t>
        </is>
      </c>
      <c r="E3565" t="inlineStr">
        <is>
          <t>HÄSSLEHOLM</t>
        </is>
      </c>
      <c r="F3565" t="inlineStr">
        <is>
          <t>Sveaskog</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2755-2023</t>
        </is>
      </c>
      <c r="B3566" s="1" t="n">
        <v>44944</v>
      </c>
      <c r="C3566" s="1" t="n">
        <v>45744</v>
      </c>
      <c r="D3566" t="inlineStr">
        <is>
          <t>SKÅNE LÄN</t>
        </is>
      </c>
      <c r="E3566" t="inlineStr">
        <is>
          <t>KLIPPAN</t>
        </is>
      </c>
      <c r="F3566" t="inlineStr">
        <is>
          <t>Sveaskog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2752-2023</t>
        </is>
      </c>
      <c r="B3567" s="1" t="n">
        <v>44944</v>
      </c>
      <c r="C3567" s="1" t="n">
        <v>45744</v>
      </c>
      <c r="D3567" t="inlineStr">
        <is>
          <t>SKÅNE LÄN</t>
        </is>
      </c>
      <c r="E3567" t="inlineStr">
        <is>
          <t>HÖRBY</t>
        </is>
      </c>
      <c r="F3567" t="inlineStr">
        <is>
          <t>Sveaskog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3198-2023</t>
        </is>
      </c>
      <c r="B3568" s="1" t="n">
        <v>44944</v>
      </c>
      <c r="C3568" s="1" t="n">
        <v>45744</v>
      </c>
      <c r="D3568" t="inlineStr">
        <is>
          <t>SKÅNE LÄN</t>
        </is>
      </c>
      <c r="E3568" t="inlineStr">
        <is>
          <t>KLIPPAN</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3183-2023</t>
        </is>
      </c>
      <c r="B3569" s="1" t="n">
        <v>44944</v>
      </c>
      <c r="C3569" s="1" t="n">
        <v>45744</v>
      </c>
      <c r="D3569" t="inlineStr">
        <is>
          <t>SKÅNE LÄN</t>
        </is>
      </c>
      <c r="E3569" t="inlineStr">
        <is>
          <t>KLIPPAN</t>
        </is>
      </c>
      <c r="G3569" t="n">
        <v>6.9</v>
      </c>
      <c r="H3569" t="n">
        <v>0</v>
      </c>
      <c r="I3569" t="n">
        <v>0</v>
      </c>
      <c r="J3569" t="n">
        <v>0</v>
      </c>
      <c r="K3569" t="n">
        <v>0</v>
      </c>
      <c r="L3569" t="n">
        <v>0</v>
      </c>
      <c r="M3569" t="n">
        <v>0</v>
      </c>
      <c r="N3569" t="n">
        <v>0</v>
      </c>
      <c r="O3569" t="n">
        <v>0</v>
      </c>
      <c r="P3569" t="n">
        <v>0</v>
      </c>
      <c r="Q3569" t="n">
        <v>0</v>
      </c>
      <c r="R3569" s="2" t="inlineStr"/>
    </row>
    <row r="3570" ht="15" customHeight="1">
      <c r="A3570" t="inlineStr">
        <is>
          <t>A 2829-2023</t>
        </is>
      </c>
      <c r="B3570" s="1" t="n">
        <v>44945</v>
      </c>
      <c r="C3570" s="1" t="n">
        <v>45744</v>
      </c>
      <c r="D3570" t="inlineStr">
        <is>
          <t>SKÅNE LÄN</t>
        </is>
      </c>
      <c r="E3570" t="inlineStr">
        <is>
          <t>KRISTIANSTAD</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2834-2023</t>
        </is>
      </c>
      <c r="B3571" s="1" t="n">
        <v>44945</v>
      </c>
      <c r="C3571" s="1" t="n">
        <v>45744</v>
      </c>
      <c r="D3571" t="inlineStr">
        <is>
          <t>SKÅNE LÄN</t>
        </is>
      </c>
      <c r="E3571" t="inlineStr">
        <is>
          <t>KRISTIANSTAD</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2828-2023</t>
        </is>
      </c>
      <c r="B3572" s="1" t="n">
        <v>44945</v>
      </c>
      <c r="C3572" s="1" t="n">
        <v>45744</v>
      </c>
      <c r="D3572" t="inlineStr">
        <is>
          <t>SKÅNE LÄN</t>
        </is>
      </c>
      <c r="E3572" t="inlineStr">
        <is>
          <t>KRISTIANSTAD</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2823-2023</t>
        </is>
      </c>
      <c r="B3573" s="1" t="n">
        <v>44945</v>
      </c>
      <c r="C3573" s="1" t="n">
        <v>45744</v>
      </c>
      <c r="D3573" t="inlineStr">
        <is>
          <t>SKÅNE LÄN</t>
        </is>
      </c>
      <c r="E3573" t="inlineStr">
        <is>
          <t>OSBY</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2882-2023</t>
        </is>
      </c>
      <c r="B3574" s="1" t="n">
        <v>44945</v>
      </c>
      <c r="C3574" s="1" t="n">
        <v>45744</v>
      </c>
      <c r="D3574" t="inlineStr">
        <is>
          <t>SKÅNE LÄN</t>
        </is>
      </c>
      <c r="E3574" t="inlineStr">
        <is>
          <t>HÄSSLEHOLM</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2950-2023</t>
        </is>
      </c>
      <c r="B3575" s="1" t="n">
        <v>44945</v>
      </c>
      <c r="C3575" s="1" t="n">
        <v>45744</v>
      </c>
      <c r="D3575" t="inlineStr">
        <is>
          <t>SKÅNE LÄN</t>
        </is>
      </c>
      <c r="E3575" t="inlineStr">
        <is>
          <t>PERSTORP</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3039-2023</t>
        </is>
      </c>
      <c r="B3576" s="1" t="n">
        <v>44946</v>
      </c>
      <c r="C3576" s="1" t="n">
        <v>45744</v>
      </c>
      <c r="D3576" t="inlineStr">
        <is>
          <t>SKÅNE LÄN</t>
        </is>
      </c>
      <c r="E3576" t="inlineStr">
        <is>
          <t>ÖSTRA GÖINGE</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3135-2023</t>
        </is>
      </c>
      <c r="B3577" s="1" t="n">
        <v>44946</v>
      </c>
      <c r="C3577" s="1" t="n">
        <v>45744</v>
      </c>
      <c r="D3577" t="inlineStr">
        <is>
          <t>SKÅNE LÄN</t>
        </is>
      </c>
      <c r="E3577" t="inlineStr">
        <is>
          <t>HÄSSLEHOLM</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3123-2023</t>
        </is>
      </c>
      <c r="B3578" s="1" t="n">
        <v>44946</v>
      </c>
      <c r="C3578" s="1" t="n">
        <v>45744</v>
      </c>
      <c r="D3578" t="inlineStr">
        <is>
          <t>SKÅNE LÄN</t>
        </is>
      </c>
      <c r="E3578" t="inlineStr">
        <is>
          <t>HÄSSLEHOLM</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3069-2023</t>
        </is>
      </c>
      <c r="B3579" s="1" t="n">
        <v>44946</v>
      </c>
      <c r="C3579" s="1" t="n">
        <v>45744</v>
      </c>
      <c r="D3579" t="inlineStr">
        <is>
          <t>SKÅNE LÄN</t>
        </is>
      </c>
      <c r="E3579" t="inlineStr">
        <is>
          <t>HÄSSLEHOLM</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3126-2023</t>
        </is>
      </c>
      <c r="B3580" s="1" t="n">
        <v>44946</v>
      </c>
      <c r="C3580" s="1" t="n">
        <v>45744</v>
      </c>
      <c r="D3580" t="inlineStr">
        <is>
          <t>SKÅNE LÄN</t>
        </is>
      </c>
      <c r="E3580" t="inlineStr">
        <is>
          <t>HÄSSLEHOLM</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3158-2023</t>
        </is>
      </c>
      <c r="B3581" s="1" t="n">
        <v>44946</v>
      </c>
      <c r="C3581" s="1" t="n">
        <v>45744</v>
      </c>
      <c r="D3581" t="inlineStr">
        <is>
          <t>SKÅNE LÄN</t>
        </is>
      </c>
      <c r="E3581" t="inlineStr">
        <is>
          <t>ÖSTRA GÖINGE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3157-2023</t>
        </is>
      </c>
      <c r="B3582" s="1" t="n">
        <v>44946</v>
      </c>
      <c r="C3582" s="1" t="n">
        <v>45744</v>
      </c>
      <c r="D3582" t="inlineStr">
        <is>
          <t>SKÅNE LÄN</t>
        </is>
      </c>
      <c r="E3582" t="inlineStr">
        <is>
          <t>ÖSTRA GÖINGE</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3132-2023</t>
        </is>
      </c>
      <c r="B3583" s="1" t="n">
        <v>44946</v>
      </c>
      <c r="C3583" s="1" t="n">
        <v>45744</v>
      </c>
      <c r="D3583" t="inlineStr">
        <is>
          <t>SKÅNE LÄN</t>
        </is>
      </c>
      <c r="E3583" t="inlineStr">
        <is>
          <t>HÄSSLEHOLM</t>
        </is>
      </c>
      <c r="G3583" t="n">
        <v>8.699999999999999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3608-2023</t>
        </is>
      </c>
      <c r="B3584" s="1" t="n">
        <v>44946</v>
      </c>
      <c r="C3584" s="1" t="n">
        <v>45744</v>
      </c>
      <c r="D3584" t="inlineStr">
        <is>
          <t>SKÅNE LÄN</t>
        </is>
      </c>
      <c r="E3584" t="inlineStr">
        <is>
          <t>KRISTIANSTAD</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3239-2023</t>
        </is>
      </c>
      <c r="B3585" s="1" t="n">
        <v>44946</v>
      </c>
      <c r="C3585" s="1" t="n">
        <v>45744</v>
      </c>
      <c r="D3585" t="inlineStr">
        <is>
          <t>SKÅNE LÄN</t>
        </is>
      </c>
      <c r="E3585" t="inlineStr">
        <is>
          <t>HÖRBY</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3258-2023</t>
        </is>
      </c>
      <c r="B3586" s="1" t="n">
        <v>44948</v>
      </c>
      <c r="C3586" s="1" t="n">
        <v>45744</v>
      </c>
      <c r="D3586" t="inlineStr">
        <is>
          <t>SKÅNE LÄN</t>
        </is>
      </c>
      <c r="E3586" t="inlineStr">
        <is>
          <t>SJÖBO</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3356-2023</t>
        </is>
      </c>
      <c r="B3587" s="1" t="n">
        <v>44949</v>
      </c>
      <c r="C3587" s="1" t="n">
        <v>45744</v>
      </c>
      <c r="D3587" t="inlineStr">
        <is>
          <t>SKÅNE LÄN</t>
        </is>
      </c>
      <c r="E3587" t="inlineStr">
        <is>
          <t>SJÖBO</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3349-2023</t>
        </is>
      </c>
      <c r="B3588" s="1" t="n">
        <v>44949</v>
      </c>
      <c r="C3588" s="1" t="n">
        <v>45744</v>
      </c>
      <c r="D3588" t="inlineStr">
        <is>
          <t>SKÅNE LÄN</t>
        </is>
      </c>
      <c r="E3588" t="inlineStr">
        <is>
          <t>HÄSSLEHOLM</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3325-2023</t>
        </is>
      </c>
      <c r="B3589" s="1" t="n">
        <v>44949</v>
      </c>
      <c r="C3589" s="1" t="n">
        <v>45744</v>
      </c>
      <c r="D3589" t="inlineStr">
        <is>
          <t>SKÅNE LÄN</t>
        </is>
      </c>
      <c r="E3589" t="inlineStr">
        <is>
          <t>HÄSSLEHOLM</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3364-2023</t>
        </is>
      </c>
      <c r="B3590" s="1" t="n">
        <v>44949</v>
      </c>
      <c r="C3590" s="1" t="n">
        <v>45744</v>
      </c>
      <c r="D3590" t="inlineStr">
        <is>
          <t>SKÅNE LÄN</t>
        </is>
      </c>
      <c r="E3590" t="inlineStr">
        <is>
          <t>HÄSSLEHOLM</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3291-2023</t>
        </is>
      </c>
      <c r="B3591" s="1" t="n">
        <v>44949</v>
      </c>
      <c r="C3591" s="1" t="n">
        <v>45744</v>
      </c>
      <c r="D3591" t="inlineStr">
        <is>
          <t>SKÅNE LÄN</t>
        </is>
      </c>
      <c r="E3591" t="inlineStr">
        <is>
          <t>HÄSSLEHOLM</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3451-2023</t>
        </is>
      </c>
      <c r="B3592" s="1" t="n">
        <v>44949</v>
      </c>
      <c r="C3592" s="1" t="n">
        <v>45744</v>
      </c>
      <c r="D3592" t="inlineStr">
        <is>
          <t>SKÅNE LÄN</t>
        </is>
      </c>
      <c r="E3592" t="inlineStr">
        <is>
          <t>OSBY</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3452-2023</t>
        </is>
      </c>
      <c r="B3593" s="1" t="n">
        <v>44949</v>
      </c>
      <c r="C3593" s="1" t="n">
        <v>45744</v>
      </c>
      <c r="D3593" t="inlineStr">
        <is>
          <t>SKÅNE LÄN</t>
        </is>
      </c>
      <c r="E3593" t="inlineStr">
        <is>
          <t>HÄSSLEHOLM</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3747-2023</t>
        </is>
      </c>
      <c r="B3594" s="1" t="n">
        <v>44949</v>
      </c>
      <c r="C3594" s="1" t="n">
        <v>45744</v>
      </c>
      <c r="D3594" t="inlineStr">
        <is>
          <t>SKÅNE LÄN</t>
        </is>
      </c>
      <c r="E3594" t="inlineStr">
        <is>
          <t>ÖSTRA GÖINGE</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3531-2023</t>
        </is>
      </c>
      <c r="B3595" s="1" t="n">
        <v>44950</v>
      </c>
      <c r="C3595" s="1" t="n">
        <v>45744</v>
      </c>
      <c r="D3595" t="inlineStr">
        <is>
          <t>SKÅNE LÄN</t>
        </is>
      </c>
      <c r="E3595" t="inlineStr">
        <is>
          <t>HÄSSLEHOLM</t>
        </is>
      </c>
      <c r="G3595" t="n">
        <v>10.1</v>
      </c>
      <c r="H3595" t="n">
        <v>0</v>
      </c>
      <c r="I3595" t="n">
        <v>0</v>
      </c>
      <c r="J3595" t="n">
        <v>0</v>
      </c>
      <c r="K3595" t="n">
        <v>0</v>
      </c>
      <c r="L3595" t="n">
        <v>0</v>
      </c>
      <c r="M3595" t="n">
        <v>0</v>
      </c>
      <c r="N3595" t="n">
        <v>0</v>
      </c>
      <c r="O3595" t="n">
        <v>0</v>
      </c>
      <c r="P3595" t="n">
        <v>0</v>
      </c>
      <c r="Q3595" t="n">
        <v>0</v>
      </c>
      <c r="R3595" s="2" t="inlineStr"/>
    </row>
    <row r="3596" ht="15" customHeight="1">
      <c r="A3596" t="inlineStr">
        <is>
          <t>A 3671-2023</t>
        </is>
      </c>
      <c r="B3596" s="1" t="n">
        <v>44950</v>
      </c>
      <c r="C3596" s="1" t="n">
        <v>45744</v>
      </c>
      <c r="D3596" t="inlineStr">
        <is>
          <t>SKÅNE LÄN</t>
        </is>
      </c>
      <c r="E3596" t="inlineStr">
        <is>
          <t>OSBY</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3633-2023</t>
        </is>
      </c>
      <c r="B3597" s="1" t="n">
        <v>44950</v>
      </c>
      <c r="C3597" s="1" t="n">
        <v>45744</v>
      </c>
      <c r="D3597" t="inlineStr">
        <is>
          <t>SKÅNE LÄN</t>
        </is>
      </c>
      <c r="E3597" t="inlineStr">
        <is>
          <t>ÄNGELHOLM</t>
        </is>
      </c>
      <c r="G3597" t="n">
        <v>9.5</v>
      </c>
      <c r="H3597" t="n">
        <v>0</v>
      </c>
      <c r="I3597" t="n">
        <v>0</v>
      </c>
      <c r="J3597" t="n">
        <v>0</v>
      </c>
      <c r="K3597" t="n">
        <v>0</v>
      </c>
      <c r="L3597" t="n">
        <v>0</v>
      </c>
      <c r="M3597" t="n">
        <v>0</v>
      </c>
      <c r="N3597" t="n">
        <v>0</v>
      </c>
      <c r="O3597" t="n">
        <v>0</v>
      </c>
      <c r="P3597" t="n">
        <v>0</v>
      </c>
      <c r="Q3597" t="n">
        <v>0</v>
      </c>
      <c r="R3597" s="2" t="inlineStr"/>
    </row>
    <row r="3598" ht="15" customHeight="1">
      <c r="A3598" t="inlineStr">
        <is>
          <t>A 3668-2023</t>
        </is>
      </c>
      <c r="B3598" s="1" t="n">
        <v>44950</v>
      </c>
      <c r="C3598" s="1" t="n">
        <v>45744</v>
      </c>
      <c r="D3598" t="inlineStr">
        <is>
          <t>SKÅNE LÄN</t>
        </is>
      </c>
      <c r="E3598" t="inlineStr">
        <is>
          <t>OSBY</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3855-2023</t>
        </is>
      </c>
      <c r="B3599" s="1" t="n">
        <v>44951</v>
      </c>
      <c r="C3599" s="1" t="n">
        <v>45744</v>
      </c>
      <c r="D3599" t="inlineStr">
        <is>
          <t>SKÅNE LÄN</t>
        </is>
      </c>
      <c r="E3599" t="inlineStr">
        <is>
          <t>HÄSSLEHOLM</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3875-2023</t>
        </is>
      </c>
      <c r="B3600" s="1" t="n">
        <v>44951</v>
      </c>
      <c r="C3600" s="1" t="n">
        <v>45744</v>
      </c>
      <c r="D3600" t="inlineStr">
        <is>
          <t>SKÅNE LÄN</t>
        </is>
      </c>
      <c r="E3600" t="inlineStr">
        <is>
          <t>OSBY</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3864-2023</t>
        </is>
      </c>
      <c r="B3601" s="1" t="n">
        <v>44951</v>
      </c>
      <c r="C3601" s="1" t="n">
        <v>45744</v>
      </c>
      <c r="D3601" t="inlineStr">
        <is>
          <t>SKÅNE LÄN</t>
        </is>
      </c>
      <c r="E3601" t="inlineStr">
        <is>
          <t>ÖRKELLJUNGA</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3874-2023</t>
        </is>
      </c>
      <c r="B3602" s="1" t="n">
        <v>44951</v>
      </c>
      <c r="C3602" s="1" t="n">
        <v>45744</v>
      </c>
      <c r="D3602" t="inlineStr">
        <is>
          <t>SKÅNE LÄN</t>
        </is>
      </c>
      <c r="E3602" t="inlineStr">
        <is>
          <t>OSBY</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4109-2023</t>
        </is>
      </c>
      <c r="B3603" s="1" t="n">
        <v>44952</v>
      </c>
      <c r="C3603" s="1" t="n">
        <v>45744</v>
      </c>
      <c r="D3603" t="inlineStr">
        <is>
          <t>SKÅNE LÄN</t>
        </is>
      </c>
      <c r="E3603" t="inlineStr">
        <is>
          <t>ÄNGELHOLM</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3926-2023</t>
        </is>
      </c>
      <c r="B3604" s="1" t="n">
        <v>44952</v>
      </c>
      <c r="C3604" s="1" t="n">
        <v>45744</v>
      </c>
      <c r="D3604" t="inlineStr">
        <is>
          <t>SKÅNE LÄN</t>
        </is>
      </c>
      <c r="E3604" t="inlineStr">
        <is>
          <t>ÖRKELLJUNGA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3932-2023</t>
        </is>
      </c>
      <c r="B3605" s="1" t="n">
        <v>44952</v>
      </c>
      <c r="C3605" s="1" t="n">
        <v>45744</v>
      </c>
      <c r="D3605" t="inlineStr">
        <is>
          <t>SKÅNE LÄN</t>
        </is>
      </c>
      <c r="E3605" t="inlineStr">
        <is>
          <t>ÖRKELLJUNGA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4655-2023</t>
        </is>
      </c>
      <c r="B3606" s="1" t="n">
        <v>44952</v>
      </c>
      <c r="C3606" s="1" t="n">
        <v>45744</v>
      </c>
      <c r="D3606" t="inlineStr">
        <is>
          <t>SKÅNE LÄN</t>
        </is>
      </c>
      <c r="E3606" t="inlineStr">
        <is>
          <t>KLIPPAN</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4042-2023</t>
        </is>
      </c>
      <c r="B3607" s="1" t="n">
        <v>44952</v>
      </c>
      <c r="C3607" s="1" t="n">
        <v>45744</v>
      </c>
      <c r="D3607" t="inlineStr">
        <is>
          <t>SKÅNE LÄN</t>
        </is>
      </c>
      <c r="E3607" t="inlineStr">
        <is>
          <t>HÄSSLEHOLM</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4060-2023</t>
        </is>
      </c>
      <c r="B3608" s="1" t="n">
        <v>44952</v>
      </c>
      <c r="C3608" s="1" t="n">
        <v>45744</v>
      </c>
      <c r="D3608" t="inlineStr">
        <is>
          <t>SKÅNE LÄN</t>
        </is>
      </c>
      <c r="E3608" t="inlineStr">
        <is>
          <t>KLIPPAN</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4677-2023</t>
        </is>
      </c>
      <c r="B3609" s="1" t="n">
        <v>44952</v>
      </c>
      <c r="C3609" s="1" t="n">
        <v>45744</v>
      </c>
      <c r="D3609" t="inlineStr">
        <is>
          <t>SKÅNE LÄN</t>
        </is>
      </c>
      <c r="E3609" t="inlineStr">
        <is>
          <t>TOMELILLA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4159-2023</t>
        </is>
      </c>
      <c r="B3610" s="1" t="n">
        <v>44953</v>
      </c>
      <c r="C3610" s="1" t="n">
        <v>45744</v>
      </c>
      <c r="D3610" t="inlineStr">
        <is>
          <t>SKÅNE LÄN</t>
        </is>
      </c>
      <c r="E3610" t="inlineStr">
        <is>
          <t>ÅSTORP</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4189-2023</t>
        </is>
      </c>
      <c r="B3611" s="1" t="n">
        <v>44953</v>
      </c>
      <c r="C3611" s="1" t="n">
        <v>45744</v>
      </c>
      <c r="D3611" t="inlineStr">
        <is>
          <t>SKÅNE LÄN</t>
        </is>
      </c>
      <c r="E3611" t="inlineStr">
        <is>
          <t>KRISTIANSTAD</t>
        </is>
      </c>
      <c r="G3611" t="n">
        <v>7.9</v>
      </c>
      <c r="H3611" t="n">
        <v>0</v>
      </c>
      <c r="I3611" t="n">
        <v>0</v>
      </c>
      <c r="J3611" t="n">
        <v>0</v>
      </c>
      <c r="K3611" t="n">
        <v>0</v>
      </c>
      <c r="L3611" t="n">
        <v>0</v>
      </c>
      <c r="M3611" t="n">
        <v>0</v>
      </c>
      <c r="N3611" t="n">
        <v>0</v>
      </c>
      <c r="O3611" t="n">
        <v>0</v>
      </c>
      <c r="P3611" t="n">
        <v>0</v>
      </c>
      <c r="Q3611" t="n">
        <v>0</v>
      </c>
      <c r="R3611" s="2" t="inlineStr"/>
    </row>
    <row r="3612" ht="15" customHeight="1">
      <c r="A3612" t="inlineStr">
        <is>
          <t>A 4140-2023</t>
        </is>
      </c>
      <c r="B3612" s="1" t="n">
        <v>44953</v>
      </c>
      <c r="C3612" s="1" t="n">
        <v>45744</v>
      </c>
      <c r="D3612" t="inlineStr">
        <is>
          <t>SKÅNE LÄN</t>
        </is>
      </c>
      <c r="E3612" t="inlineStr">
        <is>
          <t>HÄSSLEHOLM</t>
        </is>
      </c>
      <c r="G3612" t="n">
        <v>10.6</v>
      </c>
      <c r="H3612" t="n">
        <v>0</v>
      </c>
      <c r="I3612" t="n">
        <v>0</v>
      </c>
      <c r="J3612" t="n">
        <v>0</v>
      </c>
      <c r="K3612" t="n">
        <v>0</v>
      </c>
      <c r="L3612" t="n">
        <v>0</v>
      </c>
      <c r="M3612" t="n">
        <v>0</v>
      </c>
      <c r="N3612" t="n">
        <v>0</v>
      </c>
      <c r="O3612" t="n">
        <v>0</v>
      </c>
      <c r="P3612" t="n">
        <v>0</v>
      </c>
      <c r="Q3612" t="n">
        <v>0</v>
      </c>
      <c r="R3612" s="2" t="inlineStr"/>
    </row>
    <row r="3613" ht="15" customHeight="1">
      <c r="A3613" t="inlineStr">
        <is>
          <t>A 4156-2023</t>
        </is>
      </c>
      <c r="B3613" s="1" t="n">
        <v>44953</v>
      </c>
      <c r="C3613" s="1" t="n">
        <v>45744</v>
      </c>
      <c r="D3613" t="inlineStr">
        <is>
          <t>SKÅNE LÄN</t>
        </is>
      </c>
      <c r="E3613" t="inlineStr">
        <is>
          <t>ÅSTORP</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4187-2023</t>
        </is>
      </c>
      <c r="B3614" s="1" t="n">
        <v>44953</v>
      </c>
      <c r="C3614" s="1" t="n">
        <v>45744</v>
      </c>
      <c r="D3614" t="inlineStr">
        <is>
          <t>SKÅNE LÄN</t>
        </is>
      </c>
      <c r="E3614" t="inlineStr">
        <is>
          <t>HÄSSLEHOLM</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4191-2023</t>
        </is>
      </c>
      <c r="B3615" s="1" t="n">
        <v>44953</v>
      </c>
      <c r="C3615" s="1" t="n">
        <v>45744</v>
      </c>
      <c r="D3615" t="inlineStr">
        <is>
          <t>SKÅNE LÄN</t>
        </is>
      </c>
      <c r="E3615" t="inlineStr">
        <is>
          <t>ÖSTRA GÖINGE</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4287-2023</t>
        </is>
      </c>
      <c r="B3616" s="1" t="n">
        <v>44953</v>
      </c>
      <c r="C3616" s="1" t="n">
        <v>45744</v>
      </c>
      <c r="D3616" t="inlineStr">
        <is>
          <t>SKÅNE LÄN</t>
        </is>
      </c>
      <c r="E3616" t="inlineStr">
        <is>
          <t>ÖSTRA GÖINGE</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4382-2023</t>
        </is>
      </c>
      <c r="B3617" s="1" t="n">
        <v>44955</v>
      </c>
      <c r="C3617" s="1" t="n">
        <v>45744</v>
      </c>
      <c r="D3617" t="inlineStr">
        <is>
          <t>SKÅNE LÄN</t>
        </is>
      </c>
      <c r="E3617" t="inlineStr">
        <is>
          <t>HÄSSLEHOLM</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4594-2023</t>
        </is>
      </c>
      <c r="B3618" s="1" t="n">
        <v>44956</v>
      </c>
      <c r="C3618" s="1" t="n">
        <v>45744</v>
      </c>
      <c r="D3618" t="inlineStr">
        <is>
          <t>SKÅNE LÄN</t>
        </is>
      </c>
      <c r="E3618" t="inlineStr">
        <is>
          <t>ÖSTRA GÖINGE</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4787-2023</t>
        </is>
      </c>
      <c r="B3619" s="1" t="n">
        <v>44957</v>
      </c>
      <c r="C3619" s="1" t="n">
        <v>45744</v>
      </c>
      <c r="D3619" t="inlineStr">
        <is>
          <t>SKÅNE LÄN</t>
        </is>
      </c>
      <c r="E3619" t="inlineStr">
        <is>
          <t>HÄSSLEHOLM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4798-2023</t>
        </is>
      </c>
      <c r="B3620" s="1" t="n">
        <v>44957</v>
      </c>
      <c r="C3620" s="1" t="n">
        <v>45744</v>
      </c>
      <c r="D3620" t="inlineStr">
        <is>
          <t>SKÅNE LÄN</t>
        </is>
      </c>
      <c r="E3620" t="inlineStr">
        <is>
          <t>OSBY</t>
        </is>
      </c>
      <c r="G3620" t="n">
        <v>9.199999999999999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4822-2023</t>
        </is>
      </c>
      <c r="B3621" s="1" t="n">
        <v>44957</v>
      </c>
      <c r="C3621" s="1" t="n">
        <v>45744</v>
      </c>
      <c r="D3621" t="inlineStr">
        <is>
          <t>SKÅNE LÄN</t>
        </is>
      </c>
      <c r="E3621" t="inlineStr">
        <is>
          <t>BÅSTAD</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4767-2023</t>
        </is>
      </c>
      <c r="B3622" s="1" t="n">
        <v>44957</v>
      </c>
      <c r="C3622" s="1" t="n">
        <v>45744</v>
      </c>
      <c r="D3622" t="inlineStr">
        <is>
          <t>SKÅNE LÄN</t>
        </is>
      </c>
      <c r="E3622" t="inlineStr">
        <is>
          <t>OSBY</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4774-2023</t>
        </is>
      </c>
      <c r="B3623" s="1" t="n">
        <v>44957</v>
      </c>
      <c r="C3623" s="1" t="n">
        <v>45744</v>
      </c>
      <c r="D3623" t="inlineStr">
        <is>
          <t>SKÅNE LÄN</t>
        </is>
      </c>
      <c r="E3623" t="inlineStr">
        <is>
          <t>HÄSSLEHOLM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4788-2023</t>
        </is>
      </c>
      <c r="B3624" s="1" t="n">
        <v>44957</v>
      </c>
      <c r="C3624" s="1" t="n">
        <v>45744</v>
      </c>
      <c r="D3624" t="inlineStr">
        <is>
          <t>SKÅNE LÄN</t>
        </is>
      </c>
      <c r="E3624" t="inlineStr">
        <is>
          <t>HÄSSLEHOLM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4838-2023</t>
        </is>
      </c>
      <c r="B3625" s="1" t="n">
        <v>44957</v>
      </c>
      <c r="C3625" s="1" t="n">
        <v>45744</v>
      </c>
      <c r="D3625" t="inlineStr">
        <is>
          <t>SKÅNE LÄN</t>
        </is>
      </c>
      <c r="E3625" t="inlineStr">
        <is>
          <t>SVALÖV</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5751-2023</t>
        </is>
      </c>
      <c r="B3626" s="1" t="n">
        <v>44958</v>
      </c>
      <c r="C3626" s="1" t="n">
        <v>45744</v>
      </c>
      <c r="D3626" t="inlineStr">
        <is>
          <t>SKÅNE LÄN</t>
        </is>
      </c>
      <c r="E3626" t="inlineStr">
        <is>
          <t>HÖRBY</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5034-2023</t>
        </is>
      </c>
      <c r="B3627" s="1" t="n">
        <v>44958</v>
      </c>
      <c r="C3627" s="1" t="n">
        <v>45744</v>
      </c>
      <c r="D3627" t="inlineStr">
        <is>
          <t>SKÅNE LÄN</t>
        </is>
      </c>
      <c r="E3627" t="inlineStr">
        <is>
          <t>OSBY</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5116-2023</t>
        </is>
      </c>
      <c r="B3628" s="1" t="n">
        <v>44958</v>
      </c>
      <c r="C3628" s="1" t="n">
        <v>45744</v>
      </c>
      <c r="D3628" t="inlineStr">
        <is>
          <t>SKÅNE LÄN</t>
        </is>
      </c>
      <c r="E3628" t="inlineStr">
        <is>
          <t>HÄSSLEHOLM</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5131-2023</t>
        </is>
      </c>
      <c r="B3629" s="1" t="n">
        <v>44958</v>
      </c>
      <c r="C3629" s="1" t="n">
        <v>45744</v>
      </c>
      <c r="D3629" t="inlineStr">
        <is>
          <t>SKÅNE LÄN</t>
        </is>
      </c>
      <c r="E3629" t="inlineStr">
        <is>
          <t>ÖSTRA GÖINGE</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5136-2023</t>
        </is>
      </c>
      <c r="B3630" s="1" t="n">
        <v>44958</v>
      </c>
      <c r="C3630" s="1" t="n">
        <v>45744</v>
      </c>
      <c r="D3630" t="inlineStr">
        <is>
          <t>SKÅNE LÄN</t>
        </is>
      </c>
      <c r="E3630" t="inlineStr">
        <is>
          <t>ÖSTRA GÖINGE</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5754-2023</t>
        </is>
      </c>
      <c r="B3631" s="1" t="n">
        <v>44958</v>
      </c>
      <c r="C3631" s="1" t="n">
        <v>45744</v>
      </c>
      <c r="D3631" t="inlineStr">
        <is>
          <t>SKÅNE LÄN</t>
        </is>
      </c>
      <c r="E3631" t="inlineStr">
        <is>
          <t>HÄSSLEHOLM</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5132-2023</t>
        </is>
      </c>
      <c r="B3632" s="1" t="n">
        <v>44958</v>
      </c>
      <c r="C3632" s="1" t="n">
        <v>45744</v>
      </c>
      <c r="D3632" t="inlineStr">
        <is>
          <t>SKÅNE LÄN</t>
        </is>
      </c>
      <c r="E3632" t="inlineStr">
        <is>
          <t>ÖSTRA GÖINGE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5869-2023</t>
        </is>
      </c>
      <c r="B3633" s="1" t="n">
        <v>44958</v>
      </c>
      <c r="C3633" s="1" t="n">
        <v>45744</v>
      </c>
      <c r="D3633" t="inlineStr">
        <is>
          <t>SKÅNE LÄN</t>
        </is>
      </c>
      <c r="E3633" t="inlineStr">
        <is>
          <t>ESLÖV</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5036-2023</t>
        </is>
      </c>
      <c r="B3634" s="1" t="n">
        <v>44958</v>
      </c>
      <c r="C3634" s="1" t="n">
        <v>45744</v>
      </c>
      <c r="D3634" t="inlineStr">
        <is>
          <t>SKÅNE LÄN</t>
        </is>
      </c>
      <c r="E3634" t="inlineStr">
        <is>
          <t>HÄSSLEHOLM</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5128-2023</t>
        </is>
      </c>
      <c r="B3635" s="1" t="n">
        <v>44958</v>
      </c>
      <c r="C3635" s="1" t="n">
        <v>45744</v>
      </c>
      <c r="D3635" t="inlineStr">
        <is>
          <t>SKÅNE LÄN</t>
        </is>
      </c>
      <c r="E3635" t="inlineStr">
        <is>
          <t>ÖSTRA GÖINGE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5134-2023</t>
        </is>
      </c>
      <c r="B3636" s="1" t="n">
        <v>44958</v>
      </c>
      <c r="C3636" s="1" t="n">
        <v>45744</v>
      </c>
      <c r="D3636" t="inlineStr">
        <is>
          <t>SKÅNE LÄN</t>
        </is>
      </c>
      <c r="E3636" t="inlineStr">
        <is>
          <t>ÖSTRA GÖINGE</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5138-2023</t>
        </is>
      </c>
      <c r="B3637" s="1" t="n">
        <v>44958</v>
      </c>
      <c r="C3637" s="1" t="n">
        <v>45744</v>
      </c>
      <c r="D3637" t="inlineStr">
        <is>
          <t>SKÅNE LÄN</t>
        </is>
      </c>
      <c r="E3637" t="inlineStr">
        <is>
          <t>ÖSTRA GÖINGE</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5130-2023</t>
        </is>
      </c>
      <c r="B3638" s="1" t="n">
        <v>44958</v>
      </c>
      <c r="C3638" s="1" t="n">
        <v>45744</v>
      </c>
      <c r="D3638" t="inlineStr">
        <is>
          <t>SKÅNE LÄN</t>
        </is>
      </c>
      <c r="E3638" t="inlineStr">
        <is>
          <t>ÖSTRA GÖINGE</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5285-2023</t>
        </is>
      </c>
      <c r="B3639" s="1" t="n">
        <v>44959</v>
      </c>
      <c r="C3639" s="1" t="n">
        <v>45744</v>
      </c>
      <c r="D3639" t="inlineStr">
        <is>
          <t>SKÅNE LÄN</t>
        </is>
      </c>
      <c r="E3639" t="inlineStr">
        <is>
          <t>HÄSSLEHOLM</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5282-2023</t>
        </is>
      </c>
      <c r="B3640" s="1" t="n">
        <v>44959</v>
      </c>
      <c r="C3640" s="1" t="n">
        <v>45744</v>
      </c>
      <c r="D3640" t="inlineStr">
        <is>
          <t>SKÅNE LÄN</t>
        </is>
      </c>
      <c r="E3640" t="inlineStr">
        <is>
          <t>HÄSSLEHOLM</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5316-2023</t>
        </is>
      </c>
      <c r="B3641" s="1" t="n">
        <v>44959</v>
      </c>
      <c r="C3641" s="1" t="n">
        <v>45744</v>
      </c>
      <c r="D3641" t="inlineStr">
        <is>
          <t>SKÅNE LÄN</t>
        </is>
      </c>
      <c r="E3641" t="inlineStr">
        <is>
          <t>HÄSSLEHOLM</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5284-2023</t>
        </is>
      </c>
      <c r="B3642" s="1" t="n">
        <v>44959</v>
      </c>
      <c r="C3642" s="1" t="n">
        <v>45744</v>
      </c>
      <c r="D3642" t="inlineStr">
        <is>
          <t>SKÅNE LÄN</t>
        </is>
      </c>
      <c r="E3642" t="inlineStr">
        <is>
          <t>HÄSSLEHOLM</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5306-2023</t>
        </is>
      </c>
      <c r="B3643" s="1" t="n">
        <v>44959</v>
      </c>
      <c r="C3643" s="1" t="n">
        <v>45744</v>
      </c>
      <c r="D3643" t="inlineStr">
        <is>
          <t>SKÅNE LÄN</t>
        </is>
      </c>
      <c r="E3643" t="inlineStr">
        <is>
          <t>HÄSSLEHOLM</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5971-2023</t>
        </is>
      </c>
      <c r="B3644" s="1" t="n">
        <v>44959</v>
      </c>
      <c r="C3644" s="1" t="n">
        <v>45744</v>
      </c>
      <c r="D3644" t="inlineStr">
        <is>
          <t>SKÅNE LÄN</t>
        </is>
      </c>
      <c r="E3644" t="inlineStr">
        <is>
          <t>HÄSSLEHOLM</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6081-2023</t>
        </is>
      </c>
      <c r="B3645" s="1" t="n">
        <v>44959</v>
      </c>
      <c r="C3645" s="1" t="n">
        <v>45744</v>
      </c>
      <c r="D3645" t="inlineStr">
        <is>
          <t>SKÅNE LÄN</t>
        </is>
      </c>
      <c r="E3645" t="inlineStr">
        <is>
          <t>HÖRBY</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5502-2023</t>
        </is>
      </c>
      <c r="B3646" s="1" t="n">
        <v>44960</v>
      </c>
      <c r="C3646" s="1" t="n">
        <v>45744</v>
      </c>
      <c r="D3646" t="inlineStr">
        <is>
          <t>SKÅNE LÄN</t>
        </is>
      </c>
      <c r="E3646" t="inlineStr">
        <is>
          <t>HÄSSLEHOLM</t>
        </is>
      </c>
      <c r="F3646" t="inlineStr">
        <is>
          <t>Övriga Aktiebolag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6545-2023</t>
        </is>
      </c>
      <c r="B3647" s="1" t="n">
        <v>44960</v>
      </c>
      <c r="C3647" s="1" t="n">
        <v>45744</v>
      </c>
      <c r="D3647" t="inlineStr">
        <is>
          <t>SKÅNE LÄN</t>
        </is>
      </c>
      <c r="E3647" t="inlineStr">
        <is>
          <t>ESLÖV</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5723-2023</t>
        </is>
      </c>
      <c r="B3648" s="1" t="n">
        <v>44961</v>
      </c>
      <c r="C3648" s="1" t="n">
        <v>45744</v>
      </c>
      <c r="D3648" t="inlineStr">
        <is>
          <t>SKÅNE LÄN</t>
        </is>
      </c>
      <c r="E3648" t="inlineStr">
        <is>
          <t>KRISTIANSTAD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5734-2023</t>
        </is>
      </c>
      <c r="B3649" s="1" t="n">
        <v>44962</v>
      </c>
      <c r="C3649" s="1" t="n">
        <v>45744</v>
      </c>
      <c r="D3649" t="inlineStr">
        <is>
          <t>SKÅNE LÄN</t>
        </is>
      </c>
      <c r="E3649" t="inlineStr">
        <is>
          <t>HÖRBY</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5874-2023</t>
        </is>
      </c>
      <c r="B3650" s="1" t="n">
        <v>44963</v>
      </c>
      <c r="C3650" s="1" t="n">
        <v>45744</v>
      </c>
      <c r="D3650" t="inlineStr">
        <is>
          <t>SKÅNE LÄN</t>
        </is>
      </c>
      <c r="E3650" t="inlineStr">
        <is>
          <t>KRISTIANSTAD</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5891-2023</t>
        </is>
      </c>
      <c r="B3651" s="1" t="n">
        <v>44963</v>
      </c>
      <c r="C3651" s="1" t="n">
        <v>45744</v>
      </c>
      <c r="D3651" t="inlineStr">
        <is>
          <t>SKÅNE LÄN</t>
        </is>
      </c>
      <c r="E3651" t="inlineStr">
        <is>
          <t>HÄSSLEHOLM</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5890-2023</t>
        </is>
      </c>
      <c r="B3652" s="1" t="n">
        <v>44963</v>
      </c>
      <c r="C3652" s="1" t="n">
        <v>45744</v>
      </c>
      <c r="D3652" t="inlineStr">
        <is>
          <t>SKÅNE LÄN</t>
        </is>
      </c>
      <c r="E3652" t="inlineStr">
        <is>
          <t>HÄSSLEHOLM</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5939-2023</t>
        </is>
      </c>
      <c r="B3653" s="1" t="n">
        <v>44963</v>
      </c>
      <c r="C3653" s="1" t="n">
        <v>45744</v>
      </c>
      <c r="D3653" t="inlineStr">
        <is>
          <t>SKÅNE LÄN</t>
        </is>
      </c>
      <c r="E3653" t="inlineStr">
        <is>
          <t>KRISTIANSTAD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5894-2023</t>
        </is>
      </c>
      <c r="B3654" s="1" t="n">
        <v>44963</v>
      </c>
      <c r="C3654" s="1" t="n">
        <v>45744</v>
      </c>
      <c r="D3654" t="inlineStr">
        <is>
          <t>SKÅNE LÄN</t>
        </is>
      </c>
      <c r="E3654" t="inlineStr">
        <is>
          <t>HÄSSLEHOLM</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5927-2023</t>
        </is>
      </c>
      <c r="B3655" s="1" t="n">
        <v>44963</v>
      </c>
      <c r="C3655" s="1" t="n">
        <v>45744</v>
      </c>
      <c r="D3655" t="inlineStr">
        <is>
          <t>SKÅNE LÄN</t>
        </is>
      </c>
      <c r="E3655" t="inlineStr">
        <is>
          <t>ÖRKELLJUNGA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5974-2023</t>
        </is>
      </c>
      <c r="B3656" s="1" t="n">
        <v>44964</v>
      </c>
      <c r="C3656" s="1" t="n">
        <v>45744</v>
      </c>
      <c r="D3656" t="inlineStr">
        <is>
          <t>SKÅNE LÄN</t>
        </is>
      </c>
      <c r="E3656" t="inlineStr">
        <is>
          <t>KRISTIANSTAD</t>
        </is>
      </c>
      <c r="F3656" t="inlineStr">
        <is>
          <t>Sveaskog</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6089-2023</t>
        </is>
      </c>
      <c r="B3657" s="1" t="n">
        <v>44964</v>
      </c>
      <c r="C3657" s="1" t="n">
        <v>45744</v>
      </c>
      <c r="D3657" t="inlineStr">
        <is>
          <t>SKÅNE LÄN</t>
        </is>
      </c>
      <c r="E3657" t="inlineStr">
        <is>
          <t>ÖSTRA GÖINGE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5975-2023</t>
        </is>
      </c>
      <c r="B3658" s="1" t="n">
        <v>44964</v>
      </c>
      <c r="C3658" s="1" t="n">
        <v>45744</v>
      </c>
      <c r="D3658" t="inlineStr">
        <is>
          <t>SKÅNE LÄN</t>
        </is>
      </c>
      <c r="E3658" t="inlineStr">
        <is>
          <t>KRISTIANSTAD</t>
        </is>
      </c>
      <c r="F3658" t="inlineStr">
        <is>
          <t>Sveaskog</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6094-2023</t>
        </is>
      </c>
      <c r="B3659" s="1" t="n">
        <v>44964</v>
      </c>
      <c r="C3659" s="1" t="n">
        <v>45744</v>
      </c>
      <c r="D3659" t="inlineStr">
        <is>
          <t>SKÅNE LÄN</t>
        </is>
      </c>
      <c r="E3659" t="inlineStr">
        <is>
          <t>ÖSTRA GÖINGE</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6164-2023</t>
        </is>
      </c>
      <c r="B3660" s="1" t="n">
        <v>44964</v>
      </c>
      <c r="C3660" s="1" t="n">
        <v>45744</v>
      </c>
      <c r="D3660" t="inlineStr">
        <is>
          <t>SKÅNE LÄN</t>
        </is>
      </c>
      <c r="E3660" t="inlineStr">
        <is>
          <t>HÄSSLEHOLM</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6314-2023</t>
        </is>
      </c>
      <c r="B3661" s="1" t="n">
        <v>44965</v>
      </c>
      <c r="C3661" s="1" t="n">
        <v>45744</v>
      </c>
      <c r="D3661" t="inlineStr">
        <is>
          <t>SKÅNE LÄN</t>
        </is>
      </c>
      <c r="E3661" t="inlineStr">
        <is>
          <t>ÖSTRA GÖINGE</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6248-2023</t>
        </is>
      </c>
      <c r="B3662" s="1" t="n">
        <v>44965</v>
      </c>
      <c r="C3662" s="1" t="n">
        <v>45744</v>
      </c>
      <c r="D3662" t="inlineStr">
        <is>
          <t>SKÅNE LÄN</t>
        </is>
      </c>
      <c r="E3662" t="inlineStr">
        <is>
          <t>KLIPPAN</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6416-2023</t>
        </is>
      </c>
      <c r="B3663" s="1" t="n">
        <v>44965</v>
      </c>
      <c r="C3663" s="1" t="n">
        <v>45744</v>
      </c>
      <c r="D3663" t="inlineStr">
        <is>
          <t>SKÅNE LÄN</t>
        </is>
      </c>
      <c r="E3663" t="inlineStr">
        <is>
          <t>HÄSSLEHOLM</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6249-2023</t>
        </is>
      </c>
      <c r="B3664" s="1" t="n">
        <v>44965</v>
      </c>
      <c r="C3664" s="1" t="n">
        <v>45744</v>
      </c>
      <c r="D3664" t="inlineStr">
        <is>
          <t>SKÅNE LÄN</t>
        </is>
      </c>
      <c r="E3664" t="inlineStr">
        <is>
          <t>KLIPPAN</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6410-2023</t>
        </is>
      </c>
      <c r="B3665" s="1" t="n">
        <v>44965</v>
      </c>
      <c r="C3665" s="1" t="n">
        <v>45744</v>
      </c>
      <c r="D3665" t="inlineStr">
        <is>
          <t>SKÅNE LÄN</t>
        </is>
      </c>
      <c r="E3665" t="inlineStr">
        <is>
          <t>ÖRKELLJUNGA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7079-2023</t>
        </is>
      </c>
      <c r="B3666" s="1" t="n">
        <v>44965</v>
      </c>
      <c r="C3666" s="1" t="n">
        <v>45744</v>
      </c>
      <c r="D3666" t="inlineStr">
        <is>
          <t>SKÅNE LÄN</t>
        </is>
      </c>
      <c r="E3666" t="inlineStr">
        <is>
          <t>OSBY</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7086-2023</t>
        </is>
      </c>
      <c r="B3667" s="1" t="n">
        <v>44965</v>
      </c>
      <c r="C3667" s="1" t="n">
        <v>45744</v>
      </c>
      <c r="D3667" t="inlineStr">
        <is>
          <t>SKÅNE LÄN</t>
        </is>
      </c>
      <c r="E3667" t="inlineStr">
        <is>
          <t>OSBY</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6698-2023</t>
        </is>
      </c>
      <c r="B3668" s="1" t="n">
        <v>44966</v>
      </c>
      <c r="C3668" s="1" t="n">
        <v>45744</v>
      </c>
      <c r="D3668" t="inlineStr">
        <is>
          <t>SKÅNE LÄN</t>
        </is>
      </c>
      <c r="E3668" t="inlineStr">
        <is>
          <t>OSBY</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6836-2023</t>
        </is>
      </c>
      <c r="B3669" s="1" t="n">
        <v>44967</v>
      </c>
      <c r="C3669" s="1" t="n">
        <v>45744</v>
      </c>
      <c r="D3669" t="inlineStr">
        <is>
          <t>SKÅNE LÄN</t>
        </is>
      </c>
      <c r="E3669" t="inlineStr">
        <is>
          <t>HÄSSLEHOLM</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6845-2023</t>
        </is>
      </c>
      <c r="B3670" s="1" t="n">
        <v>44967</v>
      </c>
      <c r="C3670" s="1" t="n">
        <v>45744</v>
      </c>
      <c r="D3670" t="inlineStr">
        <is>
          <t>SKÅNE LÄN</t>
        </is>
      </c>
      <c r="E3670" t="inlineStr">
        <is>
          <t>HÄSSLEHOLM</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6842-2023</t>
        </is>
      </c>
      <c r="B3671" s="1" t="n">
        <v>44967</v>
      </c>
      <c r="C3671" s="1" t="n">
        <v>45744</v>
      </c>
      <c r="D3671" t="inlineStr">
        <is>
          <t>SKÅNE LÄN</t>
        </is>
      </c>
      <c r="E3671" t="inlineStr">
        <is>
          <t>HÄSSLEHOLM</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6848-2023</t>
        </is>
      </c>
      <c r="B3672" s="1" t="n">
        <v>44967</v>
      </c>
      <c r="C3672" s="1" t="n">
        <v>45744</v>
      </c>
      <c r="D3672" t="inlineStr">
        <is>
          <t>SKÅNE LÄN</t>
        </is>
      </c>
      <c r="E3672" t="inlineStr">
        <is>
          <t>KRISTIANSTAD</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6854-2023</t>
        </is>
      </c>
      <c r="B3673" s="1" t="n">
        <v>44967</v>
      </c>
      <c r="C3673" s="1" t="n">
        <v>45744</v>
      </c>
      <c r="D3673" t="inlineStr">
        <is>
          <t>SKÅNE LÄN</t>
        </is>
      </c>
      <c r="E3673" t="inlineStr">
        <is>
          <t>OSBY</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6830-2023</t>
        </is>
      </c>
      <c r="B3674" s="1" t="n">
        <v>44967</v>
      </c>
      <c r="C3674" s="1" t="n">
        <v>45744</v>
      </c>
      <c r="D3674" t="inlineStr">
        <is>
          <t>SKÅNE LÄN</t>
        </is>
      </c>
      <c r="E3674" t="inlineStr">
        <is>
          <t>HÄSSLEHOLM</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6835-2023</t>
        </is>
      </c>
      <c r="B3675" s="1" t="n">
        <v>44967</v>
      </c>
      <c r="C3675" s="1" t="n">
        <v>45744</v>
      </c>
      <c r="D3675" t="inlineStr">
        <is>
          <t>SKÅNE LÄN</t>
        </is>
      </c>
      <c r="E3675" t="inlineStr">
        <is>
          <t>HÄSSLEHOLM</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7094-2023</t>
        </is>
      </c>
      <c r="B3676" s="1" t="n">
        <v>44970</v>
      </c>
      <c r="C3676" s="1" t="n">
        <v>45744</v>
      </c>
      <c r="D3676" t="inlineStr">
        <is>
          <t>SKÅNE LÄN</t>
        </is>
      </c>
      <c r="E3676" t="inlineStr">
        <is>
          <t>HÄSSLEHOLM</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7306-2023</t>
        </is>
      </c>
      <c r="B3677" s="1" t="n">
        <v>44970</v>
      </c>
      <c r="C3677" s="1" t="n">
        <v>45744</v>
      </c>
      <c r="D3677" t="inlineStr">
        <is>
          <t>SKÅNE LÄN</t>
        </is>
      </c>
      <c r="E3677" t="inlineStr">
        <is>
          <t>HÖÖR</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7340-2023</t>
        </is>
      </c>
      <c r="B3678" s="1" t="n">
        <v>44971</v>
      </c>
      <c r="C3678" s="1" t="n">
        <v>45744</v>
      </c>
      <c r="D3678" t="inlineStr">
        <is>
          <t>SKÅNE LÄN</t>
        </is>
      </c>
      <c r="E3678" t="inlineStr">
        <is>
          <t>SIMRISHAMN</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7494-2023</t>
        </is>
      </c>
      <c r="B3679" s="1" t="n">
        <v>44971</v>
      </c>
      <c r="C3679" s="1" t="n">
        <v>45744</v>
      </c>
      <c r="D3679" t="inlineStr">
        <is>
          <t>SKÅNE LÄN</t>
        </is>
      </c>
      <c r="E3679" t="inlineStr">
        <is>
          <t>HÄSSLEHOLM</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7481-2023</t>
        </is>
      </c>
      <c r="B3680" s="1" t="n">
        <v>44971</v>
      </c>
      <c r="C3680" s="1" t="n">
        <v>45744</v>
      </c>
      <c r="D3680" t="inlineStr">
        <is>
          <t>SKÅNE LÄN</t>
        </is>
      </c>
      <c r="E3680" t="inlineStr">
        <is>
          <t>HÄSSLEHOLM</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8204-2023</t>
        </is>
      </c>
      <c r="B3681" s="1" t="n">
        <v>44971</v>
      </c>
      <c r="C3681" s="1" t="n">
        <v>45744</v>
      </c>
      <c r="D3681" t="inlineStr">
        <is>
          <t>SKÅNE LÄN</t>
        </is>
      </c>
      <c r="E3681" t="inlineStr">
        <is>
          <t>ÖRKELLJUNGA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8378-2023</t>
        </is>
      </c>
      <c r="B3682" s="1" t="n">
        <v>44971</v>
      </c>
      <c r="C3682" s="1" t="n">
        <v>45744</v>
      </c>
      <c r="D3682" t="inlineStr">
        <is>
          <t>SKÅNE LÄN</t>
        </is>
      </c>
      <c r="E3682" t="inlineStr">
        <is>
          <t>HÄSSLEHOLM</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8208-2023</t>
        </is>
      </c>
      <c r="B3683" s="1" t="n">
        <v>44971</v>
      </c>
      <c r="C3683" s="1" t="n">
        <v>45744</v>
      </c>
      <c r="D3683" t="inlineStr">
        <is>
          <t>SKÅNE LÄN</t>
        </is>
      </c>
      <c r="E3683" t="inlineStr">
        <is>
          <t>KRISTIANSTAD</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7565-2023</t>
        </is>
      </c>
      <c r="B3684" s="1" t="n">
        <v>44972</v>
      </c>
      <c r="C3684" s="1" t="n">
        <v>45744</v>
      </c>
      <c r="D3684" t="inlineStr">
        <is>
          <t>SKÅNE LÄN</t>
        </is>
      </c>
      <c r="E3684" t="inlineStr">
        <is>
          <t>KRISTIANSTAD</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7581-2023</t>
        </is>
      </c>
      <c r="B3685" s="1" t="n">
        <v>44972</v>
      </c>
      <c r="C3685" s="1" t="n">
        <v>45744</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7762-2023</t>
        </is>
      </c>
      <c r="B3686" s="1" t="n">
        <v>44973</v>
      </c>
      <c r="C3686" s="1" t="n">
        <v>45744</v>
      </c>
      <c r="D3686" t="inlineStr">
        <is>
          <t>SKÅNE LÄN</t>
        </is>
      </c>
      <c r="E3686" t="inlineStr">
        <is>
          <t>ÄNGELHOLM</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7811-2023</t>
        </is>
      </c>
      <c r="B3687" s="1" t="n">
        <v>44973</v>
      </c>
      <c r="C3687" s="1" t="n">
        <v>45744</v>
      </c>
      <c r="D3687" t="inlineStr">
        <is>
          <t>SKÅNE LÄN</t>
        </is>
      </c>
      <c r="E3687" t="inlineStr">
        <is>
          <t>ÄNGELHOLM</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7994-2023</t>
        </is>
      </c>
      <c r="B3688" s="1" t="n">
        <v>44973</v>
      </c>
      <c r="C3688" s="1" t="n">
        <v>45744</v>
      </c>
      <c r="D3688" t="inlineStr">
        <is>
          <t>SKÅNE LÄN</t>
        </is>
      </c>
      <c r="E3688" t="inlineStr">
        <is>
          <t>ÄNGELHOLM</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7978-2023</t>
        </is>
      </c>
      <c r="B3689" s="1" t="n">
        <v>44973</v>
      </c>
      <c r="C3689" s="1" t="n">
        <v>45744</v>
      </c>
      <c r="D3689" t="inlineStr">
        <is>
          <t>SKÅNE LÄN</t>
        </is>
      </c>
      <c r="E3689" t="inlineStr">
        <is>
          <t>ÖRKELLJUNGA</t>
        </is>
      </c>
      <c r="G3689" t="n">
        <v>5.9</v>
      </c>
      <c r="H3689" t="n">
        <v>0</v>
      </c>
      <c r="I3689" t="n">
        <v>0</v>
      </c>
      <c r="J3689" t="n">
        <v>0</v>
      </c>
      <c r="K3689" t="n">
        <v>0</v>
      </c>
      <c r="L3689" t="n">
        <v>0</v>
      </c>
      <c r="M3689" t="n">
        <v>0</v>
      </c>
      <c r="N3689" t="n">
        <v>0</v>
      </c>
      <c r="O3689" t="n">
        <v>0</v>
      </c>
      <c r="P3689" t="n">
        <v>0</v>
      </c>
      <c r="Q3689" t="n">
        <v>0</v>
      </c>
      <c r="R3689" s="2" t="inlineStr"/>
    </row>
    <row r="3690" ht="15" customHeight="1">
      <c r="A3690" t="inlineStr">
        <is>
          <t>A 8295-2023</t>
        </is>
      </c>
      <c r="B3690" s="1" t="n">
        <v>44974</v>
      </c>
      <c r="C3690" s="1" t="n">
        <v>45744</v>
      </c>
      <c r="D3690" t="inlineStr">
        <is>
          <t>SKÅNE LÄN</t>
        </is>
      </c>
      <c r="E3690" t="inlineStr">
        <is>
          <t>HÖÖR</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8246-2023</t>
        </is>
      </c>
      <c r="B3691" s="1" t="n">
        <v>44974</v>
      </c>
      <c r="C3691" s="1" t="n">
        <v>45744</v>
      </c>
      <c r="D3691" t="inlineStr">
        <is>
          <t>SKÅNE LÄN</t>
        </is>
      </c>
      <c r="E3691" t="inlineStr">
        <is>
          <t>HÄSSLEHOLM</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8244-2023</t>
        </is>
      </c>
      <c r="B3692" s="1" t="n">
        <v>44974</v>
      </c>
      <c r="C3692" s="1" t="n">
        <v>45744</v>
      </c>
      <c r="D3692" t="inlineStr">
        <is>
          <t>SKÅNE LÄN</t>
        </is>
      </c>
      <c r="E3692" t="inlineStr">
        <is>
          <t>HÄSSLEHOLM</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8249-2023</t>
        </is>
      </c>
      <c r="B3693" s="1" t="n">
        <v>44974</v>
      </c>
      <c r="C3693" s="1" t="n">
        <v>45744</v>
      </c>
      <c r="D3693" t="inlineStr">
        <is>
          <t>SKÅNE LÄN</t>
        </is>
      </c>
      <c r="E3693" t="inlineStr">
        <is>
          <t>HÄSSLEHOLM</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8250-2023</t>
        </is>
      </c>
      <c r="B3694" s="1" t="n">
        <v>44974</v>
      </c>
      <c r="C3694" s="1" t="n">
        <v>45744</v>
      </c>
      <c r="D3694" t="inlineStr">
        <is>
          <t>SKÅNE LÄN</t>
        </is>
      </c>
      <c r="E3694" t="inlineStr">
        <is>
          <t>HÄSSLEHOLM</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8924-2023</t>
        </is>
      </c>
      <c r="B3695" s="1" t="n">
        <v>44974</v>
      </c>
      <c r="C3695" s="1" t="n">
        <v>45744</v>
      </c>
      <c r="D3695" t="inlineStr">
        <is>
          <t>SKÅNE LÄN</t>
        </is>
      </c>
      <c r="E3695" t="inlineStr">
        <is>
          <t>SVALÖV</t>
        </is>
      </c>
      <c r="G3695" t="n">
        <v>6.8</v>
      </c>
      <c r="H3695" t="n">
        <v>0</v>
      </c>
      <c r="I3695" t="n">
        <v>0</v>
      </c>
      <c r="J3695" t="n">
        <v>0</v>
      </c>
      <c r="K3695" t="n">
        <v>0</v>
      </c>
      <c r="L3695" t="n">
        <v>0</v>
      </c>
      <c r="M3695" t="n">
        <v>0</v>
      </c>
      <c r="N3695" t="n">
        <v>0</v>
      </c>
      <c r="O3695" t="n">
        <v>0</v>
      </c>
      <c r="P3695" t="n">
        <v>0</v>
      </c>
      <c r="Q3695" t="n">
        <v>0</v>
      </c>
      <c r="R3695" s="2" t="inlineStr"/>
    </row>
    <row r="3696" ht="15" customHeight="1">
      <c r="A3696" t="inlineStr">
        <is>
          <t>A 8925-2023</t>
        </is>
      </c>
      <c r="B3696" s="1" t="n">
        <v>44974</v>
      </c>
      <c r="C3696" s="1" t="n">
        <v>45744</v>
      </c>
      <c r="D3696" t="inlineStr">
        <is>
          <t>SKÅNE LÄN</t>
        </is>
      </c>
      <c r="E3696" t="inlineStr">
        <is>
          <t>SVALÖV</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8367-2023</t>
        </is>
      </c>
      <c r="B3697" s="1" t="n">
        <v>44977</v>
      </c>
      <c r="C3697" s="1" t="n">
        <v>45744</v>
      </c>
      <c r="D3697" t="inlineStr">
        <is>
          <t>SKÅNE LÄN</t>
        </is>
      </c>
      <c r="E3697" t="inlineStr">
        <is>
          <t>ÖSTRA GÖINGE</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8500-2023</t>
        </is>
      </c>
      <c r="B3698" s="1" t="n">
        <v>44977</v>
      </c>
      <c r="C3698" s="1" t="n">
        <v>45744</v>
      </c>
      <c r="D3698" t="inlineStr">
        <is>
          <t>SKÅNE LÄN</t>
        </is>
      </c>
      <c r="E3698" t="inlineStr">
        <is>
          <t>KLIPPAN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8380-2023</t>
        </is>
      </c>
      <c r="B3699" s="1" t="n">
        <v>44977</v>
      </c>
      <c r="C3699" s="1" t="n">
        <v>45744</v>
      </c>
      <c r="D3699" t="inlineStr">
        <is>
          <t>SKÅNE LÄN</t>
        </is>
      </c>
      <c r="E3699" t="inlineStr">
        <is>
          <t>ÖSTRA GÖINGE</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8562-2023</t>
        </is>
      </c>
      <c r="B3700" s="1" t="n">
        <v>44977</v>
      </c>
      <c r="C3700" s="1" t="n">
        <v>45744</v>
      </c>
      <c r="D3700" t="inlineStr">
        <is>
          <t>SKÅNE LÄN</t>
        </is>
      </c>
      <c r="E3700" t="inlineStr">
        <is>
          <t>PERSTORP</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8568-2023</t>
        </is>
      </c>
      <c r="B3701" s="1" t="n">
        <v>44977</v>
      </c>
      <c r="C3701" s="1" t="n">
        <v>45744</v>
      </c>
      <c r="D3701" t="inlineStr">
        <is>
          <t>SKÅNE LÄN</t>
        </is>
      </c>
      <c r="E3701" t="inlineStr">
        <is>
          <t>SJÖBO</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8565-2023</t>
        </is>
      </c>
      <c r="B3702" s="1" t="n">
        <v>44977</v>
      </c>
      <c r="C3702" s="1" t="n">
        <v>45744</v>
      </c>
      <c r="D3702" t="inlineStr">
        <is>
          <t>SKÅNE LÄN</t>
        </is>
      </c>
      <c r="E3702" t="inlineStr">
        <is>
          <t>PERSTORP</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8601-2023</t>
        </is>
      </c>
      <c r="B3703" s="1" t="n">
        <v>44977</v>
      </c>
      <c r="C3703" s="1" t="n">
        <v>45744</v>
      </c>
      <c r="D3703" t="inlineStr">
        <is>
          <t>SKÅNE LÄN</t>
        </is>
      </c>
      <c r="E3703" t="inlineStr">
        <is>
          <t>LUND</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8619-2023</t>
        </is>
      </c>
      <c r="B3704" s="1" t="n">
        <v>44977</v>
      </c>
      <c r="C3704" s="1" t="n">
        <v>45744</v>
      </c>
      <c r="D3704" t="inlineStr">
        <is>
          <t>SKÅNE LÄN</t>
        </is>
      </c>
      <c r="E3704" t="inlineStr">
        <is>
          <t>HÄSSLEHOLM</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8803-2023</t>
        </is>
      </c>
      <c r="B3705" s="1" t="n">
        <v>44978</v>
      </c>
      <c r="C3705" s="1" t="n">
        <v>45744</v>
      </c>
      <c r="D3705" t="inlineStr">
        <is>
          <t>SKÅNE LÄN</t>
        </is>
      </c>
      <c r="E3705" t="inlineStr">
        <is>
          <t>HÄSSLEHOLM</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8712-2023</t>
        </is>
      </c>
      <c r="B3706" s="1" t="n">
        <v>44978</v>
      </c>
      <c r="C3706" s="1" t="n">
        <v>45744</v>
      </c>
      <c r="D3706" t="inlineStr">
        <is>
          <t>SKÅNE LÄN</t>
        </is>
      </c>
      <c r="E3706" t="inlineStr">
        <is>
          <t>KLIPPAN</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8721-2023</t>
        </is>
      </c>
      <c r="B3707" s="1" t="n">
        <v>44978</v>
      </c>
      <c r="C3707" s="1" t="n">
        <v>45744</v>
      </c>
      <c r="D3707" t="inlineStr">
        <is>
          <t>SKÅNE LÄN</t>
        </is>
      </c>
      <c r="E3707" t="inlineStr">
        <is>
          <t>SIMRISHAMN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8807-2023</t>
        </is>
      </c>
      <c r="B3708" s="1" t="n">
        <v>44978</v>
      </c>
      <c r="C3708" s="1" t="n">
        <v>45744</v>
      </c>
      <c r="D3708" t="inlineStr">
        <is>
          <t>SKÅNE LÄN</t>
        </is>
      </c>
      <c r="E3708" t="inlineStr">
        <is>
          <t>HÄSSLEHOLM</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9670-2023</t>
        </is>
      </c>
      <c r="B3709" s="1" t="n">
        <v>44978</v>
      </c>
      <c r="C3709" s="1" t="n">
        <v>45744</v>
      </c>
      <c r="D3709" t="inlineStr">
        <is>
          <t>SKÅNE LÄN</t>
        </is>
      </c>
      <c r="E3709" t="inlineStr">
        <is>
          <t>OSBY</t>
        </is>
      </c>
      <c r="F3709" t="inlineStr">
        <is>
          <t>Naturvårdsverket</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8793-2023</t>
        </is>
      </c>
      <c r="B3710" s="1" t="n">
        <v>44978</v>
      </c>
      <c r="C3710" s="1" t="n">
        <v>45744</v>
      </c>
      <c r="D3710" t="inlineStr">
        <is>
          <t>SKÅNE LÄN</t>
        </is>
      </c>
      <c r="E3710" t="inlineStr">
        <is>
          <t>HÄSSLEHOLM</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9308-2023</t>
        </is>
      </c>
      <c r="B3711" s="1" t="n">
        <v>44980</v>
      </c>
      <c r="C3711" s="1" t="n">
        <v>45744</v>
      </c>
      <c r="D3711" t="inlineStr">
        <is>
          <t>SKÅNE LÄN</t>
        </is>
      </c>
      <c r="E3711" t="inlineStr">
        <is>
          <t>HÄSSLEHOLM</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10123-2023</t>
        </is>
      </c>
      <c r="B3712" s="1" t="n">
        <v>44980</v>
      </c>
      <c r="C3712" s="1" t="n">
        <v>45744</v>
      </c>
      <c r="D3712" t="inlineStr">
        <is>
          <t>SKÅNE LÄN</t>
        </is>
      </c>
      <c r="E3712" t="inlineStr">
        <is>
          <t>ESLÖV</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9368-2023</t>
        </is>
      </c>
      <c r="B3713" s="1" t="n">
        <v>44981</v>
      </c>
      <c r="C3713" s="1" t="n">
        <v>45744</v>
      </c>
      <c r="D3713" t="inlineStr">
        <is>
          <t>SKÅNE LÄN</t>
        </is>
      </c>
      <c r="E3713" t="inlineStr">
        <is>
          <t>PERSTORP</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9375-2023</t>
        </is>
      </c>
      <c r="B3714" s="1" t="n">
        <v>44981</v>
      </c>
      <c r="C3714" s="1" t="n">
        <v>45744</v>
      </c>
      <c r="D3714" t="inlineStr">
        <is>
          <t>SKÅNE LÄN</t>
        </is>
      </c>
      <c r="E3714" t="inlineStr">
        <is>
          <t>HÄSSLEHOLM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9487-2023</t>
        </is>
      </c>
      <c r="B3715" s="1" t="n">
        <v>44981</v>
      </c>
      <c r="C3715" s="1" t="n">
        <v>45744</v>
      </c>
      <c r="D3715" t="inlineStr">
        <is>
          <t>SKÅNE LÄN</t>
        </is>
      </c>
      <c r="E3715" t="inlineStr">
        <is>
          <t>ESLÖV</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9482-2023</t>
        </is>
      </c>
      <c r="B3716" s="1" t="n">
        <v>44981</v>
      </c>
      <c r="C3716" s="1" t="n">
        <v>45744</v>
      </c>
      <c r="D3716" t="inlineStr">
        <is>
          <t>SKÅNE LÄN</t>
        </is>
      </c>
      <c r="E3716" t="inlineStr">
        <is>
          <t>ESLÖV</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9485-2023</t>
        </is>
      </c>
      <c r="B3717" s="1" t="n">
        <v>44981</v>
      </c>
      <c r="C3717" s="1" t="n">
        <v>45744</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9484-2023</t>
        </is>
      </c>
      <c r="B3718" s="1" t="n">
        <v>44981</v>
      </c>
      <c r="C3718" s="1" t="n">
        <v>45744</v>
      </c>
      <c r="D3718" t="inlineStr">
        <is>
          <t>SKÅNE LÄN</t>
        </is>
      </c>
      <c r="E3718" t="inlineStr">
        <is>
          <t>ESLÖV</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9537-2023</t>
        </is>
      </c>
      <c r="B3719" s="1" t="n">
        <v>44981</v>
      </c>
      <c r="C3719" s="1" t="n">
        <v>45744</v>
      </c>
      <c r="D3719" t="inlineStr">
        <is>
          <t>SKÅNE LÄN</t>
        </is>
      </c>
      <c r="E3719" t="inlineStr">
        <is>
          <t>ÖSTRA GÖINGE</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10452-2023</t>
        </is>
      </c>
      <c r="B3720" s="1" t="n">
        <v>44981</v>
      </c>
      <c r="C3720" s="1" t="n">
        <v>45744</v>
      </c>
      <c r="D3720" t="inlineStr">
        <is>
          <t>SKÅNE LÄN</t>
        </is>
      </c>
      <c r="E3720" t="inlineStr">
        <is>
          <t>HÖÖR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9538-2023</t>
        </is>
      </c>
      <c r="B3721" s="1" t="n">
        <v>44981</v>
      </c>
      <c r="C3721" s="1" t="n">
        <v>45744</v>
      </c>
      <c r="D3721" t="inlineStr">
        <is>
          <t>SKÅNE LÄN</t>
        </is>
      </c>
      <c r="E3721" t="inlineStr">
        <is>
          <t>ÖSTRA GÖINGE</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9502-2023</t>
        </is>
      </c>
      <c r="B3722" s="1" t="n">
        <v>44981</v>
      </c>
      <c r="C3722" s="1" t="n">
        <v>45744</v>
      </c>
      <c r="D3722" t="inlineStr">
        <is>
          <t>SKÅNE LÄN</t>
        </is>
      </c>
      <c r="E3722" t="inlineStr">
        <is>
          <t>HÄSSLEHOLM</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9684-2023</t>
        </is>
      </c>
      <c r="B3723" s="1" t="n">
        <v>44984</v>
      </c>
      <c r="C3723" s="1" t="n">
        <v>45744</v>
      </c>
      <c r="D3723" t="inlineStr">
        <is>
          <t>SKÅNE LÄN</t>
        </is>
      </c>
      <c r="E3723" t="inlineStr">
        <is>
          <t>KRISTIANSTAD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9691-2023</t>
        </is>
      </c>
      <c r="B3724" s="1" t="n">
        <v>44984</v>
      </c>
      <c r="C3724" s="1" t="n">
        <v>45744</v>
      </c>
      <c r="D3724" t="inlineStr">
        <is>
          <t>SKÅNE LÄN</t>
        </is>
      </c>
      <c r="E3724" t="inlineStr">
        <is>
          <t>ÖRKELLJUNGA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9696-2023</t>
        </is>
      </c>
      <c r="B3725" s="1" t="n">
        <v>44984</v>
      </c>
      <c r="C3725" s="1" t="n">
        <v>45744</v>
      </c>
      <c r="D3725" t="inlineStr">
        <is>
          <t>SKÅNE LÄN</t>
        </is>
      </c>
      <c r="E3725" t="inlineStr">
        <is>
          <t>ÖRKELLJUNGA</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9701-2023</t>
        </is>
      </c>
      <c r="B3726" s="1" t="n">
        <v>44984</v>
      </c>
      <c r="C3726" s="1" t="n">
        <v>45744</v>
      </c>
      <c r="D3726" t="inlineStr">
        <is>
          <t>SKÅNE LÄN</t>
        </is>
      </c>
      <c r="E3726" t="inlineStr">
        <is>
          <t>HÖÖR</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9686-2023</t>
        </is>
      </c>
      <c r="B3727" s="1" t="n">
        <v>44984</v>
      </c>
      <c r="C3727" s="1" t="n">
        <v>45744</v>
      </c>
      <c r="D3727" t="inlineStr">
        <is>
          <t>SKÅNE LÄN</t>
        </is>
      </c>
      <c r="E3727" t="inlineStr">
        <is>
          <t>ESLÖV</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9695-2023</t>
        </is>
      </c>
      <c r="B3728" s="1" t="n">
        <v>44984</v>
      </c>
      <c r="C3728" s="1" t="n">
        <v>45744</v>
      </c>
      <c r="D3728" t="inlineStr">
        <is>
          <t>SKÅNE LÄN</t>
        </is>
      </c>
      <c r="E3728" t="inlineStr">
        <is>
          <t>ÖRKELLJUNGA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9692-2023</t>
        </is>
      </c>
      <c r="B3729" s="1" t="n">
        <v>44984</v>
      </c>
      <c r="C3729" s="1" t="n">
        <v>45744</v>
      </c>
      <c r="D3729" t="inlineStr">
        <is>
          <t>SKÅNE LÄN</t>
        </is>
      </c>
      <c r="E3729" t="inlineStr">
        <is>
          <t>HÄSSLEHOLM</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9697-2023</t>
        </is>
      </c>
      <c r="B3730" s="1" t="n">
        <v>44984</v>
      </c>
      <c r="C3730" s="1" t="n">
        <v>45744</v>
      </c>
      <c r="D3730" t="inlineStr">
        <is>
          <t>SKÅNE LÄN</t>
        </is>
      </c>
      <c r="E3730" t="inlineStr">
        <is>
          <t>HÄSSLEHOLM</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9709-2023</t>
        </is>
      </c>
      <c r="B3731" s="1" t="n">
        <v>44984</v>
      </c>
      <c r="C3731" s="1" t="n">
        <v>45744</v>
      </c>
      <c r="D3731" t="inlineStr">
        <is>
          <t>SKÅNE LÄN</t>
        </is>
      </c>
      <c r="E3731" t="inlineStr">
        <is>
          <t>HÄSSLEHOLM</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9794-2023</t>
        </is>
      </c>
      <c r="B3732" s="1" t="n">
        <v>44984</v>
      </c>
      <c r="C3732" s="1" t="n">
        <v>45744</v>
      </c>
      <c r="D3732" t="inlineStr">
        <is>
          <t>SKÅNE LÄN</t>
        </is>
      </c>
      <c r="E3732" t="inlineStr">
        <is>
          <t>KRISTIANSTAD</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10748-2023</t>
        </is>
      </c>
      <c r="B3733" s="1" t="n">
        <v>44984</v>
      </c>
      <c r="C3733" s="1" t="n">
        <v>45744</v>
      </c>
      <c r="D3733" t="inlineStr">
        <is>
          <t>SKÅNE LÄN</t>
        </is>
      </c>
      <c r="E3733" t="inlineStr">
        <is>
          <t>KRISTIANSTAD</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9908-2023</t>
        </is>
      </c>
      <c r="B3734" s="1" t="n">
        <v>44985</v>
      </c>
      <c r="C3734" s="1" t="n">
        <v>45744</v>
      </c>
      <c r="D3734" t="inlineStr">
        <is>
          <t>SKÅNE LÄN</t>
        </is>
      </c>
      <c r="E3734" t="inlineStr">
        <is>
          <t>BROMÖLLA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10058-2023</t>
        </is>
      </c>
      <c r="B3735" s="1" t="n">
        <v>44985</v>
      </c>
      <c r="C3735" s="1" t="n">
        <v>45744</v>
      </c>
      <c r="D3735" t="inlineStr">
        <is>
          <t>SKÅNE LÄN</t>
        </is>
      </c>
      <c r="E3735" t="inlineStr">
        <is>
          <t>KRISTIANSTAD</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10897-2023</t>
        </is>
      </c>
      <c r="B3736" s="1" t="n">
        <v>44985</v>
      </c>
      <c r="C3736" s="1" t="n">
        <v>45744</v>
      </c>
      <c r="D3736" t="inlineStr">
        <is>
          <t>SKÅNE LÄN</t>
        </is>
      </c>
      <c r="E3736" t="inlineStr">
        <is>
          <t>HÄSSLEHOLM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10209-2023</t>
        </is>
      </c>
      <c r="B3737" s="1" t="n">
        <v>44986</v>
      </c>
      <c r="C3737" s="1" t="n">
        <v>45744</v>
      </c>
      <c r="D3737" t="inlineStr">
        <is>
          <t>SKÅNE LÄN</t>
        </is>
      </c>
      <c r="E3737" t="inlineStr">
        <is>
          <t>SVALÖV</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10207-2023</t>
        </is>
      </c>
      <c r="B3738" s="1" t="n">
        <v>44986</v>
      </c>
      <c r="C3738" s="1" t="n">
        <v>45744</v>
      </c>
      <c r="D3738" t="inlineStr">
        <is>
          <t>SKÅNE LÄN</t>
        </is>
      </c>
      <c r="E3738" t="inlineStr">
        <is>
          <t>HÖÖR</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10220-2023</t>
        </is>
      </c>
      <c r="B3739" s="1" t="n">
        <v>44986</v>
      </c>
      <c r="C3739" s="1" t="n">
        <v>45744</v>
      </c>
      <c r="D3739" t="inlineStr">
        <is>
          <t>SKÅNE LÄN</t>
        </is>
      </c>
      <c r="E3739" t="inlineStr">
        <is>
          <t>HÄSSLEHOLM</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10272-2023</t>
        </is>
      </c>
      <c r="B3740" s="1" t="n">
        <v>44986</v>
      </c>
      <c r="C3740" s="1" t="n">
        <v>45744</v>
      </c>
      <c r="D3740" t="inlineStr">
        <is>
          <t>SKÅNE LÄN</t>
        </is>
      </c>
      <c r="E3740" t="inlineStr">
        <is>
          <t>TOMELILLA</t>
        </is>
      </c>
      <c r="F3740" t="inlineStr">
        <is>
          <t>Övriga Aktiebolag</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10277-2023</t>
        </is>
      </c>
      <c r="B3741" s="1" t="n">
        <v>44986</v>
      </c>
      <c r="C3741" s="1" t="n">
        <v>45744</v>
      </c>
      <c r="D3741" t="inlineStr">
        <is>
          <t>SKÅNE LÄN</t>
        </is>
      </c>
      <c r="E3741" t="inlineStr">
        <is>
          <t>HÄSSLEHOLM</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10221-2023</t>
        </is>
      </c>
      <c r="B3742" s="1" t="n">
        <v>44986</v>
      </c>
      <c r="C3742" s="1" t="n">
        <v>45744</v>
      </c>
      <c r="D3742" t="inlineStr">
        <is>
          <t>SKÅNE LÄN</t>
        </is>
      </c>
      <c r="E3742" t="inlineStr">
        <is>
          <t>HÄSSLEHOLM</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10270-2023</t>
        </is>
      </c>
      <c r="B3743" s="1" t="n">
        <v>44986</v>
      </c>
      <c r="C3743" s="1" t="n">
        <v>45744</v>
      </c>
      <c r="D3743" t="inlineStr">
        <is>
          <t>SKÅNE LÄN</t>
        </is>
      </c>
      <c r="E3743" t="inlineStr">
        <is>
          <t>HÄSSLEHOLM</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10290-2023</t>
        </is>
      </c>
      <c r="B3744" s="1" t="n">
        <v>44986</v>
      </c>
      <c r="C3744" s="1" t="n">
        <v>45744</v>
      </c>
      <c r="D3744" t="inlineStr">
        <is>
          <t>SKÅNE LÄN</t>
        </is>
      </c>
      <c r="E3744" t="inlineStr">
        <is>
          <t>HÄSSLEHOLM</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11101-2023</t>
        </is>
      </c>
      <c r="B3745" s="1" t="n">
        <v>44986</v>
      </c>
      <c r="C3745" s="1" t="n">
        <v>45744</v>
      </c>
      <c r="D3745" t="inlineStr">
        <is>
          <t>SKÅNE LÄN</t>
        </is>
      </c>
      <c r="E3745" t="inlineStr">
        <is>
          <t>SVALÖV</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10217-2023</t>
        </is>
      </c>
      <c r="B3746" s="1" t="n">
        <v>44986</v>
      </c>
      <c r="C3746" s="1" t="n">
        <v>45744</v>
      </c>
      <c r="D3746" t="inlineStr">
        <is>
          <t>SKÅNE LÄN</t>
        </is>
      </c>
      <c r="E3746" t="inlineStr">
        <is>
          <t>BJUV</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11121-2023</t>
        </is>
      </c>
      <c r="B3747" s="1" t="n">
        <v>44986</v>
      </c>
      <c r="C3747" s="1" t="n">
        <v>45744</v>
      </c>
      <c r="D3747" t="inlineStr">
        <is>
          <t>SKÅNE LÄN</t>
        </is>
      </c>
      <c r="E3747" t="inlineStr">
        <is>
          <t>HÄSSLEHOLM</t>
        </is>
      </c>
      <c r="F3747" t="inlineStr">
        <is>
          <t>Kommuner</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11116-2023</t>
        </is>
      </c>
      <c r="B3748" s="1" t="n">
        <v>44986</v>
      </c>
      <c r="C3748" s="1" t="n">
        <v>45744</v>
      </c>
      <c r="D3748" t="inlineStr">
        <is>
          <t>SKÅNE LÄN</t>
        </is>
      </c>
      <c r="E3748" t="inlineStr">
        <is>
          <t>HÄSSLEHOLM</t>
        </is>
      </c>
      <c r="F3748" t="inlineStr">
        <is>
          <t>Kommuner</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10389-2023</t>
        </is>
      </c>
      <c r="B3749" s="1" t="n">
        <v>44987</v>
      </c>
      <c r="C3749" s="1" t="n">
        <v>45744</v>
      </c>
      <c r="D3749" t="inlineStr">
        <is>
          <t>SKÅNE LÄN</t>
        </is>
      </c>
      <c r="E3749" t="inlineStr">
        <is>
          <t>HÄSSLEHOLM</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11177-2023</t>
        </is>
      </c>
      <c r="B3750" s="1" t="n">
        <v>44987</v>
      </c>
      <c r="C3750" s="1" t="n">
        <v>45744</v>
      </c>
      <c r="D3750" t="inlineStr">
        <is>
          <t>SKÅNE LÄN</t>
        </is>
      </c>
      <c r="E3750" t="inlineStr">
        <is>
          <t>SVALÖV</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10580-2023</t>
        </is>
      </c>
      <c r="B3751" s="1" t="n">
        <v>44988</v>
      </c>
      <c r="C3751" s="1" t="n">
        <v>45744</v>
      </c>
      <c r="D3751" t="inlineStr">
        <is>
          <t>SKÅNE LÄN</t>
        </is>
      </c>
      <c r="E3751" t="inlineStr">
        <is>
          <t>KRISTIANSTAD</t>
        </is>
      </c>
      <c r="F3751" t="inlineStr">
        <is>
          <t>Övriga Aktiebolag</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10660-2023</t>
        </is>
      </c>
      <c r="B3752" s="1" t="n">
        <v>44988</v>
      </c>
      <c r="C3752" s="1" t="n">
        <v>45744</v>
      </c>
      <c r="D3752" t="inlineStr">
        <is>
          <t>SKÅNE LÄN</t>
        </is>
      </c>
      <c r="E3752" t="inlineStr">
        <is>
          <t>HÄSSLEHOLM</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10616-2023</t>
        </is>
      </c>
      <c r="B3753" s="1" t="n">
        <v>44988</v>
      </c>
      <c r="C3753" s="1" t="n">
        <v>45744</v>
      </c>
      <c r="D3753" t="inlineStr">
        <is>
          <t>SKÅNE LÄN</t>
        </is>
      </c>
      <c r="E3753" t="inlineStr">
        <is>
          <t>ÖSTRA GÖINGE</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10695-2023</t>
        </is>
      </c>
      <c r="B3754" s="1" t="n">
        <v>44988</v>
      </c>
      <c r="C3754" s="1" t="n">
        <v>45744</v>
      </c>
      <c r="D3754" t="inlineStr">
        <is>
          <t>SKÅNE LÄN</t>
        </is>
      </c>
      <c r="E3754" t="inlineStr">
        <is>
          <t>KLIPPAN</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10709-2023</t>
        </is>
      </c>
      <c r="B3755" s="1" t="n">
        <v>44988</v>
      </c>
      <c r="C3755" s="1" t="n">
        <v>45744</v>
      </c>
      <c r="D3755" t="inlineStr">
        <is>
          <t>SKÅNE LÄN</t>
        </is>
      </c>
      <c r="E3755" t="inlineStr">
        <is>
          <t>ÖRKELLJUNGA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10824-2023</t>
        </is>
      </c>
      <c r="B3756" s="1" t="n">
        <v>44990</v>
      </c>
      <c r="C3756" s="1" t="n">
        <v>45744</v>
      </c>
      <c r="D3756" t="inlineStr">
        <is>
          <t>SKÅNE LÄN</t>
        </is>
      </c>
      <c r="E3756" t="inlineStr">
        <is>
          <t>ÖRKELLJUNGA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11002-2023</t>
        </is>
      </c>
      <c r="B3757" s="1" t="n">
        <v>44991</v>
      </c>
      <c r="C3757" s="1" t="n">
        <v>45744</v>
      </c>
      <c r="D3757" t="inlineStr">
        <is>
          <t>SKÅNE LÄN</t>
        </is>
      </c>
      <c r="E3757" t="inlineStr">
        <is>
          <t>TOMELILLA</t>
        </is>
      </c>
      <c r="F3757" t="inlineStr">
        <is>
          <t>Övriga Aktiebolag</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10892-2023</t>
        </is>
      </c>
      <c r="B3758" s="1" t="n">
        <v>44991</v>
      </c>
      <c r="C3758" s="1" t="n">
        <v>45744</v>
      </c>
      <c r="D3758" t="inlineStr">
        <is>
          <t>SKÅNE LÄN</t>
        </is>
      </c>
      <c r="E3758" t="inlineStr">
        <is>
          <t>HÖÖR</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10988-2023</t>
        </is>
      </c>
      <c r="B3759" s="1" t="n">
        <v>44991</v>
      </c>
      <c r="C3759" s="1" t="n">
        <v>45744</v>
      </c>
      <c r="D3759" t="inlineStr">
        <is>
          <t>SKÅNE LÄN</t>
        </is>
      </c>
      <c r="E3759" t="inlineStr">
        <is>
          <t>KRISTIANSTAD</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10971-2023</t>
        </is>
      </c>
      <c r="B3760" s="1" t="n">
        <v>44991</v>
      </c>
      <c r="C3760" s="1" t="n">
        <v>45744</v>
      </c>
      <c r="D3760" t="inlineStr">
        <is>
          <t>SKÅNE LÄN</t>
        </is>
      </c>
      <c r="E3760" t="inlineStr">
        <is>
          <t>KRISTIANSTAD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11497-2023</t>
        </is>
      </c>
      <c r="B3761" s="1" t="n">
        <v>44991</v>
      </c>
      <c r="C3761" s="1" t="n">
        <v>45744</v>
      </c>
      <c r="D3761" t="inlineStr">
        <is>
          <t>SKÅNE LÄN</t>
        </is>
      </c>
      <c r="E3761" t="inlineStr">
        <is>
          <t>KLIPPAN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11491-2023</t>
        </is>
      </c>
      <c r="B3762" s="1" t="n">
        <v>44991</v>
      </c>
      <c r="C3762" s="1" t="n">
        <v>45744</v>
      </c>
      <c r="D3762" t="inlineStr">
        <is>
          <t>SKÅNE LÄN</t>
        </is>
      </c>
      <c r="E3762" t="inlineStr">
        <is>
          <t>SVALÖV</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11204-2023</t>
        </is>
      </c>
      <c r="B3763" s="1" t="n">
        <v>44992</v>
      </c>
      <c r="C3763" s="1" t="n">
        <v>45744</v>
      </c>
      <c r="D3763" t="inlineStr">
        <is>
          <t>SKÅNE LÄN</t>
        </is>
      </c>
      <c r="E3763" t="inlineStr">
        <is>
          <t>ESLÖV</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11217-2023</t>
        </is>
      </c>
      <c r="B3764" s="1" t="n">
        <v>44992</v>
      </c>
      <c r="C3764" s="1" t="n">
        <v>45744</v>
      </c>
      <c r="D3764" t="inlineStr">
        <is>
          <t>SKÅNE LÄN</t>
        </is>
      </c>
      <c r="E3764" t="inlineStr">
        <is>
          <t>HÄSSLEHOLM</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11237-2023</t>
        </is>
      </c>
      <c r="B3765" s="1" t="n">
        <v>44992</v>
      </c>
      <c r="C3765" s="1" t="n">
        <v>45744</v>
      </c>
      <c r="D3765" t="inlineStr">
        <is>
          <t>SKÅNE LÄN</t>
        </is>
      </c>
      <c r="E3765" t="inlineStr">
        <is>
          <t>HÄSSLEHOLM</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11272-2023</t>
        </is>
      </c>
      <c r="B3766" s="1" t="n">
        <v>44992</v>
      </c>
      <c r="C3766" s="1" t="n">
        <v>45744</v>
      </c>
      <c r="D3766" t="inlineStr">
        <is>
          <t>SKÅNE LÄN</t>
        </is>
      </c>
      <c r="E3766" t="inlineStr">
        <is>
          <t>KRISTIANSTAD</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11150-2023</t>
        </is>
      </c>
      <c r="B3767" s="1" t="n">
        <v>44992</v>
      </c>
      <c r="C3767" s="1" t="n">
        <v>45744</v>
      </c>
      <c r="D3767" t="inlineStr">
        <is>
          <t>SKÅNE LÄN</t>
        </is>
      </c>
      <c r="E3767" t="inlineStr">
        <is>
          <t>KRISTIANSTAD</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11240-2023</t>
        </is>
      </c>
      <c r="B3768" s="1" t="n">
        <v>44992</v>
      </c>
      <c r="C3768" s="1" t="n">
        <v>45744</v>
      </c>
      <c r="D3768" t="inlineStr">
        <is>
          <t>SKÅNE LÄN</t>
        </is>
      </c>
      <c r="E3768" t="inlineStr">
        <is>
          <t>HÄSSLEHOLM</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11274-2023</t>
        </is>
      </c>
      <c r="B3769" s="1" t="n">
        <v>44992</v>
      </c>
      <c r="C3769" s="1" t="n">
        <v>45744</v>
      </c>
      <c r="D3769" t="inlineStr">
        <is>
          <t>SKÅNE LÄN</t>
        </is>
      </c>
      <c r="E3769" t="inlineStr">
        <is>
          <t>KRISTIANSTAD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11681-2023</t>
        </is>
      </c>
      <c r="B3770" s="1" t="n">
        <v>44992</v>
      </c>
      <c r="C3770" s="1" t="n">
        <v>45744</v>
      </c>
      <c r="D3770" t="inlineStr">
        <is>
          <t>SKÅNE LÄN</t>
        </is>
      </c>
      <c r="E3770" t="inlineStr">
        <is>
          <t>HÄSSLEHOLM</t>
        </is>
      </c>
      <c r="F3770" t="inlineStr">
        <is>
          <t>Övriga Aktiebolag</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11705-2023</t>
        </is>
      </c>
      <c r="B3771" s="1" t="n">
        <v>44992</v>
      </c>
      <c r="C3771" s="1" t="n">
        <v>45744</v>
      </c>
      <c r="D3771" t="inlineStr">
        <is>
          <t>SKÅNE LÄN</t>
        </is>
      </c>
      <c r="E3771" t="inlineStr">
        <is>
          <t>KLIPPAN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11722-2023</t>
        </is>
      </c>
      <c r="B3772" s="1" t="n">
        <v>44992</v>
      </c>
      <c r="C3772" s="1" t="n">
        <v>45744</v>
      </c>
      <c r="D3772" t="inlineStr">
        <is>
          <t>SKÅNE LÄN</t>
        </is>
      </c>
      <c r="E3772" t="inlineStr">
        <is>
          <t>ÖSTRA GÖINGE</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11663-2023</t>
        </is>
      </c>
      <c r="B3773" s="1" t="n">
        <v>44992</v>
      </c>
      <c r="C3773" s="1" t="n">
        <v>45744</v>
      </c>
      <c r="D3773" t="inlineStr">
        <is>
          <t>SKÅNE LÄN</t>
        </is>
      </c>
      <c r="E3773" t="inlineStr">
        <is>
          <t>PERSTORP</t>
        </is>
      </c>
      <c r="F3773" t="inlineStr">
        <is>
          <t>Övriga Aktiebolag</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11669-2023</t>
        </is>
      </c>
      <c r="B3774" s="1" t="n">
        <v>44992</v>
      </c>
      <c r="C3774" s="1" t="n">
        <v>45744</v>
      </c>
      <c r="D3774" t="inlineStr">
        <is>
          <t>SKÅNE LÄN</t>
        </is>
      </c>
      <c r="E3774" t="inlineStr">
        <is>
          <t>PERSTORP</t>
        </is>
      </c>
      <c r="F3774" t="inlineStr">
        <is>
          <t>Övriga Aktiebolag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11701-2023</t>
        </is>
      </c>
      <c r="B3775" s="1" t="n">
        <v>44992</v>
      </c>
      <c r="C3775" s="1" t="n">
        <v>45744</v>
      </c>
      <c r="D3775" t="inlineStr">
        <is>
          <t>SKÅNE LÄN</t>
        </is>
      </c>
      <c r="E3775" t="inlineStr">
        <is>
          <t>PERSTORP</t>
        </is>
      </c>
      <c r="F3775" t="inlineStr">
        <is>
          <t>Övriga Aktiebolag</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11715-2023</t>
        </is>
      </c>
      <c r="B3776" s="1" t="n">
        <v>44992</v>
      </c>
      <c r="C3776" s="1" t="n">
        <v>45744</v>
      </c>
      <c r="D3776" t="inlineStr">
        <is>
          <t>SKÅNE LÄN</t>
        </is>
      </c>
      <c r="E3776" t="inlineStr">
        <is>
          <t>HÄSSLEHOLM</t>
        </is>
      </c>
      <c r="F3776" t="inlineStr">
        <is>
          <t>Övriga Aktiebolag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11676-2023</t>
        </is>
      </c>
      <c r="B3777" s="1" t="n">
        <v>44992</v>
      </c>
      <c r="C3777" s="1" t="n">
        <v>45744</v>
      </c>
      <c r="D3777" t="inlineStr">
        <is>
          <t>SKÅNE LÄN</t>
        </is>
      </c>
      <c r="E3777" t="inlineStr">
        <is>
          <t>KLIPPAN</t>
        </is>
      </c>
      <c r="F3777" t="inlineStr">
        <is>
          <t>Övriga Aktiebolag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11335-2023</t>
        </is>
      </c>
      <c r="B3778" s="1" t="n">
        <v>44993</v>
      </c>
      <c r="C3778" s="1" t="n">
        <v>45744</v>
      </c>
      <c r="D3778" t="inlineStr">
        <is>
          <t>SKÅNE LÄN</t>
        </is>
      </c>
      <c r="E3778" t="inlineStr">
        <is>
          <t>KLIPPAN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11454-2023</t>
        </is>
      </c>
      <c r="B3779" s="1" t="n">
        <v>44993</v>
      </c>
      <c r="C3779" s="1" t="n">
        <v>45744</v>
      </c>
      <c r="D3779" t="inlineStr">
        <is>
          <t>SKÅNE LÄN</t>
        </is>
      </c>
      <c r="E3779" t="inlineStr">
        <is>
          <t>BROMÖLLA</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11505-2023</t>
        </is>
      </c>
      <c r="B3780" s="1" t="n">
        <v>44993</v>
      </c>
      <c r="C3780" s="1" t="n">
        <v>45744</v>
      </c>
      <c r="D3780" t="inlineStr">
        <is>
          <t>SKÅNE LÄN</t>
        </is>
      </c>
      <c r="E3780" t="inlineStr">
        <is>
          <t>KRISTIANSTAD</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11515-2023</t>
        </is>
      </c>
      <c r="B3781" s="1" t="n">
        <v>44993</v>
      </c>
      <c r="C3781" s="1" t="n">
        <v>45744</v>
      </c>
      <c r="D3781" t="inlineStr">
        <is>
          <t>SKÅNE LÄN</t>
        </is>
      </c>
      <c r="E3781" t="inlineStr">
        <is>
          <t>OSBY</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11922-2023</t>
        </is>
      </c>
      <c r="B3782" s="1" t="n">
        <v>44993</v>
      </c>
      <c r="C3782" s="1" t="n">
        <v>45744</v>
      </c>
      <c r="D3782" t="inlineStr">
        <is>
          <t>SKÅNE LÄN</t>
        </is>
      </c>
      <c r="E3782" t="inlineStr">
        <is>
          <t>SVALÖV</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11605-2023</t>
        </is>
      </c>
      <c r="B3783" s="1" t="n">
        <v>44994</v>
      </c>
      <c r="C3783" s="1" t="n">
        <v>45744</v>
      </c>
      <c r="D3783" t="inlineStr">
        <is>
          <t>SKÅNE LÄN</t>
        </is>
      </c>
      <c r="E3783" t="inlineStr">
        <is>
          <t>ÖRKELLJUNGA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11773-2023</t>
        </is>
      </c>
      <c r="B3784" s="1" t="n">
        <v>44994</v>
      </c>
      <c r="C3784" s="1" t="n">
        <v>45744</v>
      </c>
      <c r="D3784" t="inlineStr">
        <is>
          <t>SKÅNE LÄN</t>
        </is>
      </c>
      <c r="E3784" t="inlineStr">
        <is>
          <t>OSBY</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11780-2023</t>
        </is>
      </c>
      <c r="B3785" s="1" t="n">
        <v>44994</v>
      </c>
      <c r="C3785" s="1" t="n">
        <v>45744</v>
      </c>
      <c r="D3785" t="inlineStr">
        <is>
          <t>SKÅNE LÄN</t>
        </is>
      </c>
      <c r="E3785" t="inlineStr">
        <is>
          <t>OSBY</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11836-2023</t>
        </is>
      </c>
      <c r="B3786" s="1" t="n">
        <v>44994</v>
      </c>
      <c r="C3786" s="1" t="n">
        <v>45744</v>
      </c>
      <c r="D3786" t="inlineStr">
        <is>
          <t>SKÅNE LÄN</t>
        </is>
      </c>
      <c r="E3786" t="inlineStr">
        <is>
          <t>PERSTORP</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11837-2023</t>
        </is>
      </c>
      <c r="B3787" s="1" t="n">
        <v>44995</v>
      </c>
      <c r="C3787" s="1" t="n">
        <v>45744</v>
      </c>
      <c r="D3787" t="inlineStr">
        <is>
          <t>SKÅNE LÄN</t>
        </is>
      </c>
      <c r="E3787" t="inlineStr">
        <is>
          <t>OSBY</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11840-2023</t>
        </is>
      </c>
      <c r="B3788" s="1" t="n">
        <v>44995</v>
      </c>
      <c r="C3788" s="1" t="n">
        <v>45744</v>
      </c>
      <c r="D3788" t="inlineStr">
        <is>
          <t>SKÅNE LÄN</t>
        </is>
      </c>
      <c r="E3788" t="inlineStr">
        <is>
          <t>HÄSSLEHOLM</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12021-2023</t>
        </is>
      </c>
      <c r="B3789" s="1" t="n">
        <v>44995</v>
      </c>
      <c r="C3789" s="1" t="n">
        <v>45744</v>
      </c>
      <c r="D3789" t="inlineStr">
        <is>
          <t>SKÅNE LÄN</t>
        </is>
      </c>
      <c r="E3789" t="inlineStr">
        <is>
          <t>ÖSTRA GÖINGE</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11970-2023</t>
        </is>
      </c>
      <c r="B3790" s="1" t="n">
        <v>44995</v>
      </c>
      <c r="C3790" s="1" t="n">
        <v>45744</v>
      </c>
      <c r="D3790" t="inlineStr">
        <is>
          <t>SKÅNE LÄN</t>
        </is>
      </c>
      <c r="E3790" t="inlineStr">
        <is>
          <t>KRISTIANSTAD</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11997-2023</t>
        </is>
      </c>
      <c r="B3791" s="1" t="n">
        <v>44995</v>
      </c>
      <c r="C3791" s="1" t="n">
        <v>45744</v>
      </c>
      <c r="D3791" t="inlineStr">
        <is>
          <t>SKÅNE LÄN</t>
        </is>
      </c>
      <c r="E3791" t="inlineStr">
        <is>
          <t>KRISTIANSTAD</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12070-2023</t>
        </is>
      </c>
      <c r="B3792" s="1" t="n">
        <v>44997</v>
      </c>
      <c r="C3792" s="1" t="n">
        <v>45744</v>
      </c>
      <c r="D3792" t="inlineStr">
        <is>
          <t>SKÅNE LÄN</t>
        </is>
      </c>
      <c r="E3792" t="inlineStr">
        <is>
          <t>OSBY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12317-2023</t>
        </is>
      </c>
      <c r="B3793" s="1" t="n">
        <v>44997</v>
      </c>
      <c r="C3793" s="1" t="n">
        <v>45744</v>
      </c>
      <c r="D3793" t="inlineStr">
        <is>
          <t>SKÅNE LÄN</t>
        </is>
      </c>
      <c r="E3793" t="inlineStr">
        <is>
          <t>KRISTIANSTAD</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12068-2023</t>
        </is>
      </c>
      <c r="B3794" s="1" t="n">
        <v>44997</v>
      </c>
      <c r="C3794" s="1" t="n">
        <v>45744</v>
      </c>
      <c r="D3794" t="inlineStr">
        <is>
          <t>SKÅNE LÄN</t>
        </is>
      </c>
      <c r="E3794" t="inlineStr">
        <is>
          <t>OSBY</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12180-2023</t>
        </is>
      </c>
      <c r="B3795" s="1" t="n">
        <v>44998</v>
      </c>
      <c r="C3795" s="1" t="n">
        <v>45744</v>
      </c>
      <c r="D3795" t="inlineStr">
        <is>
          <t>SKÅNE LÄN</t>
        </is>
      </c>
      <c r="E3795" t="inlineStr">
        <is>
          <t>TOMELILLA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12235-2023</t>
        </is>
      </c>
      <c r="B3796" s="1" t="n">
        <v>44998</v>
      </c>
      <c r="C3796" s="1" t="n">
        <v>45744</v>
      </c>
      <c r="D3796" t="inlineStr">
        <is>
          <t>SKÅNE LÄN</t>
        </is>
      </c>
      <c r="E3796" t="inlineStr">
        <is>
          <t>KRISTIANSTAD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12162-2023</t>
        </is>
      </c>
      <c r="B3797" s="1" t="n">
        <v>44998</v>
      </c>
      <c r="C3797" s="1" t="n">
        <v>45744</v>
      </c>
      <c r="D3797" t="inlineStr">
        <is>
          <t>SKÅNE LÄN</t>
        </is>
      </c>
      <c r="E3797" t="inlineStr">
        <is>
          <t>HÄSSLEHOLM</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12181-2023</t>
        </is>
      </c>
      <c r="B3798" s="1" t="n">
        <v>44998</v>
      </c>
      <c r="C3798" s="1" t="n">
        <v>45744</v>
      </c>
      <c r="D3798" t="inlineStr">
        <is>
          <t>SKÅNE LÄN</t>
        </is>
      </c>
      <c r="E3798" t="inlineStr">
        <is>
          <t>TOMELILLA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12310-2023</t>
        </is>
      </c>
      <c r="B3799" s="1" t="n">
        <v>44999</v>
      </c>
      <c r="C3799" s="1" t="n">
        <v>45744</v>
      </c>
      <c r="D3799" t="inlineStr">
        <is>
          <t>SKÅNE LÄN</t>
        </is>
      </c>
      <c r="E3799" t="inlineStr">
        <is>
          <t>TOMELILLA</t>
        </is>
      </c>
      <c r="F3799" t="inlineStr">
        <is>
          <t>Sveaskog</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12346-2023</t>
        </is>
      </c>
      <c r="B3800" s="1" t="n">
        <v>44999</v>
      </c>
      <c r="C3800" s="1" t="n">
        <v>45744</v>
      </c>
      <c r="D3800" t="inlineStr">
        <is>
          <t>SKÅNE LÄN</t>
        </is>
      </c>
      <c r="E3800" t="inlineStr">
        <is>
          <t>HÄSSLEHOLM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12354-2023</t>
        </is>
      </c>
      <c r="B3801" s="1" t="n">
        <v>44999</v>
      </c>
      <c r="C3801" s="1" t="n">
        <v>45744</v>
      </c>
      <c r="D3801" t="inlineStr">
        <is>
          <t>SKÅNE LÄN</t>
        </is>
      </c>
      <c r="E3801" t="inlineStr">
        <is>
          <t>TOMELILLA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12344-2023</t>
        </is>
      </c>
      <c r="B3802" s="1" t="n">
        <v>44999</v>
      </c>
      <c r="C3802" s="1" t="n">
        <v>45744</v>
      </c>
      <c r="D3802" t="inlineStr">
        <is>
          <t>SKÅNE LÄN</t>
        </is>
      </c>
      <c r="E3802" t="inlineStr">
        <is>
          <t>HÄSSLEHOLM</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12472-2023</t>
        </is>
      </c>
      <c r="B3803" s="1" t="n">
        <v>44999</v>
      </c>
      <c r="C3803" s="1" t="n">
        <v>45744</v>
      </c>
      <c r="D3803" t="inlineStr">
        <is>
          <t>SKÅNE LÄN</t>
        </is>
      </c>
      <c r="E3803" t="inlineStr">
        <is>
          <t>BROMÖLLA</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12483-2023</t>
        </is>
      </c>
      <c r="B3804" s="1" t="n">
        <v>44999</v>
      </c>
      <c r="C3804" s="1" t="n">
        <v>45744</v>
      </c>
      <c r="D3804" t="inlineStr">
        <is>
          <t>SKÅNE LÄN</t>
        </is>
      </c>
      <c r="E3804" t="inlineStr">
        <is>
          <t>ÖRKELLJUNGA</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12469-2023</t>
        </is>
      </c>
      <c r="B3805" s="1" t="n">
        <v>44999</v>
      </c>
      <c r="C3805" s="1" t="n">
        <v>45744</v>
      </c>
      <c r="D3805" t="inlineStr">
        <is>
          <t>SKÅNE LÄN</t>
        </is>
      </c>
      <c r="E3805" t="inlineStr">
        <is>
          <t>HÄSSLEHOLM</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12570-2023</t>
        </is>
      </c>
      <c r="B3806" s="1" t="n">
        <v>44999</v>
      </c>
      <c r="C3806" s="1" t="n">
        <v>45744</v>
      </c>
      <c r="D3806" t="inlineStr">
        <is>
          <t>SKÅNE LÄN</t>
        </is>
      </c>
      <c r="E3806" t="inlineStr">
        <is>
          <t>HÄSSLEHOLM</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12623-2023</t>
        </is>
      </c>
      <c r="B3807" s="1" t="n">
        <v>44999</v>
      </c>
      <c r="C3807" s="1" t="n">
        <v>45744</v>
      </c>
      <c r="D3807" t="inlineStr">
        <is>
          <t>SKÅNE LÄN</t>
        </is>
      </c>
      <c r="E3807" t="inlineStr">
        <is>
          <t>SVALÖV</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12615-2023</t>
        </is>
      </c>
      <c r="B3808" s="1" t="n">
        <v>45000</v>
      </c>
      <c r="C3808" s="1" t="n">
        <v>45744</v>
      </c>
      <c r="D3808" t="inlineStr">
        <is>
          <t>SKÅNE LÄN</t>
        </is>
      </c>
      <c r="E3808" t="inlineStr">
        <is>
          <t>KRISTIANSTAD</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12558-2023</t>
        </is>
      </c>
      <c r="B3809" s="1" t="n">
        <v>45000</v>
      </c>
      <c r="C3809" s="1" t="n">
        <v>45744</v>
      </c>
      <c r="D3809" t="inlineStr">
        <is>
          <t>SKÅNE LÄN</t>
        </is>
      </c>
      <c r="E3809" t="inlineStr">
        <is>
          <t>HÄSSLEHOLM</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12721-2023</t>
        </is>
      </c>
      <c r="B3810" s="1" t="n">
        <v>45000</v>
      </c>
      <c r="C3810" s="1" t="n">
        <v>45744</v>
      </c>
      <c r="D3810" t="inlineStr">
        <is>
          <t>SKÅNE LÄN</t>
        </is>
      </c>
      <c r="E3810" t="inlineStr">
        <is>
          <t>BROMÖLLA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12725-2023</t>
        </is>
      </c>
      <c r="B3811" s="1" t="n">
        <v>45000</v>
      </c>
      <c r="C3811" s="1" t="n">
        <v>45744</v>
      </c>
      <c r="D3811" t="inlineStr">
        <is>
          <t>SKÅNE LÄN</t>
        </is>
      </c>
      <c r="E3811" t="inlineStr">
        <is>
          <t>KLIPPAN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12718-2023</t>
        </is>
      </c>
      <c r="B3812" s="1" t="n">
        <v>45000</v>
      </c>
      <c r="C3812" s="1" t="n">
        <v>45744</v>
      </c>
      <c r="D3812" t="inlineStr">
        <is>
          <t>SKÅNE LÄN</t>
        </is>
      </c>
      <c r="E3812" t="inlineStr">
        <is>
          <t>BROMÖLLA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12839-2023</t>
        </is>
      </c>
      <c r="B3813" s="1" t="n">
        <v>45000</v>
      </c>
      <c r="C3813" s="1" t="n">
        <v>45744</v>
      </c>
      <c r="D3813" t="inlineStr">
        <is>
          <t>SKÅNE LÄN</t>
        </is>
      </c>
      <c r="E3813" t="inlineStr">
        <is>
          <t>HÄSSLEHOLM</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12842-2023</t>
        </is>
      </c>
      <c r="B3814" s="1" t="n">
        <v>45001</v>
      </c>
      <c r="C3814" s="1" t="n">
        <v>45744</v>
      </c>
      <c r="D3814" t="inlineStr">
        <is>
          <t>SKÅNE LÄN</t>
        </is>
      </c>
      <c r="E3814" t="inlineStr">
        <is>
          <t>HÖÖR</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12833-2023</t>
        </is>
      </c>
      <c r="B3815" s="1" t="n">
        <v>45001</v>
      </c>
      <c r="C3815" s="1" t="n">
        <v>45744</v>
      </c>
      <c r="D3815" t="inlineStr">
        <is>
          <t>SKÅNE LÄN</t>
        </is>
      </c>
      <c r="E3815" t="inlineStr">
        <is>
          <t>HÖÖR</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12855-2023</t>
        </is>
      </c>
      <c r="B3816" s="1" t="n">
        <v>45001</v>
      </c>
      <c r="C3816" s="1" t="n">
        <v>45744</v>
      </c>
      <c r="D3816" t="inlineStr">
        <is>
          <t>SKÅNE LÄN</t>
        </is>
      </c>
      <c r="E3816" t="inlineStr">
        <is>
          <t>HÖÖR</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12843-2023</t>
        </is>
      </c>
      <c r="B3817" s="1" t="n">
        <v>45001</v>
      </c>
      <c r="C3817" s="1" t="n">
        <v>45744</v>
      </c>
      <c r="D3817" t="inlineStr">
        <is>
          <t>SKÅNE LÄN</t>
        </is>
      </c>
      <c r="E3817" t="inlineStr">
        <is>
          <t>HÄSSLEHOLM</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12903-2023</t>
        </is>
      </c>
      <c r="B3818" s="1" t="n">
        <v>45001</v>
      </c>
      <c r="C3818" s="1" t="n">
        <v>45744</v>
      </c>
      <c r="D3818" t="inlineStr">
        <is>
          <t>SKÅNE LÄN</t>
        </is>
      </c>
      <c r="E3818" t="inlineStr">
        <is>
          <t>OSBY</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13087-2023</t>
        </is>
      </c>
      <c r="B3819" s="1" t="n">
        <v>45001</v>
      </c>
      <c r="C3819" s="1" t="n">
        <v>45744</v>
      </c>
      <c r="D3819" t="inlineStr">
        <is>
          <t>SKÅNE LÄN</t>
        </is>
      </c>
      <c r="E3819" t="inlineStr">
        <is>
          <t>HÄSSLEHOLM</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13068-2023</t>
        </is>
      </c>
      <c r="B3820" s="1" t="n">
        <v>45002</v>
      </c>
      <c r="C3820" s="1" t="n">
        <v>45744</v>
      </c>
      <c r="D3820" t="inlineStr">
        <is>
          <t>SKÅNE LÄN</t>
        </is>
      </c>
      <c r="E3820" t="inlineStr">
        <is>
          <t>ÖRKELLJUNGA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13143-2023</t>
        </is>
      </c>
      <c r="B3821" s="1" t="n">
        <v>45002</v>
      </c>
      <c r="C3821" s="1" t="n">
        <v>45744</v>
      </c>
      <c r="D3821" t="inlineStr">
        <is>
          <t>SKÅNE LÄN</t>
        </is>
      </c>
      <c r="E3821" t="inlineStr">
        <is>
          <t>OSBY</t>
        </is>
      </c>
      <c r="G3821" t="n">
        <v>13.5</v>
      </c>
      <c r="H3821" t="n">
        <v>0</v>
      </c>
      <c r="I3821" t="n">
        <v>0</v>
      </c>
      <c r="J3821" t="n">
        <v>0</v>
      </c>
      <c r="K3821" t="n">
        <v>0</v>
      </c>
      <c r="L3821" t="n">
        <v>0</v>
      </c>
      <c r="M3821" t="n">
        <v>0</v>
      </c>
      <c r="N3821" t="n">
        <v>0</v>
      </c>
      <c r="O3821" t="n">
        <v>0</v>
      </c>
      <c r="P3821" t="n">
        <v>0</v>
      </c>
      <c r="Q3821" t="n">
        <v>0</v>
      </c>
      <c r="R3821" s="2" t="inlineStr"/>
    </row>
    <row r="3822" ht="15" customHeight="1">
      <c r="A3822" t="inlineStr">
        <is>
          <t>A 13070-2023</t>
        </is>
      </c>
      <c r="B3822" s="1" t="n">
        <v>45002</v>
      </c>
      <c r="C3822" s="1" t="n">
        <v>45744</v>
      </c>
      <c r="D3822" t="inlineStr">
        <is>
          <t>SKÅNE LÄN</t>
        </is>
      </c>
      <c r="E3822" t="inlineStr">
        <is>
          <t>KRISTIANSTAD</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13138-2023</t>
        </is>
      </c>
      <c r="B3823" s="1" t="n">
        <v>45002</v>
      </c>
      <c r="C3823" s="1" t="n">
        <v>45744</v>
      </c>
      <c r="D3823" t="inlineStr">
        <is>
          <t>SKÅNE LÄN</t>
        </is>
      </c>
      <c r="E3823" t="inlineStr">
        <is>
          <t>OSBY</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13211-2023</t>
        </is>
      </c>
      <c r="B3824" s="1" t="n">
        <v>45002</v>
      </c>
      <c r="C3824" s="1" t="n">
        <v>45744</v>
      </c>
      <c r="D3824" t="inlineStr">
        <is>
          <t>SKÅNE LÄN</t>
        </is>
      </c>
      <c r="E3824" t="inlineStr">
        <is>
          <t>KRISTIANSTAD</t>
        </is>
      </c>
      <c r="F3824" t="inlineStr">
        <is>
          <t>Kyrkan</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13267-2023</t>
        </is>
      </c>
      <c r="B3825" s="1" t="n">
        <v>45003</v>
      </c>
      <c r="C3825" s="1" t="n">
        <v>45744</v>
      </c>
      <c r="D3825" t="inlineStr">
        <is>
          <t>SKÅNE LÄN</t>
        </is>
      </c>
      <c r="E3825" t="inlineStr">
        <is>
          <t>PERSTORP</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13291-2023</t>
        </is>
      </c>
      <c r="B3826" s="1" t="n">
        <v>45004</v>
      </c>
      <c r="C3826" s="1" t="n">
        <v>45744</v>
      </c>
      <c r="D3826" t="inlineStr">
        <is>
          <t>SKÅNE LÄN</t>
        </is>
      </c>
      <c r="E3826" t="inlineStr">
        <is>
          <t>HÖÖR</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13316-2023</t>
        </is>
      </c>
      <c r="B3827" s="1" t="n">
        <v>45005</v>
      </c>
      <c r="C3827" s="1" t="n">
        <v>45744</v>
      </c>
      <c r="D3827" t="inlineStr">
        <is>
          <t>SKÅNE LÄN</t>
        </is>
      </c>
      <c r="E3827" t="inlineStr">
        <is>
          <t>HÄSSLEHOLM</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13344-2023</t>
        </is>
      </c>
      <c r="B3828" s="1" t="n">
        <v>45005</v>
      </c>
      <c r="C3828" s="1" t="n">
        <v>45744</v>
      </c>
      <c r="D3828" t="inlineStr">
        <is>
          <t>SKÅNE LÄN</t>
        </is>
      </c>
      <c r="E3828" t="inlineStr">
        <is>
          <t>SVEDALA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13429-2023</t>
        </is>
      </c>
      <c r="B3829" s="1" t="n">
        <v>45005</v>
      </c>
      <c r="C3829" s="1" t="n">
        <v>45744</v>
      </c>
      <c r="D3829" t="inlineStr">
        <is>
          <t>SKÅNE LÄN</t>
        </is>
      </c>
      <c r="E3829" t="inlineStr">
        <is>
          <t>HÖÖR</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13432-2023</t>
        </is>
      </c>
      <c r="B3830" s="1" t="n">
        <v>45005</v>
      </c>
      <c r="C3830" s="1" t="n">
        <v>45744</v>
      </c>
      <c r="D3830" t="inlineStr">
        <is>
          <t>SKÅNE LÄN</t>
        </is>
      </c>
      <c r="E3830" t="inlineStr">
        <is>
          <t>HÖÖR</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13437-2023</t>
        </is>
      </c>
      <c r="B3831" s="1" t="n">
        <v>45005</v>
      </c>
      <c r="C3831" s="1" t="n">
        <v>45744</v>
      </c>
      <c r="D3831" t="inlineStr">
        <is>
          <t>SKÅNE LÄN</t>
        </is>
      </c>
      <c r="E3831" t="inlineStr">
        <is>
          <t>HÖÖR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13363-2023</t>
        </is>
      </c>
      <c r="B3832" s="1" t="n">
        <v>45005</v>
      </c>
      <c r="C3832" s="1" t="n">
        <v>45744</v>
      </c>
      <c r="D3832" t="inlineStr">
        <is>
          <t>SKÅNE LÄN</t>
        </is>
      </c>
      <c r="E3832" t="inlineStr">
        <is>
          <t>KLIPPAN</t>
        </is>
      </c>
      <c r="F3832" t="inlineStr">
        <is>
          <t>Övriga Aktiebolag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13420-2023</t>
        </is>
      </c>
      <c r="B3833" s="1" t="n">
        <v>45005</v>
      </c>
      <c r="C3833" s="1" t="n">
        <v>45744</v>
      </c>
      <c r="D3833" t="inlineStr">
        <is>
          <t>SKÅNE LÄN</t>
        </is>
      </c>
      <c r="E3833" t="inlineStr">
        <is>
          <t>KLIPPAN</t>
        </is>
      </c>
      <c r="F3833" t="inlineStr">
        <is>
          <t>Övriga Aktiebolag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13358-2023</t>
        </is>
      </c>
      <c r="B3834" s="1" t="n">
        <v>45005</v>
      </c>
      <c r="C3834" s="1" t="n">
        <v>45744</v>
      </c>
      <c r="D3834" t="inlineStr">
        <is>
          <t>SKÅNE LÄN</t>
        </is>
      </c>
      <c r="E3834" t="inlineStr">
        <is>
          <t>HÄSSLEHOLM</t>
        </is>
      </c>
      <c r="F3834" t="inlineStr">
        <is>
          <t>Övriga Aktiebolag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13410-2023</t>
        </is>
      </c>
      <c r="B3835" s="1" t="n">
        <v>45005</v>
      </c>
      <c r="C3835" s="1" t="n">
        <v>45744</v>
      </c>
      <c r="D3835" t="inlineStr">
        <is>
          <t>SKÅNE LÄN</t>
        </is>
      </c>
      <c r="E3835" t="inlineStr">
        <is>
          <t>PERSTORP</t>
        </is>
      </c>
      <c r="F3835" t="inlineStr">
        <is>
          <t>Övriga Aktiebolag</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13651-2023</t>
        </is>
      </c>
      <c r="B3836" s="1" t="n">
        <v>45006</v>
      </c>
      <c r="C3836" s="1" t="n">
        <v>45744</v>
      </c>
      <c r="D3836" t="inlineStr">
        <is>
          <t>SKÅNE LÄN</t>
        </is>
      </c>
      <c r="E3836" t="inlineStr">
        <is>
          <t>HELSINGBORG</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13637-2023</t>
        </is>
      </c>
      <c r="B3837" s="1" t="n">
        <v>45006</v>
      </c>
      <c r="C3837" s="1" t="n">
        <v>45744</v>
      </c>
      <c r="D3837" t="inlineStr">
        <is>
          <t>SKÅNE LÄN</t>
        </is>
      </c>
      <c r="E3837" t="inlineStr">
        <is>
          <t>HELSINGBORG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13673-2023</t>
        </is>
      </c>
      <c r="B3838" s="1" t="n">
        <v>45006</v>
      </c>
      <c r="C3838" s="1" t="n">
        <v>45744</v>
      </c>
      <c r="D3838" t="inlineStr">
        <is>
          <t>SKÅNE LÄN</t>
        </is>
      </c>
      <c r="E3838" t="inlineStr">
        <is>
          <t>HÄSSLEHOLM</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13754-2023</t>
        </is>
      </c>
      <c r="B3839" s="1" t="n">
        <v>45007</v>
      </c>
      <c r="C3839" s="1" t="n">
        <v>45744</v>
      </c>
      <c r="D3839" t="inlineStr">
        <is>
          <t>SKÅNE LÄN</t>
        </is>
      </c>
      <c r="E3839" t="inlineStr">
        <is>
          <t>SJÖBO</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13820-2023</t>
        </is>
      </c>
      <c r="B3840" s="1" t="n">
        <v>45007</v>
      </c>
      <c r="C3840" s="1" t="n">
        <v>45744</v>
      </c>
      <c r="D3840" t="inlineStr">
        <is>
          <t>SKÅNE LÄN</t>
        </is>
      </c>
      <c r="E3840" t="inlineStr">
        <is>
          <t>KRISTIANSTAD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13932-2023</t>
        </is>
      </c>
      <c r="B3841" s="1" t="n">
        <v>45008</v>
      </c>
      <c r="C3841" s="1" t="n">
        <v>45744</v>
      </c>
      <c r="D3841" t="inlineStr">
        <is>
          <t>SKÅNE LÄN</t>
        </is>
      </c>
      <c r="E3841" t="inlineStr">
        <is>
          <t>HÄSSLEHOLM</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14008-2023</t>
        </is>
      </c>
      <c r="B3842" s="1" t="n">
        <v>45008</v>
      </c>
      <c r="C3842" s="1" t="n">
        <v>45744</v>
      </c>
      <c r="D3842" t="inlineStr">
        <is>
          <t>SKÅNE LÄN</t>
        </is>
      </c>
      <c r="E3842" t="inlineStr">
        <is>
          <t>HÄSSLEHOLM</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13961-2023</t>
        </is>
      </c>
      <c r="B3843" s="1" t="n">
        <v>45008</v>
      </c>
      <c r="C3843" s="1" t="n">
        <v>45744</v>
      </c>
      <c r="D3843" t="inlineStr">
        <is>
          <t>SKÅNE LÄN</t>
        </is>
      </c>
      <c r="E3843" t="inlineStr">
        <is>
          <t>HÄSSLEHOLM</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13998-2023</t>
        </is>
      </c>
      <c r="B3844" s="1" t="n">
        <v>45008</v>
      </c>
      <c r="C3844" s="1" t="n">
        <v>45744</v>
      </c>
      <c r="D3844" t="inlineStr">
        <is>
          <t>SKÅNE LÄN</t>
        </is>
      </c>
      <c r="E3844" t="inlineStr">
        <is>
          <t>HÄSSLEHOLM</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13954-2023</t>
        </is>
      </c>
      <c r="B3845" s="1" t="n">
        <v>45008</v>
      </c>
      <c r="C3845" s="1" t="n">
        <v>45744</v>
      </c>
      <c r="D3845" t="inlineStr">
        <is>
          <t>SKÅNE LÄN</t>
        </is>
      </c>
      <c r="E3845" t="inlineStr">
        <is>
          <t>HÄSSLEHOLM</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14002-2023</t>
        </is>
      </c>
      <c r="B3846" s="1" t="n">
        <v>45008</v>
      </c>
      <c r="C3846" s="1" t="n">
        <v>45744</v>
      </c>
      <c r="D3846" t="inlineStr">
        <is>
          <t>SKÅNE LÄN</t>
        </is>
      </c>
      <c r="E3846" t="inlineStr">
        <is>
          <t>HÄSSLEHOLM</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13992-2023</t>
        </is>
      </c>
      <c r="B3847" s="1" t="n">
        <v>45008</v>
      </c>
      <c r="C3847" s="1" t="n">
        <v>45744</v>
      </c>
      <c r="D3847" t="inlineStr">
        <is>
          <t>SKÅNE LÄN</t>
        </is>
      </c>
      <c r="E3847" t="inlineStr">
        <is>
          <t>HÄSSLEHOLM</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14145-2023</t>
        </is>
      </c>
      <c r="B3848" s="1" t="n">
        <v>45009</v>
      </c>
      <c r="C3848" s="1" t="n">
        <v>45744</v>
      </c>
      <c r="D3848" t="inlineStr">
        <is>
          <t>SKÅNE LÄN</t>
        </is>
      </c>
      <c r="E3848" t="inlineStr">
        <is>
          <t>HÄSSLEHOLM</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14105-2023</t>
        </is>
      </c>
      <c r="B3849" s="1" t="n">
        <v>45009</v>
      </c>
      <c r="C3849" s="1" t="n">
        <v>45744</v>
      </c>
      <c r="D3849" t="inlineStr">
        <is>
          <t>SKÅNE LÄN</t>
        </is>
      </c>
      <c r="E3849" t="inlineStr">
        <is>
          <t>KRISTIANSTAD</t>
        </is>
      </c>
      <c r="F3849" t="inlineStr">
        <is>
          <t>Övriga Aktiebolag</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14152-2023</t>
        </is>
      </c>
      <c r="B3850" s="1" t="n">
        <v>45009</v>
      </c>
      <c r="C3850" s="1" t="n">
        <v>45744</v>
      </c>
      <c r="D3850" t="inlineStr">
        <is>
          <t>SKÅNE LÄN</t>
        </is>
      </c>
      <c r="E3850" t="inlineStr">
        <is>
          <t>TOMELILLA</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14203-2023</t>
        </is>
      </c>
      <c r="B3851" s="1" t="n">
        <v>45009</v>
      </c>
      <c r="C3851" s="1" t="n">
        <v>45744</v>
      </c>
      <c r="D3851" t="inlineStr">
        <is>
          <t>SKÅNE LÄN</t>
        </is>
      </c>
      <c r="E3851" t="inlineStr">
        <is>
          <t>KRISTIANSTAD</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14214-2023</t>
        </is>
      </c>
      <c r="B3852" s="1" t="n">
        <v>45009</v>
      </c>
      <c r="C3852" s="1" t="n">
        <v>45744</v>
      </c>
      <c r="D3852" t="inlineStr">
        <is>
          <t>SKÅNE LÄN</t>
        </is>
      </c>
      <c r="E3852" t="inlineStr">
        <is>
          <t>KRISTIANSTAD</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14143-2023</t>
        </is>
      </c>
      <c r="B3853" s="1" t="n">
        <v>45009</v>
      </c>
      <c r="C3853" s="1" t="n">
        <v>45744</v>
      </c>
      <c r="D3853" t="inlineStr">
        <is>
          <t>SKÅNE LÄN</t>
        </is>
      </c>
      <c r="E3853" t="inlineStr">
        <is>
          <t>OSBY</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14148-2023</t>
        </is>
      </c>
      <c r="B3854" s="1" t="n">
        <v>45009</v>
      </c>
      <c r="C3854" s="1" t="n">
        <v>45744</v>
      </c>
      <c r="D3854" t="inlineStr">
        <is>
          <t>SKÅNE LÄN</t>
        </is>
      </c>
      <c r="E3854" t="inlineStr">
        <is>
          <t>OSBY</t>
        </is>
      </c>
      <c r="G3854" t="n">
        <v>15.7</v>
      </c>
      <c r="H3854" t="n">
        <v>0</v>
      </c>
      <c r="I3854" t="n">
        <v>0</v>
      </c>
      <c r="J3854" t="n">
        <v>0</v>
      </c>
      <c r="K3854" t="n">
        <v>0</v>
      </c>
      <c r="L3854" t="n">
        <v>0</v>
      </c>
      <c r="M3854" t="n">
        <v>0</v>
      </c>
      <c r="N3854" t="n">
        <v>0</v>
      </c>
      <c r="O3854" t="n">
        <v>0</v>
      </c>
      <c r="P3854" t="n">
        <v>0</v>
      </c>
      <c r="Q3854" t="n">
        <v>0</v>
      </c>
      <c r="R3854" s="2" t="inlineStr"/>
    </row>
    <row r="3855" ht="15" customHeight="1">
      <c r="A3855" t="inlineStr">
        <is>
          <t>A 14154-2023</t>
        </is>
      </c>
      <c r="B3855" s="1" t="n">
        <v>45009</v>
      </c>
      <c r="C3855" s="1" t="n">
        <v>45744</v>
      </c>
      <c r="D3855" t="inlineStr">
        <is>
          <t>SKÅNE LÄN</t>
        </is>
      </c>
      <c r="E3855" t="inlineStr">
        <is>
          <t>TOMELILLA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14223-2023</t>
        </is>
      </c>
      <c r="B3856" s="1" t="n">
        <v>45009</v>
      </c>
      <c r="C3856" s="1" t="n">
        <v>45744</v>
      </c>
      <c r="D3856" t="inlineStr">
        <is>
          <t>SKÅNE LÄN</t>
        </is>
      </c>
      <c r="E3856" t="inlineStr">
        <is>
          <t>KRISTIANSTAD</t>
        </is>
      </c>
      <c r="G3856" t="n">
        <v>7.4</v>
      </c>
      <c r="H3856" t="n">
        <v>0</v>
      </c>
      <c r="I3856" t="n">
        <v>0</v>
      </c>
      <c r="J3856" t="n">
        <v>0</v>
      </c>
      <c r="K3856" t="n">
        <v>0</v>
      </c>
      <c r="L3856" t="n">
        <v>0</v>
      </c>
      <c r="M3856" t="n">
        <v>0</v>
      </c>
      <c r="N3856" t="n">
        <v>0</v>
      </c>
      <c r="O3856" t="n">
        <v>0</v>
      </c>
      <c r="P3856" t="n">
        <v>0</v>
      </c>
      <c r="Q3856" t="n">
        <v>0</v>
      </c>
      <c r="R3856" s="2" t="inlineStr"/>
    </row>
    <row r="3857" ht="15" customHeight="1">
      <c r="A3857" t="inlineStr">
        <is>
          <t>A 14232-2023</t>
        </is>
      </c>
      <c r="B3857" s="1" t="n">
        <v>45009</v>
      </c>
      <c r="C3857" s="1" t="n">
        <v>45744</v>
      </c>
      <c r="D3857" t="inlineStr">
        <is>
          <t>SKÅNE LÄN</t>
        </is>
      </c>
      <c r="E3857" t="inlineStr">
        <is>
          <t>KRISTIANSTAD</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14239-2023</t>
        </is>
      </c>
      <c r="B3858" s="1" t="n">
        <v>45009</v>
      </c>
      <c r="C3858" s="1" t="n">
        <v>45744</v>
      </c>
      <c r="D3858" t="inlineStr">
        <is>
          <t>SKÅNE LÄN</t>
        </is>
      </c>
      <c r="E3858" t="inlineStr">
        <is>
          <t>KRISTIANSTAD</t>
        </is>
      </c>
      <c r="G3858" t="n">
        <v>11.3</v>
      </c>
      <c r="H3858" t="n">
        <v>0</v>
      </c>
      <c r="I3858" t="n">
        <v>0</v>
      </c>
      <c r="J3858" t="n">
        <v>0</v>
      </c>
      <c r="K3858" t="n">
        <v>0</v>
      </c>
      <c r="L3858" t="n">
        <v>0</v>
      </c>
      <c r="M3858" t="n">
        <v>0</v>
      </c>
      <c r="N3858" t="n">
        <v>0</v>
      </c>
      <c r="O3858" t="n">
        <v>0</v>
      </c>
      <c r="P3858" t="n">
        <v>0</v>
      </c>
      <c r="Q3858" t="n">
        <v>0</v>
      </c>
      <c r="R3858" s="2" t="inlineStr"/>
    </row>
    <row r="3859" ht="15" customHeight="1">
      <c r="A3859" t="inlineStr">
        <is>
          <t>A 14254-2023</t>
        </is>
      </c>
      <c r="B3859" s="1" t="n">
        <v>45009</v>
      </c>
      <c r="C3859" s="1" t="n">
        <v>45744</v>
      </c>
      <c r="D3859" t="inlineStr">
        <is>
          <t>SKÅNE LÄN</t>
        </is>
      </c>
      <c r="E3859" t="inlineStr">
        <is>
          <t>ÖRKELLJUNGA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14302-2023</t>
        </is>
      </c>
      <c r="B3860" s="1" t="n">
        <v>45011</v>
      </c>
      <c r="C3860" s="1" t="n">
        <v>45744</v>
      </c>
      <c r="D3860" t="inlineStr">
        <is>
          <t>SKÅNE LÄN</t>
        </is>
      </c>
      <c r="E3860" t="inlineStr">
        <is>
          <t>ÖSTRA GÖINGE</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14310-2023</t>
        </is>
      </c>
      <c r="B3861" s="1" t="n">
        <v>45011</v>
      </c>
      <c r="C3861" s="1" t="n">
        <v>45744</v>
      </c>
      <c r="D3861" t="inlineStr">
        <is>
          <t>SKÅNE LÄN</t>
        </is>
      </c>
      <c r="E3861" t="inlineStr">
        <is>
          <t>OSBY</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14308-2023</t>
        </is>
      </c>
      <c r="B3862" s="1" t="n">
        <v>45011</v>
      </c>
      <c r="C3862" s="1" t="n">
        <v>45744</v>
      </c>
      <c r="D3862" t="inlineStr">
        <is>
          <t>SKÅNE LÄN</t>
        </is>
      </c>
      <c r="E3862" t="inlineStr">
        <is>
          <t>OSBY</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14307-2023</t>
        </is>
      </c>
      <c r="B3863" s="1" t="n">
        <v>45011</v>
      </c>
      <c r="C3863" s="1" t="n">
        <v>45744</v>
      </c>
      <c r="D3863" t="inlineStr">
        <is>
          <t>SKÅNE LÄN</t>
        </is>
      </c>
      <c r="E3863" t="inlineStr">
        <is>
          <t>OSBY</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14305-2023</t>
        </is>
      </c>
      <c r="B3864" s="1" t="n">
        <v>45011</v>
      </c>
      <c r="C3864" s="1" t="n">
        <v>45744</v>
      </c>
      <c r="D3864" t="inlineStr">
        <is>
          <t>SKÅNE LÄN</t>
        </is>
      </c>
      <c r="E3864" t="inlineStr">
        <is>
          <t>ÖRKELLJUNGA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14400-2023</t>
        </is>
      </c>
      <c r="B3865" s="1" t="n">
        <v>45012</v>
      </c>
      <c r="C3865" s="1" t="n">
        <v>45744</v>
      </c>
      <c r="D3865" t="inlineStr">
        <is>
          <t>SKÅNE LÄN</t>
        </is>
      </c>
      <c r="E3865" t="inlineStr">
        <is>
          <t>ÄNGELHOLM</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14430-2023</t>
        </is>
      </c>
      <c r="B3866" s="1" t="n">
        <v>45012</v>
      </c>
      <c r="C3866" s="1" t="n">
        <v>45744</v>
      </c>
      <c r="D3866" t="inlineStr">
        <is>
          <t>SKÅNE LÄN</t>
        </is>
      </c>
      <c r="E3866" t="inlineStr">
        <is>
          <t>ÖRKELLJUNGA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14442-2023</t>
        </is>
      </c>
      <c r="B3867" s="1" t="n">
        <v>45012</v>
      </c>
      <c r="C3867" s="1" t="n">
        <v>45744</v>
      </c>
      <c r="D3867" t="inlineStr">
        <is>
          <t>SKÅNE LÄN</t>
        </is>
      </c>
      <c r="E3867" t="inlineStr">
        <is>
          <t>KRISTIANSTAD</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14444-2023</t>
        </is>
      </c>
      <c r="B3868" s="1" t="n">
        <v>45012</v>
      </c>
      <c r="C3868" s="1" t="n">
        <v>45744</v>
      </c>
      <c r="D3868" t="inlineStr">
        <is>
          <t>SKÅNE LÄN</t>
        </is>
      </c>
      <c r="E3868" t="inlineStr">
        <is>
          <t>KLIPPAN</t>
        </is>
      </c>
      <c r="F3868" t="inlineStr">
        <is>
          <t>Sveaskog</t>
        </is>
      </c>
      <c r="G3868" t="n">
        <v>10.4</v>
      </c>
      <c r="H3868" t="n">
        <v>0</v>
      </c>
      <c r="I3868" t="n">
        <v>0</v>
      </c>
      <c r="J3868" t="n">
        <v>0</v>
      </c>
      <c r="K3868" t="n">
        <v>0</v>
      </c>
      <c r="L3868" t="n">
        <v>0</v>
      </c>
      <c r="M3868" t="n">
        <v>0</v>
      </c>
      <c r="N3868" t="n">
        <v>0</v>
      </c>
      <c r="O3868" t="n">
        <v>0</v>
      </c>
      <c r="P3868" t="n">
        <v>0</v>
      </c>
      <c r="Q3868" t="n">
        <v>0</v>
      </c>
      <c r="R3868" s="2" t="inlineStr"/>
    </row>
    <row r="3869" ht="15" customHeight="1">
      <c r="A3869" t="inlineStr">
        <is>
          <t>A 14512-2023</t>
        </is>
      </c>
      <c r="B3869" s="1" t="n">
        <v>45012</v>
      </c>
      <c r="C3869" s="1" t="n">
        <v>45744</v>
      </c>
      <c r="D3869" t="inlineStr">
        <is>
          <t>SKÅNE LÄN</t>
        </is>
      </c>
      <c r="E3869" t="inlineStr">
        <is>
          <t>KLIPPAN</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14516-2023</t>
        </is>
      </c>
      <c r="B3870" s="1" t="n">
        <v>45012</v>
      </c>
      <c r="C3870" s="1" t="n">
        <v>45744</v>
      </c>
      <c r="D3870" t="inlineStr">
        <is>
          <t>SKÅNE LÄN</t>
        </is>
      </c>
      <c r="E3870" t="inlineStr">
        <is>
          <t>ÅSTORP</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14515-2023</t>
        </is>
      </c>
      <c r="B3871" s="1" t="n">
        <v>45012</v>
      </c>
      <c r="C3871" s="1" t="n">
        <v>45744</v>
      </c>
      <c r="D3871" t="inlineStr">
        <is>
          <t>SKÅNE LÄN</t>
        </is>
      </c>
      <c r="E3871" t="inlineStr">
        <is>
          <t>HÖÖR</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14441-2023</t>
        </is>
      </c>
      <c r="B3872" s="1" t="n">
        <v>45012</v>
      </c>
      <c r="C3872" s="1" t="n">
        <v>45744</v>
      </c>
      <c r="D3872" t="inlineStr">
        <is>
          <t>SKÅNE LÄN</t>
        </is>
      </c>
      <c r="E3872" t="inlineStr">
        <is>
          <t>KRISTIANSTAD</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14495-2023</t>
        </is>
      </c>
      <c r="B3873" s="1" t="n">
        <v>45012</v>
      </c>
      <c r="C3873" s="1" t="n">
        <v>45744</v>
      </c>
      <c r="D3873" t="inlineStr">
        <is>
          <t>SKÅNE LÄN</t>
        </is>
      </c>
      <c r="E3873" t="inlineStr">
        <is>
          <t>OSBY</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14513-2023</t>
        </is>
      </c>
      <c r="B3874" s="1" t="n">
        <v>45012</v>
      </c>
      <c r="C3874" s="1" t="n">
        <v>45744</v>
      </c>
      <c r="D3874" t="inlineStr">
        <is>
          <t>SKÅNE LÄN</t>
        </is>
      </c>
      <c r="E3874" t="inlineStr">
        <is>
          <t>KLIPPAN</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14517-2023</t>
        </is>
      </c>
      <c r="B3875" s="1" t="n">
        <v>45012</v>
      </c>
      <c r="C3875" s="1" t="n">
        <v>45744</v>
      </c>
      <c r="D3875" t="inlineStr">
        <is>
          <t>SKÅNE LÄN</t>
        </is>
      </c>
      <c r="E3875" t="inlineStr">
        <is>
          <t>ÅSTORP</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14514-2023</t>
        </is>
      </c>
      <c r="B3876" s="1" t="n">
        <v>45012</v>
      </c>
      <c r="C3876" s="1" t="n">
        <v>45744</v>
      </c>
      <c r="D3876" t="inlineStr">
        <is>
          <t>SKÅNE LÄN</t>
        </is>
      </c>
      <c r="E3876" t="inlineStr">
        <is>
          <t>HÖÖR</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14633-2023</t>
        </is>
      </c>
      <c r="B3877" s="1" t="n">
        <v>45013</v>
      </c>
      <c r="C3877" s="1" t="n">
        <v>45744</v>
      </c>
      <c r="D3877" t="inlineStr">
        <is>
          <t>SKÅNE LÄN</t>
        </is>
      </c>
      <c r="E3877" t="inlineStr">
        <is>
          <t>HÄSSLEHOLM</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14614-2023</t>
        </is>
      </c>
      <c r="B3878" s="1" t="n">
        <v>45013</v>
      </c>
      <c r="C3878" s="1" t="n">
        <v>45744</v>
      </c>
      <c r="D3878" t="inlineStr">
        <is>
          <t>SKÅNE LÄN</t>
        </is>
      </c>
      <c r="E3878" t="inlineStr">
        <is>
          <t>KLIPPAN</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14562-2023</t>
        </is>
      </c>
      <c r="B3879" s="1" t="n">
        <v>45013</v>
      </c>
      <c r="C3879" s="1" t="n">
        <v>45744</v>
      </c>
      <c r="D3879" t="inlineStr">
        <is>
          <t>SKÅNE LÄN</t>
        </is>
      </c>
      <c r="E3879" t="inlineStr">
        <is>
          <t>OSBY</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14612-2023</t>
        </is>
      </c>
      <c r="B3880" s="1" t="n">
        <v>45013</v>
      </c>
      <c r="C3880" s="1" t="n">
        <v>45744</v>
      </c>
      <c r="D3880" t="inlineStr">
        <is>
          <t>SKÅNE LÄN</t>
        </is>
      </c>
      <c r="E3880" t="inlineStr">
        <is>
          <t>HÄSSLEHOLM</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14634-2023</t>
        </is>
      </c>
      <c r="B3881" s="1" t="n">
        <v>45013</v>
      </c>
      <c r="C3881" s="1" t="n">
        <v>45744</v>
      </c>
      <c r="D3881" t="inlineStr">
        <is>
          <t>SKÅNE LÄN</t>
        </is>
      </c>
      <c r="E3881" t="inlineStr">
        <is>
          <t>OSBY</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14666-2023</t>
        </is>
      </c>
      <c r="B3882" s="1" t="n">
        <v>45013</v>
      </c>
      <c r="C3882" s="1" t="n">
        <v>45744</v>
      </c>
      <c r="D3882" t="inlineStr">
        <is>
          <t>SKÅNE LÄN</t>
        </is>
      </c>
      <c r="E3882" t="inlineStr">
        <is>
          <t>HÄSSLEHOLM</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14615-2023</t>
        </is>
      </c>
      <c r="B3883" s="1" t="n">
        <v>45013</v>
      </c>
      <c r="C3883" s="1" t="n">
        <v>45744</v>
      </c>
      <c r="D3883" t="inlineStr">
        <is>
          <t>SKÅNE LÄN</t>
        </is>
      </c>
      <c r="E3883" t="inlineStr">
        <is>
          <t>HÄSSLEHOLM</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14619-2023</t>
        </is>
      </c>
      <c r="B3884" s="1" t="n">
        <v>45013</v>
      </c>
      <c r="C3884" s="1" t="n">
        <v>45744</v>
      </c>
      <c r="D3884" t="inlineStr">
        <is>
          <t>SKÅNE LÄN</t>
        </is>
      </c>
      <c r="E3884" t="inlineStr">
        <is>
          <t>KLIPPAN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14747-2023</t>
        </is>
      </c>
      <c r="B3885" s="1" t="n">
        <v>45014</v>
      </c>
      <c r="C3885" s="1" t="n">
        <v>45744</v>
      </c>
      <c r="D3885" t="inlineStr">
        <is>
          <t>SKÅNE LÄN</t>
        </is>
      </c>
      <c r="E3885" t="inlineStr">
        <is>
          <t>SJÖBO</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14682-2023</t>
        </is>
      </c>
      <c r="B3886" s="1" t="n">
        <v>45014</v>
      </c>
      <c r="C3886" s="1" t="n">
        <v>45744</v>
      </c>
      <c r="D3886" t="inlineStr">
        <is>
          <t>SKÅNE LÄN</t>
        </is>
      </c>
      <c r="E3886" t="inlineStr">
        <is>
          <t>KRISTIANSTAD</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14700-2023</t>
        </is>
      </c>
      <c r="B3887" s="1" t="n">
        <v>45014</v>
      </c>
      <c r="C3887" s="1" t="n">
        <v>45744</v>
      </c>
      <c r="D3887" t="inlineStr">
        <is>
          <t>SKÅNE LÄN</t>
        </is>
      </c>
      <c r="E3887" t="inlineStr">
        <is>
          <t>HÄSSLEHOLM</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14837-2023</t>
        </is>
      </c>
      <c r="B3888" s="1" t="n">
        <v>45014</v>
      </c>
      <c r="C3888" s="1" t="n">
        <v>45744</v>
      </c>
      <c r="D3888" t="inlineStr">
        <is>
          <t>SKÅNE LÄN</t>
        </is>
      </c>
      <c r="E3888" t="inlineStr">
        <is>
          <t>KRISTIANSTAD</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14939-2023</t>
        </is>
      </c>
      <c r="B3889" s="1" t="n">
        <v>45014</v>
      </c>
      <c r="C3889" s="1" t="n">
        <v>45744</v>
      </c>
      <c r="D3889" t="inlineStr">
        <is>
          <t>SKÅNE LÄN</t>
        </is>
      </c>
      <c r="E3889" t="inlineStr">
        <is>
          <t>HÄSSLEHOLM</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15041-2023</t>
        </is>
      </c>
      <c r="B3890" s="1" t="n">
        <v>45015</v>
      </c>
      <c r="C3890" s="1" t="n">
        <v>45744</v>
      </c>
      <c r="D3890" t="inlineStr">
        <is>
          <t>SKÅNE LÄN</t>
        </is>
      </c>
      <c r="E3890" t="inlineStr">
        <is>
          <t>OSBY</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15053-2023</t>
        </is>
      </c>
      <c r="B3891" s="1" t="n">
        <v>45015</v>
      </c>
      <c r="C3891" s="1" t="n">
        <v>45744</v>
      </c>
      <c r="D3891" t="inlineStr">
        <is>
          <t>SKÅNE LÄN</t>
        </is>
      </c>
      <c r="E3891" t="inlineStr">
        <is>
          <t>HÄSSLEHOLM</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15051-2023</t>
        </is>
      </c>
      <c r="B3892" s="1" t="n">
        <v>45015</v>
      </c>
      <c r="C3892" s="1" t="n">
        <v>45744</v>
      </c>
      <c r="D3892" t="inlineStr">
        <is>
          <t>SKÅNE LÄN</t>
        </is>
      </c>
      <c r="E3892" t="inlineStr">
        <is>
          <t>HÖRBY</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15055-2023</t>
        </is>
      </c>
      <c r="B3893" s="1" t="n">
        <v>45015</v>
      </c>
      <c r="C3893" s="1" t="n">
        <v>45744</v>
      </c>
      <c r="D3893" t="inlineStr">
        <is>
          <t>SKÅNE LÄN</t>
        </is>
      </c>
      <c r="E3893" t="inlineStr">
        <is>
          <t>HÄSSLEHOLM</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15059-2023</t>
        </is>
      </c>
      <c r="B3894" s="1" t="n">
        <v>45015</v>
      </c>
      <c r="C3894" s="1" t="n">
        <v>45744</v>
      </c>
      <c r="D3894" t="inlineStr">
        <is>
          <t>SKÅNE LÄN</t>
        </is>
      </c>
      <c r="E3894" t="inlineStr">
        <is>
          <t>OSBY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15111-2023</t>
        </is>
      </c>
      <c r="B3895" s="1" t="n">
        <v>45015</v>
      </c>
      <c r="C3895" s="1" t="n">
        <v>45744</v>
      </c>
      <c r="D3895" t="inlineStr">
        <is>
          <t>SKÅNE LÄN</t>
        </is>
      </c>
      <c r="E3895" t="inlineStr">
        <is>
          <t>KRISTIANSTAD</t>
        </is>
      </c>
      <c r="F3895" t="inlineStr">
        <is>
          <t>Kyrkan</t>
        </is>
      </c>
      <c r="G3895" t="n">
        <v>5.9</v>
      </c>
      <c r="H3895" t="n">
        <v>0</v>
      </c>
      <c r="I3895" t="n">
        <v>0</v>
      </c>
      <c r="J3895" t="n">
        <v>0</v>
      </c>
      <c r="K3895" t="n">
        <v>0</v>
      </c>
      <c r="L3895" t="n">
        <v>0</v>
      </c>
      <c r="M3895" t="n">
        <v>0</v>
      </c>
      <c r="N3895" t="n">
        <v>0</v>
      </c>
      <c r="O3895" t="n">
        <v>0</v>
      </c>
      <c r="P3895" t="n">
        <v>0</v>
      </c>
      <c r="Q3895" t="n">
        <v>0</v>
      </c>
      <c r="R3895" s="2" t="inlineStr"/>
    </row>
    <row r="3896" ht="15" customHeight="1">
      <c r="A3896" t="inlineStr">
        <is>
          <t>A 15152-2023</t>
        </is>
      </c>
      <c r="B3896" s="1" t="n">
        <v>45015</v>
      </c>
      <c r="C3896" s="1" t="n">
        <v>45744</v>
      </c>
      <c r="D3896" t="inlineStr">
        <is>
          <t>SKÅNE LÄN</t>
        </is>
      </c>
      <c r="E3896" t="inlineStr">
        <is>
          <t>OSBY</t>
        </is>
      </c>
      <c r="F3896" t="inlineStr">
        <is>
          <t>Naturvårdsverket</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15057-2023</t>
        </is>
      </c>
      <c r="B3897" s="1" t="n">
        <v>45015</v>
      </c>
      <c r="C3897" s="1" t="n">
        <v>45744</v>
      </c>
      <c r="D3897" t="inlineStr">
        <is>
          <t>SKÅNE LÄN</t>
        </is>
      </c>
      <c r="E3897" t="inlineStr">
        <is>
          <t>ÖSTRA GÖINGE</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15143-2023</t>
        </is>
      </c>
      <c r="B3898" s="1" t="n">
        <v>45015</v>
      </c>
      <c r="C3898" s="1" t="n">
        <v>45744</v>
      </c>
      <c r="D3898" t="inlineStr">
        <is>
          <t>SKÅNE LÄN</t>
        </is>
      </c>
      <c r="E3898" t="inlineStr">
        <is>
          <t>OSBY</t>
        </is>
      </c>
      <c r="F3898" t="inlineStr">
        <is>
          <t>Naturvårdsverket</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15105-2023</t>
        </is>
      </c>
      <c r="B3899" s="1" t="n">
        <v>45015</v>
      </c>
      <c r="C3899" s="1" t="n">
        <v>45744</v>
      </c>
      <c r="D3899" t="inlineStr">
        <is>
          <t>SKÅNE LÄN</t>
        </is>
      </c>
      <c r="E3899" t="inlineStr">
        <is>
          <t>KRISTIANSTAD</t>
        </is>
      </c>
      <c r="F3899" t="inlineStr">
        <is>
          <t>Kyrkan</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15149-2023</t>
        </is>
      </c>
      <c r="B3900" s="1" t="n">
        <v>45015</v>
      </c>
      <c r="C3900" s="1" t="n">
        <v>45744</v>
      </c>
      <c r="D3900" t="inlineStr">
        <is>
          <t>SKÅNE LÄN</t>
        </is>
      </c>
      <c r="E3900" t="inlineStr">
        <is>
          <t>OSBY</t>
        </is>
      </c>
      <c r="F3900" t="inlineStr">
        <is>
          <t>Naturvårdsverket</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15060-2023</t>
        </is>
      </c>
      <c r="B3901" s="1" t="n">
        <v>45015</v>
      </c>
      <c r="C3901" s="1" t="n">
        <v>45744</v>
      </c>
      <c r="D3901" t="inlineStr">
        <is>
          <t>SKÅNE LÄN</t>
        </is>
      </c>
      <c r="E3901" t="inlineStr">
        <is>
          <t>HÄSSLEHOLM</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15104-2023</t>
        </is>
      </c>
      <c r="B3902" s="1" t="n">
        <v>45016</v>
      </c>
      <c r="C3902" s="1" t="n">
        <v>45744</v>
      </c>
      <c r="D3902" t="inlineStr">
        <is>
          <t>SKÅNE LÄN</t>
        </is>
      </c>
      <c r="E3902" t="inlineStr">
        <is>
          <t>HÄSSLEHOLM</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15133-2023</t>
        </is>
      </c>
      <c r="B3903" s="1" t="n">
        <v>45016</v>
      </c>
      <c r="C3903" s="1" t="n">
        <v>45744</v>
      </c>
      <c r="D3903" t="inlineStr">
        <is>
          <t>SKÅNE LÄN</t>
        </is>
      </c>
      <c r="E3903" t="inlineStr">
        <is>
          <t>HÄSSLEHOLM</t>
        </is>
      </c>
      <c r="G3903" t="n">
        <v>7.8</v>
      </c>
      <c r="H3903" t="n">
        <v>0</v>
      </c>
      <c r="I3903" t="n">
        <v>0</v>
      </c>
      <c r="J3903" t="n">
        <v>0</v>
      </c>
      <c r="K3903" t="n">
        <v>0</v>
      </c>
      <c r="L3903" t="n">
        <v>0</v>
      </c>
      <c r="M3903" t="n">
        <v>0</v>
      </c>
      <c r="N3903" t="n">
        <v>0</v>
      </c>
      <c r="O3903" t="n">
        <v>0</v>
      </c>
      <c r="P3903" t="n">
        <v>0</v>
      </c>
      <c r="Q3903" t="n">
        <v>0</v>
      </c>
      <c r="R3903" s="2" t="inlineStr"/>
    </row>
    <row r="3904" ht="15" customHeight="1">
      <c r="A3904" t="inlineStr">
        <is>
          <t>A 15161-2023</t>
        </is>
      </c>
      <c r="B3904" s="1" t="n">
        <v>45016</v>
      </c>
      <c r="C3904" s="1" t="n">
        <v>45744</v>
      </c>
      <c r="D3904" t="inlineStr">
        <is>
          <t>SKÅNE LÄN</t>
        </is>
      </c>
      <c r="E3904" t="inlineStr">
        <is>
          <t>SVALÖV</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15157-2023</t>
        </is>
      </c>
      <c r="B3905" s="1" t="n">
        <v>45016</v>
      </c>
      <c r="C3905" s="1" t="n">
        <v>45744</v>
      </c>
      <c r="D3905" t="inlineStr">
        <is>
          <t>SKÅNE LÄN</t>
        </is>
      </c>
      <c r="E3905" t="inlineStr">
        <is>
          <t>SVALÖV</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15154-2023</t>
        </is>
      </c>
      <c r="B3906" s="1" t="n">
        <v>45016</v>
      </c>
      <c r="C3906" s="1" t="n">
        <v>45744</v>
      </c>
      <c r="D3906" t="inlineStr">
        <is>
          <t>SKÅNE LÄN</t>
        </is>
      </c>
      <c r="E3906" t="inlineStr">
        <is>
          <t>ÄNGELHOLM</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15174-2023</t>
        </is>
      </c>
      <c r="B3907" s="1" t="n">
        <v>45016</v>
      </c>
      <c r="C3907" s="1" t="n">
        <v>45744</v>
      </c>
      <c r="D3907" t="inlineStr">
        <is>
          <t>SKÅNE LÄN</t>
        </is>
      </c>
      <c r="E3907" t="inlineStr">
        <is>
          <t>KRISTIANSTAD</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15227-2023</t>
        </is>
      </c>
      <c r="B3908" s="1" t="n">
        <v>45016</v>
      </c>
      <c r="C3908" s="1" t="n">
        <v>45744</v>
      </c>
      <c r="D3908" t="inlineStr">
        <is>
          <t>SKÅNE LÄN</t>
        </is>
      </c>
      <c r="E3908" t="inlineStr">
        <is>
          <t>KRISTIANSTAD</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15525-2023</t>
        </is>
      </c>
      <c r="B3909" s="1" t="n">
        <v>45016</v>
      </c>
      <c r="C3909" s="1" t="n">
        <v>45744</v>
      </c>
      <c r="D3909" t="inlineStr">
        <is>
          <t>SKÅNE LÄN</t>
        </is>
      </c>
      <c r="E3909" t="inlineStr">
        <is>
          <t>OSBY</t>
        </is>
      </c>
      <c r="F3909" t="inlineStr">
        <is>
          <t>Naturvårdsverket</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15546-2023</t>
        </is>
      </c>
      <c r="B3910" s="1" t="n">
        <v>45018</v>
      </c>
      <c r="C3910" s="1" t="n">
        <v>45744</v>
      </c>
      <c r="D3910" t="inlineStr">
        <is>
          <t>SKÅNE LÄN</t>
        </is>
      </c>
      <c r="E3910" t="inlineStr">
        <is>
          <t>HÄSSLEHOLM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15322-2023</t>
        </is>
      </c>
      <c r="B3911" s="1" t="n">
        <v>45019</v>
      </c>
      <c r="C3911" s="1" t="n">
        <v>45744</v>
      </c>
      <c r="D3911" t="inlineStr">
        <is>
          <t>SKÅNE LÄN</t>
        </is>
      </c>
      <c r="E3911" t="inlineStr">
        <is>
          <t>KRISTIANSTAD</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15354-2023</t>
        </is>
      </c>
      <c r="B3912" s="1" t="n">
        <v>45019</v>
      </c>
      <c r="C3912" s="1" t="n">
        <v>45744</v>
      </c>
      <c r="D3912" t="inlineStr">
        <is>
          <t>SKÅNE LÄN</t>
        </is>
      </c>
      <c r="E3912" t="inlineStr">
        <is>
          <t>PERSTORP</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15359-2023</t>
        </is>
      </c>
      <c r="B3913" s="1" t="n">
        <v>45019</v>
      </c>
      <c r="C3913" s="1" t="n">
        <v>45744</v>
      </c>
      <c r="D3913" t="inlineStr">
        <is>
          <t>SKÅNE LÄN</t>
        </is>
      </c>
      <c r="E3913" t="inlineStr">
        <is>
          <t>OSBY</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15344-2023</t>
        </is>
      </c>
      <c r="B3914" s="1" t="n">
        <v>45019</v>
      </c>
      <c r="C3914" s="1" t="n">
        <v>45744</v>
      </c>
      <c r="D3914" t="inlineStr">
        <is>
          <t>SKÅNE LÄN</t>
        </is>
      </c>
      <c r="E3914" t="inlineStr">
        <is>
          <t>ÖRKELLJUNGA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15357-2023</t>
        </is>
      </c>
      <c r="B3915" s="1" t="n">
        <v>45019</v>
      </c>
      <c r="C3915" s="1" t="n">
        <v>45744</v>
      </c>
      <c r="D3915" t="inlineStr">
        <is>
          <t>SKÅNE LÄN</t>
        </is>
      </c>
      <c r="E3915" t="inlineStr">
        <is>
          <t>ESLÖV</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15474-2023</t>
        </is>
      </c>
      <c r="B3916" s="1" t="n">
        <v>45020</v>
      </c>
      <c r="C3916" s="1" t="n">
        <v>45744</v>
      </c>
      <c r="D3916" t="inlineStr">
        <is>
          <t>SKÅNE LÄN</t>
        </is>
      </c>
      <c r="E3916" t="inlineStr">
        <is>
          <t>ÅSTORP</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15508-2023</t>
        </is>
      </c>
      <c r="B3917" s="1" t="n">
        <v>45020</v>
      </c>
      <c r="C3917" s="1" t="n">
        <v>45744</v>
      </c>
      <c r="D3917" t="inlineStr">
        <is>
          <t>SKÅNE LÄN</t>
        </is>
      </c>
      <c r="E3917" t="inlineStr">
        <is>
          <t>HÄSSLEHOLM</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15514-2023</t>
        </is>
      </c>
      <c r="B3918" s="1" t="n">
        <v>45020</v>
      </c>
      <c r="C3918" s="1" t="n">
        <v>45744</v>
      </c>
      <c r="D3918" t="inlineStr">
        <is>
          <t>SKÅNE LÄN</t>
        </is>
      </c>
      <c r="E3918" t="inlineStr">
        <is>
          <t>TOMELILLA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15444-2023</t>
        </is>
      </c>
      <c r="B3919" s="1" t="n">
        <v>45020</v>
      </c>
      <c r="C3919" s="1" t="n">
        <v>45744</v>
      </c>
      <c r="D3919" t="inlineStr">
        <is>
          <t>SKÅNE LÄN</t>
        </is>
      </c>
      <c r="E3919" t="inlineStr">
        <is>
          <t>OSBY</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15492-2023</t>
        </is>
      </c>
      <c r="B3920" s="1" t="n">
        <v>45020</v>
      </c>
      <c r="C3920" s="1" t="n">
        <v>45744</v>
      </c>
      <c r="D3920" t="inlineStr">
        <is>
          <t>SKÅNE LÄN</t>
        </is>
      </c>
      <c r="E3920" t="inlineStr">
        <is>
          <t>KRISTIANSTAD</t>
        </is>
      </c>
      <c r="F3920" t="inlineStr">
        <is>
          <t>Sveaskog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15507-2023</t>
        </is>
      </c>
      <c r="B3921" s="1" t="n">
        <v>45020</v>
      </c>
      <c r="C3921" s="1" t="n">
        <v>45744</v>
      </c>
      <c r="D3921" t="inlineStr">
        <is>
          <t>SKÅNE LÄN</t>
        </is>
      </c>
      <c r="E3921" t="inlineStr">
        <is>
          <t>KRISTIANSTAD</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15603-2023</t>
        </is>
      </c>
      <c r="B3922" s="1" t="n">
        <v>45020</v>
      </c>
      <c r="C3922" s="1" t="n">
        <v>45744</v>
      </c>
      <c r="D3922" t="inlineStr">
        <is>
          <t>SKÅNE LÄN</t>
        </is>
      </c>
      <c r="E3922" t="inlineStr">
        <is>
          <t>HÄSSLEHOLM</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15688-2023</t>
        </is>
      </c>
      <c r="B3923" s="1" t="n">
        <v>45021</v>
      </c>
      <c r="C3923" s="1" t="n">
        <v>45744</v>
      </c>
      <c r="D3923" t="inlineStr">
        <is>
          <t>SKÅNE LÄN</t>
        </is>
      </c>
      <c r="E3923" t="inlineStr">
        <is>
          <t>ÖSTRA GÖINGE</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15698-2023</t>
        </is>
      </c>
      <c r="B3924" s="1" t="n">
        <v>45021</v>
      </c>
      <c r="C3924" s="1" t="n">
        <v>45744</v>
      </c>
      <c r="D3924" t="inlineStr">
        <is>
          <t>SKÅNE LÄN</t>
        </is>
      </c>
      <c r="E3924" t="inlineStr">
        <is>
          <t>HÄSSLEHOLM</t>
        </is>
      </c>
      <c r="F3924" t="inlineStr">
        <is>
          <t>Kommuner</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15701-2023</t>
        </is>
      </c>
      <c r="B3925" s="1" t="n">
        <v>45021</v>
      </c>
      <c r="C3925" s="1" t="n">
        <v>45744</v>
      </c>
      <c r="D3925" t="inlineStr">
        <is>
          <t>SKÅNE LÄN</t>
        </is>
      </c>
      <c r="E3925" t="inlineStr">
        <is>
          <t>HÄSSLEHOLM</t>
        </is>
      </c>
      <c r="F3925" t="inlineStr">
        <is>
          <t>Kommuner</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15957-2023</t>
        </is>
      </c>
      <c r="B3926" s="1" t="n">
        <v>45022</v>
      </c>
      <c r="C3926" s="1" t="n">
        <v>45744</v>
      </c>
      <c r="D3926" t="inlineStr">
        <is>
          <t>SKÅNE LÄN</t>
        </is>
      </c>
      <c r="E3926" t="inlineStr">
        <is>
          <t>KRISTIANSTAD</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16287-2023</t>
        </is>
      </c>
      <c r="B3927" s="1" t="n">
        <v>45022</v>
      </c>
      <c r="C3927" s="1" t="n">
        <v>45744</v>
      </c>
      <c r="D3927" t="inlineStr">
        <is>
          <t>SKÅNE LÄN</t>
        </is>
      </c>
      <c r="E3927" t="inlineStr">
        <is>
          <t>ÖSTRA GÖINGE</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16419-2023</t>
        </is>
      </c>
      <c r="B3928" s="1" t="n">
        <v>45022</v>
      </c>
      <c r="C3928" s="1" t="n">
        <v>45744</v>
      </c>
      <c r="D3928" t="inlineStr">
        <is>
          <t>SKÅNE LÄN</t>
        </is>
      </c>
      <c r="E3928" t="inlineStr">
        <is>
          <t>ÄNGELHOLM</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16261-2023</t>
        </is>
      </c>
      <c r="B3929" s="1" t="n">
        <v>45022</v>
      </c>
      <c r="C3929" s="1" t="n">
        <v>45744</v>
      </c>
      <c r="D3929" t="inlineStr">
        <is>
          <t>SKÅNE LÄN</t>
        </is>
      </c>
      <c r="E3929" t="inlineStr">
        <is>
          <t>ÖSTRA GÖINGE</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15990-2023</t>
        </is>
      </c>
      <c r="B3930" s="1" t="n">
        <v>45023</v>
      </c>
      <c r="C3930" s="1" t="n">
        <v>45744</v>
      </c>
      <c r="D3930" t="inlineStr">
        <is>
          <t>SKÅNE LÄN</t>
        </is>
      </c>
      <c r="E3930" t="inlineStr">
        <is>
          <t>HÄSSLEHOLM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15997-2023</t>
        </is>
      </c>
      <c r="B3931" s="1" t="n">
        <v>45024</v>
      </c>
      <c r="C3931" s="1" t="n">
        <v>45744</v>
      </c>
      <c r="D3931" t="inlineStr">
        <is>
          <t>SKÅNE LÄN</t>
        </is>
      </c>
      <c r="E3931" t="inlineStr">
        <is>
          <t>ÖSTRA GÖINGE</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16017-2023</t>
        </is>
      </c>
      <c r="B3932" s="1" t="n">
        <v>45026</v>
      </c>
      <c r="C3932" s="1" t="n">
        <v>45744</v>
      </c>
      <c r="D3932" t="inlineStr">
        <is>
          <t>SKÅNE LÄN</t>
        </is>
      </c>
      <c r="E3932" t="inlineStr">
        <is>
          <t>HÄSSLEHOLM</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16056-2023</t>
        </is>
      </c>
      <c r="B3933" s="1" t="n">
        <v>45027</v>
      </c>
      <c r="C3933" s="1" t="n">
        <v>45744</v>
      </c>
      <c r="D3933" t="inlineStr">
        <is>
          <t>SKÅNE LÄN</t>
        </is>
      </c>
      <c r="E3933" t="inlineStr">
        <is>
          <t>KLIPPAN</t>
        </is>
      </c>
      <c r="F3933" t="inlineStr">
        <is>
          <t>Sveaskog</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16084-2023</t>
        </is>
      </c>
      <c r="B3934" s="1" t="n">
        <v>45027</v>
      </c>
      <c r="C3934" s="1" t="n">
        <v>45744</v>
      </c>
      <c r="D3934" t="inlineStr">
        <is>
          <t>SKÅNE LÄN</t>
        </is>
      </c>
      <c r="E3934" t="inlineStr">
        <is>
          <t>OSBY</t>
        </is>
      </c>
      <c r="F3934" t="inlineStr">
        <is>
          <t>Kommuner</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16131-2023</t>
        </is>
      </c>
      <c r="B3935" s="1" t="n">
        <v>45027</v>
      </c>
      <c r="C3935" s="1" t="n">
        <v>45744</v>
      </c>
      <c r="D3935" t="inlineStr">
        <is>
          <t>SKÅNE LÄN</t>
        </is>
      </c>
      <c r="E3935" t="inlineStr">
        <is>
          <t>KRISTIANSTAD</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16304-2023</t>
        </is>
      </c>
      <c r="B3936" s="1" t="n">
        <v>45028</v>
      </c>
      <c r="C3936" s="1" t="n">
        <v>45744</v>
      </c>
      <c r="D3936" t="inlineStr">
        <is>
          <t>SKÅNE LÄN</t>
        </is>
      </c>
      <c r="E3936" t="inlineStr">
        <is>
          <t>KRISTIANSTAD</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16395-2023</t>
        </is>
      </c>
      <c r="B3937" s="1" t="n">
        <v>45029</v>
      </c>
      <c r="C3937" s="1" t="n">
        <v>45744</v>
      </c>
      <c r="D3937" t="inlineStr">
        <is>
          <t>SKÅNE LÄN</t>
        </is>
      </c>
      <c r="E3937" t="inlineStr">
        <is>
          <t>PERSTORP</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16429-2023</t>
        </is>
      </c>
      <c r="B3938" s="1" t="n">
        <v>45029</v>
      </c>
      <c r="C3938" s="1" t="n">
        <v>45744</v>
      </c>
      <c r="D3938" t="inlineStr">
        <is>
          <t>SKÅNE LÄN</t>
        </is>
      </c>
      <c r="E3938" t="inlineStr">
        <is>
          <t>SJÖBO</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16438-2023</t>
        </is>
      </c>
      <c r="B3939" s="1" t="n">
        <v>45029</v>
      </c>
      <c r="C3939" s="1" t="n">
        <v>45744</v>
      </c>
      <c r="D3939" t="inlineStr">
        <is>
          <t>SKÅNE LÄN</t>
        </is>
      </c>
      <c r="E3939" t="inlineStr">
        <is>
          <t>ÖSTRA GÖINGE</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16441-2023</t>
        </is>
      </c>
      <c r="B3940" s="1" t="n">
        <v>45029</v>
      </c>
      <c r="C3940" s="1" t="n">
        <v>45744</v>
      </c>
      <c r="D3940" t="inlineStr">
        <is>
          <t>SKÅNE LÄN</t>
        </is>
      </c>
      <c r="E3940" t="inlineStr">
        <is>
          <t>ÖSTRA GÖINGE</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16454-2023</t>
        </is>
      </c>
      <c r="B3941" s="1" t="n">
        <v>45029</v>
      </c>
      <c r="C3941" s="1" t="n">
        <v>45744</v>
      </c>
      <c r="D3941" t="inlineStr">
        <is>
          <t>SKÅNE LÄN</t>
        </is>
      </c>
      <c r="E3941" t="inlineStr">
        <is>
          <t>HÄSSLEHOLM</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16670-2023</t>
        </is>
      </c>
      <c r="B3942" s="1" t="n">
        <v>45030</v>
      </c>
      <c r="C3942" s="1" t="n">
        <v>45744</v>
      </c>
      <c r="D3942" t="inlineStr">
        <is>
          <t>SKÅNE LÄN</t>
        </is>
      </c>
      <c r="E3942" t="inlineStr">
        <is>
          <t>ÖSTRA GÖINGE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16690-2023</t>
        </is>
      </c>
      <c r="B3943" s="1" t="n">
        <v>45030</v>
      </c>
      <c r="C3943" s="1" t="n">
        <v>45744</v>
      </c>
      <c r="D3943" t="inlineStr">
        <is>
          <t>SKÅNE LÄN</t>
        </is>
      </c>
      <c r="E3943" t="inlineStr">
        <is>
          <t>SVEDALA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16668-2023</t>
        </is>
      </c>
      <c r="B3944" s="1" t="n">
        <v>45030</v>
      </c>
      <c r="C3944" s="1" t="n">
        <v>45744</v>
      </c>
      <c r="D3944" t="inlineStr">
        <is>
          <t>SKÅNE LÄN</t>
        </is>
      </c>
      <c r="E3944" t="inlineStr">
        <is>
          <t>ÖSTRA GÖINGE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16733-2023</t>
        </is>
      </c>
      <c r="B3945" s="1" t="n">
        <v>45030</v>
      </c>
      <c r="C3945" s="1" t="n">
        <v>45744</v>
      </c>
      <c r="D3945" t="inlineStr">
        <is>
          <t>SKÅNE LÄN</t>
        </is>
      </c>
      <c r="E3945" t="inlineStr">
        <is>
          <t>ESLÖV</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16667-2023</t>
        </is>
      </c>
      <c r="B3946" s="1" t="n">
        <v>45030</v>
      </c>
      <c r="C3946" s="1" t="n">
        <v>45744</v>
      </c>
      <c r="D3946" t="inlineStr">
        <is>
          <t>SKÅNE LÄN</t>
        </is>
      </c>
      <c r="E3946" t="inlineStr">
        <is>
          <t>SVALÖV</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16678-2023</t>
        </is>
      </c>
      <c r="B3947" s="1" t="n">
        <v>45030</v>
      </c>
      <c r="C3947" s="1" t="n">
        <v>45744</v>
      </c>
      <c r="D3947" t="inlineStr">
        <is>
          <t>SKÅNE LÄN</t>
        </is>
      </c>
      <c r="E3947" t="inlineStr">
        <is>
          <t>SVEDALA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16891-2023</t>
        </is>
      </c>
      <c r="B3948" s="1" t="n">
        <v>45033</v>
      </c>
      <c r="C3948" s="1" t="n">
        <v>45744</v>
      </c>
      <c r="D3948" t="inlineStr">
        <is>
          <t>SKÅNE LÄN</t>
        </is>
      </c>
      <c r="E3948" t="inlineStr">
        <is>
          <t>HÄSSLEHOLM</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16838-2023</t>
        </is>
      </c>
      <c r="B3949" s="1" t="n">
        <v>45033</v>
      </c>
      <c r="C3949" s="1" t="n">
        <v>45744</v>
      </c>
      <c r="D3949" t="inlineStr">
        <is>
          <t>SKÅNE LÄN</t>
        </is>
      </c>
      <c r="E3949" t="inlineStr">
        <is>
          <t>OSBY</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17253-2023</t>
        </is>
      </c>
      <c r="B3950" s="1" t="n">
        <v>45033</v>
      </c>
      <c r="C3950" s="1" t="n">
        <v>45744</v>
      </c>
      <c r="D3950" t="inlineStr">
        <is>
          <t>SKÅNE LÄN</t>
        </is>
      </c>
      <c r="E3950" t="inlineStr">
        <is>
          <t>BROMÖLLA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17073-2023</t>
        </is>
      </c>
      <c r="B3951" s="1" t="n">
        <v>45034</v>
      </c>
      <c r="C3951" s="1" t="n">
        <v>45744</v>
      </c>
      <c r="D3951" t="inlineStr">
        <is>
          <t>SKÅNE LÄN</t>
        </is>
      </c>
      <c r="E3951" t="inlineStr">
        <is>
          <t>HÖRBY</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17176-2023</t>
        </is>
      </c>
      <c r="B3952" s="1" t="n">
        <v>45034</v>
      </c>
      <c r="C3952" s="1" t="n">
        <v>45744</v>
      </c>
      <c r="D3952" t="inlineStr">
        <is>
          <t>SKÅNE LÄN</t>
        </is>
      </c>
      <c r="E3952" t="inlineStr">
        <is>
          <t>HÄSSLEHOLM</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17458-2023</t>
        </is>
      </c>
      <c r="B3953" s="1" t="n">
        <v>45034</v>
      </c>
      <c r="C3953" s="1" t="n">
        <v>45744</v>
      </c>
      <c r="D3953" t="inlineStr">
        <is>
          <t>SKÅNE LÄN</t>
        </is>
      </c>
      <c r="E3953" t="inlineStr">
        <is>
          <t>ÖRKELLJUNGA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17400-2023</t>
        </is>
      </c>
      <c r="B3954" s="1" t="n">
        <v>45035</v>
      </c>
      <c r="C3954" s="1" t="n">
        <v>45744</v>
      </c>
      <c r="D3954" t="inlineStr">
        <is>
          <t>SKÅNE LÄN</t>
        </is>
      </c>
      <c r="E3954" t="inlineStr">
        <is>
          <t>KRISTIANSTAD</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17292-2023</t>
        </is>
      </c>
      <c r="B3955" s="1" t="n">
        <v>45035</v>
      </c>
      <c r="C3955" s="1" t="n">
        <v>45744</v>
      </c>
      <c r="D3955" t="inlineStr">
        <is>
          <t>SKÅNE LÄN</t>
        </is>
      </c>
      <c r="E3955" t="inlineStr">
        <is>
          <t>OSBY</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17673-2023</t>
        </is>
      </c>
      <c r="B3956" s="1" t="n">
        <v>45035</v>
      </c>
      <c r="C3956" s="1" t="n">
        <v>45744</v>
      </c>
      <c r="D3956" t="inlineStr">
        <is>
          <t>SKÅNE LÄN</t>
        </is>
      </c>
      <c r="E3956" t="inlineStr">
        <is>
          <t>OSBY</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17649-2023</t>
        </is>
      </c>
      <c r="B3957" s="1" t="n">
        <v>45035</v>
      </c>
      <c r="C3957" s="1" t="n">
        <v>45744</v>
      </c>
      <c r="D3957" t="inlineStr">
        <is>
          <t>SKÅNE LÄN</t>
        </is>
      </c>
      <c r="E3957" t="inlineStr">
        <is>
          <t>OSBY</t>
        </is>
      </c>
      <c r="G3957" t="n">
        <v>11.3</v>
      </c>
      <c r="H3957" t="n">
        <v>0</v>
      </c>
      <c r="I3957" t="n">
        <v>0</v>
      </c>
      <c r="J3957" t="n">
        <v>0</v>
      </c>
      <c r="K3957" t="n">
        <v>0</v>
      </c>
      <c r="L3957" t="n">
        <v>0</v>
      </c>
      <c r="M3957" t="n">
        <v>0</v>
      </c>
      <c r="N3957" t="n">
        <v>0</v>
      </c>
      <c r="O3957" t="n">
        <v>0</v>
      </c>
      <c r="P3957" t="n">
        <v>0</v>
      </c>
      <c r="Q3957" t="n">
        <v>0</v>
      </c>
      <c r="R3957" s="2" t="inlineStr"/>
    </row>
    <row r="3958" ht="15" customHeight="1">
      <c r="A3958" t="inlineStr">
        <is>
          <t>A 17641-2023</t>
        </is>
      </c>
      <c r="B3958" s="1" t="n">
        <v>45035</v>
      </c>
      <c r="C3958" s="1" t="n">
        <v>45744</v>
      </c>
      <c r="D3958" t="inlineStr">
        <is>
          <t>SKÅNE LÄN</t>
        </is>
      </c>
      <c r="E3958" t="inlineStr">
        <is>
          <t>ÖRKELLJUNGA</t>
        </is>
      </c>
      <c r="G3958" t="n">
        <v>7.3</v>
      </c>
      <c r="H3958" t="n">
        <v>0</v>
      </c>
      <c r="I3958" t="n">
        <v>0</v>
      </c>
      <c r="J3958" t="n">
        <v>0</v>
      </c>
      <c r="K3958" t="n">
        <v>0</v>
      </c>
      <c r="L3958" t="n">
        <v>0</v>
      </c>
      <c r="M3958" t="n">
        <v>0</v>
      </c>
      <c r="N3958" t="n">
        <v>0</v>
      </c>
      <c r="O3958" t="n">
        <v>0</v>
      </c>
      <c r="P3958" t="n">
        <v>0</v>
      </c>
      <c r="Q3958" t="n">
        <v>0</v>
      </c>
      <c r="R3958" s="2" t="inlineStr"/>
    </row>
    <row r="3959" ht="15" customHeight="1">
      <c r="A3959" t="inlineStr">
        <is>
          <t>A 17675-2023</t>
        </is>
      </c>
      <c r="B3959" s="1" t="n">
        <v>45035</v>
      </c>
      <c r="C3959" s="1" t="n">
        <v>45744</v>
      </c>
      <c r="D3959" t="inlineStr">
        <is>
          <t>SKÅNE LÄN</t>
        </is>
      </c>
      <c r="E3959" t="inlineStr">
        <is>
          <t>OSBY</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17535-2023</t>
        </is>
      </c>
      <c r="B3960" s="1" t="n">
        <v>45036</v>
      </c>
      <c r="C3960" s="1" t="n">
        <v>45744</v>
      </c>
      <c r="D3960" t="inlineStr">
        <is>
          <t>SKÅNE LÄN</t>
        </is>
      </c>
      <c r="E3960" t="inlineStr">
        <is>
          <t>HÄSSLEHOLM</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17612-2023</t>
        </is>
      </c>
      <c r="B3961" s="1" t="n">
        <v>45036</v>
      </c>
      <c r="C3961" s="1" t="n">
        <v>45744</v>
      </c>
      <c r="D3961" t="inlineStr">
        <is>
          <t>SKÅNE LÄN</t>
        </is>
      </c>
      <c r="E3961" t="inlineStr">
        <is>
          <t>OSBY</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17587-2023</t>
        </is>
      </c>
      <c r="B3962" s="1" t="n">
        <v>45036</v>
      </c>
      <c r="C3962" s="1" t="n">
        <v>45744</v>
      </c>
      <c r="D3962" t="inlineStr">
        <is>
          <t>SKÅNE LÄN</t>
        </is>
      </c>
      <c r="E3962" t="inlineStr">
        <is>
          <t>OSBY</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17616-2023</t>
        </is>
      </c>
      <c r="B3963" s="1" t="n">
        <v>45036</v>
      </c>
      <c r="C3963" s="1" t="n">
        <v>45744</v>
      </c>
      <c r="D3963" t="inlineStr">
        <is>
          <t>SKÅNE LÄN</t>
        </is>
      </c>
      <c r="E3963" t="inlineStr">
        <is>
          <t>OSBY</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17519-2023</t>
        </is>
      </c>
      <c r="B3964" s="1" t="n">
        <v>45036</v>
      </c>
      <c r="C3964" s="1" t="n">
        <v>45744</v>
      </c>
      <c r="D3964" t="inlineStr">
        <is>
          <t>SKÅNE LÄN</t>
        </is>
      </c>
      <c r="E3964" t="inlineStr">
        <is>
          <t>LUND</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17719-2023</t>
        </is>
      </c>
      <c r="B3965" s="1" t="n">
        <v>45037</v>
      </c>
      <c r="C3965" s="1" t="n">
        <v>45744</v>
      </c>
      <c r="D3965" t="inlineStr">
        <is>
          <t>SKÅNE LÄN</t>
        </is>
      </c>
      <c r="E3965" t="inlineStr">
        <is>
          <t>OSBY</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17723-2023</t>
        </is>
      </c>
      <c r="B3966" s="1" t="n">
        <v>45037</v>
      </c>
      <c r="C3966" s="1" t="n">
        <v>45744</v>
      </c>
      <c r="D3966" t="inlineStr">
        <is>
          <t>SKÅNE LÄN</t>
        </is>
      </c>
      <c r="E3966" t="inlineStr">
        <is>
          <t>HÖÖR</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17737-2023</t>
        </is>
      </c>
      <c r="B3967" s="1" t="n">
        <v>45037</v>
      </c>
      <c r="C3967" s="1" t="n">
        <v>45744</v>
      </c>
      <c r="D3967" t="inlineStr">
        <is>
          <t>SKÅNE LÄN</t>
        </is>
      </c>
      <c r="E3967" t="inlineStr">
        <is>
          <t>ÖRKELLJUNGA</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17715-2023</t>
        </is>
      </c>
      <c r="B3968" s="1" t="n">
        <v>45037</v>
      </c>
      <c r="C3968" s="1" t="n">
        <v>45744</v>
      </c>
      <c r="D3968" t="inlineStr">
        <is>
          <t>SKÅNE LÄN</t>
        </is>
      </c>
      <c r="E3968" t="inlineStr">
        <is>
          <t>OSBY</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17824-2023</t>
        </is>
      </c>
      <c r="B3969" s="1" t="n">
        <v>45037</v>
      </c>
      <c r="C3969" s="1" t="n">
        <v>45744</v>
      </c>
      <c r="D3969" t="inlineStr">
        <is>
          <t>SKÅNE LÄN</t>
        </is>
      </c>
      <c r="E3969" t="inlineStr">
        <is>
          <t>OSBY</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17826-2023</t>
        </is>
      </c>
      <c r="B3970" s="1" t="n">
        <v>45037</v>
      </c>
      <c r="C3970" s="1" t="n">
        <v>45744</v>
      </c>
      <c r="D3970" t="inlineStr">
        <is>
          <t>SKÅNE LÄN</t>
        </is>
      </c>
      <c r="E3970" t="inlineStr">
        <is>
          <t>OSBY</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18044-2023</t>
        </is>
      </c>
      <c r="B3971" s="1" t="n">
        <v>45040</v>
      </c>
      <c r="C3971" s="1" t="n">
        <v>45744</v>
      </c>
      <c r="D3971" t="inlineStr">
        <is>
          <t>SKÅNE LÄN</t>
        </is>
      </c>
      <c r="E3971" t="inlineStr">
        <is>
          <t>HÖÖR</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18063-2023</t>
        </is>
      </c>
      <c r="B3972" s="1" t="n">
        <v>45040</v>
      </c>
      <c r="C3972" s="1" t="n">
        <v>45744</v>
      </c>
      <c r="D3972" t="inlineStr">
        <is>
          <t>SKÅNE LÄN</t>
        </is>
      </c>
      <c r="E3972" t="inlineStr">
        <is>
          <t>HÄSSLEHOLM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18080-2023</t>
        </is>
      </c>
      <c r="B3973" s="1" t="n">
        <v>45040</v>
      </c>
      <c r="C3973" s="1" t="n">
        <v>45744</v>
      </c>
      <c r="D3973" t="inlineStr">
        <is>
          <t>SKÅNE LÄN</t>
        </is>
      </c>
      <c r="E3973" t="inlineStr">
        <is>
          <t>OSBY</t>
        </is>
      </c>
      <c r="G3973" t="n">
        <v>8.199999999999999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18086-2023</t>
        </is>
      </c>
      <c r="B3974" s="1" t="n">
        <v>45040</v>
      </c>
      <c r="C3974" s="1" t="n">
        <v>45744</v>
      </c>
      <c r="D3974" t="inlineStr">
        <is>
          <t>SKÅNE LÄN</t>
        </is>
      </c>
      <c r="E3974" t="inlineStr">
        <is>
          <t>HÄSSLEHOLM</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18041-2023</t>
        </is>
      </c>
      <c r="B3975" s="1" t="n">
        <v>45040</v>
      </c>
      <c r="C3975" s="1" t="n">
        <v>45744</v>
      </c>
      <c r="D3975" t="inlineStr">
        <is>
          <t>SKÅNE LÄN</t>
        </is>
      </c>
      <c r="E3975" t="inlineStr">
        <is>
          <t>HÄSSLEHOLM</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18240-2023</t>
        </is>
      </c>
      <c r="B3976" s="1" t="n">
        <v>45040</v>
      </c>
      <c r="C3976" s="1" t="n">
        <v>45744</v>
      </c>
      <c r="D3976" t="inlineStr">
        <is>
          <t>SKÅNE LÄN</t>
        </is>
      </c>
      <c r="E3976" t="inlineStr">
        <is>
          <t>ESLÖV</t>
        </is>
      </c>
      <c r="F3976" t="inlineStr">
        <is>
          <t>Övriga Aktiebolag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18214-2023</t>
        </is>
      </c>
      <c r="B3977" s="1" t="n">
        <v>45040</v>
      </c>
      <c r="C3977" s="1" t="n">
        <v>45744</v>
      </c>
      <c r="D3977" t="inlineStr">
        <is>
          <t>SKÅNE LÄN</t>
        </is>
      </c>
      <c r="E3977" t="inlineStr">
        <is>
          <t>KLIPPAN</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18227-2023</t>
        </is>
      </c>
      <c r="B3978" s="1" t="n">
        <v>45041</v>
      </c>
      <c r="C3978" s="1" t="n">
        <v>45744</v>
      </c>
      <c r="D3978" t="inlineStr">
        <is>
          <t>SKÅNE LÄN</t>
        </is>
      </c>
      <c r="E3978" t="inlineStr">
        <is>
          <t>SJÖBO</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18231-2023</t>
        </is>
      </c>
      <c r="B3979" s="1" t="n">
        <v>45041</v>
      </c>
      <c r="C3979" s="1" t="n">
        <v>45744</v>
      </c>
      <c r="D3979" t="inlineStr">
        <is>
          <t>SKÅNE LÄN</t>
        </is>
      </c>
      <c r="E3979" t="inlineStr">
        <is>
          <t>ESLÖV</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18246-2023</t>
        </is>
      </c>
      <c r="B3980" s="1" t="n">
        <v>45041</v>
      </c>
      <c r="C3980" s="1" t="n">
        <v>45744</v>
      </c>
      <c r="D3980" t="inlineStr">
        <is>
          <t>SKÅNE LÄN</t>
        </is>
      </c>
      <c r="E3980" t="inlineStr">
        <is>
          <t>HÖÖR</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18335-2023</t>
        </is>
      </c>
      <c r="B3981" s="1" t="n">
        <v>45041</v>
      </c>
      <c r="C3981" s="1" t="n">
        <v>45744</v>
      </c>
      <c r="D3981" t="inlineStr">
        <is>
          <t>SKÅNE LÄN</t>
        </is>
      </c>
      <c r="E3981" t="inlineStr">
        <is>
          <t>HÄSSLEHOLM</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18524-2023</t>
        </is>
      </c>
      <c r="B3982" s="1" t="n">
        <v>45042</v>
      </c>
      <c r="C3982" s="1" t="n">
        <v>45744</v>
      </c>
      <c r="D3982" t="inlineStr">
        <is>
          <t>SKÅNE LÄN</t>
        </is>
      </c>
      <c r="E3982" t="inlineStr">
        <is>
          <t>KRISTIANSTAD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18522-2023</t>
        </is>
      </c>
      <c r="B3983" s="1" t="n">
        <v>45042</v>
      </c>
      <c r="C3983" s="1" t="n">
        <v>45744</v>
      </c>
      <c r="D3983" t="inlineStr">
        <is>
          <t>SKÅNE LÄN</t>
        </is>
      </c>
      <c r="E3983" t="inlineStr">
        <is>
          <t>KRISTIANSTAD</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18434-2023</t>
        </is>
      </c>
      <c r="B3984" s="1" t="n">
        <v>45042</v>
      </c>
      <c r="C3984" s="1" t="n">
        <v>45744</v>
      </c>
      <c r="D3984" t="inlineStr">
        <is>
          <t>SKÅNE LÄN</t>
        </is>
      </c>
      <c r="E3984" t="inlineStr">
        <is>
          <t>BÅSTAD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18629-2023</t>
        </is>
      </c>
      <c r="B3985" s="1" t="n">
        <v>45043</v>
      </c>
      <c r="C3985" s="1" t="n">
        <v>45744</v>
      </c>
      <c r="D3985" t="inlineStr">
        <is>
          <t>SKÅNE LÄN</t>
        </is>
      </c>
      <c r="E3985" t="inlineStr">
        <is>
          <t>ÖSTRA GÖINGE</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18623-2023</t>
        </is>
      </c>
      <c r="B3986" s="1" t="n">
        <v>45043</v>
      </c>
      <c r="C3986" s="1" t="n">
        <v>45744</v>
      </c>
      <c r="D3986" t="inlineStr">
        <is>
          <t>SKÅNE LÄN</t>
        </is>
      </c>
      <c r="E3986" t="inlineStr">
        <is>
          <t>HÄSSLEHOLM</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18682-2023</t>
        </is>
      </c>
      <c r="B3987" s="1" t="n">
        <v>45043</v>
      </c>
      <c r="C3987" s="1" t="n">
        <v>45744</v>
      </c>
      <c r="D3987" t="inlineStr">
        <is>
          <t>SKÅNE LÄN</t>
        </is>
      </c>
      <c r="E3987" t="inlineStr">
        <is>
          <t>SIMRISHAMN</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18735-2023</t>
        </is>
      </c>
      <c r="B3988" s="1" t="n">
        <v>45043</v>
      </c>
      <c r="C3988" s="1" t="n">
        <v>45744</v>
      </c>
      <c r="D3988" t="inlineStr">
        <is>
          <t>SKÅNE LÄN</t>
        </is>
      </c>
      <c r="E3988" t="inlineStr">
        <is>
          <t>HÖRBY</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18577-2023</t>
        </is>
      </c>
      <c r="B3989" s="1" t="n">
        <v>45043</v>
      </c>
      <c r="C3989" s="1" t="n">
        <v>45744</v>
      </c>
      <c r="D3989" t="inlineStr">
        <is>
          <t>SKÅNE LÄN</t>
        </is>
      </c>
      <c r="E3989" t="inlineStr">
        <is>
          <t>HÄSSLEHOLM</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18752-2023</t>
        </is>
      </c>
      <c r="B3990" s="1" t="n">
        <v>45043</v>
      </c>
      <c r="C3990" s="1" t="n">
        <v>45744</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18580-2023</t>
        </is>
      </c>
      <c r="B3991" s="1" t="n">
        <v>45043</v>
      </c>
      <c r="C3991" s="1" t="n">
        <v>45744</v>
      </c>
      <c r="D3991" t="inlineStr">
        <is>
          <t>SKÅNE LÄN</t>
        </is>
      </c>
      <c r="E3991" t="inlineStr">
        <is>
          <t>HÄSSLEHOLM</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18908-2023</t>
        </is>
      </c>
      <c r="B3992" s="1" t="n">
        <v>45044</v>
      </c>
      <c r="C3992" s="1" t="n">
        <v>45744</v>
      </c>
      <c r="D3992" t="inlineStr">
        <is>
          <t>SKÅNE LÄN</t>
        </is>
      </c>
      <c r="E3992" t="inlineStr">
        <is>
          <t>HÄSSLEHOLM</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18800-2023</t>
        </is>
      </c>
      <c r="B3993" s="1" t="n">
        <v>45044</v>
      </c>
      <c r="C3993" s="1" t="n">
        <v>45744</v>
      </c>
      <c r="D3993" t="inlineStr">
        <is>
          <t>SKÅNE LÄN</t>
        </is>
      </c>
      <c r="E3993" t="inlineStr">
        <is>
          <t>HÄSSLEHOLM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18973-2023</t>
        </is>
      </c>
      <c r="B3994" s="1" t="n">
        <v>45044</v>
      </c>
      <c r="C3994" s="1" t="n">
        <v>45744</v>
      </c>
      <c r="D3994" t="inlineStr">
        <is>
          <t>SKÅNE LÄN</t>
        </is>
      </c>
      <c r="E3994" t="inlineStr">
        <is>
          <t>SJÖBO</t>
        </is>
      </c>
      <c r="G3994" t="n">
        <v>9.4</v>
      </c>
      <c r="H3994" t="n">
        <v>0</v>
      </c>
      <c r="I3994" t="n">
        <v>0</v>
      </c>
      <c r="J3994" t="n">
        <v>0</v>
      </c>
      <c r="K3994" t="n">
        <v>0</v>
      </c>
      <c r="L3994" t="n">
        <v>0</v>
      </c>
      <c r="M3994" t="n">
        <v>0</v>
      </c>
      <c r="N3994" t="n">
        <v>0</v>
      </c>
      <c r="O3994" t="n">
        <v>0</v>
      </c>
      <c r="P3994" t="n">
        <v>0</v>
      </c>
      <c r="Q3994" t="n">
        <v>0</v>
      </c>
      <c r="R3994" s="2" t="inlineStr"/>
    </row>
    <row r="3995" ht="15" customHeight="1">
      <c r="A3995" t="inlineStr">
        <is>
          <t>A 19151-2023</t>
        </is>
      </c>
      <c r="B3995" s="1" t="n">
        <v>45044</v>
      </c>
      <c r="C3995" s="1" t="n">
        <v>45744</v>
      </c>
      <c r="D3995" t="inlineStr">
        <is>
          <t>SKÅNE LÄN</t>
        </is>
      </c>
      <c r="E3995" t="inlineStr">
        <is>
          <t>HÄSSLEHOLM</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18938-2023</t>
        </is>
      </c>
      <c r="B3996" s="1" t="n">
        <v>45044</v>
      </c>
      <c r="C3996" s="1" t="n">
        <v>45744</v>
      </c>
      <c r="D3996" t="inlineStr">
        <is>
          <t>SKÅNE LÄN</t>
        </is>
      </c>
      <c r="E3996" t="inlineStr">
        <is>
          <t>HÄSSLEHOLM</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19091-2023</t>
        </is>
      </c>
      <c r="B3997" s="1" t="n">
        <v>45048</v>
      </c>
      <c r="C3997" s="1" t="n">
        <v>45744</v>
      </c>
      <c r="D3997" t="inlineStr">
        <is>
          <t>SKÅNE LÄN</t>
        </is>
      </c>
      <c r="E3997" t="inlineStr">
        <is>
          <t>ÄNGELHOLM</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19140-2023</t>
        </is>
      </c>
      <c r="B3998" s="1" t="n">
        <v>45048</v>
      </c>
      <c r="C3998" s="1" t="n">
        <v>45744</v>
      </c>
      <c r="D3998" t="inlineStr">
        <is>
          <t>SKÅNE LÄN</t>
        </is>
      </c>
      <c r="E3998" t="inlineStr">
        <is>
          <t>ÄNGELHOLM</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19190-2023</t>
        </is>
      </c>
      <c r="B3999" s="1" t="n">
        <v>45048</v>
      </c>
      <c r="C3999" s="1" t="n">
        <v>45744</v>
      </c>
      <c r="D3999" t="inlineStr">
        <is>
          <t>SKÅNE LÄN</t>
        </is>
      </c>
      <c r="E3999" t="inlineStr">
        <is>
          <t>SVEDALA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19141-2023</t>
        </is>
      </c>
      <c r="B4000" s="1" t="n">
        <v>45048</v>
      </c>
      <c r="C4000" s="1" t="n">
        <v>45744</v>
      </c>
      <c r="D4000" t="inlineStr">
        <is>
          <t>SKÅNE LÄN</t>
        </is>
      </c>
      <c r="E4000" t="inlineStr">
        <is>
          <t>HÄSSLEHOLM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19390-2023</t>
        </is>
      </c>
      <c r="B4001" s="1" t="n">
        <v>45048</v>
      </c>
      <c r="C4001" s="1" t="n">
        <v>45744</v>
      </c>
      <c r="D4001" t="inlineStr">
        <is>
          <t>SKÅNE LÄN</t>
        </is>
      </c>
      <c r="E4001" t="inlineStr">
        <is>
          <t>ÖRKELLJUNGA</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19258-2023</t>
        </is>
      </c>
      <c r="B4002" s="1" t="n">
        <v>45049</v>
      </c>
      <c r="C4002" s="1" t="n">
        <v>45744</v>
      </c>
      <c r="D4002" t="inlineStr">
        <is>
          <t>SKÅNE LÄN</t>
        </is>
      </c>
      <c r="E4002" t="inlineStr">
        <is>
          <t>ÖRKELLJUNGA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19367-2023</t>
        </is>
      </c>
      <c r="B4003" s="1" t="n">
        <v>45049</v>
      </c>
      <c r="C4003" s="1" t="n">
        <v>45744</v>
      </c>
      <c r="D4003" t="inlineStr">
        <is>
          <t>SKÅNE LÄN</t>
        </is>
      </c>
      <c r="E4003" t="inlineStr">
        <is>
          <t>HÄSSLEHOLM</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19532-2023</t>
        </is>
      </c>
      <c r="B4004" s="1" t="n">
        <v>45049</v>
      </c>
      <c r="C4004" s="1" t="n">
        <v>45744</v>
      </c>
      <c r="D4004" t="inlineStr">
        <is>
          <t>SKÅNE LÄN</t>
        </is>
      </c>
      <c r="E4004" t="inlineStr">
        <is>
          <t>KRISTIANSTAD</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19257-2023</t>
        </is>
      </c>
      <c r="B4005" s="1" t="n">
        <v>45049</v>
      </c>
      <c r="C4005" s="1" t="n">
        <v>45744</v>
      </c>
      <c r="D4005" t="inlineStr">
        <is>
          <t>SKÅNE LÄN</t>
        </is>
      </c>
      <c r="E4005" t="inlineStr">
        <is>
          <t>KRISTIANSTAD</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19302-2023</t>
        </is>
      </c>
      <c r="B4006" s="1" t="n">
        <v>45049</v>
      </c>
      <c r="C4006" s="1" t="n">
        <v>45744</v>
      </c>
      <c r="D4006" t="inlineStr">
        <is>
          <t>SKÅNE LÄN</t>
        </is>
      </c>
      <c r="E4006" t="inlineStr">
        <is>
          <t>HÖÖR</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19510-2023</t>
        </is>
      </c>
      <c r="B4007" s="1" t="n">
        <v>45050</v>
      </c>
      <c r="C4007" s="1" t="n">
        <v>45744</v>
      </c>
      <c r="D4007" t="inlineStr">
        <is>
          <t>SKÅNE LÄN</t>
        </is>
      </c>
      <c r="E4007" t="inlineStr">
        <is>
          <t>HÖÖR</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19526-2023</t>
        </is>
      </c>
      <c r="B4008" s="1" t="n">
        <v>45050</v>
      </c>
      <c r="C4008" s="1" t="n">
        <v>45744</v>
      </c>
      <c r="D4008" t="inlineStr">
        <is>
          <t>SKÅNE LÄN</t>
        </is>
      </c>
      <c r="E4008" t="inlineStr">
        <is>
          <t>KRISTIANSTAD</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19593-2023</t>
        </is>
      </c>
      <c r="B4009" s="1" t="n">
        <v>45050</v>
      </c>
      <c r="C4009" s="1" t="n">
        <v>45744</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19633-2023</t>
        </is>
      </c>
      <c r="B4010" s="1" t="n">
        <v>45051</v>
      </c>
      <c r="C4010" s="1" t="n">
        <v>45744</v>
      </c>
      <c r="D4010" t="inlineStr">
        <is>
          <t>SKÅNE LÄN</t>
        </is>
      </c>
      <c r="E4010" t="inlineStr">
        <is>
          <t>HÖÖR</t>
        </is>
      </c>
      <c r="F4010" t="inlineStr">
        <is>
          <t>Sveaskog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19739-2023</t>
        </is>
      </c>
      <c r="B4011" s="1" t="n">
        <v>45051</v>
      </c>
      <c r="C4011" s="1" t="n">
        <v>45744</v>
      </c>
      <c r="D4011" t="inlineStr">
        <is>
          <t>SKÅNE LÄN</t>
        </is>
      </c>
      <c r="E4011" t="inlineStr">
        <is>
          <t>HÄSSLEHOLM</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19634-2023</t>
        </is>
      </c>
      <c r="B4012" s="1" t="n">
        <v>45051</v>
      </c>
      <c r="C4012" s="1" t="n">
        <v>45744</v>
      </c>
      <c r="D4012" t="inlineStr">
        <is>
          <t>SKÅNE LÄN</t>
        </is>
      </c>
      <c r="E4012" t="inlineStr">
        <is>
          <t>HÖÖR</t>
        </is>
      </c>
      <c r="F4012" t="inlineStr">
        <is>
          <t>Sveaskog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19735-2023</t>
        </is>
      </c>
      <c r="B4013" s="1" t="n">
        <v>45051</v>
      </c>
      <c r="C4013" s="1" t="n">
        <v>45744</v>
      </c>
      <c r="D4013" t="inlineStr">
        <is>
          <t>SKÅNE LÄN</t>
        </is>
      </c>
      <c r="E4013" t="inlineStr">
        <is>
          <t>HÄSSLEHOLM</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19796-2023</t>
        </is>
      </c>
      <c r="B4014" s="1" t="n">
        <v>45051</v>
      </c>
      <c r="C4014" s="1" t="n">
        <v>45744</v>
      </c>
      <c r="D4014" t="inlineStr">
        <is>
          <t>SKÅNE LÄN</t>
        </is>
      </c>
      <c r="E4014" t="inlineStr">
        <is>
          <t>HÄSSLEHOLM</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19744-2023</t>
        </is>
      </c>
      <c r="B4015" s="1" t="n">
        <v>45051</v>
      </c>
      <c r="C4015" s="1" t="n">
        <v>45744</v>
      </c>
      <c r="D4015" t="inlineStr">
        <is>
          <t>SKÅNE LÄN</t>
        </is>
      </c>
      <c r="E4015" t="inlineStr">
        <is>
          <t>HÄSSLEHOLM</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19709-2023</t>
        </is>
      </c>
      <c r="B4016" s="1" t="n">
        <v>45051</v>
      </c>
      <c r="C4016" s="1" t="n">
        <v>45744</v>
      </c>
      <c r="D4016" t="inlineStr">
        <is>
          <t>SKÅNE LÄN</t>
        </is>
      </c>
      <c r="E4016" t="inlineStr">
        <is>
          <t>SJÖBO</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19717-2023</t>
        </is>
      </c>
      <c r="B4017" s="1" t="n">
        <v>45051</v>
      </c>
      <c r="C4017" s="1" t="n">
        <v>45744</v>
      </c>
      <c r="D4017" t="inlineStr">
        <is>
          <t>SKÅNE LÄN</t>
        </is>
      </c>
      <c r="E4017" t="inlineStr">
        <is>
          <t>SJÖBO</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19777-2023</t>
        </is>
      </c>
      <c r="B4018" s="1" t="n">
        <v>45051</v>
      </c>
      <c r="C4018" s="1" t="n">
        <v>45744</v>
      </c>
      <c r="D4018" t="inlineStr">
        <is>
          <t>SKÅNE LÄN</t>
        </is>
      </c>
      <c r="E4018" t="inlineStr">
        <is>
          <t>HÖRBY</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19978-2023</t>
        </is>
      </c>
      <c r="B4019" s="1" t="n">
        <v>45054</v>
      </c>
      <c r="C4019" s="1" t="n">
        <v>45744</v>
      </c>
      <c r="D4019" t="inlineStr">
        <is>
          <t>SKÅNE LÄN</t>
        </is>
      </c>
      <c r="E4019" t="inlineStr">
        <is>
          <t>HÄSSLEHOLM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20058-2023</t>
        </is>
      </c>
      <c r="B4020" s="1" t="n">
        <v>45054</v>
      </c>
      <c r="C4020" s="1" t="n">
        <v>45744</v>
      </c>
      <c r="D4020" t="inlineStr">
        <is>
          <t>SKÅNE LÄN</t>
        </is>
      </c>
      <c r="E4020" t="inlineStr">
        <is>
          <t>HÄSSLEHOLM</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19880-2023</t>
        </is>
      </c>
      <c r="B4021" s="1" t="n">
        <v>45054</v>
      </c>
      <c r="C4021" s="1" t="n">
        <v>45744</v>
      </c>
      <c r="D4021" t="inlineStr">
        <is>
          <t>SKÅNE LÄN</t>
        </is>
      </c>
      <c r="E4021" t="inlineStr">
        <is>
          <t>KRISTIANSTAD</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20185-2023</t>
        </is>
      </c>
      <c r="B4022" s="1" t="n">
        <v>45055</v>
      </c>
      <c r="C4022" s="1" t="n">
        <v>45744</v>
      </c>
      <c r="D4022" t="inlineStr">
        <is>
          <t>SKÅNE LÄN</t>
        </is>
      </c>
      <c r="E4022" t="inlineStr">
        <is>
          <t>HÄSSLEHOLM</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20128-2023</t>
        </is>
      </c>
      <c r="B4023" s="1" t="n">
        <v>45055</v>
      </c>
      <c r="C4023" s="1" t="n">
        <v>45744</v>
      </c>
      <c r="D4023" t="inlineStr">
        <is>
          <t>SKÅNE LÄN</t>
        </is>
      </c>
      <c r="E4023" t="inlineStr">
        <is>
          <t>KLIPPAN</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20203-2023</t>
        </is>
      </c>
      <c r="B4024" s="1" t="n">
        <v>45055</v>
      </c>
      <c r="C4024" s="1" t="n">
        <v>45744</v>
      </c>
      <c r="D4024" t="inlineStr">
        <is>
          <t>SKÅNE LÄN</t>
        </is>
      </c>
      <c r="E4024" t="inlineStr">
        <is>
          <t>HÄSSLEHOLM</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20187-2023</t>
        </is>
      </c>
      <c r="B4025" s="1" t="n">
        <v>45055</v>
      </c>
      <c r="C4025" s="1" t="n">
        <v>45744</v>
      </c>
      <c r="D4025" t="inlineStr">
        <is>
          <t>SKÅNE LÄN</t>
        </is>
      </c>
      <c r="E4025" t="inlineStr">
        <is>
          <t>HÄSSLEHOLM</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20717-2023</t>
        </is>
      </c>
      <c r="B4026" s="1" t="n">
        <v>45055</v>
      </c>
      <c r="C4026" s="1" t="n">
        <v>45744</v>
      </c>
      <c r="D4026" t="inlineStr">
        <is>
          <t>SKÅNE LÄN</t>
        </is>
      </c>
      <c r="E4026" t="inlineStr">
        <is>
          <t>KLIPPAN</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20813-2023</t>
        </is>
      </c>
      <c r="B4027" s="1" t="n">
        <v>45055</v>
      </c>
      <c r="C4027" s="1" t="n">
        <v>45744</v>
      </c>
      <c r="D4027" t="inlineStr">
        <is>
          <t>SKÅNE LÄN</t>
        </is>
      </c>
      <c r="E4027" t="inlineStr">
        <is>
          <t>OSBY</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20591-2023</t>
        </is>
      </c>
      <c r="B4028" s="1" t="n">
        <v>45055</v>
      </c>
      <c r="C4028" s="1" t="n">
        <v>45744</v>
      </c>
      <c r="D4028" t="inlineStr">
        <is>
          <t>SKÅNE LÄN</t>
        </is>
      </c>
      <c r="E4028" t="inlineStr">
        <is>
          <t>KLIPPAN</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20730-2023</t>
        </is>
      </c>
      <c r="B4029" s="1" t="n">
        <v>45055</v>
      </c>
      <c r="C4029" s="1" t="n">
        <v>45744</v>
      </c>
      <c r="D4029" t="inlineStr">
        <is>
          <t>SKÅNE LÄN</t>
        </is>
      </c>
      <c r="E4029" t="inlineStr">
        <is>
          <t>KLIPPAN</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20426-2023</t>
        </is>
      </c>
      <c r="B4030" s="1" t="n">
        <v>45056</v>
      </c>
      <c r="C4030" s="1" t="n">
        <v>45744</v>
      </c>
      <c r="D4030" t="inlineStr">
        <is>
          <t>SKÅNE LÄN</t>
        </is>
      </c>
      <c r="E4030" t="inlineStr">
        <is>
          <t>BROMÖLLA</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20394-2023</t>
        </is>
      </c>
      <c r="B4031" s="1" t="n">
        <v>45056</v>
      </c>
      <c r="C4031" s="1" t="n">
        <v>45744</v>
      </c>
      <c r="D4031" t="inlineStr">
        <is>
          <t>SKÅNE LÄN</t>
        </is>
      </c>
      <c r="E4031" t="inlineStr">
        <is>
          <t>OSBY</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20846-2023</t>
        </is>
      </c>
      <c r="B4032" s="1" t="n">
        <v>45056</v>
      </c>
      <c r="C4032" s="1" t="n">
        <v>45744</v>
      </c>
      <c r="D4032" t="inlineStr">
        <is>
          <t>SKÅNE LÄN</t>
        </is>
      </c>
      <c r="E4032" t="inlineStr">
        <is>
          <t>HÄSSLEHOLM</t>
        </is>
      </c>
      <c r="F4032" t="inlineStr">
        <is>
          <t>Övriga Aktiebolag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20282-2023</t>
        </is>
      </c>
      <c r="B4033" s="1" t="n">
        <v>45056</v>
      </c>
      <c r="C4033" s="1" t="n">
        <v>45744</v>
      </c>
      <c r="D4033" t="inlineStr">
        <is>
          <t>SKÅNE LÄN</t>
        </is>
      </c>
      <c r="E4033" t="inlineStr">
        <is>
          <t>KLIPPAN</t>
        </is>
      </c>
      <c r="F4033" t="inlineStr">
        <is>
          <t>Sveaskog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20521-2023</t>
        </is>
      </c>
      <c r="B4034" s="1" t="n">
        <v>45056</v>
      </c>
      <c r="C4034" s="1" t="n">
        <v>45744</v>
      </c>
      <c r="D4034" t="inlineStr">
        <is>
          <t>SKÅNE LÄN</t>
        </is>
      </c>
      <c r="E4034" t="inlineStr">
        <is>
          <t>ÖSTRA GÖINGE</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20512-2023</t>
        </is>
      </c>
      <c r="B4035" s="1" t="n">
        <v>45057</v>
      </c>
      <c r="C4035" s="1" t="n">
        <v>45744</v>
      </c>
      <c r="D4035" t="inlineStr">
        <is>
          <t>SKÅNE LÄN</t>
        </is>
      </c>
      <c r="E4035" t="inlineStr">
        <is>
          <t>HÖÖR</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20566-2023</t>
        </is>
      </c>
      <c r="B4036" s="1" t="n">
        <v>45057</v>
      </c>
      <c r="C4036" s="1" t="n">
        <v>45744</v>
      </c>
      <c r="D4036" t="inlineStr">
        <is>
          <t>SKÅNE LÄN</t>
        </is>
      </c>
      <c r="E4036" t="inlineStr">
        <is>
          <t>HÄSSLEHOLM</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20564-2023</t>
        </is>
      </c>
      <c r="B4037" s="1" t="n">
        <v>45057</v>
      </c>
      <c r="C4037" s="1" t="n">
        <v>45744</v>
      </c>
      <c r="D4037" t="inlineStr">
        <is>
          <t>SKÅNE LÄN</t>
        </is>
      </c>
      <c r="E4037" t="inlineStr">
        <is>
          <t>HÄSSLEHOLM</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20579-2023</t>
        </is>
      </c>
      <c r="B4038" s="1" t="n">
        <v>45057</v>
      </c>
      <c r="C4038" s="1" t="n">
        <v>45744</v>
      </c>
      <c r="D4038" t="inlineStr">
        <is>
          <t>SKÅNE LÄN</t>
        </is>
      </c>
      <c r="E4038" t="inlineStr">
        <is>
          <t>BÅSTAD</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20800-2023</t>
        </is>
      </c>
      <c r="B4039" s="1" t="n">
        <v>45058</v>
      </c>
      <c r="C4039" s="1" t="n">
        <v>45744</v>
      </c>
      <c r="D4039" t="inlineStr">
        <is>
          <t>SKÅNE LÄN</t>
        </is>
      </c>
      <c r="E4039" t="inlineStr">
        <is>
          <t>HÄSSLEHOLM</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20666-2023</t>
        </is>
      </c>
      <c r="B4040" s="1" t="n">
        <v>45058</v>
      </c>
      <c r="C4040" s="1" t="n">
        <v>45744</v>
      </c>
      <c r="D4040" t="inlineStr">
        <is>
          <t>SKÅNE LÄN</t>
        </is>
      </c>
      <c r="E4040" t="inlineStr">
        <is>
          <t>HÄSSLEHOLM</t>
        </is>
      </c>
      <c r="F4040" t="inlineStr">
        <is>
          <t>Kyrkan</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20758-2023</t>
        </is>
      </c>
      <c r="B4041" s="1" t="n">
        <v>45058</v>
      </c>
      <c r="C4041" s="1" t="n">
        <v>45744</v>
      </c>
      <c r="D4041" t="inlineStr">
        <is>
          <t>SKÅNE LÄN</t>
        </is>
      </c>
      <c r="E4041" t="inlineStr">
        <is>
          <t>ÖRKELLJUNGA</t>
        </is>
      </c>
      <c r="G4041" t="n">
        <v>8.6</v>
      </c>
      <c r="H4041" t="n">
        <v>0</v>
      </c>
      <c r="I4041" t="n">
        <v>0</v>
      </c>
      <c r="J4041" t="n">
        <v>0</v>
      </c>
      <c r="K4041" t="n">
        <v>0</v>
      </c>
      <c r="L4041" t="n">
        <v>0</v>
      </c>
      <c r="M4041" t="n">
        <v>0</v>
      </c>
      <c r="N4041" t="n">
        <v>0</v>
      </c>
      <c r="O4041" t="n">
        <v>0</v>
      </c>
      <c r="P4041" t="n">
        <v>0</v>
      </c>
      <c r="Q4041" t="n">
        <v>0</v>
      </c>
      <c r="R4041" s="2" t="inlineStr"/>
    </row>
    <row r="4042" ht="15" customHeight="1">
      <c r="A4042" t="inlineStr">
        <is>
          <t>A 20797-2023</t>
        </is>
      </c>
      <c r="B4042" s="1" t="n">
        <v>45058</v>
      </c>
      <c r="C4042" s="1" t="n">
        <v>45744</v>
      </c>
      <c r="D4042" t="inlineStr">
        <is>
          <t>SKÅNE LÄN</t>
        </is>
      </c>
      <c r="E4042" t="inlineStr">
        <is>
          <t>HÄSSLEHOLM</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20892-2023</t>
        </is>
      </c>
      <c r="B4043" s="1" t="n">
        <v>45059</v>
      </c>
      <c r="C4043" s="1" t="n">
        <v>45744</v>
      </c>
      <c r="D4043" t="inlineStr">
        <is>
          <t>SKÅNE LÄN</t>
        </is>
      </c>
      <c r="E4043" t="inlineStr">
        <is>
          <t>KLIPPAN</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20950-2023</t>
        </is>
      </c>
      <c r="B4044" s="1" t="n">
        <v>45061</v>
      </c>
      <c r="C4044" s="1" t="n">
        <v>45744</v>
      </c>
      <c r="D4044" t="inlineStr">
        <is>
          <t>SKÅNE LÄN</t>
        </is>
      </c>
      <c r="E4044" t="inlineStr">
        <is>
          <t>SIMRISHAMN</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21066-2023</t>
        </is>
      </c>
      <c r="B4045" s="1" t="n">
        <v>45061</v>
      </c>
      <c r="C4045" s="1" t="n">
        <v>45744</v>
      </c>
      <c r="D4045" t="inlineStr">
        <is>
          <t>SKÅNE LÄN</t>
        </is>
      </c>
      <c r="E4045" t="inlineStr">
        <is>
          <t>HÖÖR</t>
        </is>
      </c>
      <c r="F4045" t="inlineStr">
        <is>
          <t>Sveaskog</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20990-2023</t>
        </is>
      </c>
      <c r="B4046" s="1" t="n">
        <v>45061</v>
      </c>
      <c r="C4046" s="1" t="n">
        <v>45744</v>
      </c>
      <c r="D4046" t="inlineStr">
        <is>
          <t>SKÅNE LÄN</t>
        </is>
      </c>
      <c r="E4046" t="inlineStr">
        <is>
          <t>HÄSSLEHOLM</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21063-2023</t>
        </is>
      </c>
      <c r="B4047" s="1" t="n">
        <v>45061</v>
      </c>
      <c r="C4047" s="1" t="n">
        <v>45744</v>
      </c>
      <c r="D4047" t="inlineStr">
        <is>
          <t>SKÅNE LÄN</t>
        </is>
      </c>
      <c r="E4047" t="inlineStr">
        <is>
          <t>HÖÖR</t>
        </is>
      </c>
      <c r="F4047" t="inlineStr">
        <is>
          <t>Sveaskog</t>
        </is>
      </c>
      <c r="G4047" t="n">
        <v>17.9</v>
      </c>
      <c r="H4047" t="n">
        <v>0</v>
      </c>
      <c r="I4047" t="n">
        <v>0</v>
      </c>
      <c r="J4047" t="n">
        <v>0</v>
      </c>
      <c r="K4047" t="n">
        <v>0</v>
      </c>
      <c r="L4047" t="n">
        <v>0</v>
      </c>
      <c r="M4047" t="n">
        <v>0</v>
      </c>
      <c r="N4047" t="n">
        <v>0</v>
      </c>
      <c r="O4047" t="n">
        <v>0</v>
      </c>
      <c r="P4047" t="n">
        <v>0</v>
      </c>
      <c r="Q4047" t="n">
        <v>0</v>
      </c>
      <c r="R4047" s="2" t="inlineStr"/>
    </row>
    <row r="4048" ht="15" customHeight="1">
      <c r="A4048" t="inlineStr">
        <is>
          <t>A 21069-2023</t>
        </is>
      </c>
      <c r="B4048" s="1" t="n">
        <v>45061</v>
      </c>
      <c r="C4048" s="1" t="n">
        <v>45744</v>
      </c>
      <c r="D4048" t="inlineStr">
        <is>
          <t>SKÅNE LÄN</t>
        </is>
      </c>
      <c r="E4048" t="inlineStr">
        <is>
          <t>ÄNGELHOLM</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21024-2023</t>
        </is>
      </c>
      <c r="B4049" s="1" t="n">
        <v>45061</v>
      </c>
      <c r="C4049" s="1" t="n">
        <v>45744</v>
      </c>
      <c r="D4049" t="inlineStr">
        <is>
          <t>SKÅNE LÄN</t>
        </is>
      </c>
      <c r="E4049" t="inlineStr">
        <is>
          <t>SJÖBO</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21065-2023</t>
        </is>
      </c>
      <c r="B4050" s="1" t="n">
        <v>45061</v>
      </c>
      <c r="C4050" s="1" t="n">
        <v>45744</v>
      </c>
      <c r="D4050" t="inlineStr">
        <is>
          <t>SKÅNE LÄN</t>
        </is>
      </c>
      <c r="E4050" t="inlineStr">
        <is>
          <t>ÖRKELLJUNGA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21488-2023</t>
        </is>
      </c>
      <c r="B4051" s="1" t="n">
        <v>45061</v>
      </c>
      <c r="C4051" s="1" t="n">
        <v>45744</v>
      </c>
      <c r="D4051" t="inlineStr">
        <is>
          <t>SKÅNE LÄN</t>
        </is>
      </c>
      <c r="E4051" t="inlineStr">
        <is>
          <t>ÄNGELHOLM</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21208-2023</t>
        </is>
      </c>
      <c r="B4052" s="1" t="n">
        <v>45062</v>
      </c>
      <c r="C4052" s="1" t="n">
        <v>45744</v>
      </c>
      <c r="D4052" t="inlineStr">
        <is>
          <t>SKÅNE LÄN</t>
        </is>
      </c>
      <c r="E4052" t="inlineStr">
        <is>
          <t>PERSTORP</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21328-2023</t>
        </is>
      </c>
      <c r="B4053" s="1" t="n">
        <v>45062</v>
      </c>
      <c r="C4053" s="1" t="n">
        <v>45744</v>
      </c>
      <c r="D4053" t="inlineStr">
        <is>
          <t>SKÅNE LÄN</t>
        </is>
      </c>
      <c r="E4053" t="inlineStr">
        <is>
          <t>HÄSSLEHOLM</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21222-2023</t>
        </is>
      </c>
      <c r="B4054" s="1" t="n">
        <v>45062</v>
      </c>
      <c r="C4054" s="1" t="n">
        <v>45744</v>
      </c>
      <c r="D4054" t="inlineStr">
        <is>
          <t>SKÅNE LÄN</t>
        </is>
      </c>
      <c r="E4054" t="inlineStr">
        <is>
          <t>OSBY</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21325-2023</t>
        </is>
      </c>
      <c r="B4055" s="1" t="n">
        <v>45062</v>
      </c>
      <c r="C4055" s="1" t="n">
        <v>45744</v>
      </c>
      <c r="D4055" t="inlineStr">
        <is>
          <t>SKÅNE LÄN</t>
        </is>
      </c>
      <c r="E4055" t="inlineStr">
        <is>
          <t>HÄSSLEHOLM</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21329-2023</t>
        </is>
      </c>
      <c r="B4056" s="1" t="n">
        <v>45062</v>
      </c>
      <c r="C4056" s="1" t="n">
        <v>45744</v>
      </c>
      <c r="D4056" t="inlineStr">
        <is>
          <t>SKÅNE LÄN</t>
        </is>
      </c>
      <c r="E4056" t="inlineStr">
        <is>
          <t>HÄSSLEHOLM</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21367-2023</t>
        </is>
      </c>
      <c r="B4057" s="1" t="n">
        <v>45063</v>
      </c>
      <c r="C4057" s="1" t="n">
        <v>45744</v>
      </c>
      <c r="D4057" t="inlineStr">
        <is>
          <t>SKÅNE LÄN</t>
        </is>
      </c>
      <c r="E4057" t="inlineStr">
        <is>
          <t>ÄNGELHOLM</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21524-2023</t>
        </is>
      </c>
      <c r="B4058" s="1" t="n">
        <v>45063</v>
      </c>
      <c r="C4058" s="1" t="n">
        <v>45744</v>
      </c>
      <c r="D4058" t="inlineStr">
        <is>
          <t>SKÅNE LÄN</t>
        </is>
      </c>
      <c r="E4058" t="inlineStr">
        <is>
          <t>OSBY</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21362-2023</t>
        </is>
      </c>
      <c r="B4059" s="1" t="n">
        <v>45063</v>
      </c>
      <c r="C4059" s="1" t="n">
        <v>45744</v>
      </c>
      <c r="D4059" t="inlineStr">
        <is>
          <t>SKÅNE LÄN</t>
        </is>
      </c>
      <c r="E4059" t="inlineStr">
        <is>
          <t>YSTAD</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21495-2023</t>
        </is>
      </c>
      <c r="B4060" s="1" t="n">
        <v>45063</v>
      </c>
      <c r="C4060" s="1" t="n">
        <v>45744</v>
      </c>
      <c r="D4060" t="inlineStr">
        <is>
          <t>SKÅNE LÄN</t>
        </is>
      </c>
      <c r="E4060" t="inlineStr">
        <is>
          <t>HÄSSLEHOLM</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21542-2023</t>
        </is>
      </c>
      <c r="B4061" s="1" t="n">
        <v>45063</v>
      </c>
      <c r="C4061" s="1" t="n">
        <v>45744</v>
      </c>
      <c r="D4061" t="inlineStr">
        <is>
          <t>SKÅNE LÄN</t>
        </is>
      </c>
      <c r="E4061" t="inlineStr">
        <is>
          <t>HÄSSLEHOLM</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21494-2023</t>
        </is>
      </c>
      <c r="B4062" s="1" t="n">
        <v>45063</v>
      </c>
      <c r="C4062" s="1" t="n">
        <v>45744</v>
      </c>
      <c r="D4062" t="inlineStr">
        <is>
          <t>SKÅNE LÄN</t>
        </is>
      </c>
      <c r="E4062" t="inlineStr">
        <is>
          <t>HÄSSLEHOLM</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21578-2023</t>
        </is>
      </c>
      <c r="B4063" s="1" t="n">
        <v>45063</v>
      </c>
      <c r="C4063" s="1" t="n">
        <v>45744</v>
      </c>
      <c r="D4063" t="inlineStr">
        <is>
          <t>SKÅNE LÄN</t>
        </is>
      </c>
      <c r="E4063" t="inlineStr">
        <is>
          <t>ÖRKELLJUNGA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21572-2023</t>
        </is>
      </c>
      <c r="B4064" s="1" t="n">
        <v>45063</v>
      </c>
      <c r="C4064" s="1" t="n">
        <v>45744</v>
      </c>
      <c r="D4064" t="inlineStr">
        <is>
          <t>SKÅNE LÄN</t>
        </is>
      </c>
      <c r="E4064" t="inlineStr">
        <is>
          <t>BÅSTAD</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21656-2023</t>
        </is>
      </c>
      <c r="B4065" s="1" t="n">
        <v>45063</v>
      </c>
      <c r="C4065" s="1" t="n">
        <v>45744</v>
      </c>
      <c r="D4065" t="inlineStr">
        <is>
          <t>SKÅNE LÄN</t>
        </is>
      </c>
      <c r="E4065" t="inlineStr">
        <is>
          <t>OSBY</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21867-2023</t>
        </is>
      </c>
      <c r="B4066" s="1" t="n">
        <v>45063</v>
      </c>
      <c r="C4066" s="1" t="n">
        <v>45744</v>
      </c>
      <c r="D4066" t="inlineStr">
        <is>
          <t>SKÅNE LÄN</t>
        </is>
      </c>
      <c r="E4066" t="inlineStr">
        <is>
          <t>HÄSSLEHOLM</t>
        </is>
      </c>
      <c r="G4066" t="n">
        <v>7.6</v>
      </c>
      <c r="H4066" t="n">
        <v>0</v>
      </c>
      <c r="I4066" t="n">
        <v>0</v>
      </c>
      <c r="J4066" t="n">
        <v>0</v>
      </c>
      <c r="K4066" t="n">
        <v>0</v>
      </c>
      <c r="L4066" t="n">
        <v>0</v>
      </c>
      <c r="M4066" t="n">
        <v>0</v>
      </c>
      <c r="N4066" t="n">
        <v>0</v>
      </c>
      <c r="O4066" t="n">
        <v>0</v>
      </c>
      <c r="P4066" t="n">
        <v>0</v>
      </c>
      <c r="Q4066" t="n">
        <v>0</v>
      </c>
      <c r="R4066" s="2" t="inlineStr"/>
    </row>
    <row r="4067" ht="15" customHeight="1">
      <c r="A4067" t="inlineStr">
        <is>
          <t>A 21739-2023</t>
        </is>
      </c>
      <c r="B4067" s="1" t="n">
        <v>45065</v>
      </c>
      <c r="C4067" s="1" t="n">
        <v>45744</v>
      </c>
      <c r="D4067" t="inlineStr">
        <is>
          <t>SKÅNE LÄN</t>
        </is>
      </c>
      <c r="E4067" t="inlineStr">
        <is>
          <t>KLIPPAN</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21767-2023</t>
        </is>
      </c>
      <c r="B4068" s="1" t="n">
        <v>45065</v>
      </c>
      <c r="C4068" s="1" t="n">
        <v>45744</v>
      </c>
      <c r="D4068" t="inlineStr">
        <is>
          <t>SKÅNE LÄN</t>
        </is>
      </c>
      <c r="E4068" t="inlineStr">
        <is>
          <t>LUND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22140-2023</t>
        </is>
      </c>
      <c r="B4069" s="1" t="n">
        <v>45065</v>
      </c>
      <c r="C4069" s="1" t="n">
        <v>45744</v>
      </c>
      <c r="D4069" t="inlineStr">
        <is>
          <t>SKÅNE LÄN</t>
        </is>
      </c>
      <c r="E4069" t="inlineStr">
        <is>
          <t>HÄSSLEHOLM</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21879-2023</t>
        </is>
      </c>
      <c r="B4070" s="1" t="n">
        <v>45068</v>
      </c>
      <c r="C4070" s="1" t="n">
        <v>45744</v>
      </c>
      <c r="D4070" t="inlineStr">
        <is>
          <t>SKÅNE LÄN</t>
        </is>
      </c>
      <c r="E4070" t="inlineStr">
        <is>
          <t>HÄSSLEHOLM</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21930-2023</t>
        </is>
      </c>
      <c r="B4071" s="1" t="n">
        <v>45068</v>
      </c>
      <c r="C4071" s="1" t="n">
        <v>45744</v>
      </c>
      <c r="D4071" t="inlineStr">
        <is>
          <t>SKÅNE LÄN</t>
        </is>
      </c>
      <c r="E4071" t="inlineStr">
        <is>
          <t>PERSTORP</t>
        </is>
      </c>
      <c r="G4071" t="n">
        <v>7</v>
      </c>
      <c r="H4071" t="n">
        <v>0</v>
      </c>
      <c r="I4071" t="n">
        <v>0</v>
      </c>
      <c r="J4071" t="n">
        <v>0</v>
      </c>
      <c r="K4071" t="n">
        <v>0</v>
      </c>
      <c r="L4071" t="n">
        <v>0</v>
      </c>
      <c r="M4071" t="n">
        <v>0</v>
      </c>
      <c r="N4071" t="n">
        <v>0</v>
      </c>
      <c r="O4071" t="n">
        <v>0</v>
      </c>
      <c r="P4071" t="n">
        <v>0</v>
      </c>
      <c r="Q4071" t="n">
        <v>0</v>
      </c>
      <c r="R4071" s="2" t="inlineStr"/>
    </row>
    <row r="4072" ht="15" customHeight="1">
      <c r="A4072" t="inlineStr">
        <is>
          <t>A 21963-2023</t>
        </is>
      </c>
      <c r="B4072" s="1" t="n">
        <v>45068</v>
      </c>
      <c r="C4072" s="1" t="n">
        <v>45744</v>
      </c>
      <c r="D4072" t="inlineStr">
        <is>
          <t>SKÅNE LÄN</t>
        </is>
      </c>
      <c r="E4072" t="inlineStr">
        <is>
          <t>BROMÖLLA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21976-2023</t>
        </is>
      </c>
      <c r="B4073" s="1" t="n">
        <v>45068</v>
      </c>
      <c r="C4073" s="1" t="n">
        <v>45744</v>
      </c>
      <c r="D4073" t="inlineStr">
        <is>
          <t>SKÅNE LÄN</t>
        </is>
      </c>
      <c r="E4073" t="inlineStr">
        <is>
          <t>BROMÖLLA</t>
        </is>
      </c>
      <c r="G4073" t="n">
        <v>12.9</v>
      </c>
      <c r="H4073" t="n">
        <v>0</v>
      </c>
      <c r="I4073" t="n">
        <v>0</v>
      </c>
      <c r="J4073" t="n">
        <v>0</v>
      </c>
      <c r="K4073" t="n">
        <v>0</v>
      </c>
      <c r="L4073" t="n">
        <v>0</v>
      </c>
      <c r="M4073" t="n">
        <v>0</v>
      </c>
      <c r="N4073" t="n">
        <v>0</v>
      </c>
      <c r="O4073" t="n">
        <v>0</v>
      </c>
      <c r="P4073" t="n">
        <v>0</v>
      </c>
      <c r="Q4073" t="n">
        <v>0</v>
      </c>
      <c r="R4073" s="2" t="inlineStr"/>
    </row>
    <row r="4074" ht="15" customHeight="1">
      <c r="A4074" t="inlineStr">
        <is>
          <t>A 21873-2023</t>
        </is>
      </c>
      <c r="B4074" s="1" t="n">
        <v>45068</v>
      </c>
      <c r="C4074" s="1" t="n">
        <v>45744</v>
      </c>
      <c r="D4074" t="inlineStr">
        <is>
          <t>SKÅNE LÄN</t>
        </is>
      </c>
      <c r="E4074" t="inlineStr">
        <is>
          <t>HÄSSLEHOLM</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21877-2023</t>
        </is>
      </c>
      <c r="B4075" s="1" t="n">
        <v>45068</v>
      </c>
      <c r="C4075" s="1" t="n">
        <v>45744</v>
      </c>
      <c r="D4075" t="inlineStr">
        <is>
          <t>SKÅNE LÄN</t>
        </is>
      </c>
      <c r="E4075" t="inlineStr">
        <is>
          <t>HÄSSLEHOLM</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21980-2023</t>
        </is>
      </c>
      <c r="B4076" s="1" t="n">
        <v>45068</v>
      </c>
      <c r="C4076" s="1" t="n">
        <v>45744</v>
      </c>
      <c r="D4076" t="inlineStr">
        <is>
          <t>SKÅNE LÄN</t>
        </is>
      </c>
      <c r="E4076" t="inlineStr">
        <is>
          <t>BROMÖLLA</t>
        </is>
      </c>
      <c r="G4076" t="n">
        <v>5.8</v>
      </c>
      <c r="H4076" t="n">
        <v>0</v>
      </c>
      <c r="I4076" t="n">
        <v>0</v>
      </c>
      <c r="J4076" t="n">
        <v>0</v>
      </c>
      <c r="K4076" t="n">
        <v>0</v>
      </c>
      <c r="L4076" t="n">
        <v>0</v>
      </c>
      <c r="M4076" t="n">
        <v>0</v>
      </c>
      <c r="N4076" t="n">
        <v>0</v>
      </c>
      <c r="O4076" t="n">
        <v>0</v>
      </c>
      <c r="P4076" t="n">
        <v>0</v>
      </c>
      <c r="Q4076" t="n">
        <v>0</v>
      </c>
      <c r="R4076" s="2" t="inlineStr"/>
    </row>
    <row r="4077" ht="15" customHeight="1">
      <c r="A4077" t="inlineStr">
        <is>
          <t>A 21957-2023</t>
        </is>
      </c>
      <c r="B4077" s="1" t="n">
        <v>45068</v>
      </c>
      <c r="C4077" s="1" t="n">
        <v>45744</v>
      </c>
      <c r="D4077" t="inlineStr">
        <is>
          <t>SKÅNE LÄN</t>
        </is>
      </c>
      <c r="E4077" t="inlineStr">
        <is>
          <t>ÄNGELHOLM</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22081-2023</t>
        </is>
      </c>
      <c r="B4078" s="1" t="n">
        <v>45069</v>
      </c>
      <c r="C4078" s="1" t="n">
        <v>45744</v>
      </c>
      <c r="D4078" t="inlineStr">
        <is>
          <t>SKÅNE LÄN</t>
        </is>
      </c>
      <c r="E4078" t="inlineStr">
        <is>
          <t>ÖSTRA GÖINGE</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22160-2023</t>
        </is>
      </c>
      <c r="B4079" s="1" t="n">
        <v>45069</v>
      </c>
      <c r="C4079" s="1" t="n">
        <v>45744</v>
      </c>
      <c r="D4079" t="inlineStr">
        <is>
          <t>SKÅNE LÄN</t>
        </is>
      </c>
      <c r="E4079" t="inlineStr">
        <is>
          <t>ÖRKELLJUNGA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22194-2023</t>
        </is>
      </c>
      <c r="B4080" s="1" t="n">
        <v>45069</v>
      </c>
      <c r="C4080" s="1" t="n">
        <v>45744</v>
      </c>
      <c r="D4080" t="inlineStr">
        <is>
          <t>SKÅNE LÄN</t>
        </is>
      </c>
      <c r="E4080" t="inlineStr">
        <is>
          <t>SIMRISHAMN</t>
        </is>
      </c>
      <c r="F4080" t="inlineStr">
        <is>
          <t>Övriga Aktiebolag</t>
        </is>
      </c>
      <c r="G4080" t="n">
        <v>11.4</v>
      </c>
      <c r="H4080" t="n">
        <v>0</v>
      </c>
      <c r="I4080" t="n">
        <v>0</v>
      </c>
      <c r="J4080" t="n">
        <v>0</v>
      </c>
      <c r="K4080" t="n">
        <v>0</v>
      </c>
      <c r="L4080" t="n">
        <v>0</v>
      </c>
      <c r="M4080" t="n">
        <v>0</v>
      </c>
      <c r="N4080" t="n">
        <v>0</v>
      </c>
      <c r="O4080" t="n">
        <v>0</v>
      </c>
      <c r="P4080" t="n">
        <v>0</v>
      </c>
      <c r="Q4080" t="n">
        <v>0</v>
      </c>
      <c r="R4080" s="2" t="inlineStr"/>
    </row>
    <row r="4081" ht="15" customHeight="1">
      <c r="A4081" t="inlineStr">
        <is>
          <t>A 22074-2023</t>
        </is>
      </c>
      <c r="B4081" s="1" t="n">
        <v>45069</v>
      </c>
      <c r="C4081" s="1" t="n">
        <v>45744</v>
      </c>
      <c r="D4081" t="inlineStr">
        <is>
          <t>SKÅNE LÄN</t>
        </is>
      </c>
      <c r="E4081" t="inlineStr">
        <is>
          <t>KRISTIANSTAD</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22195-2023</t>
        </is>
      </c>
      <c r="B4082" s="1" t="n">
        <v>45069</v>
      </c>
      <c r="C4082" s="1" t="n">
        <v>45744</v>
      </c>
      <c r="D4082" t="inlineStr">
        <is>
          <t>SKÅNE LÄN</t>
        </is>
      </c>
      <c r="E4082" t="inlineStr">
        <is>
          <t>YSTAD</t>
        </is>
      </c>
      <c r="F4082" t="inlineStr">
        <is>
          <t>Övriga Aktiebolag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22204-2023</t>
        </is>
      </c>
      <c r="B4083" s="1" t="n">
        <v>45069</v>
      </c>
      <c r="C4083" s="1" t="n">
        <v>45744</v>
      </c>
      <c r="D4083" t="inlineStr">
        <is>
          <t>SKÅNE LÄN</t>
        </is>
      </c>
      <c r="E4083" t="inlineStr">
        <is>
          <t>KLIPPAN</t>
        </is>
      </c>
      <c r="G4083" t="n">
        <v>7.2</v>
      </c>
      <c r="H4083" t="n">
        <v>0</v>
      </c>
      <c r="I4083" t="n">
        <v>0</v>
      </c>
      <c r="J4083" t="n">
        <v>0</v>
      </c>
      <c r="K4083" t="n">
        <v>0</v>
      </c>
      <c r="L4083" t="n">
        <v>0</v>
      </c>
      <c r="M4083" t="n">
        <v>0</v>
      </c>
      <c r="N4083" t="n">
        <v>0</v>
      </c>
      <c r="O4083" t="n">
        <v>0</v>
      </c>
      <c r="P4083" t="n">
        <v>0</v>
      </c>
      <c r="Q4083" t="n">
        <v>0</v>
      </c>
      <c r="R4083" s="2" t="inlineStr"/>
    </row>
    <row r="4084" ht="15" customHeight="1">
      <c r="A4084" t="inlineStr">
        <is>
          <t>A 22202-2023</t>
        </is>
      </c>
      <c r="B4084" s="1" t="n">
        <v>45069</v>
      </c>
      <c r="C4084" s="1" t="n">
        <v>45744</v>
      </c>
      <c r="D4084" t="inlineStr">
        <is>
          <t>SKÅNE LÄN</t>
        </is>
      </c>
      <c r="E4084" t="inlineStr">
        <is>
          <t>KLIPPAN</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22207-2023</t>
        </is>
      </c>
      <c r="B4085" s="1" t="n">
        <v>45069</v>
      </c>
      <c r="C4085" s="1" t="n">
        <v>45744</v>
      </c>
      <c r="D4085" t="inlineStr">
        <is>
          <t>SKÅNE LÄN</t>
        </is>
      </c>
      <c r="E4085" t="inlineStr">
        <is>
          <t>KLIPPAN</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22205-2023</t>
        </is>
      </c>
      <c r="B4086" s="1" t="n">
        <v>45069</v>
      </c>
      <c r="C4086" s="1" t="n">
        <v>45744</v>
      </c>
      <c r="D4086" t="inlineStr">
        <is>
          <t>SKÅNE LÄN</t>
        </is>
      </c>
      <c r="E4086" t="inlineStr">
        <is>
          <t>KLIPPAN</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22262-2023</t>
        </is>
      </c>
      <c r="B4087" s="1" t="n">
        <v>45070</v>
      </c>
      <c r="C4087" s="1" t="n">
        <v>45744</v>
      </c>
      <c r="D4087" t="inlineStr">
        <is>
          <t>SKÅNE LÄN</t>
        </is>
      </c>
      <c r="E4087" t="inlineStr">
        <is>
          <t>SVALÖV</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22947-2023</t>
        </is>
      </c>
      <c r="B4088" s="1" t="n">
        <v>45070</v>
      </c>
      <c r="C4088" s="1" t="n">
        <v>45744</v>
      </c>
      <c r="D4088" t="inlineStr">
        <is>
          <t>SKÅNE LÄN</t>
        </is>
      </c>
      <c r="E4088" t="inlineStr">
        <is>
          <t>ÄNGELHOLM</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22636-2023</t>
        </is>
      </c>
      <c r="B4089" s="1" t="n">
        <v>45071</v>
      </c>
      <c r="C4089" s="1" t="n">
        <v>45744</v>
      </c>
      <c r="D4089" t="inlineStr">
        <is>
          <t>SKÅNE LÄN</t>
        </is>
      </c>
      <c r="E4089" t="inlineStr">
        <is>
          <t>OSBY</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22628-2023</t>
        </is>
      </c>
      <c r="B4090" s="1" t="n">
        <v>45071</v>
      </c>
      <c r="C4090" s="1" t="n">
        <v>45744</v>
      </c>
      <c r="D4090" t="inlineStr">
        <is>
          <t>SKÅNE LÄN</t>
        </is>
      </c>
      <c r="E4090" t="inlineStr">
        <is>
          <t>HÄSSLEHOLM</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22633-2023</t>
        </is>
      </c>
      <c r="B4091" s="1" t="n">
        <v>45071</v>
      </c>
      <c r="C4091" s="1" t="n">
        <v>45744</v>
      </c>
      <c r="D4091" t="inlineStr">
        <is>
          <t>SKÅNE LÄN</t>
        </is>
      </c>
      <c r="E4091" t="inlineStr">
        <is>
          <t>OSBY</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22630-2023</t>
        </is>
      </c>
      <c r="B4092" s="1" t="n">
        <v>45071</v>
      </c>
      <c r="C4092" s="1" t="n">
        <v>45744</v>
      </c>
      <c r="D4092" t="inlineStr">
        <is>
          <t>SKÅNE LÄN</t>
        </is>
      </c>
      <c r="E4092" t="inlineStr">
        <is>
          <t>OSBY</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22638-2023</t>
        </is>
      </c>
      <c r="B4093" s="1" t="n">
        <v>45071</v>
      </c>
      <c r="C4093" s="1" t="n">
        <v>45744</v>
      </c>
      <c r="D4093" t="inlineStr">
        <is>
          <t>SKÅNE LÄN</t>
        </is>
      </c>
      <c r="E4093" t="inlineStr">
        <is>
          <t>OSBY</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22696-2023</t>
        </is>
      </c>
      <c r="B4094" s="1" t="n">
        <v>45071</v>
      </c>
      <c r="C4094" s="1" t="n">
        <v>45744</v>
      </c>
      <c r="D4094" t="inlineStr">
        <is>
          <t>SKÅNE LÄN</t>
        </is>
      </c>
      <c r="E4094" t="inlineStr">
        <is>
          <t>HÄSSLEHOLM</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22789-2023</t>
        </is>
      </c>
      <c r="B4095" s="1" t="n">
        <v>45072</v>
      </c>
      <c r="C4095" s="1" t="n">
        <v>45744</v>
      </c>
      <c r="D4095" t="inlineStr">
        <is>
          <t>SKÅNE LÄN</t>
        </is>
      </c>
      <c r="E4095" t="inlineStr">
        <is>
          <t>SVALÖV</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22815-2023</t>
        </is>
      </c>
      <c r="B4096" s="1" t="n">
        <v>45072</v>
      </c>
      <c r="C4096" s="1" t="n">
        <v>45744</v>
      </c>
      <c r="D4096" t="inlineStr">
        <is>
          <t>SKÅNE LÄN</t>
        </is>
      </c>
      <c r="E4096" t="inlineStr">
        <is>
          <t>KRISTIANSTAD</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22795-2023</t>
        </is>
      </c>
      <c r="B4097" s="1" t="n">
        <v>45072</v>
      </c>
      <c r="C4097" s="1" t="n">
        <v>45744</v>
      </c>
      <c r="D4097" t="inlineStr">
        <is>
          <t>SKÅNE LÄN</t>
        </is>
      </c>
      <c r="E4097" t="inlineStr">
        <is>
          <t>KRISTIANSTAD</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22976-2023</t>
        </is>
      </c>
      <c r="B4098" s="1" t="n">
        <v>45072</v>
      </c>
      <c r="C4098" s="1" t="n">
        <v>45744</v>
      </c>
      <c r="D4098" t="inlineStr">
        <is>
          <t>SKÅNE LÄN</t>
        </is>
      </c>
      <c r="E4098" t="inlineStr">
        <is>
          <t>KLIPPAN</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22975-2023</t>
        </is>
      </c>
      <c r="B4099" s="1" t="n">
        <v>45072</v>
      </c>
      <c r="C4099" s="1" t="n">
        <v>45744</v>
      </c>
      <c r="D4099" t="inlineStr">
        <is>
          <t>SKÅNE LÄN</t>
        </is>
      </c>
      <c r="E4099" t="inlineStr">
        <is>
          <t>ÖRKELLJUNGA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23427-2023</t>
        </is>
      </c>
      <c r="B4100" s="1" t="n">
        <v>45072</v>
      </c>
      <c r="C4100" s="1" t="n">
        <v>45744</v>
      </c>
      <c r="D4100" t="inlineStr">
        <is>
          <t>SKÅNE LÄN</t>
        </is>
      </c>
      <c r="E4100" t="inlineStr">
        <is>
          <t>KRISTIANSTAD</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23643-2023</t>
        </is>
      </c>
      <c r="B4101" s="1" t="n">
        <v>45072</v>
      </c>
      <c r="C4101" s="1" t="n">
        <v>45744</v>
      </c>
      <c r="D4101" t="inlineStr">
        <is>
          <t>SKÅNE LÄN</t>
        </is>
      </c>
      <c r="E4101" t="inlineStr">
        <is>
          <t>HÄSSLEHOLM</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23003-2023</t>
        </is>
      </c>
      <c r="B4102" s="1" t="n">
        <v>45073</v>
      </c>
      <c r="C4102" s="1" t="n">
        <v>45744</v>
      </c>
      <c r="D4102" t="inlineStr">
        <is>
          <t>SKÅNE LÄN</t>
        </is>
      </c>
      <c r="E4102" t="inlineStr">
        <is>
          <t>KLIPPAN</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23261-2023</t>
        </is>
      </c>
      <c r="B4103" s="1" t="n">
        <v>45075</v>
      </c>
      <c r="C4103" s="1" t="n">
        <v>45744</v>
      </c>
      <c r="D4103" t="inlineStr">
        <is>
          <t>SKÅNE LÄN</t>
        </is>
      </c>
      <c r="E4103" t="inlineStr">
        <is>
          <t>KLIPPAN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23228-2023</t>
        </is>
      </c>
      <c r="B4104" s="1" t="n">
        <v>45075</v>
      </c>
      <c r="C4104" s="1" t="n">
        <v>45744</v>
      </c>
      <c r="D4104" t="inlineStr">
        <is>
          <t>SKÅNE LÄN</t>
        </is>
      </c>
      <c r="E4104" t="inlineStr">
        <is>
          <t>ÄNGELHOLM</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23235-2023</t>
        </is>
      </c>
      <c r="B4105" s="1" t="n">
        <v>45075</v>
      </c>
      <c r="C4105" s="1" t="n">
        <v>45744</v>
      </c>
      <c r="D4105" t="inlineStr">
        <is>
          <t>SKÅNE LÄN</t>
        </is>
      </c>
      <c r="E4105" t="inlineStr">
        <is>
          <t>ÖRKELLJUNGA</t>
        </is>
      </c>
      <c r="F4105" t="inlineStr">
        <is>
          <t>Kommuner</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23260-2023</t>
        </is>
      </c>
      <c r="B4106" s="1" t="n">
        <v>45075</v>
      </c>
      <c r="C4106" s="1" t="n">
        <v>45744</v>
      </c>
      <c r="D4106" t="inlineStr">
        <is>
          <t>SKÅNE LÄN</t>
        </is>
      </c>
      <c r="E4106" t="inlineStr">
        <is>
          <t>KLIPPAN</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23227-2023</t>
        </is>
      </c>
      <c r="B4107" s="1" t="n">
        <v>45075</v>
      </c>
      <c r="C4107" s="1" t="n">
        <v>45744</v>
      </c>
      <c r="D4107" t="inlineStr">
        <is>
          <t>SKÅNE LÄN</t>
        </is>
      </c>
      <c r="E4107" t="inlineStr">
        <is>
          <t>ÄNGELHOLM</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23322-2023</t>
        </is>
      </c>
      <c r="B4108" s="1" t="n">
        <v>45076</v>
      </c>
      <c r="C4108" s="1" t="n">
        <v>45744</v>
      </c>
      <c r="D4108" t="inlineStr">
        <is>
          <t>SKÅNE LÄN</t>
        </is>
      </c>
      <c r="E4108" t="inlineStr">
        <is>
          <t>ÖRKELLJUNGA</t>
        </is>
      </c>
      <c r="F4108" t="inlineStr">
        <is>
          <t>Kommuner</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23396-2023</t>
        </is>
      </c>
      <c r="B4109" s="1" t="n">
        <v>45076</v>
      </c>
      <c r="C4109" s="1" t="n">
        <v>45744</v>
      </c>
      <c r="D4109" t="inlineStr">
        <is>
          <t>SKÅNE LÄN</t>
        </is>
      </c>
      <c r="E4109" t="inlineStr">
        <is>
          <t>ÖSTRA GÖINGE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23400-2023</t>
        </is>
      </c>
      <c r="B4110" s="1" t="n">
        <v>45076</v>
      </c>
      <c r="C4110" s="1" t="n">
        <v>45744</v>
      </c>
      <c r="D4110" t="inlineStr">
        <is>
          <t>SKÅNE LÄN</t>
        </is>
      </c>
      <c r="E4110" t="inlineStr">
        <is>
          <t>ÖSTRA GÖINGE</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23328-2023</t>
        </is>
      </c>
      <c r="B4111" s="1" t="n">
        <v>45076</v>
      </c>
      <c r="C4111" s="1" t="n">
        <v>45744</v>
      </c>
      <c r="D4111" t="inlineStr">
        <is>
          <t>SKÅNE LÄN</t>
        </is>
      </c>
      <c r="E4111" t="inlineStr">
        <is>
          <t>HÖRBY</t>
        </is>
      </c>
      <c r="F4111" t="inlineStr">
        <is>
          <t>Sveaskog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23391-2023</t>
        </is>
      </c>
      <c r="B4112" s="1" t="n">
        <v>45076</v>
      </c>
      <c r="C4112" s="1" t="n">
        <v>45744</v>
      </c>
      <c r="D4112" t="inlineStr">
        <is>
          <t>SKÅNE LÄN</t>
        </is>
      </c>
      <c r="E4112" t="inlineStr">
        <is>
          <t>ÖSTRA GÖINGE</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23405-2023</t>
        </is>
      </c>
      <c r="B4113" s="1" t="n">
        <v>45076</v>
      </c>
      <c r="C4113" s="1" t="n">
        <v>45744</v>
      </c>
      <c r="D4113" t="inlineStr">
        <is>
          <t>SKÅNE LÄN</t>
        </is>
      </c>
      <c r="E4113" t="inlineStr">
        <is>
          <t>ÖSTRA GÖINGE</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23454-2023</t>
        </is>
      </c>
      <c r="B4114" s="1" t="n">
        <v>45076</v>
      </c>
      <c r="C4114" s="1" t="n">
        <v>45744</v>
      </c>
      <c r="D4114" t="inlineStr">
        <is>
          <t>SKÅNE LÄN</t>
        </is>
      </c>
      <c r="E4114" t="inlineStr">
        <is>
          <t>ÖSTRA GÖINGE</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23403-2023</t>
        </is>
      </c>
      <c r="B4115" s="1" t="n">
        <v>45076</v>
      </c>
      <c r="C4115" s="1" t="n">
        <v>45744</v>
      </c>
      <c r="D4115" t="inlineStr">
        <is>
          <t>SKÅNE LÄN</t>
        </is>
      </c>
      <c r="E4115" t="inlineStr">
        <is>
          <t>ÖSTRA GÖINGE</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23384-2023</t>
        </is>
      </c>
      <c r="B4116" s="1" t="n">
        <v>45076</v>
      </c>
      <c r="C4116" s="1" t="n">
        <v>45744</v>
      </c>
      <c r="D4116" t="inlineStr">
        <is>
          <t>SKÅNE LÄN</t>
        </is>
      </c>
      <c r="E4116" t="inlineStr">
        <is>
          <t>ÖSTRA GÖINGE</t>
        </is>
      </c>
      <c r="G4116" t="n">
        <v>11.5</v>
      </c>
      <c r="H4116" t="n">
        <v>0</v>
      </c>
      <c r="I4116" t="n">
        <v>0</v>
      </c>
      <c r="J4116" t="n">
        <v>0</v>
      </c>
      <c r="K4116" t="n">
        <v>0</v>
      </c>
      <c r="L4116" t="n">
        <v>0</v>
      </c>
      <c r="M4116" t="n">
        <v>0</v>
      </c>
      <c r="N4116" t="n">
        <v>0</v>
      </c>
      <c r="O4116" t="n">
        <v>0</v>
      </c>
      <c r="P4116" t="n">
        <v>0</v>
      </c>
      <c r="Q4116" t="n">
        <v>0</v>
      </c>
      <c r="R4116" s="2" t="inlineStr"/>
    </row>
    <row r="4117" ht="15" customHeight="1">
      <c r="A4117" t="inlineStr">
        <is>
          <t>A 23388-2023</t>
        </is>
      </c>
      <c r="B4117" s="1" t="n">
        <v>45076</v>
      </c>
      <c r="C4117" s="1" t="n">
        <v>45744</v>
      </c>
      <c r="D4117" t="inlineStr">
        <is>
          <t>SKÅNE LÄN</t>
        </is>
      </c>
      <c r="E4117" t="inlineStr">
        <is>
          <t>ÖSTRA GÖINGE</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23402-2023</t>
        </is>
      </c>
      <c r="B4118" s="1" t="n">
        <v>45076</v>
      </c>
      <c r="C4118" s="1" t="n">
        <v>45744</v>
      </c>
      <c r="D4118" t="inlineStr">
        <is>
          <t>SKÅNE LÄN</t>
        </is>
      </c>
      <c r="E4118" t="inlineStr">
        <is>
          <t>ÖSTRA GÖINGE</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23550-2023</t>
        </is>
      </c>
      <c r="B4119" s="1" t="n">
        <v>45077</v>
      </c>
      <c r="C4119" s="1" t="n">
        <v>45744</v>
      </c>
      <c r="D4119" t="inlineStr">
        <is>
          <t>SKÅNE LÄN</t>
        </is>
      </c>
      <c r="E4119" t="inlineStr">
        <is>
          <t>KRISTIANSTAD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23673-2023</t>
        </is>
      </c>
      <c r="B4120" s="1" t="n">
        <v>45077</v>
      </c>
      <c r="C4120" s="1" t="n">
        <v>45744</v>
      </c>
      <c r="D4120" t="inlineStr">
        <is>
          <t>SKÅNE LÄN</t>
        </is>
      </c>
      <c r="E4120" t="inlineStr">
        <is>
          <t>KRISTIANSTAD</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23681-2023</t>
        </is>
      </c>
      <c r="B4121" s="1" t="n">
        <v>45077</v>
      </c>
      <c r="C4121" s="1" t="n">
        <v>45744</v>
      </c>
      <c r="D4121" t="inlineStr">
        <is>
          <t>SKÅNE LÄN</t>
        </is>
      </c>
      <c r="E4121" t="inlineStr">
        <is>
          <t>KLIPPAN</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23693-2023</t>
        </is>
      </c>
      <c r="B4122" s="1" t="n">
        <v>45077</v>
      </c>
      <c r="C4122" s="1" t="n">
        <v>45744</v>
      </c>
      <c r="D4122" t="inlineStr">
        <is>
          <t>SKÅNE LÄN</t>
        </is>
      </c>
      <c r="E4122" t="inlineStr">
        <is>
          <t>ÖRKELLJUNGA</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23702-2023</t>
        </is>
      </c>
      <c r="B4123" s="1" t="n">
        <v>45077</v>
      </c>
      <c r="C4123" s="1" t="n">
        <v>45744</v>
      </c>
      <c r="D4123" t="inlineStr">
        <is>
          <t>SKÅNE LÄN</t>
        </is>
      </c>
      <c r="E4123" t="inlineStr">
        <is>
          <t>PERSTORP</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23666-2023</t>
        </is>
      </c>
      <c r="B4124" s="1" t="n">
        <v>45077</v>
      </c>
      <c r="C4124" s="1" t="n">
        <v>45744</v>
      </c>
      <c r="D4124" t="inlineStr">
        <is>
          <t>SKÅNE LÄN</t>
        </is>
      </c>
      <c r="E4124" t="inlineStr">
        <is>
          <t>HÄSSLEHOLM</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23674-2023</t>
        </is>
      </c>
      <c r="B4125" s="1" t="n">
        <v>45077</v>
      </c>
      <c r="C4125" s="1" t="n">
        <v>45744</v>
      </c>
      <c r="D4125" t="inlineStr">
        <is>
          <t>SKÅNE LÄN</t>
        </is>
      </c>
      <c r="E4125" t="inlineStr">
        <is>
          <t>KRISTIANSTAD</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23683-2023</t>
        </is>
      </c>
      <c r="B4126" s="1" t="n">
        <v>45077</v>
      </c>
      <c r="C4126" s="1" t="n">
        <v>45744</v>
      </c>
      <c r="D4126" t="inlineStr">
        <is>
          <t>SKÅNE LÄN</t>
        </is>
      </c>
      <c r="E4126" t="inlineStr">
        <is>
          <t>HÄSSLEHOLM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23691-2023</t>
        </is>
      </c>
      <c r="B4127" s="1" t="n">
        <v>45077</v>
      </c>
      <c r="C4127" s="1" t="n">
        <v>45744</v>
      </c>
      <c r="D4127" t="inlineStr">
        <is>
          <t>SKÅNE LÄN</t>
        </is>
      </c>
      <c r="E4127" t="inlineStr">
        <is>
          <t>ÖRKELLJUNGA</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23723-2023</t>
        </is>
      </c>
      <c r="B4128" s="1" t="n">
        <v>45077</v>
      </c>
      <c r="C4128" s="1" t="n">
        <v>45744</v>
      </c>
      <c r="D4128" t="inlineStr">
        <is>
          <t>SKÅNE LÄN</t>
        </is>
      </c>
      <c r="E4128" t="inlineStr">
        <is>
          <t>HÄSSLEHOLM</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23739-2023</t>
        </is>
      </c>
      <c r="B4129" s="1" t="n">
        <v>45077</v>
      </c>
      <c r="C4129" s="1" t="n">
        <v>45744</v>
      </c>
      <c r="D4129" t="inlineStr">
        <is>
          <t>SKÅNE LÄN</t>
        </is>
      </c>
      <c r="E4129" t="inlineStr">
        <is>
          <t>ÖRKELLJUNGA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23740-2023</t>
        </is>
      </c>
      <c r="B4130" s="1" t="n">
        <v>45077</v>
      </c>
      <c r="C4130" s="1" t="n">
        <v>45744</v>
      </c>
      <c r="D4130" t="inlineStr">
        <is>
          <t>SKÅNE LÄN</t>
        </is>
      </c>
      <c r="E4130" t="inlineStr">
        <is>
          <t>ÖRKELLJUNGA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23741-2023</t>
        </is>
      </c>
      <c r="B4131" s="1" t="n">
        <v>45077</v>
      </c>
      <c r="C4131" s="1" t="n">
        <v>45744</v>
      </c>
      <c r="D4131" t="inlineStr">
        <is>
          <t>SKÅNE LÄN</t>
        </is>
      </c>
      <c r="E4131" t="inlineStr">
        <is>
          <t>KLIPPAN</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23684-2023</t>
        </is>
      </c>
      <c r="B4132" s="1" t="n">
        <v>45077</v>
      </c>
      <c r="C4132" s="1" t="n">
        <v>45744</v>
      </c>
      <c r="D4132" t="inlineStr">
        <is>
          <t>SKÅNE LÄN</t>
        </is>
      </c>
      <c r="E4132" t="inlineStr">
        <is>
          <t>HÄSSLEHOLM</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23692-2023</t>
        </is>
      </c>
      <c r="B4133" s="1" t="n">
        <v>45077</v>
      </c>
      <c r="C4133" s="1" t="n">
        <v>45744</v>
      </c>
      <c r="D4133" t="inlineStr">
        <is>
          <t>SKÅNE LÄN</t>
        </is>
      </c>
      <c r="E4133" t="inlineStr">
        <is>
          <t>ÖRKELLJUNGA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23811-2023</t>
        </is>
      </c>
      <c r="B4134" s="1" t="n">
        <v>45078</v>
      </c>
      <c r="C4134" s="1" t="n">
        <v>45744</v>
      </c>
      <c r="D4134" t="inlineStr">
        <is>
          <t>SKÅNE LÄN</t>
        </is>
      </c>
      <c r="E4134" t="inlineStr">
        <is>
          <t>OSBY</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23785-2023</t>
        </is>
      </c>
      <c r="B4135" s="1" t="n">
        <v>45078</v>
      </c>
      <c r="C4135" s="1" t="n">
        <v>45744</v>
      </c>
      <c r="D4135" t="inlineStr">
        <is>
          <t>SKÅNE LÄN</t>
        </is>
      </c>
      <c r="E4135" t="inlineStr">
        <is>
          <t>PERSTORP</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23786-2023</t>
        </is>
      </c>
      <c r="B4136" s="1" t="n">
        <v>45078</v>
      </c>
      <c r="C4136" s="1" t="n">
        <v>45744</v>
      </c>
      <c r="D4136" t="inlineStr">
        <is>
          <t>SKÅNE LÄN</t>
        </is>
      </c>
      <c r="E4136" t="inlineStr">
        <is>
          <t>PERSTORP</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23813-2023</t>
        </is>
      </c>
      <c r="B4137" s="1" t="n">
        <v>45078</v>
      </c>
      <c r="C4137" s="1" t="n">
        <v>45744</v>
      </c>
      <c r="D4137" t="inlineStr">
        <is>
          <t>SKÅNE LÄN</t>
        </is>
      </c>
      <c r="E4137" t="inlineStr">
        <is>
          <t>OSBY</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23955-2023</t>
        </is>
      </c>
      <c r="B4138" s="1" t="n">
        <v>45078</v>
      </c>
      <c r="C4138" s="1" t="n">
        <v>45744</v>
      </c>
      <c r="D4138" t="inlineStr">
        <is>
          <t>SKÅNE LÄN</t>
        </is>
      </c>
      <c r="E4138" t="inlineStr">
        <is>
          <t>HÄSSLEHOLM</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24020-2023</t>
        </is>
      </c>
      <c r="B4139" s="1" t="n">
        <v>45078</v>
      </c>
      <c r="C4139" s="1" t="n">
        <v>45744</v>
      </c>
      <c r="D4139" t="inlineStr">
        <is>
          <t>SKÅNE LÄN</t>
        </is>
      </c>
      <c r="E4139" t="inlineStr">
        <is>
          <t>ÖSTRA GÖINGE</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23816-2023</t>
        </is>
      </c>
      <c r="B4140" s="1" t="n">
        <v>45078</v>
      </c>
      <c r="C4140" s="1" t="n">
        <v>45744</v>
      </c>
      <c r="D4140" t="inlineStr">
        <is>
          <t>SKÅNE LÄN</t>
        </is>
      </c>
      <c r="E4140" t="inlineStr">
        <is>
          <t>OSBY</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23898-2023</t>
        </is>
      </c>
      <c r="B4141" s="1" t="n">
        <v>45078</v>
      </c>
      <c r="C4141" s="1" t="n">
        <v>45744</v>
      </c>
      <c r="D4141" t="inlineStr">
        <is>
          <t>SKÅNE LÄN</t>
        </is>
      </c>
      <c r="E4141" t="inlineStr">
        <is>
          <t>ÖRKELLJUNGA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23946-2023</t>
        </is>
      </c>
      <c r="B4142" s="1" t="n">
        <v>45078</v>
      </c>
      <c r="C4142" s="1" t="n">
        <v>45744</v>
      </c>
      <c r="D4142" t="inlineStr">
        <is>
          <t>SKÅNE LÄN</t>
        </is>
      </c>
      <c r="E4142" t="inlineStr">
        <is>
          <t>HÄSSLEHOLM</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23950-2023</t>
        </is>
      </c>
      <c r="B4143" s="1" t="n">
        <v>45078</v>
      </c>
      <c r="C4143" s="1" t="n">
        <v>45744</v>
      </c>
      <c r="D4143" t="inlineStr">
        <is>
          <t>SKÅNE LÄN</t>
        </is>
      </c>
      <c r="E4143" t="inlineStr">
        <is>
          <t>HÄSSLEHOLM</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23959-2023</t>
        </is>
      </c>
      <c r="B4144" s="1" t="n">
        <v>45078</v>
      </c>
      <c r="C4144" s="1" t="n">
        <v>45744</v>
      </c>
      <c r="D4144" t="inlineStr">
        <is>
          <t>SKÅNE LÄN</t>
        </is>
      </c>
      <c r="E4144" t="inlineStr">
        <is>
          <t>HÄSSLEHOLM</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23990-2023</t>
        </is>
      </c>
      <c r="B4145" s="1" t="n">
        <v>45078</v>
      </c>
      <c r="C4145" s="1" t="n">
        <v>45744</v>
      </c>
      <c r="D4145" t="inlineStr">
        <is>
          <t>SKÅNE LÄN</t>
        </is>
      </c>
      <c r="E4145" t="inlineStr">
        <is>
          <t>ÖRKELLJUNGA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23957-2023</t>
        </is>
      </c>
      <c r="B4146" s="1" t="n">
        <v>45078</v>
      </c>
      <c r="C4146" s="1" t="n">
        <v>45744</v>
      </c>
      <c r="D4146" t="inlineStr">
        <is>
          <t>SKÅNE LÄN</t>
        </is>
      </c>
      <c r="E4146" t="inlineStr">
        <is>
          <t>HÄSSLEHOLM</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23952-2023</t>
        </is>
      </c>
      <c r="B4147" s="1" t="n">
        <v>45078</v>
      </c>
      <c r="C4147" s="1" t="n">
        <v>45744</v>
      </c>
      <c r="D4147" t="inlineStr">
        <is>
          <t>SKÅNE LÄN</t>
        </is>
      </c>
      <c r="E4147" t="inlineStr">
        <is>
          <t>HÄSSLEHOLM</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23956-2023</t>
        </is>
      </c>
      <c r="B4148" s="1" t="n">
        <v>45078</v>
      </c>
      <c r="C4148" s="1" t="n">
        <v>45744</v>
      </c>
      <c r="D4148" t="inlineStr">
        <is>
          <t>SKÅNE LÄN</t>
        </is>
      </c>
      <c r="E4148" t="inlineStr">
        <is>
          <t>HÄSSLEHOLM</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23985-2023</t>
        </is>
      </c>
      <c r="B4149" s="1" t="n">
        <v>45078</v>
      </c>
      <c r="C4149" s="1" t="n">
        <v>45744</v>
      </c>
      <c r="D4149" t="inlineStr">
        <is>
          <t>SKÅNE LÄN</t>
        </is>
      </c>
      <c r="E4149" t="inlineStr">
        <is>
          <t>ÖRKELLJUNGA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24035-2023</t>
        </is>
      </c>
      <c r="B4150" s="1" t="n">
        <v>45078</v>
      </c>
      <c r="C4150" s="1" t="n">
        <v>45744</v>
      </c>
      <c r="D4150" t="inlineStr">
        <is>
          <t>SKÅNE LÄN</t>
        </is>
      </c>
      <c r="E4150" t="inlineStr">
        <is>
          <t>KLIPPAN</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24034-2023</t>
        </is>
      </c>
      <c r="B4151" s="1" t="n">
        <v>45078</v>
      </c>
      <c r="C4151" s="1" t="n">
        <v>45744</v>
      </c>
      <c r="D4151" t="inlineStr">
        <is>
          <t>SKÅNE LÄN</t>
        </is>
      </c>
      <c r="E4151" t="inlineStr">
        <is>
          <t>KLIPPAN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24160-2023</t>
        </is>
      </c>
      <c r="B4152" s="1" t="n">
        <v>45079</v>
      </c>
      <c r="C4152" s="1" t="n">
        <v>45744</v>
      </c>
      <c r="D4152" t="inlineStr">
        <is>
          <t>SKÅNE LÄN</t>
        </is>
      </c>
      <c r="E4152" t="inlineStr">
        <is>
          <t>KLIPPAN</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24164-2023</t>
        </is>
      </c>
      <c r="B4153" s="1" t="n">
        <v>45079</v>
      </c>
      <c r="C4153" s="1" t="n">
        <v>45744</v>
      </c>
      <c r="D4153" t="inlineStr">
        <is>
          <t>SKÅNE LÄN</t>
        </is>
      </c>
      <c r="E4153" t="inlineStr">
        <is>
          <t>KRISTIANSTAD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24232-2023</t>
        </is>
      </c>
      <c r="B4154" s="1" t="n">
        <v>45079</v>
      </c>
      <c r="C4154" s="1" t="n">
        <v>45744</v>
      </c>
      <c r="D4154" t="inlineStr">
        <is>
          <t>SKÅNE LÄN</t>
        </is>
      </c>
      <c r="E4154" t="inlineStr">
        <is>
          <t>OSBY</t>
        </is>
      </c>
      <c r="F4154" t="inlineStr">
        <is>
          <t>Kommuner</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24154-2023</t>
        </is>
      </c>
      <c r="B4155" s="1" t="n">
        <v>45079</v>
      </c>
      <c r="C4155" s="1" t="n">
        <v>45744</v>
      </c>
      <c r="D4155" t="inlineStr">
        <is>
          <t>SKÅNE LÄN</t>
        </is>
      </c>
      <c r="E4155" t="inlineStr">
        <is>
          <t>ÖRKELLJUNGA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24246-2023</t>
        </is>
      </c>
      <c r="B4156" s="1" t="n">
        <v>45079</v>
      </c>
      <c r="C4156" s="1" t="n">
        <v>45744</v>
      </c>
      <c r="D4156" t="inlineStr">
        <is>
          <t>SKÅNE LÄN</t>
        </is>
      </c>
      <c r="E4156" t="inlineStr">
        <is>
          <t>HÄSSLEHOLM</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25183-2023</t>
        </is>
      </c>
      <c r="B4157" s="1" t="n">
        <v>45079</v>
      </c>
      <c r="C4157" s="1" t="n">
        <v>45744</v>
      </c>
      <c r="D4157" t="inlineStr">
        <is>
          <t>SKÅNE LÄN</t>
        </is>
      </c>
      <c r="E4157" t="inlineStr">
        <is>
          <t>HÖRBY</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24241-2023</t>
        </is>
      </c>
      <c r="B4158" s="1" t="n">
        <v>45079</v>
      </c>
      <c r="C4158" s="1" t="n">
        <v>45744</v>
      </c>
      <c r="D4158" t="inlineStr">
        <is>
          <t>SKÅNE LÄN</t>
        </is>
      </c>
      <c r="E4158" t="inlineStr">
        <is>
          <t>HÄSSLEHOLM</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24249-2023</t>
        </is>
      </c>
      <c r="B4159" s="1" t="n">
        <v>45079</v>
      </c>
      <c r="C4159" s="1" t="n">
        <v>45744</v>
      </c>
      <c r="D4159" t="inlineStr">
        <is>
          <t>SKÅNE LÄN</t>
        </is>
      </c>
      <c r="E4159" t="inlineStr">
        <is>
          <t>HÄSSLEHOLM</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25393-2023</t>
        </is>
      </c>
      <c r="B4160" s="1" t="n">
        <v>45079</v>
      </c>
      <c r="C4160" s="1" t="n">
        <v>45744</v>
      </c>
      <c r="D4160" t="inlineStr">
        <is>
          <t>SKÅNE LÄN</t>
        </is>
      </c>
      <c r="E4160" t="inlineStr">
        <is>
          <t>KLIPPAN</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25483-2023</t>
        </is>
      </c>
      <c r="B4161" s="1" t="n">
        <v>45081</v>
      </c>
      <c r="C4161" s="1" t="n">
        <v>45744</v>
      </c>
      <c r="D4161" t="inlineStr">
        <is>
          <t>SKÅNE LÄN</t>
        </is>
      </c>
      <c r="E4161" t="inlineStr">
        <is>
          <t>HÄSSLEHOLM</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24370-2023</t>
        </is>
      </c>
      <c r="B4162" s="1" t="n">
        <v>45082</v>
      </c>
      <c r="C4162" s="1" t="n">
        <v>45744</v>
      </c>
      <c r="D4162" t="inlineStr">
        <is>
          <t>SKÅNE LÄN</t>
        </is>
      </c>
      <c r="E4162" t="inlineStr">
        <is>
          <t>HÄSSLEHOLM</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24446-2023</t>
        </is>
      </c>
      <c r="B4163" s="1" t="n">
        <v>45082</v>
      </c>
      <c r="C4163" s="1" t="n">
        <v>45744</v>
      </c>
      <c r="D4163" t="inlineStr">
        <is>
          <t>SKÅNE LÄN</t>
        </is>
      </c>
      <c r="E4163" t="inlineStr">
        <is>
          <t>OSBY</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24526-2023</t>
        </is>
      </c>
      <c r="B4164" s="1" t="n">
        <v>45082</v>
      </c>
      <c r="C4164" s="1" t="n">
        <v>45744</v>
      </c>
      <c r="D4164" t="inlineStr">
        <is>
          <t>SKÅNE LÄN</t>
        </is>
      </c>
      <c r="E4164" t="inlineStr">
        <is>
          <t>ÖSTRA GÖINGE</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24466-2023</t>
        </is>
      </c>
      <c r="B4165" s="1" t="n">
        <v>45082</v>
      </c>
      <c r="C4165" s="1" t="n">
        <v>45744</v>
      </c>
      <c r="D4165" t="inlineStr">
        <is>
          <t>SKÅNE LÄN</t>
        </is>
      </c>
      <c r="E4165" t="inlineStr">
        <is>
          <t>BÅSTAD</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24527-2023</t>
        </is>
      </c>
      <c r="B4166" s="1" t="n">
        <v>45082</v>
      </c>
      <c r="C4166" s="1" t="n">
        <v>45744</v>
      </c>
      <c r="D4166" t="inlineStr">
        <is>
          <t>SKÅNE LÄN</t>
        </is>
      </c>
      <c r="E4166" t="inlineStr">
        <is>
          <t>ÖSTRA GÖINGE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24524-2023</t>
        </is>
      </c>
      <c r="B4167" s="1" t="n">
        <v>45082</v>
      </c>
      <c r="C4167" s="1" t="n">
        <v>45744</v>
      </c>
      <c r="D4167" t="inlineStr">
        <is>
          <t>SKÅNE LÄN</t>
        </is>
      </c>
      <c r="E4167" t="inlineStr">
        <is>
          <t>ÖSTRA GÖINGE</t>
        </is>
      </c>
      <c r="G4167" t="n">
        <v>9.4</v>
      </c>
      <c r="H4167" t="n">
        <v>0</v>
      </c>
      <c r="I4167" t="n">
        <v>0</v>
      </c>
      <c r="J4167" t="n">
        <v>0</v>
      </c>
      <c r="K4167" t="n">
        <v>0</v>
      </c>
      <c r="L4167" t="n">
        <v>0</v>
      </c>
      <c r="M4167" t="n">
        <v>0</v>
      </c>
      <c r="N4167" t="n">
        <v>0</v>
      </c>
      <c r="O4167" t="n">
        <v>0</v>
      </c>
      <c r="P4167" t="n">
        <v>0</v>
      </c>
      <c r="Q4167" t="n">
        <v>0</v>
      </c>
      <c r="R4167" s="2" t="inlineStr"/>
    </row>
    <row r="4168" ht="15" customHeight="1">
      <c r="A4168" t="inlineStr">
        <is>
          <t>A 24580-2023</t>
        </is>
      </c>
      <c r="B4168" s="1" t="n">
        <v>45083</v>
      </c>
      <c r="C4168" s="1" t="n">
        <v>45744</v>
      </c>
      <c r="D4168" t="inlineStr">
        <is>
          <t>SKÅNE LÄN</t>
        </is>
      </c>
      <c r="E4168" t="inlineStr">
        <is>
          <t>KRISTIANSTAD</t>
        </is>
      </c>
      <c r="F4168" t="inlineStr">
        <is>
          <t>Övriga Aktiebolag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24579-2023</t>
        </is>
      </c>
      <c r="B4169" s="1" t="n">
        <v>45083</v>
      </c>
      <c r="C4169" s="1" t="n">
        <v>45744</v>
      </c>
      <c r="D4169" t="inlineStr">
        <is>
          <t>SKÅNE LÄN</t>
        </is>
      </c>
      <c r="E4169" t="inlineStr">
        <is>
          <t>KRISTIANSTAD</t>
        </is>
      </c>
      <c r="F4169" t="inlineStr">
        <is>
          <t>Övriga Aktiebolag</t>
        </is>
      </c>
      <c r="G4169" t="n">
        <v>10.5</v>
      </c>
      <c r="H4169" t="n">
        <v>0</v>
      </c>
      <c r="I4169" t="n">
        <v>0</v>
      </c>
      <c r="J4169" t="n">
        <v>0</v>
      </c>
      <c r="K4169" t="n">
        <v>0</v>
      </c>
      <c r="L4169" t="n">
        <v>0</v>
      </c>
      <c r="M4169" t="n">
        <v>0</v>
      </c>
      <c r="N4169" t="n">
        <v>0</v>
      </c>
      <c r="O4169" t="n">
        <v>0</v>
      </c>
      <c r="P4169" t="n">
        <v>0</v>
      </c>
      <c r="Q4169" t="n">
        <v>0</v>
      </c>
      <c r="R4169" s="2" t="inlineStr"/>
    </row>
    <row r="4170" ht="15" customHeight="1">
      <c r="A4170" t="inlineStr">
        <is>
          <t>A 24583-2023</t>
        </is>
      </c>
      <c r="B4170" s="1" t="n">
        <v>45083</v>
      </c>
      <c r="C4170" s="1" t="n">
        <v>45744</v>
      </c>
      <c r="D4170" t="inlineStr">
        <is>
          <t>SKÅNE LÄN</t>
        </is>
      </c>
      <c r="E4170" t="inlineStr">
        <is>
          <t>KRISTIANSTAD</t>
        </is>
      </c>
      <c r="F4170" t="inlineStr">
        <is>
          <t>Övriga Aktiebolag</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24582-2023</t>
        </is>
      </c>
      <c r="B4171" s="1" t="n">
        <v>45083</v>
      </c>
      <c r="C4171" s="1" t="n">
        <v>45744</v>
      </c>
      <c r="D4171" t="inlineStr">
        <is>
          <t>SKÅNE LÄN</t>
        </is>
      </c>
      <c r="E4171" t="inlineStr">
        <is>
          <t>KRISTIANSTAD</t>
        </is>
      </c>
      <c r="F4171" t="inlineStr">
        <is>
          <t>Övriga Aktiebolag</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24647-2023</t>
        </is>
      </c>
      <c r="B4172" s="1" t="n">
        <v>45084</v>
      </c>
      <c r="C4172" s="1" t="n">
        <v>45744</v>
      </c>
      <c r="D4172" t="inlineStr">
        <is>
          <t>SKÅNE LÄN</t>
        </is>
      </c>
      <c r="E4172" t="inlineStr">
        <is>
          <t>KLIPPAN</t>
        </is>
      </c>
      <c r="F4172" t="inlineStr">
        <is>
          <t>Övriga Aktiebolag</t>
        </is>
      </c>
      <c r="G4172" t="n">
        <v>11.6</v>
      </c>
      <c r="H4172" t="n">
        <v>0</v>
      </c>
      <c r="I4172" t="n">
        <v>0</v>
      </c>
      <c r="J4172" t="n">
        <v>0</v>
      </c>
      <c r="K4172" t="n">
        <v>0</v>
      </c>
      <c r="L4172" t="n">
        <v>0</v>
      </c>
      <c r="M4172" t="n">
        <v>0</v>
      </c>
      <c r="N4172" t="n">
        <v>0</v>
      </c>
      <c r="O4172" t="n">
        <v>0</v>
      </c>
      <c r="P4172" t="n">
        <v>0</v>
      </c>
      <c r="Q4172" t="n">
        <v>0</v>
      </c>
      <c r="R4172" s="2" t="inlineStr"/>
    </row>
    <row r="4173" ht="15" customHeight="1">
      <c r="A4173" t="inlineStr">
        <is>
          <t>A 24640-2023</t>
        </is>
      </c>
      <c r="B4173" s="1" t="n">
        <v>45084</v>
      </c>
      <c r="C4173" s="1" t="n">
        <v>45744</v>
      </c>
      <c r="D4173" t="inlineStr">
        <is>
          <t>SKÅNE LÄN</t>
        </is>
      </c>
      <c r="E4173" t="inlineStr">
        <is>
          <t>HÄSSLEHOLM</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24775-2023</t>
        </is>
      </c>
      <c r="B4174" s="1" t="n">
        <v>45084</v>
      </c>
      <c r="C4174" s="1" t="n">
        <v>45744</v>
      </c>
      <c r="D4174" t="inlineStr">
        <is>
          <t>SKÅNE LÄN</t>
        </is>
      </c>
      <c r="E4174" t="inlineStr">
        <is>
          <t>ÖRKELLJUNGA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24645-2023</t>
        </is>
      </c>
      <c r="B4175" s="1" t="n">
        <v>45084</v>
      </c>
      <c r="C4175" s="1" t="n">
        <v>45744</v>
      </c>
      <c r="D4175" t="inlineStr">
        <is>
          <t>SKÅNE LÄN</t>
        </is>
      </c>
      <c r="E4175" t="inlineStr">
        <is>
          <t>OSBY</t>
        </is>
      </c>
      <c r="G4175" t="n">
        <v>8.4</v>
      </c>
      <c r="H4175" t="n">
        <v>0</v>
      </c>
      <c r="I4175" t="n">
        <v>0</v>
      </c>
      <c r="J4175" t="n">
        <v>0</v>
      </c>
      <c r="K4175" t="n">
        <v>0</v>
      </c>
      <c r="L4175" t="n">
        <v>0</v>
      </c>
      <c r="M4175" t="n">
        <v>0</v>
      </c>
      <c r="N4175" t="n">
        <v>0</v>
      </c>
      <c r="O4175" t="n">
        <v>0</v>
      </c>
      <c r="P4175" t="n">
        <v>0</v>
      </c>
      <c r="Q4175" t="n">
        <v>0</v>
      </c>
      <c r="R4175" s="2" t="inlineStr"/>
    </row>
    <row r="4176" ht="15" customHeight="1">
      <c r="A4176" t="inlineStr">
        <is>
          <t>A 24765-2023</t>
        </is>
      </c>
      <c r="B4176" s="1" t="n">
        <v>45084</v>
      </c>
      <c r="C4176" s="1" t="n">
        <v>45744</v>
      </c>
      <c r="D4176" t="inlineStr">
        <is>
          <t>SKÅNE LÄN</t>
        </is>
      </c>
      <c r="E4176" t="inlineStr">
        <is>
          <t>ÖRKELLJUNGA</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24644-2023</t>
        </is>
      </c>
      <c r="B4177" s="1" t="n">
        <v>45084</v>
      </c>
      <c r="C4177" s="1" t="n">
        <v>45744</v>
      </c>
      <c r="D4177" t="inlineStr">
        <is>
          <t>SKÅNE LÄN</t>
        </is>
      </c>
      <c r="E4177" t="inlineStr">
        <is>
          <t>KLIPPAN</t>
        </is>
      </c>
      <c r="F4177" t="inlineStr">
        <is>
          <t>Övriga Aktiebolag</t>
        </is>
      </c>
      <c r="G4177" t="n">
        <v>12.2</v>
      </c>
      <c r="H4177" t="n">
        <v>0</v>
      </c>
      <c r="I4177" t="n">
        <v>0</v>
      </c>
      <c r="J4177" t="n">
        <v>0</v>
      </c>
      <c r="K4177" t="n">
        <v>0</v>
      </c>
      <c r="L4177" t="n">
        <v>0</v>
      </c>
      <c r="M4177" t="n">
        <v>0</v>
      </c>
      <c r="N4177" t="n">
        <v>0</v>
      </c>
      <c r="O4177" t="n">
        <v>0</v>
      </c>
      <c r="P4177" t="n">
        <v>0</v>
      </c>
      <c r="Q4177" t="n">
        <v>0</v>
      </c>
      <c r="R4177" s="2" t="inlineStr"/>
    </row>
    <row r="4178" ht="15" customHeight="1">
      <c r="A4178" t="inlineStr">
        <is>
          <t>A 24652-2023</t>
        </is>
      </c>
      <c r="B4178" s="1" t="n">
        <v>45084</v>
      </c>
      <c r="C4178" s="1" t="n">
        <v>45744</v>
      </c>
      <c r="D4178" t="inlineStr">
        <is>
          <t>SKÅNE LÄN</t>
        </is>
      </c>
      <c r="E4178" t="inlineStr">
        <is>
          <t>KLIPPAN</t>
        </is>
      </c>
      <c r="F4178" t="inlineStr">
        <is>
          <t>Övriga Aktiebolag</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24679-2023</t>
        </is>
      </c>
      <c r="B4179" s="1" t="n">
        <v>45084</v>
      </c>
      <c r="C4179" s="1" t="n">
        <v>45744</v>
      </c>
      <c r="D4179" t="inlineStr">
        <is>
          <t>SKÅNE LÄN</t>
        </is>
      </c>
      <c r="E4179" t="inlineStr">
        <is>
          <t>HÄSSLEHOLM</t>
        </is>
      </c>
      <c r="G4179" t="n">
        <v>7.1</v>
      </c>
      <c r="H4179" t="n">
        <v>0</v>
      </c>
      <c r="I4179" t="n">
        <v>0</v>
      </c>
      <c r="J4179" t="n">
        <v>0</v>
      </c>
      <c r="K4179" t="n">
        <v>0</v>
      </c>
      <c r="L4179" t="n">
        <v>0</v>
      </c>
      <c r="M4179" t="n">
        <v>0</v>
      </c>
      <c r="N4179" t="n">
        <v>0</v>
      </c>
      <c r="O4179" t="n">
        <v>0</v>
      </c>
      <c r="P4179" t="n">
        <v>0</v>
      </c>
      <c r="Q4179" t="n">
        <v>0</v>
      </c>
      <c r="R4179" s="2" t="inlineStr"/>
    </row>
    <row r="4180" ht="15" customHeight="1">
      <c r="A4180" t="inlineStr">
        <is>
          <t>A 24947-2023</t>
        </is>
      </c>
      <c r="B4180" s="1" t="n">
        <v>45085</v>
      </c>
      <c r="C4180" s="1" t="n">
        <v>45744</v>
      </c>
      <c r="D4180" t="inlineStr">
        <is>
          <t>SKÅNE LÄN</t>
        </is>
      </c>
      <c r="E4180" t="inlineStr">
        <is>
          <t>KRISTIANSTAD</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24952-2023</t>
        </is>
      </c>
      <c r="B4181" s="1" t="n">
        <v>45085</v>
      </c>
      <c r="C4181" s="1" t="n">
        <v>45744</v>
      </c>
      <c r="D4181" t="inlineStr">
        <is>
          <t>SKÅNE LÄN</t>
        </is>
      </c>
      <c r="E4181" t="inlineStr">
        <is>
          <t>KRISTIANSTAD</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24977-2023</t>
        </is>
      </c>
      <c r="B4182" s="1" t="n">
        <v>45085</v>
      </c>
      <c r="C4182" s="1" t="n">
        <v>45744</v>
      </c>
      <c r="D4182" t="inlineStr">
        <is>
          <t>SKÅNE LÄN</t>
        </is>
      </c>
      <c r="E4182" t="inlineStr">
        <is>
          <t>BROMÖLLA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24986-2023</t>
        </is>
      </c>
      <c r="B4183" s="1" t="n">
        <v>45085</v>
      </c>
      <c r="C4183" s="1" t="n">
        <v>45744</v>
      </c>
      <c r="D4183" t="inlineStr">
        <is>
          <t>SKÅNE LÄN</t>
        </is>
      </c>
      <c r="E4183" t="inlineStr">
        <is>
          <t>ÖSTRA GÖINGE</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25219-2023</t>
        </is>
      </c>
      <c r="B4184" s="1" t="n">
        <v>45086</v>
      </c>
      <c r="C4184" s="1" t="n">
        <v>45744</v>
      </c>
      <c r="D4184" t="inlineStr">
        <is>
          <t>SKÅNE LÄN</t>
        </is>
      </c>
      <c r="E4184" t="inlineStr">
        <is>
          <t>HÄSSLEHOLM</t>
        </is>
      </c>
      <c r="G4184" t="n">
        <v>6.9</v>
      </c>
      <c r="H4184" t="n">
        <v>0</v>
      </c>
      <c r="I4184" t="n">
        <v>0</v>
      </c>
      <c r="J4184" t="n">
        <v>0</v>
      </c>
      <c r="K4184" t="n">
        <v>0</v>
      </c>
      <c r="L4184" t="n">
        <v>0</v>
      </c>
      <c r="M4184" t="n">
        <v>0</v>
      </c>
      <c r="N4184" t="n">
        <v>0</v>
      </c>
      <c r="O4184" t="n">
        <v>0</v>
      </c>
      <c r="P4184" t="n">
        <v>0</v>
      </c>
      <c r="Q4184" t="n">
        <v>0</v>
      </c>
      <c r="R4184" s="2" t="inlineStr"/>
    </row>
    <row r="4185" ht="15" customHeight="1">
      <c r="A4185" t="inlineStr">
        <is>
          <t>A 25069-2023</t>
        </is>
      </c>
      <c r="B4185" s="1" t="n">
        <v>45086</v>
      </c>
      <c r="C4185" s="1" t="n">
        <v>45744</v>
      </c>
      <c r="D4185" t="inlineStr">
        <is>
          <t>SKÅNE LÄN</t>
        </is>
      </c>
      <c r="E4185" t="inlineStr">
        <is>
          <t>KLIPPAN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25221-2023</t>
        </is>
      </c>
      <c r="B4186" s="1" t="n">
        <v>45086</v>
      </c>
      <c r="C4186" s="1" t="n">
        <v>45744</v>
      </c>
      <c r="D4186" t="inlineStr">
        <is>
          <t>SKÅNE LÄN</t>
        </is>
      </c>
      <c r="E4186" t="inlineStr">
        <is>
          <t>HÄSSLEHOLM</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25213-2023</t>
        </is>
      </c>
      <c r="B4187" s="1" t="n">
        <v>45086</v>
      </c>
      <c r="C4187" s="1" t="n">
        <v>45744</v>
      </c>
      <c r="D4187" t="inlineStr">
        <is>
          <t>SKÅNE LÄN</t>
        </is>
      </c>
      <c r="E4187" t="inlineStr">
        <is>
          <t>HÄSSLEHOLM</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25272-2023</t>
        </is>
      </c>
      <c r="B4188" s="1" t="n">
        <v>45086</v>
      </c>
      <c r="C4188" s="1" t="n">
        <v>45744</v>
      </c>
      <c r="D4188" t="inlineStr">
        <is>
          <t>SKÅNE LÄN</t>
        </is>
      </c>
      <c r="E4188" t="inlineStr">
        <is>
          <t>PERSTORP</t>
        </is>
      </c>
      <c r="F4188" t="inlineStr">
        <is>
          <t>Övriga Aktiebolag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25206-2023</t>
        </is>
      </c>
      <c r="B4189" s="1" t="n">
        <v>45086</v>
      </c>
      <c r="C4189" s="1" t="n">
        <v>45744</v>
      </c>
      <c r="D4189" t="inlineStr">
        <is>
          <t>SKÅNE LÄN</t>
        </is>
      </c>
      <c r="E4189" t="inlineStr">
        <is>
          <t>HÄSSLEHOLM</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26397-2023</t>
        </is>
      </c>
      <c r="B4190" s="1" t="n">
        <v>45087</v>
      </c>
      <c r="C4190" s="1" t="n">
        <v>45744</v>
      </c>
      <c r="D4190" t="inlineStr">
        <is>
          <t>SKÅNE LÄN</t>
        </is>
      </c>
      <c r="E4190" t="inlineStr">
        <is>
          <t>HÄSSLEHOLM</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25475-2023</t>
        </is>
      </c>
      <c r="B4191" s="1" t="n">
        <v>45089</v>
      </c>
      <c r="C4191" s="1" t="n">
        <v>45744</v>
      </c>
      <c r="D4191" t="inlineStr">
        <is>
          <t>SKÅNE LÄN</t>
        </is>
      </c>
      <c r="E4191" t="inlineStr">
        <is>
          <t>SIMRISHAMN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25511-2023</t>
        </is>
      </c>
      <c r="B4192" s="1" t="n">
        <v>45089</v>
      </c>
      <c r="C4192" s="1" t="n">
        <v>45744</v>
      </c>
      <c r="D4192" t="inlineStr">
        <is>
          <t>SKÅNE LÄN</t>
        </is>
      </c>
      <c r="E4192" t="inlineStr">
        <is>
          <t>HÄSSLEHOLM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25385-2023</t>
        </is>
      </c>
      <c r="B4193" s="1" t="n">
        <v>45089</v>
      </c>
      <c r="C4193" s="1" t="n">
        <v>45744</v>
      </c>
      <c r="D4193" t="inlineStr">
        <is>
          <t>SKÅNE LÄN</t>
        </is>
      </c>
      <c r="E4193" t="inlineStr">
        <is>
          <t>ESLÖV</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25388-2023</t>
        </is>
      </c>
      <c r="B4194" s="1" t="n">
        <v>45089</v>
      </c>
      <c r="C4194" s="1" t="n">
        <v>45744</v>
      </c>
      <c r="D4194" t="inlineStr">
        <is>
          <t>SKÅNE LÄN</t>
        </is>
      </c>
      <c r="E4194" t="inlineStr">
        <is>
          <t>ESLÖV</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25619-2023</t>
        </is>
      </c>
      <c r="B4195" s="1" t="n">
        <v>45089</v>
      </c>
      <c r="C4195" s="1" t="n">
        <v>45744</v>
      </c>
      <c r="D4195" t="inlineStr">
        <is>
          <t>SKÅNE LÄN</t>
        </is>
      </c>
      <c r="E4195" t="inlineStr">
        <is>
          <t>HÖÖR</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25456-2023</t>
        </is>
      </c>
      <c r="B4196" s="1" t="n">
        <v>45089</v>
      </c>
      <c r="C4196" s="1" t="n">
        <v>45744</v>
      </c>
      <c r="D4196" t="inlineStr">
        <is>
          <t>SKÅNE LÄN</t>
        </is>
      </c>
      <c r="E4196" t="inlineStr">
        <is>
          <t>KRISTIANSTAD</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25508-2023</t>
        </is>
      </c>
      <c r="B4197" s="1" t="n">
        <v>45089</v>
      </c>
      <c r="C4197" s="1" t="n">
        <v>45744</v>
      </c>
      <c r="D4197" t="inlineStr">
        <is>
          <t>SKÅNE LÄN</t>
        </is>
      </c>
      <c r="E4197" t="inlineStr">
        <is>
          <t>ESLÖV</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25544-2023</t>
        </is>
      </c>
      <c r="B4198" s="1" t="n">
        <v>45089</v>
      </c>
      <c r="C4198" s="1" t="n">
        <v>45744</v>
      </c>
      <c r="D4198" t="inlineStr">
        <is>
          <t>SKÅNE LÄN</t>
        </is>
      </c>
      <c r="E4198" t="inlineStr">
        <is>
          <t>KLIPPAN</t>
        </is>
      </c>
      <c r="F4198" t="inlineStr">
        <is>
          <t>Sveaskog</t>
        </is>
      </c>
      <c r="G4198" t="n">
        <v>13.1</v>
      </c>
      <c r="H4198" t="n">
        <v>0</v>
      </c>
      <c r="I4198" t="n">
        <v>0</v>
      </c>
      <c r="J4198" t="n">
        <v>0</v>
      </c>
      <c r="K4198" t="n">
        <v>0</v>
      </c>
      <c r="L4198" t="n">
        <v>0</v>
      </c>
      <c r="M4198" t="n">
        <v>0</v>
      </c>
      <c r="N4198" t="n">
        <v>0</v>
      </c>
      <c r="O4198" t="n">
        <v>0</v>
      </c>
      <c r="P4198" t="n">
        <v>0</v>
      </c>
      <c r="Q4198" t="n">
        <v>0</v>
      </c>
      <c r="R4198" s="2" t="inlineStr"/>
    </row>
    <row r="4199" ht="15" customHeight="1">
      <c r="A4199" t="inlineStr">
        <is>
          <t>A 25671-2023</t>
        </is>
      </c>
      <c r="B4199" s="1" t="n">
        <v>45089</v>
      </c>
      <c r="C4199" s="1" t="n">
        <v>45744</v>
      </c>
      <c r="D4199" t="inlineStr">
        <is>
          <t>SKÅNE LÄN</t>
        </is>
      </c>
      <c r="E4199" t="inlineStr">
        <is>
          <t>KRISTIANSTAD</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25773-2023</t>
        </is>
      </c>
      <c r="B4200" s="1" t="n">
        <v>45090</v>
      </c>
      <c r="C4200" s="1" t="n">
        <v>45744</v>
      </c>
      <c r="D4200" t="inlineStr">
        <is>
          <t>SKÅNE LÄN</t>
        </is>
      </c>
      <c r="E4200" t="inlineStr">
        <is>
          <t>HÄSSLEHOLM</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25839-2023</t>
        </is>
      </c>
      <c r="B4201" s="1" t="n">
        <v>45090</v>
      </c>
      <c r="C4201" s="1" t="n">
        <v>45744</v>
      </c>
      <c r="D4201" t="inlineStr">
        <is>
          <t>SKÅNE LÄN</t>
        </is>
      </c>
      <c r="E4201" t="inlineStr">
        <is>
          <t>KRISTIANSTAD</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25701-2023</t>
        </is>
      </c>
      <c r="B4202" s="1" t="n">
        <v>45090</v>
      </c>
      <c r="C4202" s="1" t="n">
        <v>45744</v>
      </c>
      <c r="D4202" t="inlineStr">
        <is>
          <t>SKÅNE LÄN</t>
        </is>
      </c>
      <c r="E4202" t="inlineStr">
        <is>
          <t>HÖRBY</t>
        </is>
      </c>
      <c r="G4202" t="n">
        <v>10.8</v>
      </c>
      <c r="H4202" t="n">
        <v>0</v>
      </c>
      <c r="I4202" t="n">
        <v>0</v>
      </c>
      <c r="J4202" t="n">
        <v>0</v>
      </c>
      <c r="K4202" t="n">
        <v>0</v>
      </c>
      <c r="L4202" t="n">
        <v>0</v>
      </c>
      <c r="M4202" t="n">
        <v>0</v>
      </c>
      <c r="N4202" t="n">
        <v>0</v>
      </c>
      <c r="O4202" t="n">
        <v>0</v>
      </c>
      <c r="P4202" t="n">
        <v>0</v>
      </c>
      <c r="Q4202" t="n">
        <v>0</v>
      </c>
      <c r="R4202" s="2" t="inlineStr"/>
    </row>
    <row r="4203" ht="15" customHeight="1">
      <c r="A4203" t="inlineStr">
        <is>
          <t>A 25918-2023</t>
        </is>
      </c>
      <c r="B4203" s="1" t="n">
        <v>45090</v>
      </c>
      <c r="C4203" s="1" t="n">
        <v>45744</v>
      </c>
      <c r="D4203" t="inlineStr">
        <is>
          <t>SKÅNE LÄN</t>
        </is>
      </c>
      <c r="E4203" t="inlineStr">
        <is>
          <t>BROMÖLLA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25958-2023</t>
        </is>
      </c>
      <c r="B4204" s="1" t="n">
        <v>45090</v>
      </c>
      <c r="C4204" s="1" t="n">
        <v>45744</v>
      </c>
      <c r="D4204" t="inlineStr">
        <is>
          <t>SKÅNE LÄN</t>
        </is>
      </c>
      <c r="E4204" t="inlineStr">
        <is>
          <t>ÖRKELLJUNGA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25962-2023</t>
        </is>
      </c>
      <c r="B4205" s="1" t="n">
        <v>45090</v>
      </c>
      <c r="C4205" s="1" t="n">
        <v>45744</v>
      </c>
      <c r="D4205" t="inlineStr">
        <is>
          <t>SKÅNE LÄN</t>
        </is>
      </c>
      <c r="E4205" t="inlineStr">
        <is>
          <t>ÖRKELLJUNGA</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25966-2023</t>
        </is>
      </c>
      <c r="B4206" s="1" t="n">
        <v>45090</v>
      </c>
      <c r="C4206" s="1" t="n">
        <v>45744</v>
      </c>
      <c r="D4206" t="inlineStr">
        <is>
          <t>SKÅNE LÄN</t>
        </is>
      </c>
      <c r="E4206" t="inlineStr">
        <is>
          <t>ÖRKELLJUNGA</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25959-2023</t>
        </is>
      </c>
      <c r="B4207" s="1" t="n">
        <v>45090</v>
      </c>
      <c r="C4207" s="1" t="n">
        <v>45744</v>
      </c>
      <c r="D4207" t="inlineStr">
        <is>
          <t>SKÅNE LÄN</t>
        </is>
      </c>
      <c r="E4207" t="inlineStr">
        <is>
          <t>ÖRKELLJUNGA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25963-2023</t>
        </is>
      </c>
      <c r="B4208" s="1" t="n">
        <v>45090</v>
      </c>
      <c r="C4208" s="1" t="n">
        <v>45744</v>
      </c>
      <c r="D4208" t="inlineStr">
        <is>
          <t>SKÅNE LÄN</t>
        </is>
      </c>
      <c r="E4208" t="inlineStr">
        <is>
          <t>ÖRKELLJUNGA</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25967-2023</t>
        </is>
      </c>
      <c r="B4209" s="1" t="n">
        <v>45090</v>
      </c>
      <c r="C4209" s="1" t="n">
        <v>45744</v>
      </c>
      <c r="D4209" t="inlineStr">
        <is>
          <t>SKÅNE LÄN</t>
        </is>
      </c>
      <c r="E4209" t="inlineStr">
        <is>
          <t>ÖRKELLJUNGA</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25933-2023</t>
        </is>
      </c>
      <c r="B4210" s="1" t="n">
        <v>45090</v>
      </c>
      <c r="C4210" s="1" t="n">
        <v>45744</v>
      </c>
      <c r="D4210" t="inlineStr">
        <is>
          <t>SKÅNE LÄN</t>
        </is>
      </c>
      <c r="E4210" t="inlineStr">
        <is>
          <t>ÖSTRA GÖINGE</t>
        </is>
      </c>
      <c r="G4210" t="n">
        <v>12.8</v>
      </c>
      <c r="H4210" t="n">
        <v>0</v>
      </c>
      <c r="I4210" t="n">
        <v>0</v>
      </c>
      <c r="J4210" t="n">
        <v>0</v>
      </c>
      <c r="K4210" t="n">
        <v>0</v>
      </c>
      <c r="L4210" t="n">
        <v>0</v>
      </c>
      <c r="M4210" t="n">
        <v>0</v>
      </c>
      <c r="N4210" t="n">
        <v>0</v>
      </c>
      <c r="O4210" t="n">
        <v>0</v>
      </c>
      <c r="P4210" t="n">
        <v>0</v>
      </c>
      <c r="Q4210" t="n">
        <v>0</v>
      </c>
      <c r="R4210" s="2" t="inlineStr"/>
    </row>
    <row r="4211" ht="15" customHeight="1">
      <c r="A4211" t="inlineStr">
        <is>
          <t>A 25833-2023</t>
        </is>
      </c>
      <c r="B4211" s="1" t="n">
        <v>45090</v>
      </c>
      <c r="C4211" s="1" t="n">
        <v>45744</v>
      </c>
      <c r="D4211" t="inlineStr">
        <is>
          <t>SKÅNE LÄN</t>
        </is>
      </c>
      <c r="E4211" t="inlineStr">
        <is>
          <t>ÖSTRA GÖINGE</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25956-2023</t>
        </is>
      </c>
      <c r="B4212" s="1" t="n">
        <v>45090</v>
      </c>
      <c r="C4212" s="1" t="n">
        <v>45744</v>
      </c>
      <c r="D4212" t="inlineStr">
        <is>
          <t>SKÅNE LÄN</t>
        </is>
      </c>
      <c r="E4212" t="inlineStr">
        <is>
          <t>ÖRKELLJUNGA</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25960-2023</t>
        </is>
      </c>
      <c r="B4213" s="1" t="n">
        <v>45090</v>
      </c>
      <c r="C4213" s="1" t="n">
        <v>45744</v>
      </c>
      <c r="D4213" t="inlineStr">
        <is>
          <t>SKÅNE LÄN</t>
        </is>
      </c>
      <c r="E4213" t="inlineStr">
        <is>
          <t>ÖRKELLJUNGA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25964-2023</t>
        </is>
      </c>
      <c r="B4214" s="1" t="n">
        <v>45090</v>
      </c>
      <c r="C4214" s="1" t="n">
        <v>45744</v>
      </c>
      <c r="D4214" t="inlineStr">
        <is>
          <t>SKÅNE LÄN</t>
        </is>
      </c>
      <c r="E4214" t="inlineStr">
        <is>
          <t>ÖRKELLJUNGA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25965-2023</t>
        </is>
      </c>
      <c r="B4215" s="1" t="n">
        <v>45090</v>
      </c>
      <c r="C4215" s="1" t="n">
        <v>45744</v>
      </c>
      <c r="D4215" t="inlineStr">
        <is>
          <t>SKÅNE LÄN</t>
        </is>
      </c>
      <c r="E4215" t="inlineStr">
        <is>
          <t>ÖRKELLJUNGA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26730-2023</t>
        </is>
      </c>
      <c r="B4216" s="1" t="n">
        <v>45090</v>
      </c>
      <c r="C4216" s="1" t="n">
        <v>45744</v>
      </c>
      <c r="D4216" t="inlineStr">
        <is>
          <t>SKÅNE LÄN</t>
        </is>
      </c>
      <c r="E4216" t="inlineStr">
        <is>
          <t>SJÖBO</t>
        </is>
      </c>
      <c r="F4216" t="inlineStr">
        <is>
          <t>Sveaskog</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26255-2023</t>
        </is>
      </c>
      <c r="B4217" s="1" t="n">
        <v>45091</v>
      </c>
      <c r="C4217" s="1" t="n">
        <v>45744</v>
      </c>
      <c r="D4217" t="inlineStr">
        <is>
          <t>SKÅNE LÄN</t>
        </is>
      </c>
      <c r="E4217" t="inlineStr">
        <is>
          <t>ÄNGELHOLM</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26259-2023</t>
        </is>
      </c>
      <c r="B4218" s="1" t="n">
        <v>45091</v>
      </c>
      <c r="C4218" s="1" t="n">
        <v>45744</v>
      </c>
      <c r="D4218" t="inlineStr">
        <is>
          <t>SKÅNE LÄN</t>
        </is>
      </c>
      <c r="E4218" t="inlineStr">
        <is>
          <t>ÄNGELHOLM</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26158-2023</t>
        </is>
      </c>
      <c r="B4219" s="1" t="n">
        <v>45091</v>
      </c>
      <c r="C4219" s="1" t="n">
        <v>45744</v>
      </c>
      <c r="D4219" t="inlineStr">
        <is>
          <t>SKÅNE LÄN</t>
        </is>
      </c>
      <c r="E4219" t="inlineStr">
        <is>
          <t>OSBY</t>
        </is>
      </c>
      <c r="G4219" t="n">
        <v>7.4</v>
      </c>
      <c r="H4219" t="n">
        <v>0</v>
      </c>
      <c r="I4219" t="n">
        <v>0</v>
      </c>
      <c r="J4219" t="n">
        <v>0</v>
      </c>
      <c r="K4219" t="n">
        <v>0</v>
      </c>
      <c r="L4219" t="n">
        <v>0</v>
      </c>
      <c r="M4219" t="n">
        <v>0</v>
      </c>
      <c r="N4219" t="n">
        <v>0</v>
      </c>
      <c r="O4219" t="n">
        <v>0</v>
      </c>
      <c r="P4219" t="n">
        <v>0</v>
      </c>
      <c r="Q4219" t="n">
        <v>0</v>
      </c>
      <c r="R4219" s="2" t="inlineStr"/>
    </row>
    <row r="4220" ht="15" customHeight="1">
      <c r="A4220" t="inlineStr">
        <is>
          <t>A 26215-2023</t>
        </is>
      </c>
      <c r="B4220" s="1" t="n">
        <v>45091</v>
      </c>
      <c r="C4220" s="1" t="n">
        <v>45744</v>
      </c>
      <c r="D4220" t="inlineStr">
        <is>
          <t>SKÅNE LÄN</t>
        </is>
      </c>
      <c r="E4220" t="inlineStr">
        <is>
          <t>KLIPPAN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26339-2023</t>
        </is>
      </c>
      <c r="B4221" s="1" t="n">
        <v>45091</v>
      </c>
      <c r="C4221" s="1" t="n">
        <v>45744</v>
      </c>
      <c r="D4221" t="inlineStr">
        <is>
          <t>SKÅNE LÄN</t>
        </is>
      </c>
      <c r="E4221" t="inlineStr">
        <is>
          <t>ÖSTRA GÖINGE</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26178-2023</t>
        </is>
      </c>
      <c r="B4222" s="1" t="n">
        <v>45091</v>
      </c>
      <c r="C4222" s="1" t="n">
        <v>45744</v>
      </c>
      <c r="D4222" t="inlineStr">
        <is>
          <t>SKÅNE LÄN</t>
        </is>
      </c>
      <c r="E4222" t="inlineStr">
        <is>
          <t>ÖRKELLJUNGA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26179-2023</t>
        </is>
      </c>
      <c r="B4223" s="1" t="n">
        <v>45091</v>
      </c>
      <c r="C4223" s="1" t="n">
        <v>45744</v>
      </c>
      <c r="D4223" t="inlineStr">
        <is>
          <t>SKÅNE LÄN</t>
        </is>
      </c>
      <c r="E4223" t="inlineStr">
        <is>
          <t>ÖRKELLJUNGA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26295-2023</t>
        </is>
      </c>
      <c r="B4224" s="1" t="n">
        <v>45091</v>
      </c>
      <c r="C4224" s="1" t="n">
        <v>45744</v>
      </c>
      <c r="D4224" t="inlineStr">
        <is>
          <t>SKÅNE LÄN</t>
        </is>
      </c>
      <c r="E4224" t="inlineStr">
        <is>
          <t>SJÖBO</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26471-2023</t>
        </is>
      </c>
      <c r="B4225" s="1" t="n">
        <v>45092</v>
      </c>
      <c r="C4225" s="1" t="n">
        <v>45744</v>
      </c>
      <c r="D4225" t="inlineStr">
        <is>
          <t>SKÅNE LÄN</t>
        </is>
      </c>
      <c r="E4225" t="inlineStr">
        <is>
          <t>SIMRISHAMN</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26519-2023</t>
        </is>
      </c>
      <c r="B4226" s="1" t="n">
        <v>45092</v>
      </c>
      <c r="C4226" s="1" t="n">
        <v>45744</v>
      </c>
      <c r="D4226" t="inlineStr">
        <is>
          <t>SKÅNE LÄN</t>
        </is>
      </c>
      <c r="E4226" t="inlineStr">
        <is>
          <t>SVALÖV</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26590-2023</t>
        </is>
      </c>
      <c r="B4227" s="1" t="n">
        <v>45092</v>
      </c>
      <c r="C4227" s="1" t="n">
        <v>45744</v>
      </c>
      <c r="D4227" t="inlineStr">
        <is>
          <t>SKÅNE LÄN</t>
        </is>
      </c>
      <c r="E4227" t="inlineStr">
        <is>
          <t>OSBY</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26641-2023</t>
        </is>
      </c>
      <c r="B4228" s="1" t="n">
        <v>45092</v>
      </c>
      <c r="C4228" s="1" t="n">
        <v>45744</v>
      </c>
      <c r="D4228" t="inlineStr">
        <is>
          <t>SKÅNE LÄN</t>
        </is>
      </c>
      <c r="E4228" t="inlineStr">
        <is>
          <t>HÄSSLEHOLM</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26642-2023</t>
        </is>
      </c>
      <c r="B4229" s="1" t="n">
        <v>45092</v>
      </c>
      <c r="C4229" s="1" t="n">
        <v>45744</v>
      </c>
      <c r="D4229" t="inlineStr">
        <is>
          <t>SKÅNE LÄN</t>
        </is>
      </c>
      <c r="E4229" t="inlineStr">
        <is>
          <t>HÄSSLEHOLM</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27502-2023</t>
        </is>
      </c>
      <c r="B4230" s="1" t="n">
        <v>45092</v>
      </c>
      <c r="C4230" s="1" t="n">
        <v>45744</v>
      </c>
      <c r="D4230" t="inlineStr">
        <is>
          <t>SKÅNE LÄN</t>
        </is>
      </c>
      <c r="E4230" t="inlineStr">
        <is>
          <t>HÄSSLEHOLM</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27478-2023</t>
        </is>
      </c>
      <c r="B4231" s="1" t="n">
        <v>45092</v>
      </c>
      <c r="C4231" s="1" t="n">
        <v>45744</v>
      </c>
      <c r="D4231" t="inlineStr">
        <is>
          <t>SKÅNE LÄN</t>
        </is>
      </c>
      <c r="E4231" t="inlineStr">
        <is>
          <t>HÄSSLEHOLM</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26764-2023</t>
        </is>
      </c>
      <c r="B4232" s="1" t="n">
        <v>45093</v>
      </c>
      <c r="C4232" s="1" t="n">
        <v>45744</v>
      </c>
      <c r="D4232" t="inlineStr">
        <is>
          <t>SKÅNE LÄN</t>
        </is>
      </c>
      <c r="E4232" t="inlineStr">
        <is>
          <t>HÖÖR</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26708-2023</t>
        </is>
      </c>
      <c r="B4233" s="1" t="n">
        <v>45093</v>
      </c>
      <c r="C4233" s="1" t="n">
        <v>45744</v>
      </c>
      <c r="D4233" t="inlineStr">
        <is>
          <t>SKÅNE LÄN</t>
        </is>
      </c>
      <c r="E4233" t="inlineStr">
        <is>
          <t>BJUV</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26780-2023</t>
        </is>
      </c>
      <c r="B4234" s="1" t="n">
        <v>45093</v>
      </c>
      <c r="C4234" s="1" t="n">
        <v>45744</v>
      </c>
      <c r="D4234" t="inlineStr">
        <is>
          <t>SKÅNE LÄN</t>
        </is>
      </c>
      <c r="E4234" t="inlineStr">
        <is>
          <t>OSBY</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26757-2023</t>
        </is>
      </c>
      <c r="B4235" s="1" t="n">
        <v>45093</v>
      </c>
      <c r="C4235" s="1" t="n">
        <v>45744</v>
      </c>
      <c r="D4235" t="inlineStr">
        <is>
          <t>SKÅNE LÄN</t>
        </is>
      </c>
      <c r="E4235" t="inlineStr">
        <is>
          <t>HÖÖR</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27008-2023</t>
        </is>
      </c>
      <c r="B4236" s="1" t="n">
        <v>45094</v>
      </c>
      <c r="C4236" s="1" t="n">
        <v>45744</v>
      </c>
      <c r="D4236" t="inlineStr">
        <is>
          <t>SKÅNE LÄN</t>
        </is>
      </c>
      <c r="E4236" t="inlineStr">
        <is>
          <t>KLIPPAN</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27010-2023</t>
        </is>
      </c>
      <c r="B4237" s="1" t="n">
        <v>45094</v>
      </c>
      <c r="C4237" s="1" t="n">
        <v>45744</v>
      </c>
      <c r="D4237" t="inlineStr">
        <is>
          <t>SKÅNE LÄN</t>
        </is>
      </c>
      <c r="E4237" t="inlineStr">
        <is>
          <t>KLIPPAN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27009-2023</t>
        </is>
      </c>
      <c r="B4238" s="1" t="n">
        <v>45094</v>
      </c>
      <c r="C4238" s="1" t="n">
        <v>45744</v>
      </c>
      <c r="D4238" t="inlineStr">
        <is>
          <t>SKÅNE LÄN</t>
        </is>
      </c>
      <c r="E4238" t="inlineStr">
        <is>
          <t>KLIPPAN</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27011-2023</t>
        </is>
      </c>
      <c r="B4239" s="1" t="n">
        <v>45094</v>
      </c>
      <c r="C4239" s="1" t="n">
        <v>45744</v>
      </c>
      <c r="D4239" t="inlineStr">
        <is>
          <t>SKÅNE LÄN</t>
        </is>
      </c>
      <c r="E4239" t="inlineStr">
        <is>
          <t>KLIPPAN</t>
        </is>
      </c>
      <c r="G4239" t="n">
        <v>6.8</v>
      </c>
      <c r="H4239" t="n">
        <v>0</v>
      </c>
      <c r="I4239" t="n">
        <v>0</v>
      </c>
      <c r="J4239" t="n">
        <v>0</v>
      </c>
      <c r="K4239" t="n">
        <v>0</v>
      </c>
      <c r="L4239" t="n">
        <v>0</v>
      </c>
      <c r="M4239" t="n">
        <v>0</v>
      </c>
      <c r="N4239" t="n">
        <v>0</v>
      </c>
      <c r="O4239" t="n">
        <v>0</v>
      </c>
      <c r="P4239" t="n">
        <v>0</v>
      </c>
      <c r="Q4239" t="n">
        <v>0</v>
      </c>
      <c r="R4239" s="2" t="inlineStr"/>
    </row>
    <row r="4240" ht="15" customHeight="1">
      <c r="A4240" t="inlineStr">
        <is>
          <t>A 27039-2023</t>
        </is>
      </c>
      <c r="B4240" s="1" t="n">
        <v>45095</v>
      </c>
      <c r="C4240" s="1" t="n">
        <v>45744</v>
      </c>
      <c r="D4240" t="inlineStr">
        <is>
          <t>SKÅNE LÄN</t>
        </is>
      </c>
      <c r="E4240" t="inlineStr">
        <is>
          <t>OSBY</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27199-2023</t>
        </is>
      </c>
      <c r="B4241" s="1" t="n">
        <v>45096</v>
      </c>
      <c r="C4241" s="1" t="n">
        <v>45744</v>
      </c>
      <c r="D4241" t="inlineStr">
        <is>
          <t>SKÅNE LÄN</t>
        </is>
      </c>
      <c r="E4241" t="inlineStr">
        <is>
          <t>ÖRKELLJUNGA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27229-2023</t>
        </is>
      </c>
      <c r="B4242" s="1" t="n">
        <v>45096</v>
      </c>
      <c r="C4242" s="1" t="n">
        <v>45744</v>
      </c>
      <c r="D4242" t="inlineStr">
        <is>
          <t>SKÅNE LÄN</t>
        </is>
      </c>
      <c r="E4242" t="inlineStr">
        <is>
          <t>KRISTIANSTAD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27277-2023</t>
        </is>
      </c>
      <c r="B4243" s="1" t="n">
        <v>45096</v>
      </c>
      <c r="C4243" s="1" t="n">
        <v>45744</v>
      </c>
      <c r="D4243" t="inlineStr">
        <is>
          <t>SKÅNE LÄN</t>
        </is>
      </c>
      <c r="E4243" t="inlineStr">
        <is>
          <t>OSBY</t>
        </is>
      </c>
      <c r="F4243" t="inlineStr">
        <is>
          <t>Sveaskog</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27281-2023</t>
        </is>
      </c>
      <c r="B4244" s="1" t="n">
        <v>45096</v>
      </c>
      <c r="C4244" s="1" t="n">
        <v>45744</v>
      </c>
      <c r="D4244" t="inlineStr">
        <is>
          <t>SKÅNE LÄN</t>
        </is>
      </c>
      <c r="E4244" t="inlineStr">
        <is>
          <t>OSBY</t>
        </is>
      </c>
      <c r="F4244" t="inlineStr">
        <is>
          <t>Sveaskog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27310-2023</t>
        </is>
      </c>
      <c r="B4245" s="1" t="n">
        <v>45096</v>
      </c>
      <c r="C4245" s="1" t="n">
        <v>45744</v>
      </c>
      <c r="D4245" t="inlineStr">
        <is>
          <t>SKÅNE LÄN</t>
        </is>
      </c>
      <c r="E4245" t="inlineStr">
        <is>
          <t>SVALÖV</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27297-2023</t>
        </is>
      </c>
      <c r="B4246" s="1" t="n">
        <v>45096</v>
      </c>
      <c r="C4246" s="1" t="n">
        <v>45744</v>
      </c>
      <c r="D4246" t="inlineStr">
        <is>
          <t>SKÅNE LÄN</t>
        </is>
      </c>
      <c r="E4246" t="inlineStr">
        <is>
          <t>HÄSSLEHOLM</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27325-2023</t>
        </is>
      </c>
      <c r="B4247" s="1" t="n">
        <v>45096</v>
      </c>
      <c r="C4247" s="1" t="n">
        <v>45744</v>
      </c>
      <c r="D4247" t="inlineStr">
        <is>
          <t>SKÅNE LÄN</t>
        </is>
      </c>
      <c r="E4247" t="inlineStr">
        <is>
          <t>ÖSTRA GÖINGE</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27291-2023</t>
        </is>
      </c>
      <c r="B4248" s="1" t="n">
        <v>45096</v>
      </c>
      <c r="C4248" s="1" t="n">
        <v>45744</v>
      </c>
      <c r="D4248" t="inlineStr">
        <is>
          <t>SKÅNE LÄN</t>
        </is>
      </c>
      <c r="E4248" t="inlineStr">
        <is>
          <t>HÄSSLEHOLM</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27304-2023</t>
        </is>
      </c>
      <c r="B4249" s="1" t="n">
        <v>45096</v>
      </c>
      <c r="C4249" s="1" t="n">
        <v>45744</v>
      </c>
      <c r="D4249" t="inlineStr">
        <is>
          <t>SKÅNE LÄN</t>
        </is>
      </c>
      <c r="E4249" t="inlineStr">
        <is>
          <t>HÄSSLEHOLM</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27453-2023</t>
        </is>
      </c>
      <c r="B4250" s="1" t="n">
        <v>45097</v>
      </c>
      <c r="C4250" s="1" t="n">
        <v>45744</v>
      </c>
      <c r="D4250" t="inlineStr">
        <is>
          <t>SKÅNE LÄN</t>
        </is>
      </c>
      <c r="E4250" t="inlineStr">
        <is>
          <t>SVALÖV</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27481-2023</t>
        </is>
      </c>
      <c r="B4251" s="1" t="n">
        <v>45097</v>
      </c>
      <c r="C4251" s="1" t="n">
        <v>45744</v>
      </c>
      <c r="D4251" t="inlineStr">
        <is>
          <t>SKÅNE LÄN</t>
        </is>
      </c>
      <c r="E4251" t="inlineStr">
        <is>
          <t>HÄSSLEHOLM</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27492-2023</t>
        </is>
      </c>
      <c r="B4252" s="1" t="n">
        <v>45097</v>
      </c>
      <c r="C4252" s="1" t="n">
        <v>45744</v>
      </c>
      <c r="D4252" t="inlineStr">
        <is>
          <t>SKÅNE LÄN</t>
        </is>
      </c>
      <c r="E4252" t="inlineStr">
        <is>
          <t>OSBY</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27553-2023</t>
        </is>
      </c>
      <c r="B4253" s="1" t="n">
        <v>45097</v>
      </c>
      <c r="C4253" s="1" t="n">
        <v>45744</v>
      </c>
      <c r="D4253" t="inlineStr">
        <is>
          <t>SKÅNE LÄN</t>
        </is>
      </c>
      <c r="E4253" t="inlineStr">
        <is>
          <t>ÄNGELHOLM</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27527-2023</t>
        </is>
      </c>
      <c r="B4254" s="1" t="n">
        <v>45097</v>
      </c>
      <c r="C4254" s="1" t="n">
        <v>45744</v>
      </c>
      <c r="D4254" t="inlineStr">
        <is>
          <t>SKÅNE LÄN</t>
        </is>
      </c>
      <c r="E4254" t="inlineStr">
        <is>
          <t>OSBY</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27584-2023</t>
        </is>
      </c>
      <c r="B4255" s="1" t="n">
        <v>45097</v>
      </c>
      <c r="C4255" s="1" t="n">
        <v>45744</v>
      </c>
      <c r="D4255" t="inlineStr">
        <is>
          <t>SKÅNE LÄN</t>
        </is>
      </c>
      <c r="E4255" t="inlineStr">
        <is>
          <t>ÖSTRA GÖINGE</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27551-2023</t>
        </is>
      </c>
      <c r="B4256" s="1" t="n">
        <v>45097</v>
      </c>
      <c r="C4256" s="1" t="n">
        <v>45744</v>
      </c>
      <c r="D4256" t="inlineStr">
        <is>
          <t>SKÅNE LÄN</t>
        </is>
      </c>
      <c r="E4256" t="inlineStr">
        <is>
          <t>ÄNGELHOLM</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27587-2023</t>
        </is>
      </c>
      <c r="B4257" s="1" t="n">
        <v>45097</v>
      </c>
      <c r="C4257" s="1" t="n">
        <v>45744</v>
      </c>
      <c r="D4257" t="inlineStr">
        <is>
          <t>SKÅNE LÄN</t>
        </is>
      </c>
      <c r="E4257" t="inlineStr">
        <is>
          <t>ÖSTRA GÖINGE</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27591-2023</t>
        </is>
      </c>
      <c r="B4258" s="1" t="n">
        <v>45097</v>
      </c>
      <c r="C4258" s="1" t="n">
        <v>45744</v>
      </c>
      <c r="D4258" t="inlineStr">
        <is>
          <t>SKÅNE LÄN</t>
        </is>
      </c>
      <c r="E4258" t="inlineStr">
        <is>
          <t>ÖSTRA GÖINGE</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27634-2023</t>
        </is>
      </c>
      <c r="B4259" s="1" t="n">
        <v>45097</v>
      </c>
      <c r="C4259" s="1" t="n">
        <v>45744</v>
      </c>
      <c r="D4259" t="inlineStr">
        <is>
          <t>SKÅNE LÄN</t>
        </is>
      </c>
      <c r="E4259" t="inlineStr">
        <is>
          <t>OSBY</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27661-2023</t>
        </is>
      </c>
      <c r="B4260" s="1" t="n">
        <v>45097</v>
      </c>
      <c r="C4260" s="1" t="n">
        <v>45744</v>
      </c>
      <c r="D4260" t="inlineStr">
        <is>
          <t>SKÅNE LÄN</t>
        </is>
      </c>
      <c r="E4260" t="inlineStr">
        <is>
          <t>ESLÖV</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27774-2023</t>
        </is>
      </c>
      <c r="B4261" s="1" t="n">
        <v>45098</v>
      </c>
      <c r="C4261" s="1" t="n">
        <v>45744</v>
      </c>
      <c r="D4261" t="inlineStr">
        <is>
          <t>SKÅNE LÄN</t>
        </is>
      </c>
      <c r="E4261" t="inlineStr">
        <is>
          <t>HÖÖR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27768-2023</t>
        </is>
      </c>
      <c r="B4262" s="1" t="n">
        <v>45098</v>
      </c>
      <c r="C4262" s="1" t="n">
        <v>45744</v>
      </c>
      <c r="D4262" t="inlineStr">
        <is>
          <t>SKÅNE LÄN</t>
        </is>
      </c>
      <c r="E4262" t="inlineStr">
        <is>
          <t>HÖÖR</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27813-2023</t>
        </is>
      </c>
      <c r="B4263" s="1" t="n">
        <v>45098</v>
      </c>
      <c r="C4263" s="1" t="n">
        <v>45744</v>
      </c>
      <c r="D4263" t="inlineStr">
        <is>
          <t>SKÅNE LÄN</t>
        </is>
      </c>
      <c r="E4263" t="inlineStr">
        <is>
          <t>KLIPPAN</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27826-2023</t>
        </is>
      </c>
      <c r="B4264" s="1" t="n">
        <v>45098</v>
      </c>
      <c r="C4264" s="1" t="n">
        <v>45744</v>
      </c>
      <c r="D4264" t="inlineStr">
        <is>
          <t>SKÅNE LÄN</t>
        </is>
      </c>
      <c r="E4264" t="inlineStr">
        <is>
          <t>HÖRBY</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27932-2023</t>
        </is>
      </c>
      <c r="B4265" s="1" t="n">
        <v>45098</v>
      </c>
      <c r="C4265" s="1" t="n">
        <v>45744</v>
      </c>
      <c r="D4265" t="inlineStr">
        <is>
          <t>SKÅNE LÄN</t>
        </is>
      </c>
      <c r="E4265" t="inlineStr">
        <is>
          <t>KRISTIANSTAD</t>
        </is>
      </c>
      <c r="G4265" t="n">
        <v>7.2</v>
      </c>
      <c r="H4265" t="n">
        <v>0</v>
      </c>
      <c r="I4265" t="n">
        <v>0</v>
      </c>
      <c r="J4265" t="n">
        <v>0</v>
      </c>
      <c r="K4265" t="n">
        <v>0</v>
      </c>
      <c r="L4265" t="n">
        <v>0</v>
      </c>
      <c r="M4265" t="n">
        <v>0</v>
      </c>
      <c r="N4265" t="n">
        <v>0</v>
      </c>
      <c r="O4265" t="n">
        <v>0</v>
      </c>
      <c r="P4265" t="n">
        <v>0</v>
      </c>
      <c r="Q4265" t="n">
        <v>0</v>
      </c>
      <c r="R4265" s="2" t="inlineStr"/>
    </row>
    <row r="4266" ht="15" customHeight="1">
      <c r="A4266" t="inlineStr">
        <is>
          <t>A 27990-2023</t>
        </is>
      </c>
      <c r="B4266" s="1" t="n">
        <v>45098</v>
      </c>
      <c r="C4266" s="1" t="n">
        <v>45744</v>
      </c>
      <c r="D4266" t="inlineStr">
        <is>
          <t>SKÅNE LÄN</t>
        </is>
      </c>
      <c r="E4266" t="inlineStr">
        <is>
          <t>ÖRKELLJUNGA</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27943-2023</t>
        </is>
      </c>
      <c r="B4267" s="1" t="n">
        <v>45098</v>
      </c>
      <c r="C4267" s="1" t="n">
        <v>45744</v>
      </c>
      <c r="D4267" t="inlineStr">
        <is>
          <t>SKÅNE LÄN</t>
        </is>
      </c>
      <c r="E4267" t="inlineStr">
        <is>
          <t>KRISTIANSTAD</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27948-2023</t>
        </is>
      </c>
      <c r="B4268" s="1" t="n">
        <v>45098</v>
      </c>
      <c r="C4268" s="1" t="n">
        <v>45744</v>
      </c>
      <c r="D4268" t="inlineStr">
        <is>
          <t>SKÅNE LÄN</t>
        </is>
      </c>
      <c r="E4268" t="inlineStr">
        <is>
          <t>KRISTIANSTAD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27978-2023</t>
        </is>
      </c>
      <c r="B4269" s="1" t="n">
        <v>45098</v>
      </c>
      <c r="C4269" s="1" t="n">
        <v>45744</v>
      </c>
      <c r="D4269" t="inlineStr">
        <is>
          <t>SKÅNE LÄN</t>
        </is>
      </c>
      <c r="E4269" t="inlineStr">
        <is>
          <t>OSBY</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27983-2023</t>
        </is>
      </c>
      <c r="B4270" s="1" t="n">
        <v>45098</v>
      </c>
      <c r="C4270" s="1" t="n">
        <v>45744</v>
      </c>
      <c r="D4270" t="inlineStr">
        <is>
          <t>SKÅNE LÄN</t>
        </is>
      </c>
      <c r="E4270" t="inlineStr">
        <is>
          <t>LUND</t>
        </is>
      </c>
      <c r="G4270" t="n">
        <v>37.6</v>
      </c>
      <c r="H4270" t="n">
        <v>0</v>
      </c>
      <c r="I4270" t="n">
        <v>0</v>
      </c>
      <c r="J4270" t="n">
        <v>0</v>
      </c>
      <c r="K4270" t="n">
        <v>0</v>
      </c>
      <c r="L4270" t="n">
        <v>0</v>
      </c>
      <c r="M4270" t="n">
        <v>0</v>
      </c>
      <c r="N4270" t="n">
        <v>0</v>
      </c>
      <c r="O4270" t="n">
        <v>0</v>
      </c>
      <c r="P4270" t="n">
        <v>0</v>
      </c>
      <c r="Q4270" t="n">
        <v>0</v>
      </c>
      <c r="R4270" s="2" t="inlineStr"/>
    </row>
    <row r="4271" ht="15" customHeight="1">
      <c r="A4271" t="inlineStr">
        <is>
          <t>A 27974-2023</t>
        </is>
      </c>
      <c r="B4271" s="1" t="n">
        <v>45098</v>
      </c>
      <c r="C4271" s="1" t="n">
        <v>45744</v>
      </c>
      <c r="D4271" t="inlineStr">
        <is>
          <t>SKÅNE LÄN</t>
        </is>
      </c>
      <c r="E4271" t="inlineStr">
        <is>
          <t>OSBY</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29287-2023</t>
        </is>
      </c>
      <c r="B4272" s="1" t="n">
        <v>45098</v>
      </c>
      <c r="C4272" s="1" t="n">
        <v>45744</v>
      </c>
      <c r="D4272" t="inlineStr">
        <is>
          <t>SKÅNE LÄN</t>
        </is>
      </c>
      <c r="E4272" t="inlineStr">
        <is>
          <t>HÄSSLEHOLM</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28057-2023</t>
        </is>
      </c>
      <c r="B4273" s="1" t="n">
        <v>45099</v>
      </c>
      <c r="C4273" s="1" t="n">
        <v>45744</v>
      </c>
      <c r="D4273" t="inlineStr">
        <is>
          <t>SKÅNE LÄN</t>
        </is>
      </c>
      <c r="E4273" t="inlineStr">
        <is>
          <t>HÄSSLEHOLM</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28105-2023</t>
        </is>
      </c>
      <c r="B4274" s="1" t="n">
        <v>45099</v>
      </c>
      <c r="C4274" s="1" t="n">
        <v>45744</v>
      </c>
      <c r="D4274" t="inlineStr">
        <is>
          <t>SKÅNE LÄN</t>
        </is>
      </c>
      <c r="E4274" t="inlineStr">
        <is>
          <t>ÄNGELHOLM</t>
        </is>
      </c>
      <c r="G4274" t="n">
        <v>13.8</v>
      </c>
      <c r="H4274" t="n">
        <v>0</v>
      </c>
      <c r="I4274" t="n">
        <v>0</v>
      </c>
      <c r="J4274" t="n">
        <v>0</v>
      </c>
      <c r="K4274" t="n">
        <v>0</v>
      </c>
      <c r="L4274" t="n">
        <v>0</v>
      </c>
      <c r="M4274" t="n">
        <v>0</v>
      </c>
      <c r="N4274" t="n">
        <v>0</v>
      </c>
      <c r="O4274" t="n">
        <v>0</v>
      </c>
      <c r="P4274" t="n">
        <v>0</v>
      </c>
      <c r="Q4274" t="n">
        <v>0</v>
      </c>
      <c r="R4274" s="2" t="inlineStr"/>
    </row>
    <row r="4275" ht="15" customHeight="1">
      <c r="A4275" t="inlineStr">
        <is>
          <t>A 28071-2023</t>
        </is>
      </c>
      <c r="B4275" s="1" t="n">
        <v>45099</v>
      </c>
      <c r="C4275" s="1" t="n">
        <v>45744</v>
      </c>
      <c r="D4275" t="inlineStr">
        <is>
          <t>SKÅNE LÄN</t>
        </is>
      </c>
      <c r="E4275" t="inlineStr">
        <is>
          <t>HÄSSLEHOLM</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28227-2023</t>
        </is>
      </c>
      <c r="B4276" s="1" t="n">
        <v>45099</v>
      </c>
      <c r="C4276" s="1" t="n">
        <v>45744</v>
      </c>
      <c r="D4276" t="inlineStr">
        <is>
          <t>SKÅNE LÄN</t>
        </is>
      </c>
      <c r="E4276" t="inlineStr">
        <is>
          <t>ÖRKELLJUNGA</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28260-2023</t>
        </is>
      </c>
      <c r="B4277" s="1" t="n">
        <v>45099</v>
      </c>
      <c r="C4277" s="1" t="n">
        <v>45744</v>
      </c>
      <c r="D4277" t="inlineStr">
        <is>
          <t>SKÅNE LÄN</t>
        </is>
      </c>
      <c r="E4277" t="inlineStr">
        <is>
          <t>BÅSTAD</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28247-2023</t>
        </is>
      </c>
      <c r="B4278" s="1" t="n">
        <v>45099</v>
      </c>
      <c r="C4278" s="1" t="n">
        <v>45744</v>
      </c>
      <c r="D4278" t="inlineStr">
        <is>
          <t>SKÅNE LÄN</t>
        </is>
      </c>
      <c r="E4278" t="inlineStr">
        <is>
          <t>KLIPPAN</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28204-2023</t>
        </is>
      </c>
      <c r="B4279" s="1" t="n">
        <v>45099</v>
      </c>
      <c r="C4279" s="1" t="n">
        <v>45744</v>
      </c>
      <c r="D4279" t="inlineStr">
        <is>
          <t>SKÅNE LÄN</t>
        </is>
      </c>
      <c r="E4279" t="inlineStr">
        <is>
          <t>BROMÖLLA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28221-2023</t>
        </is>
      </c>
      <c r="B4280" s="1" t="n">
        <v>45099</v>
      </c>
      <c r="C4280" s="1" t="n">
        <v>45744</v>
      </c>
      <c r="D4280" t="inlineStr">
        <is>
          <t>SKÅNE LÄN</t>
        </is>
      </c>
      <c r="E4280" t="inlineStr">
        <is>
          <t>ÖRKELLJUNGA</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28233-2023</t>
        </is>
      </c>
      <c r="B4281" s="1" t="n">
        <v>45099</v>
      </c>
      <c r="C4281" s="1" t="n">
        <v>45744</v>
      </c>
      <c r="D4281" t="inlineStr">
        <is>
          <t>SKÅNE LÄN</t>
        </is>
      </c>
      <c r="E4281" t="inlineStr">
        <is>
          <t>ÖRKELLJUNGA</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28250-2023</t>
        </is>
      </c>
      <c r="B4282" s="1" t="n">
        <v>45099</v>
      </c>
      <c r="C4282" s="1" t="n">
        <v>45744</v>
      </c>
      <c r="D4282" t="inlineStr">
        <is>
          <t>SKÅNE LÄN</t>
        </is>
      </c>
      <c r="E4282" t="inlineStr">
        <is>
          <t>HELSINGBORG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28253-2023</t>
        </is>
      </c>
      <c r="B4283" s="1" t="n">
        <v>45099</v>
      </c>
      <c r="C4283" s="1" t="n">
        <v>45744</v>
      </c>
      <c r="D4283" t="inlineStr">
        <is>
          <t>SKÅNE LÄN</t>
        </is>
      </c>
      <c r="E4283" t="inlineStr">
        <is>
          <t>ÄNGELHOLM</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28288-2023</t>
        </is>
      </c>
      <c r="B4284" s="1" t="n">
        <v>45099</v>
      </c>
      <c r="C4284" s="1" t="n">
        <v>45744</v>
      </c>
      <c r="D4284" t="inlineStr">
        <is>
          <t>SKÅNE LÄN</t>
        </is>
      </c>
      <c r="E4284" t="inlineStr">
        <is>
          <t>HELSINGBORG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28397-2023</t>
        </is>
      </c>
      <c r="B4285" s="1" t="n">
        <v>45100</v>
      </c>
      <c r="C4285" s="1" t="n">
        <v>45744</v>
      </c>
      <c r="D4285" t="inlineStr">
        <is>
          <t>SKÅNE LÄN</t>
        </is>
      </c>
      <c r="E4285" t="inlineStr">
        <is>
          <t>OSBY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28483-2023</t>
        </is>
      </c>
      <c r="B4286" s="1" t="n">
        <v>45103</v>
      </c>
      <c r="C4286" s="1" t="n">
        <v>45744</v>
      </c>
      <c r="D4286" t="inlineStr">
        <is>
          <t>SKÅNE LÄN</t>
        </is>
      </c>
      <c r="E4286" t="inlineStr">
        <is>
          <t>HÖÖR</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28490-2023</t>
        </is>
      </c>
      <c r="B4287" s="1" t="n">
        <v>45103</v>
      </c>
      <c r="C4287" s="1" t="n">
        <v>45744</v>
      </c>
      <c r="D4287" t="inlineStr">
        <is>
          <t>SKÅNE LÄN</t>
        </is>
      </c>
      <c r="E4287" t="inlineStr">
        <is>
          <t>KLIPPAN</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28496-2023</t>
        </is>
      </c>
      <c r="B4288" s="1" t="n">
        <v>45103</v>
      </c>
      <c r="C4288" s="1" t="n">
        <v>45744</v>
      </c>
      <c r="D4288" t="inlineStr">
        <is>
          <t>SKÅNE LÄN</t>
        </is>
      </c>
      <c r="E4288" t="inlineStr">
        <is>
          <t>ÄNGELHOLM</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28510-2023</t>
        </is>
      </c>
      <c r="B4289" s="1" t="n">
        <v>45103</v>
      </c>
      <c r="C4289" s="1" t="n">
        <v>45744</v>
      </c>
      <c r="D4289" t="inlineStr">
        <is>
          <t>SKÅNE LÄN</t>
        </is>
      </c>
      <c r="E4289" t="inlineStr">
        <is>
          <t>OSBY</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28519-2023</t>
        </is>
      </c>
      <c r="B4290" s="1" t="n">
        <v>45103</v>
      </c>
      <c r="C4290" s="1" t="n">
        <v>45744</v>
      </c>
      <c r="D4290" t="inlineStr">
        <is>
          <t>SKÅNE LÄN</t>
        </is>
      </c>
      <c r="E4290" t="inlineStr">
        <is>
          <t>HÖRBY</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28527-2023</t>
        </is>
      </c>
      <c r="B4291" s="1" t="n">
        <v>45103</v>
      </c>
      <c r="C4291" s="1" t="n">
        <v>45744</v>
      </c>
      <c r="D4291" t="inlineStr">
        <is>
          <t>SKÅNE LÄN</t>
        </is>
      </c>
      <c r="E4291" t="inlineStr">
        <is>
          <t>HÖRBY</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28493-2023</t>
        </is>
      </c>
      <c r="B4292" s="1" t="n">
        <v>45103</v>
      </c>
      <c r="C4292" s="1" t="n">
        <v>45744</v>
      </c>
      <c r="D4292" t="inlineStr">
        <is>
          <t>SKÅNE LÄN</t>
        </is>
      </c>
      <c r="E4292" t="inlineStr">
        <is>
          <t>HÖRBY</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28501-2023</t>
        </is>
      </c>
      <c r="B4293" s="1" t="n">
        <v>45103</v>
      </c>
      <c r="C4293" s="1" t="n">
        <v>45744</v>
      </c>
      <c r="D4293" t="inlineStr">
        <is>
          <t>SKÅNE LÄN</t>
        </is>
      </c>
      <c r="E4293" t="inlineStr">
        <is>
          <t>HÖRBY</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28520-2023</t>
        </is>
      </c>
      <c r="B4294" s="1" t="n">
        <v>45103</v>
      </c>
      <c r="C4294" s="1" t="n">
        <v>45744</v>
      </c>
      <c r="D4294" t="inlineStr">
        <is>
          <t>SKÅNE LÄN</t>
        </is>
      </c>
      <c r="E4294" t="inlineStr">
        <is>
          <t>HÖRBY</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28607-2023</t>
        </is>
      </c>
      <c r="B4295" s="1" t="n">
        <v>45103</v>
      </c>
      <c r="C4295" s="1" t="n">
        <v>45744</v>
      </c>
      <c r="D4295" t="inlineStr">
        <is>
          <t>SKÅNE LÄN</t>
        </is>
      </c>
      <c r="E4295" t="inlineStr">
        <is>
          <t>KRISTIANSTAD</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28625-2023</t>
        </is>
      </c>
      <c r="B4296" s="1" t="n">
        <v>45103</v>
      </c>
      <c r="C4296" s="1" t="n">
        <v>45744</v>
      </c>
      <c r="D4296" t="inlineStr">
        <is>
          <t>SKÅNE LÄN</t>
        </is>
      </c>
      <c r="E4296" t="inlineStr">
        <is>
          <t>HÖRBY</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28709-2023</t>
        </is>
      </c>
      <c r="B4297" s="1" t="n">
        <v>45103</v>
      </c>
      <c r="C4297" s="1" t="n">
        <v>45744</v>
      </c>
      <c r="D4297" t="inlineStr">
        <is>
          <t>SKÅNE LÄN</t>
        </is>
      </c>
      <c r="E4297" t="inlineStr">
        <is>
          <t>KLIPPAN</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28704-2023</t>
        </is>
      </c>
      <c r="B4298" s="1" t="n">
        <v>45103</v>
      </c>
      <c r="C4298" s="1" t="n">
        <v>45744</v>
      </c>
      <c r="D4298" t="inlineStr">
        <is>
          <t>SKÅNE LÄN</t>
        </is>
      </c>
      <c r="E4298" t="inlineStr">
        <is>
          <t>KLIPPAN</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28597-2023</t>
        </is>
      </c>
      <c r="B4299" s="1" t="n">
        <v>45103</v>
      </c>
      <c r="C4299" s="1" t="n">
        <v>45744</v>
      </c>
      <c r="D4299" t="inlineStr">
        <is>
          <t>SKÅNE LÄN</t>
        </is>
      </c>
      <c r="E4299" t="inlineStr">
        <is>
          <t>HÄSSLEHOLM</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28706-2023</t>
        </is>
      </c>
      <c r="B4300" s="1" t="n">
        <v>45103</v>
      </c>
      <c r="C4300" s="1" t="n">
        <v>45744</v>
      </c>
      <c r="D4300" t="inlineStr">
        <is>
          <t>SKÅNE LÄN</t>
        </is>
      </c>
      <c r="E4300" t="inlineStr">
        <is>
          <t>KLIPPAN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28844-2023</t>
        </is>
      </c>
      <c r="B4301" s="1" t="n">
        <v>45104</v>
      </c>
      <c r="C4301" s="1" t="n">
        <v>45744</v>
      </c>
      <c r="D4301" t="inlineStr">
        <is>
          <t>SKÅNE LÄN</t>
        </is>
      </c>
      <c r="E4301" t="inlineStr">
        <is>
          <t>KLIPPAN</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28920-2023</t>
        </is>
      </c>
      <c r="B4302" s="1" t="n">
        <v>45104</v>
      </c>
      <c r="C4302" s="1" t="n">
        <v>45744</v>
      </c>
      <c r="D4302" t="inlineStr">
        <is>
          <t>SKÅNE LÄN</t>
        </is>
      </c>
      <c r="E4302" t="inlineStr">
        <is>
          <t>YSTAD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28914-2023</t>
        </is>
      </c>
      <c r="B4303" s="1" t="n">
        <v>45104</v>
      </c>
      <c r="C4303" s="1" t="n">
        <v>45744</v>
      </c>
      <c r="D4303" t="inlineStr">
        <is>
          <t>SKÅNE LÄN</t>
        </is>
      </c>
      <c r="E4303" t="inlineStr">
        <is>
          <t>SIMRISHAMN</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28918-2023</t>
        </is>
      </c>
      <c r="B4304" s="1" t="n">
        <v>45104</v>
      </c>
      <c r="C4304" s="1" t="n">
        <v>45744</v>
      </c>
      <c r="D4304" t="inlineStr">
        <is>
          <t>SKÅNE LÄN</t>
        </is>
      </c>
      <c r="E4304" t="inlineStr">
        <is>
          <t>HÖRBY</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28785-2023</t>
        </is>
      </c>
      <c r="B4305" s="1" t="n">
        <v>45104</v>
      </c>
      <c r="C4305" s="1" t="n">
        <v>45744</v>
      </c>
      <c r="D4305" t="inlineStr">
        <is>
          <t>SKÅNE LÄN</t>
        </is>
      </c>
      <c r="E4305" t="inlineStr">
        <is>
          <t>HÖRBY</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28847-2023</t>
        </is>
      </c>
      <c r="B4306" s="1" t="n">
        <v>45104</v>
      </c>
      <c r="C4306" s="1" t="n">
        <v>45744</v>
      </c>
      <c r="D4306" t="inlineStr">
        <is>
          <t>SKÅNE LÄN</t>
        </is>
      </c>
      <c r="E4306" t="inlineStr">
        <is>
          <t>KLIPPAN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28882-2023</t>
        </is>
      </c>
      <c r="B4307" s="1" t="n">
        <v>45104</v>
      </c>
      <c r="C4307" s="1" t="n">
        <v>45744</v>
      </c>
      <c r="D4307" t="inlineStr">
        <is>
          <t>SKÅNE LÄN</t>
        </is>
      </c>
      <c r="E4307" t="inlineStr">
        <is>
          <t>BROMÖLLA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28919-2023</t>
        </is>
      </c>
      <c r="B4308" s="1" t="n">
        <v>45104</v>
      </c>
      <c r="C4308" s="1" t="n">
        <v>45744</v>
      </c>
      <c r="D4308" t="inlineStr">
        <is>
          <t>SKÅNE LÄN</t>
        </is>
      </c>
      <c r="E4308" t="inlineStr">
        <is>
          <t>SJÖBO</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28923-2023</t>
        </is>
      </c>
      <c r="B4309" s="1" t="n">
        <v>45104</v>
      </c>
      <c r="C4309" s="1" t="n">
        <v>45744</v>
      </c>
      <c r="D4309" t="inlineStr">
        <is>
          <t>SKÅNE LÄN</t>
        </is>
      </c>
      <c r="E4309" t="inlineStr">
        <is>
          <t>SJÖBO</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29030-2023</t>
        </is>
      </c>
      <c r="B4310" s="1" t="n">
        <v>45104</v>
      </c>
      <c r="C4310" s="1" t="n">
        <v>45744</v>
      </c>
      <c r="D4310" t="inlineStr">
        <is>
          <t>SKÅNE LÄN</t>
        </is>
      </c>
      <c r="E4310" t="inlineStr">
        <is>
          <t>SVEDALA</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28862-2023</t>
        </is>
      </c>
      <c r="B4311" s="1" t="n">
        <v>45104</v>
      </c>
      <c r="C4311" s="1" t="n">
        <v>45744</v>
      </c>
      <c r="D4311" t="inlineStr">
        <is>
          <t>SKÅNE LÄN</t>
        </is>
      </c>
      <c r="E4311" t="inlineStr">
        <is>
          <t>TOMELILLA</t>
        </is>
      </c>
      <c r="F4311" t="inlineStr">
        <is>
          <t>Övriga Aktiebolag</t>
        </is>
      </c>
      <c r="G4311" t="n">
        <v>6.6</v>
      </c>
      <c r="H4311" t="n">
        <v>0</v>
      </c>
      <c r="I4311" t="n">
        <v>0</v>
      </c>
      <c r="J4311" t="n">
        <v>0</v>
      </c>
      <c r="K4311" t="n">
        <v>0</v>
      </c>
      <c r="L4311" t="n">
        <v>0</v>
      </c>
      <c r="M4311" t="n">
        <v>0</v>
      </c>
      <c r="N4311" t="n">
        <v>0</v>
      </c>
      <c r="O4311" t="n">
        <v>0</v>
      </c>
      <c r="P4311" t="n">
        <v>0</v>
      </c>
      <c r="Q4311" t="n">
        <v>0</v>
      </c>
      <c r="R4311" s="2" t="inlineStr"/>
    </row>
    <row r="4312" ht="15" customHeight="1">
      <c r="A4312" t="inlineStr">
        <is>
          <t>A 28870-2023</t>
        </is>
      </c>
      <c r="B4312" s="1" t="n">
        <v>45104</v>
      </c>
      <c r="C4312" s="1" t="n">
        <v>45744</v>
      </c>
      <c r="D4312" t="inlineStr">
        <is>
          <t>SKÅNE LÄN</t>
        </is>
      </c>
      <c r="E4312" t="inlineStr">
        <is>
          <t>BROMÖLLA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29036-2023</t>
        </is>
      </c>
      <c r="B4313" s="1" t="n">
        <v>45104</v>
      </c>
      <c r="C4313" s="1" t="n">
        <v>45744</v>
      </c>
      <c r="D4313" t="inlineStr">
        <is>
          <t>SKÅNE LÄN</t>
        </is>
      </c>
      <c r="E4313" t="inlineStr">
        <is>
          <t>LUND</t>
        </is>
      </c>
      <c r="G4313" t="n">
        <v>10.6</v>
      </c>
      <c r="H4313" t="n">
        <v>0</v>
      </c>
      <c r="I4313" t="n">
        <v>0</v>
      </c>
      <c r="J4313" t="n">
        <v>0</v>
      </c>
      <c r="K4313" t="n">
        <v>0</v>
      </c>
      <c r="L4313" t="n">
        <v>0</v>
      </c>
      <c r="M4313" t="n">
        <v>0</v>
      </c>
      <c r="N4313" t="n">
        <v>0</v>
      </c>
      <c r="O4313" t="n">
        <v>0</v>
      </c>
      <c r="P4313" t="n">
        <v>0</v>
      </c>
      <c r="Q4313" t="n">
        <v>0</v>
      </c>
      <c r="R4313" s="2" t="inlineStr"/>
    </row>
    <row r="4314" ht="15" customHeight="1">
      <c r="A4314" t="inlineStr">
        <is>
          <t>A 29075-2023</t>
        </is>
      </c>
      <c r="B4314" s="1" t="n">
        <v>45104</v>
      </c>
      <c r="C4314" s="1" t="n">
        <v>45744</v>
      </c>
      <c r="D4314" t="inlineStr">
        <is>
          <t>SKÅNE LÄN</t>
        </is>
      </c>
      <c r="E4314" t="inlineStr">
        <is>
          <t>LUND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29074-2023</t>
        </is>
      </c>
      <c r="B4315" s="1" t="n">
        <v>45104</v>
      </c>
      <c r="C4315" s="1" t="n">
        <v>45744</v>
      </c>
      <c r="D4315" t="inlineStr">
        <is>
          <t>SKÅNE LÄN</t>
        </is>
      </c>
      <c r="E4315" t="inlineStr">
        <is>
          <t>LUND</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29083-2023</t>
        </is>
      </c>
      <c r="B4316" s="1" t="n">
        <v>45105</v>
      </c>
      <c r="C4316" s="1" t="n">
        <v>45744</v>
      </c>
      <c r="D4316" t="inlineStr">
        <is>
          <t>SKÅNE LÄN</t>
        </is>
      </c>
      <c r="E4316" t="inlineStr">
        <is>
          <t>LUND</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29096-2023</t>
        </is>
      </c>
      <c r="B4317" s="1" t="n">
        <v>45105</v>
      </c>
      <c r="C4317" s="1" t="n">
        <v>45744</v>
      </c>
      <c r="D4317" t="inlineStr">
        <is>
          <t>SKÅNE LÄN</t>
        </is>
      </c>
      <c r="E4317" t="inlineStr">
        <is>
          <t>HÖRBY</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29105-2023</t>
        </is>
      </c>
      <c r="B4318" s="1" t="n">
        <v>45105</v>
      </c>
      <c r="C4318" s="1" t="n">
        <v>45744</v>
      </c>
      <c r="D4318" t="inlineStr">
        <is>
          <t>SKÅNE LÄN</t>
        </is>
      </c>
      <c r="E4318" t="inlineStr">
        <is>
          <t>HÖRBY</t>
        </is>
      </c>
      <c r="G4318" t="n">
        <v>7.5</v>
      </c>
      <c r="H4318" t="n">
        <v>0</v>
      </c>
      <c r="I4318" t="n">
        <v>0</v>
      </c>
      <c r="J4318" t="n">
        <v>0</v>
      </c>
      <c r="K4318" t="n">
        <v>0</v>
      </c>
      <c r="L4318" t="n">
        <v>0</v>
      </c>
      <c r="M4318" t="n">
        <v>0</v>
      </c>
      <c r="N4318" t="n">
        <v>0</v>
      </c>
      <c r="O4318" t="n">
        <v>0</v>
      </c>
      <c r="P4318" t="n">
        <v>0</v>
      </c>
      <c r="Q4318" t="n">
        <v>0</v>
      </c>
      <c r="R4318" s="2" t="inlineStr"/>
    </row>
    <row r="4319" ht="15" customHeight="1">
      <c r="A4319" t="inlineStr">
        <is>
          <t>A 29212-2023</t>
        </is>
      </c>
      <c r="B4319" s="1" t="n">
        <v>45105</v>
      </c>
      <c r="C4319" s="1" t="n">
        <v>45744</v>
      </c>
      <c r="D4319" t="inlineStr">
        <is>
          <t>SKÅNE LÄN</t>
        </is>
      </c>
      <c r="E4319" t="inlineStr">
        <is>
          <t>KRISTIANSTAD</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29219-2023</t>
        </is>
      </c>
      <c r="B4320" s="1" t="n">
        <v>45105</v>
      </c>
      <c r="C4320" s="1" t="n">
        <v>45744</v>
      </c>
      <c r="D4320" t="inlineStr">
        <is>
          <t>SKÅNE LÄN</t>
        </is>
      </c>
      <c r="E4320" t="inlineStr">
        <is>
          <t>HÖRBY</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29080-2023</t>
        </is>
      </c>
      <c r="B4321" s="1" t="n">
        <v>45105</v>
      </c>
      <c r="C4321" s="1" t="n">
        <v>45744</v>
      </c>
      <c r="D4321" t="inlineStr">
        <is>
          <t>SKÅNE LÄN</t>
        </is>
      </c>
      <c r="E4321" t="inlineStr">
        <is>
          <t>SJÖBO</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29117-2023</t>
        </is>
      </c>
      <c r="B4322" s="1" t="n">
        <v>45105</v>
      </c>
      <c r="C4322" s="1" t="n">
        <v>45744</v>
      </c>
      <c r="D4322" t="inlineStr">
        <is>
          <t>SKÅNE LÄN</t>
        </is>
      </c>
      <c r="E4322" t="inlineStr">
        <is>
          <t>HÖRBY</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29275-2023</t>
        </is>
      </c>
      <c r="B4323" s="1" t="n">
        <v>45105</v>
      </c>
      <c r="C4323" s="1" t="n">
        <v>45744</v>
      </c>
      <c r="D4323" t="inlineStr">
        <is>
          <t>SKÅNE LÄN</t>
        </is>
      </c>
      <c r="E4323" t="inlineStr">
        <is>
          <t>HÄSSLEHOLM</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29274-2023</t>
        </is>
      </c>
      <c r="B4324" s="1" t="n">
        <v>45105</v>
      </c>
      <c r="C4324" s="1" t="n">
        <v>45744</v>
      </c>
      <c r="D4324" t="inlineStr">
        <is>
          <t>SKÅNE LÄN</t>
        </is>
      </c>
      <c r="E4324" t="inlineStr">
        <is>
          <t>HÄSSLEHOLM</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29284-2023</t>
        </is>
      </c>
      <c r="B4325" s="1" t="n">
        <v>45105</v>
      </c>
      <c r="C4325" s="1" t="n">
        <v>45744</v>
      </c>
      <c r="D4325" t="inlineStr">
        <is>
          <t>SKÅNE LÄN</t>
        </is>
      </c>
      <c r="E4325" t="inlineStr">
        <is>
          <t>ÖSTRA GÖINGE</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29291-2023</t>
        </is>
      </c>
      <c r="B4326" s="1" t="n">
        <v>45105</v>
      </c>
      <c r="C4326" s="1" t="n">
        <v>45744</v>
      </c>
      <c r="D4326" t="inlineStr">
        <is>
          <t>SKÅNE LÄN</t>
        </is>
      </c>
      <c r="E4326" t="inlineStr">
        <is>
          <t>OSBY</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29273-2023</t>
        </is>
      </c>
      <c r="B4327" s="1" t="n">
        <v>45105</v>
      </c>
      <c r="C4327" s="1" t="n">
        <v>45744</v>
      </c>
      <c r="D4327" t="inlineStr">
        <is>
          <t>SKÅNE LÄN</t>
        </is>
      </c>
      <c r="E4327" t="inlineStr">
        <is>
          <t>ÖSTRA GÖINGE</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29281-2023</t>
        </is>
      </c>
      <c r="B4328" s="1" t="n">
        <v>45105</v>
      </c>
      <c r="C4328" s="1" t="n">
        <v>45744</v>
      </c>
      <c r="D4328" t="inlineStr">
        <is>
          <t>SKÅNE LÄN</t>
        </is>
      </c>
      <c r="E4328" t="inlineStr">
        <is>
          <t>ÖSTRA GÖINGE</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29102-2023</t>
        </is>
      </c>
      <c r="B4329" s="1" t="n">
        <v>45105</v>
      </c>
      <c r="C4329" s="1" t="n">
        <v>45744</v>
      </c>
      <c r="D4329" t="inlineStr">
        <is>
          <t>SKÅNE LÄN</t>
        </is>
      </c>
      <c r="E4329" t="inlineStr">
        <is>
          <t>HÖRBY</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29276-2023</t>
        </is>
      </c>
      <c r="B4330" s="1" t="n">
        <v>45105</v>
      </c>
      <c r="C4330" s="1" t="n">
        <v>45744</v>
      </c>
      <c r="D4330" t="inlineStr">
        <is>
          <t>SKÅNE LÄN</t>
        </is>
      </c>
      <c r="E4330" t="inlineStr">
        <is>
          <t>HÄSSLEHOLM</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29280-2023</t>
        </is>
      </c>
      <c r="B4331" s="1" t="n">
        <v>45105</v>
      </c>
      <c r="C4331" s="1" t="n">
        <v>45744</v>
      </c>
      <c r="D4331" t="inlineStr">
        <is>
          <t>SKÅNE LÄN</t>
        </is>
      </c>
      <c r="E4331" t="inlineStr">
        <is>
          <t>ÖSTRA GÖINGE</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29285-2023</t>
        </is>
      </c>
      <c r="B4332" s="1" t="n">
        <v>45105</v>
      </c>
      <c r="C4332" s="1" t="n">
        <v>45744</v>
      </c>
      <c r="D4332" t="inlineStr">
        <is>
          <t>SKÅNE LÄN</t>
        </is>
      </c>
      <c r="E4332" t="inlineStr">
        <is>
          <t>ÖSTRA GÖINGE</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29292-2023</t>
        </is>
      </c>
      <c r="B4333" s="1" t="n">
        <v>45105</v>
      </c>
      <c r="C4333" s="1" t="n">
        <v>45744</v>
      </c>
      <c r="D4333" t="inlineStr">
        <is>
          <t>SKÅNE LÄN</t>
        </is>
      </c>
      <c r="E4333" t="inlineStr">
        <is>
          <t>OSBY</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29583-2023</t>
        </is>
      </c>
      <c r="B4334" s="1" t="n">
        <v>45106</v>
      </c>
      <c r="C4334" s="1" t="n">
        <v>45744</v>
      </c>
      <c r="D4334" t="inlineStr">
        <is>
          <t>SKÅNE LÄN</t>
        </is>
      </c>
      <c r="E4334" t="inlineStr">
        <is>
          <t>TRELLEBORG</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31803-2023</t>
        </is>
      </c>
      <c r="B4335" s="1" t="n">
        <v>45106</v>
      </c>
      <c r="C4335" s="1" t="n">
        <v>45744</v>
      </c>
      <c r="D4335" t="inlineStr">
        <is>
          <t>SKÅNE LÄN</t>
        </is>
      </c>
      <c r="E4335" t="inlineStr">
        <is>
          <t>PERSTORP</t>
        </is>
      </c>
      <c r="F4335" t="inlineStr">
        <is>
          <t>Övriga Aktiebolag</t>
        </is>
      </c>
      <c r="G4335" t="n">
        <v>10.9</v>
      </c>
      <c r="H4335" t="n">
        <v>0</v>
      </c>
      <c r="I4335" t="n">
        <v>0</v>
      </c>
      <c r="J4335" t="n">
        <v>0</v>
      </c>
      <c r="K4335" t="n">
        <v>0</v>
      </c>
      <c r="L4335" t="n">
        <v>0</v>
      </c>
      <c r="M4335" t="n">
        <v>0</v>
      </c>
      <c r="N4335" t="n">
        <v>0</v>
      </c>
      <c r="O4335" t="n">
        <v>0</v>
      </c>
      <c r="P4335" t="n">
        <v>0</v>
      </c>
      <c r="Q4335" t="n">
        <v>0</v>
      </c>
      <c r="R4335" s="2" t="inlineStr"/>
    </row>
    <row r="4336" ht="15" customHeight="1">
      <c r="A4336" t="inlineStr">
        <is>
          <t>A 32156-2023</t>
        </is>
      </c>
      <c r="B4336" s="1" t="n">
        <v>45106</v>
      </c>
      <c r="C4336" s="1" t="n">
        <v>45744</v>
      </c>
      <c r="D4336" t="inlineStr">
        <is>
          <t>SKÅNE LÄN</t>
        </is>
      </c>
      <c r="E4336" t="inlineStr">
        <is>
          <t>KRISTIANSTAD</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31802-2023</t>
        </is>
      </c>
      <c r="B4337" s="1" t="n">
        <v>45106</v>
      </c>
      <c r="C4337" s="1" t="n">
        <v>45744</v>
      </c>
      <c r="D4337" t="inlineStr">
        <is>
          <t>SKÅNE LÄN</t>
        </is>
      </c>
      <c r="E4337" t="inlineStr">
        <is>
          <t>PERSTORP</t>
        </is>
      </c>
      <c r="F4337" t="inlineStr">
        <is>
          <t>Övriga Aktiebolag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31847-2023</t>
        </is>
      </c>
      <c r="B4338" s="1" t="n">
        <v>45106</v>
      </c>
      <c r="C4338" s="1" t="n">
        <v>45744</v>
      </c>
      <c r="D4338" t="inlineStr">
        <is>
          <t>SKÅNE LÄN</t>
        </is>
      </c>
      <c r="E4338" t="inlineStr">
        <is>
          <t>KRISTIANSTAD</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29659-2023</t>
        </is>
      </c>
      <c r="B4339" s="1" t="n">
        <v>45107</v>
      </c>
      <c r="C4339" s="1" t="n">
        <v>45744</v>
      </c>
      <c r="D4339" t="inlineStr">
        <is>
          <t>SKÅNE LÄN</t>
        </is>
      </c>
      <c r="E4339" t="inlineStr">
        <is>
          <t>KRISTIANSTAD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29867-2023</t>
        </is>
      </c>
      <c r="B4340" s="1" t="n">
        <v>45107</v>
      </c>
      <c r="C4340" s="1" t="n">
        <v>45744</v>
      </c>
      <c r="D4340" t="inlineStr">
        <is>
          <t>SKÅNE LÄN</t>
        </is>
      </c>
      <c r="E4340" t="inlineStr">
        <is>
          <t>PERSTORP</t>
        </is>
      </c>
      <c r="G4340" t="n">
        <v>6.2</v>
      </c>
      <c r="H4340" t="n">
        <v>0</v>
      </c>
      <c r="I4340" t="n">
        <v>0</v>
      </c>
      <c r="J4340" t="n">
        <v>0</v>
      </c>
      <c r="K4340" t="n">
        <v>0</v>
      </c>
      <c r="L4340" t="n">
        <v>0</v>
      </c>
      <c r="M4340" t="n">
        <v>0</v>
      </c>
      <c r="N4340" t="n">
        <v>0</v>
      </c>
      <c r="O4340" t="n">
        <v>0</v>
      </c>
      <c r="P4340" t="n">
        <v>0</v>
      </c>
      <c r="Q4340" t="n">
        <v>0</v>
      </c>
      <c r="R4340" s="2" t="inlineStr"/>
    </row>
    <row r="4341" ht="15" customHeight="1">
      <c r="A4341" t="inlineStr">
        <is>
          <t>A 29889-2023</t>
        </is>
      </c>
      <c r="B4341" s="1" t="n">
        <v>45107</v>
      </c>
      <c r="C4341" s="1" t="n">
        <v>45744</v>
      </c>
      <c r="D4341" t="inlineStr">
        <is>
          <t>SKÅNE LÄN</t>
        </is>
      </c>
      <c r="E4341" t="inlineStr">
        <is>
          <t>HÄSSLEHOLM</t>
        </is>
      </c>
      <c r="G4341" t="n">
        <v>6.9</v>
      </c>
      <c r="H4341" t="n">
        <v>0</v>
      </c>
      <c r="I4341" t="n">
        <v>0</v>
      </c>
      <c r="J4341" t="n">
        <v>0</v>
      </c>
      <c r="K4341" t="n">
        <v>0</v>
      </c>
      <c r="L4341" t="n">
        <v>0</v>
      </c>
      <c r="M4341" t="n">
        <v>0</v>
      </c>
      <c r="N4341" t="n">
        <v>0</v>
      </c>
      <c r="O4341" t="n">
        <v>0</v>
      </c>
      <c r="P4341" t="n">
        <v>0</v>
      </c>
      <c r="Q4341" t="n">
        <v>0</v>
      </c>
      <c r="R4341" s="2" t="inlineStr"/>
    </row>
    <row r="4342" ht="15" customHeight="1">
      <c r="A4342" t="inlineStr">
        <is>
          <t>A 29874-2023</t>
        </is>
      </c>
      <c r="B4342" s="1" t="n">
        <v>45107</v>
      </c>
      <c r="C4342" s="1" t="n">
        <v>45744</v>
      </c>
      <c r="D4342" t="inlineStr">
        <is>
          <t>SKÅNE LÄN</t>
        </is>
      </c>
      <c r="E4342" t="inlineStr">
        <is>
          <t>PERSTORP</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29934-2023</t>
        </is>
      </c>
      <c r="B4343" s="1" t="n">
        <v>45107</v>
      </c>
      <c r="C4343" s="1" t="n">
        <v>45744</v>
      </c>
      <c r="D4343" t="inlineStr">
        <is>
          <t>SKÅNE LÄN</t>
        </is>
      </c>
      <c r="E4343" t="inlineStr">
        <is>
          <t>KRISTIANSTAD</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31995-2023</t>
        </is>
      </c>
      <c r="B4344" s="1" t="n">
        <v>45107</v>
      </c>
      <c r="C4344" s="1" t="n">
        <v>45744</v>
      </c>
      <c r="D4344" t="inlineStr">
        <is>
          <t>SKÅNE LÄN</t>
        </is>
      </c>
      <c r="E4344" t="inlineStr">
        <is>
          <t>HÄSSLEHOLM</t>
        </is>
      </c>
      <c r="G4344" t="n">
        <v>7.3</v>
      </c>
      <c r="H4344" t="n">
        <v>0</v>
      </c>
      <c r="I4344" t="n">
        <v>0</v>
      </c>
      <c r="J4344" t="n">
        <v>0</v>
      </c>
      <c r="K4344" t="n">
        <v>0</v>
      </c>
      <c r="L4344" t="n">
        <v>0</v>
      </c>
      <c r="M4344" t="n">
        <v>0</v>
      </c>
      <c r="N4344" t="n">
        <v>0</v>
      </c>
      <c r="O4344" t="n">
        <v>0</v>
      </c>
      <c r="P4344" t="n">
        <v>0</v>
      </c>
      <c r="Q4344" t="n">
        <v>0</v>
      </c>
      <c r="R4344" s="2" t="inlineStr"/>
    </row>
    <row r="4345" ht="15" customHeight="1">
      <c r="A4345" t="inlineStr">
        <is>
          <t>A 31991-2023</t>
        </is>
      </c>
      <c r="B4345" s="1" t="n">
        <v>45107</v>
      </c>
      <c r="C4345" s="1" t="n">
        <v>45744</v>
      </c>
      <c r="D4345" t="inlineStr">
        <is>
          <t>SKÅNE LÄN</t>
        </is>
      </c>
      <c r="E4345" t="inlineStr">
        <is>
          <t>OSBY</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31977-2023</t>
        </is>
      </c>
      <c r="B4346" s="1" t="n">
        <v>45107</v>
      </c>
      <c r="C4346" s="1" t="n">
        <v>45744</v>
      </c>
      <c r="D4346" t="inlineStr">
        <is>
          <t>SKÅNE LÄN</t>
        </is>
      </c>
      <c r="E4346" t="inlineStr">
        <is>
          <t>OSBY</t>
        </is>
      </c>
      <c r="G4346" t="n">
        <v>13.1</v>
      </c>
      <c r="H4346" t="n">
        <v>0</v>
      </c>
      <c r="I4346" t="n">
        <v>0</v>
      </c>
      <c r="J4346" t="n">
        <v>0</v>
      </c>
      <c r="K4346" t="n">
        <v>0</v>
      </c>
      <c r="L4346" t="n">
        <v>0</v>
      </c>
      <c r="M4346" t="n">
        <v>0</v>
      </c>
      <c r="N4346" t="n">
        <v>0</v>
      </c>
      <c r="O4346" t="n">
        <v>0</v>
      </c>
      <c r="P4346" t="n">
        <v>0</v>
      </c>
      <c r="Q4346" t="n">
        <v>0</v>
      </c>
      <c r="R4346" s="2" t="inlineStr"/>
    </row>
    <row r="4347" ht="15" customHeight="1">
      <c r="A4347" t="inlineStr">
        <is>
          <t>A 29994-2023</t>
        </is>
      </c>
      <c r="B4347" s="1" t="n">
        <v>45109</v>
      </c>
      <c r="C4347" s="1" t="n">
        <v>45744</v>
      </c>
      <c r="D4347" t="inlineStr">
        <is>
          <t>SKÅNE LÄN</t>
        </is>
      </c>
      <c r="E4347" t="inlineStr">
        <is>
          <t>HÄSSLEHOLM</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30006-2023</t>
        </is>
      </c>
      <c r="B4348" s="1" t="n">
        <v>45109</v>
      </c>
      <c r="C4348" s="1" t="n">
        <v>45744</v>
      </c>
      <c r="D4348" t="inlineStr">
        <is>
          <t>SKÅNE LÄN</t>
        </is>
      </c>
      <c r="E4348" t="inlineStr">
        <is>
          <t>HÄSSLEHOLM</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30007-2023</t>
        </is>
      </c>
      <c r="B4349" s="1" t="n">
        <v>45109</v>
      </c>
      <c r="C4349" s="1" t="n">
        <v>45744</v>
      </c>
      <c r="D4349" t="inlineStr">
        <is>
          <t>SKÅNE LÄN</t>
        </is>
      </c>
      <c r="E4349" t="inlineStr">
        <is>
          <t>HÄSSLEHOLM</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30036-2023</t>
        </is>
      </c>
      <c r="B4350" s="1" t="n">
        <v>45110</v>
      </c>
      <c r="C4350" s="1" t="n">
        <v>45744</v>
      </c>
      <c r="D4350" t="inlineStr">
        <is>
          <t>SKÅNE LÄN</t>
        </is>
      </c>
      <c r="E4350" t="inlineStr">
        <is>
          <t>KRISTIANSTAD</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30101-2023</t>
        </is>
      </c>
      <c r="B4351" s="1" t="n">
        <v>45110</v>
      </c>
      <c r="C4351" s="1" t="n">
        <v>45744</v>
      </c>
      <c r="D4351" t="inlineStr">
        <is>
          <t>SKÅNE LÄN</t>
        </is>
      </c>
      <c r="E4351" t="inlineStr">
        <is>
          <t>BROMÖLLA</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30075-2023</t>
        </is>
      </c>
      <c r="B4352" s="1" t="n">
        <v>45110</v>
      </c>
      <c r="C4352" s="1" t="n">
        <v>45744</v>
      </c>
      <c r="D4352" t="inlineStr">
        <is>
          <t>SKÅNE LÄN</t>
        </is>
      </c>
      <c r="E4352" t="inlineStr">
        <is>
          <t>BROMÖLLA</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30087-2023</t>
        </is>
      </c>
      <c r="B4353" s="1" t="n">
        <v>45110</v>
      </c>
      <c r="C4353" s="1" t="n">
        <v>45744</v>
      </c>
      <c r="D4353" t="inlineStr">
        <is>
          <t>SKÅNE LÄN</t>
        </is>
      </c>
      <c r="E4353" t="inlineStr">
        <is>
          <t>HÖÖR</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30092-2023</t>
        </is>
      </c>
      <c r="B4354" s="1" t="n">
        <v>45110</v>
      </c>
      <c r="C4354" s="1" t="n">
        <v>45744</v>
      </c>
      <c r="D4354" t="inlineStr">
        <is>
          <t>SKÅNE LÄN</t>
        </is>
      </c>
      <c r="E4354" t="inlineStr">
        <is>
          <t>KRISTIANSTAD</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30065-2023</t>
        </is>
      </c>
      <c r="B4355" s="1" t="n">
        <v>45110</v>
      </c>
      <c r="C4355" s="1" t="n">
        <v>45744</v>
      </c>
      <c r="D4355" t="inlineStr">
        <is>
          <t>SKÅNE LÄN</t>
        </is>
      </c>
      <c r="E4355" t="inlineStr">
        <is>
          <t>KRISTIANSTAD</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30112-2023</t>
        </is>
      </c>
      <c r="B4356" s="1" t="n">
        <v>45110</v>
      </c>
      <c r="C4356" s="1" t="n">
        <v>45744</v>
      </c>
      <c r="D4356" t="inlineStr">
        <is>
          <t>SKÅNE LÄN</t>
        </is>
      </c>
      <c r="E4356" t="inlineStr">
        <is>
          <t>BROMÖLLA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30233-2023</t>
        </is>
      </c>
      <c r="B4357" s="1" t="n">
        <v>45110</v>
      </c>
      <c r="C4357" s="1" t="n">
        <v>45744</v>
      </c>
      <c r="D4357" t="inlineStr">
        <is>
          <t>SKÅNE LÄN</t>
        </is>
      </c>
      <c r="E4357" t="inlineStr">
        <is>
          <t>KRISTIANSTAD</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30275-2023</t>
        </is>
      </c>
      <c r="B4358" s="1" t="n">
        <v>45110</v>
      </c>
      <c r="C4358" s="1" t="n">
        <v>45744</v>
      </c>
      <c r="D4358" t="inlineStr">
        <is>
          <t>SKÅNE LÄN</t>
        </is>
      </c>
      <c r="E4358" t="inlineStr">
        <is>
          <t>OSBY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30021-2023</t>
        </is>
      </c>
      <c r="B4359" s="1" t="n">
        <v>45110</v>
      </c>
      <c r="C4359" s="1" t="n">
        <v>45744</v>
      </c>
      <c r="D4359" t="inlineStr">
        <is>
          <t>SKÅNE LÄN</t>
        </is>
      </c>
      <c r="E4359" t="inlineStr">
        <is>
          <t>HÄSSLEHOLM</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30089-2023</t>
        </is>
      </c>
      <c r="B4360" s="1" t="n">
        <v>45110</v>
      </c>
      <c r="C4360" s="1" t="n">
        <v>45744</v>
      </c>
      <c r="D4360" t="inlineStr">
        <is>
          <t>SKÅNE LÄN</t>
        </is>
      </c>
      <c r="E4360" t="inlineStr">
        <is>
          <t>BROMÖLLA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30211-2023</t>
        </is>
      </c>
      <c r="B4361" s="1" t="n">
        <v>45110</v>
      </c>
      <c r="C4361" s="1" t="n">
        <v>45744</v>
      </c>
      <c r="D4361" t="inlineStr">
        <is>
          <t>SKÅNE LÄN</t>
        </is>
      </c>
      <c r="E4361" t="inlineStr">
        <is>
          <t>OSBY</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30192-2023</t>
        </is>
      </c>
      <c r="B4362" s="1" t="n">
        <v>45110</v>
      </c>
      <c r="C4362" s="1" t="n">
        <v>45744</v>
      </c>
      <c r="D4362" t="inlineStr">
        <is>
          <t>SKÅNE LÄN</t>
        </is>
      </c>
      <c r="E4362" t="inlineStr">
        <is>
          <t>HÄSSLEHOLM</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30277-2023</t>
        </is>
      </c>
      <c r="B4363" s="1" t="n">
        <v>45110</v>
      </c>
      <c r="C4363" s="1" t="n">
        <v>45744</v>
      </c>
      <c r="D4363" t="inlineStr">
        <is>
          <t>SKÅNE LÄN</t>
        </is>
      </c>
      <c r="E4363" t="inlineStr">
        <is>
          <t>OSBY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30367-2023</t>
        </is>
      </c>
      <c r="B4364" s="1" t="n">
        <v>45111</v>
      </c>
      <c r="C4364" s="1" t="n">
        <v>45744</v>
      </c>
      <c r="D4364" t="inlineStr">
        <is>
          <t>SKÅNE LÄN</t>
        </is>
      </c>
      <c r="E4364" t="inlineStr">
        <is>
          <t>KRISTIANSTAD</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32616-2023</t>
        </is>
      </c>
      <c r="B4365" s="1" t="n">
        <v>45111</v>
      </c>
      <c r="C4365" s="1" t="n">
        <v>45744</v>
      </c>
      <c r="D4365" t="inlineStr">
        <is>
          <t>SKÅNE LÄN</t>
        </is>
      </c>
      <c r="E4365" t="inlineStr">
        <is>
          <t>HÄSSLEHOLM</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32620-2023</t>
        </is>
      </c>
      <c r="B4366" s="1" t="n">
        <v>45111</v>
      </c>
      <c r="C4366" s="1" t="n">
        <v>45744</v>
      </c>
      <c r="D4366" t="inlineStr">
        <is>
          <t>SKÅNE LÄN</t>
        </is>
      </c>
      <c r="E4366" t="inlineStr">
        <is>
          <t>SVALÖV</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30638-2023</t>
        </is>
      </c>
      <c r="B4367" s="1" t="n">
        <v>45112</v>
      </c>
      <c r="C4367" s="1" t="n">
        <v>45744</v>
      </c>
      <c r="D4367" t="inlineStr">
        <is>
          <t>SKÅNE LÄN</t>
        </is>
      </c>
      <c r="E4367" t="inlineStr">
        <is>
          <t>ÖRKELLJUNGA</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30667-2023</t>
        </is>
      </c>
      <c r="B4368" s="1" t="n">
        <v>45112</v>
      </c>
      <c r="C4368" s="1" t="n">
        <v>45744</v>
      </c>
      <c r="D4368" t="inlineStr">
        <is>
          <t>SKÅNE LÄN</t>
        </is>
      </c>
      <c r="E4368" t="inlineStr">
        <is>
          <t>SIMRISHAMN</t>
        </is>
      </c>
      <c r="F4368" t="inlineStr">
        <is>
          <t>Övriga Aktiebolag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30858-2023</t>
        </is>
      </c>
      <c r="B4369" s="1" t="n">
        <v>45113</v>
      </c>
      <c r="C4369" s="1" t="n">
        <v>45744</v>
      </c>
      <c r="D4369" t="inlineStr">
        <is>
          <t>SKÅNE LÄN</t>
        </is>
      </c>
      <c r="E4369" t="inlineStr">
        <is>
          <t>KRISTIANSTAD</t>
        </is>
      </c>
      <c r="F4369" t="inlineStr">
        <is>
          <t>Sveaskog</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30673-2023</t>
        </is>
      </c>
      <c r="B4370" s="1" t="n">
        <v>45112</v>
      </c>
      <c r="C4370" s="1" t="n">
        <v>45744</v>
      </c>
      <c r="D4370" t="inlineStr">
        <is>
          <t>SKÅNE LÄN</t>
        </is>
      </c>
      <c r="E4370" t="inlineStr">
        <is>
          <t>TOMELILLA</t>
        </is>
      </c>
      <c r="F4370" t="inlineStr">
        <is>
          <t>Övriga Aktiebolag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30856-2023</t>
        </is>
      </c>
      <c r="B4371" s="1" t="n">
        <v>45112</v>
      </c>
      <c r="C4371" s="1" t="n">
        <v>45744</v>
      </c>
      <c r="D4371" t="inlineStr">
        <is>
          <t>SKÅNE LÄN</t>
        </is>
      </c>
      <c r="E4371" t="inlineStr">
        <is>
          <t>KRISTIANSTAD</t>
        </is>
      </c>
      <c r="F4371" t="inlineStr">
        <is>
          <t>Sveaskog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30806-2023</t>
        </is>
      </c>
      <c r="B4372" s="1" t="n">
        <v>45112</v>
      </c>
      <c r="C4372" s="1" t="n">
        <v>45744</v>
      </c>
      <c r="D4372" t="inlineStr">
        <is>
          <t>SKÅNE LÄN</t>
        </is>
      </c>
      <c r="E4372" t="inlineStr">
        <is>
          <t>TOMELILLA</t>
        </is>
      </c>
      <c r="F4372" t="inlineStr">
        <is>
          <t>Övriga Aktiebolag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30857-2023</t>
        </is>
      </c>
      <c r="B4373" s="1" t="n">
        <v>45112</v>
      </c>
      <c r="C4373" s="1" t="n">
        <v>45744</v>
      </c>
      <c r="D4373" t="inlineStr">
        <is>
          <t>SKÅNE LÄN</t>
        </is>
      </c>
      <c r="E4373" t="inlineStr">
        <is>
          <t>KRISTIANSTAD</t>
        </is>
      </c>
      <c r="F4373" t="inlineStr">
        <is>
          <t>Sveaskog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30927-2023</t>
        </is>
      </c>
      <c r="B4374" s="1" t="n">
        <v>45113</v>
      </c>
      <c r="C4374" s="1" t="n">
        <v>45744</v>
      </c>
      <c r="D4374" t="inlineStr">
        <is>
          <t>SKÅNE LÄN</t>
        </is>
      </c>
      <c r="E4374" t="inlineStr">
        <is>
          <t>HÖÖR</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31008-2023</t>
        </is>
      </c>
      <c r="B4375" s="1" t="n">
        <v>45113</v>
      </c>
      <c r="C4375" s="1" t="n">
        <v>45744</v>
      </c>
      <c r="D4375" t="inlineStr">
        <is>
          <t>SKÅNE LÄN</t>
        </is>
      </c>
      <c r="E4375" t="inlineStr">
        <is>
          <t>HÄSSLEHOLM</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30951-2023</t>
        </is>
      </c>
      <c r="B4376" s="1" t="n">
        <v>45113</v>
      </c>
      <c r="C4376" s="1" t="n">
        <v>45744</v>
      </c>
      <c r="D4376" t="inlineStr">
        <is>
          <t>SKÅNE LÄN</t>
        </is>
      </c>
      <c r="E4376" t="inlineStr">
        <is>
          <t>HÖÖR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31118-2023</t>
        </is>
      </c>
      <c r="B4377" s="1" t="n">
        <v>45113</v>
      </c>
      <c r="C4377" s="1" t="n">
        <v>45744</v>
      </c>
      <c r="D4377" t="inlineStr">
        <is>
          <t>SKÅNE LÄN</t>
        </is>
      </c>
      <c r="E4377" t="inlineStr">
        <is>
          <t>ÖSTRA GÖINGE</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31092-2023</t>
        </is>
      </c>
      <c r="B4378" s="1" t="n">
        <v>45113</v>
      </c>
      <c r="C4378" s="1" t="n">
        <v>45744</v>
      </c>
      <c r="D4378" t="inlineStr">
        <is>
          <t>SKÅNE LÄN</t>
        </is>
      </c>
      <c r="E4378" t="inlineStr">
        <is>
          <t>HÖÖR</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31168-2023</t>
        </is>
      </c>
      <c r="B4379" s="1" t="n">
        <v>45113</v>
      </c>
      <c r="C4379" s="1" t="n">
        <v>45744</v>
      </c>
      <c r="D4379" t="inlineStr">
        <is>
          <t>SKÅNE LÄN</t>
        </is>
      </c>
      <c r="E4379" t="inlineStr">
        <is>
          <t>OSBY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31203-2023</t>
        </is>
      </c>
      <c r="B4380" s="1" t="n">
        <v>45113</v>
      </c>
      <c r="C4380" s="1" t="n">
        <v>45744</v>
      </c>
      <c r="D4380" t="inlineStr">
        <is>
          <t>SKÅNE LÄN</t>
        </is>
      </c>
      <c r="E4380" t="inlineStr">
        <is>
          <t>YSTAD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31180-2023</t>
        </is>
      </c>
      <c r="B4381" s="1" t="n">
        <v>45113</v>
      </c>
      <c r="C4381" s="1" t="n">
        <v>45744</v>
      </c>
      <c r="D4381" t="inlineStr">
        <is>
          <t>SKÅNE LÄN</t>
        </is>
      </c>
      <c r="E4381" t="inlineStr">
        <is>
          <t>ESLÖV</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32946-2023</t>
        </is>
      </c>
      <c r="B4382" s="1" t="n">
        <v>45113</v>
      </c>
      <c r="C4382" s="1" t="n">
        <v>45744</v>
      </c>
      <c r="D4382" t="inlineStr">
        <is>
          <t>SKÅNE LÄN</t>
        </is>
      </c>
      <c r="E4382" t="inlineStr">
        <is>
          <t>ÖRKELLJUNGA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31403-2023</t>
        </is>
      </c>
      <c r="B4383" s="1" t="n">
        <v>45114</v>
      </c>
      <c r="C4383" s="1" t="n">
        <v>45744</v>
      </c>
      <c r="D4383" t="inlineStr">
        <is>
          <t>SKÅNE LÄN</t>
        </is>
      </c>
      <c r="E4383" t="inlineStr">
        <is>
          <t>SJÖBO</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31459-2023</t>
        </is>
      </c>
      <c r="B4384" s="1" t="n">
        <v>45114</v>
      </c>
      <c r="C4384" s="1" t="n">
        <v>45744</v>
      </c>
      <c r="D4384" t="inlineStr">
        <is>
          <t>SKÅNE LÄN</t>
        </is>
      </c>
      <c r="E4384" t="inlineStr">
        <is>
          <t>HÖRBY</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31391-2023</t>
        </is>
      </c>
      <c r="B4385" s="1" t="n">
        <v>45114</v>
      </c>
      <c r="C4385" s="1" t="n">
        <v>45744</v>
      </c>
      <c r="D4385" t="inlineStr">
        <is>
          <t>SKÅNE LÄN</t>
        </is>
      </c>
      <c r="E4385" t="inlineStr">
        <is>
          <t>HÄSSLEHOLM</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31502-2023</t>
        </is>
      </c>
      <c r="B4386" s="1" t="n">
        <v>45115</v>
      </c>
      <c r="C4386" s="1" t="n">
        <v>45744</v>
      </c>
      <c r="D4386" t="inlineStr">
        <is>
          <t>SKÅNE LÄN</t>
        </is>
      </c>
      <c r="E4386" t="inlineStr">
        <is>
          <t>ÄNGELHOLM</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31503-2023</t>
        </is>
      </c>
      <c r="B4387" s="1" t="n">
        <v>45115</v>
      </c>
      <c r="C4387" s="1" t="n">
        <v>45744</v>
      </c>
      <c r="D4387" t="inlineStr">
        <is>
          <t>SKÅNE LÄN</t>
        </is>
      </c>
      <c r="E4387" t="inlineStr">
        <is>
          <t>ÄNGELHOLM</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31526-2023</t>
        </is>
      </c>
      <c r="B4388" s="1" t="n">
        <v>45116</v>
      </c>
      <c r="C4388" s="1" t="n">
        <v>45744</v>
      </c>
      <c r="D4388" t="inlineStr">
        <is>
          <t>SKÅNE LÄN</t>
        </is>
      </c>
      <c r="E4388" t="inlineStr">
        <is>
          <t>KRISTIANSTAD</t>
        </is>
      </c>
      <c r="F4388" t="inlineStr">
        <is>
          <t>Sveaskog</t>
        </is>
      </c>
      <c r="G4388" t="n">
        <v>15.2</v>
      </c>
      <c r="H4388" t="n">
        <v>0</v>
      </c>
      <c r="I4388" t="n">
        <v>0</v>
      </c>
      <c r="J4388" t="n">
        <v>0</v>
      </c>
      <c r="K4388" t="n">
        <v>0</v>
      </c>
      <c r="L4388" t="n">
        <v>0</v>
      </c>
      <c r="M4388" t="n">
        <v>0</v>
      </c>
      <c r="N4388" t="n">
        <v>0</v>
      </c>
      <c r="O4388" t="n">
        <v>0</v>
      </c>
      <c r="P4388" t="n">
        <v>0</v>
      </c>
      <c r="Q4388" t="n">
        <v>0</v>
      </c>
      <c r="R4388" s="2" t="inlineStr"/>
    </row>
    <row r="4389" ht="15" customHeight="1">
      <c r="A4389" t="inlineStr">
        <is>
          <t>A 31524-2023</t>
        </is>
      </c>
      <c r="B4389" s="1" t="n">
        <v>45116</v>
      </c>
      <c r="C4389" s="1" t="n">
        <v>45744</v>
      </c>
      <c r="D4389" t="inlineStr">
        <is>
          <t>SKÅNE LÄN</t>
        </is>
      </c>
      <c r="E4389" t="inlineStr">
        <is>
          <t>KRISTIANSTAD</t>
        </is>
      </c>
      <c r="F4389" t="inlineStr">
        <is>
          <t>Sveaskog</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31536-2023</t>
        </is>
      </c>
      <c r="B4390" s="1" t="n">
        <v>45116</v>
      </c>
      <c r="C4390" s="1" t="n">
        <v>45744</v>
      </c>
      <c r="D4390" t="inlineStr">
        <is>
          <t>SKÅNE LÄN</t>
        </is>
      </c>
      <c r="E4390" t="inlineStr">
        <is>
          <t>KRISTIANSTAD</t>
        </is>
      </c>
      <c r="F4390" t="inlineStr">
        <is>
          <t>Sveaskog</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31525-2023</t>
        </is>
      </c>
      <c r="B4391" s="1" t="n">
        <v>45116</v>
      </c>
      <c r="C4391" s="1" t="n">
        <v>45744</v>
      </c>
      <c r="D4391" t="inlineStr">
        <is>
          <t>SKÅNE LÄN</t>
        </is>
      </c>
      <c r="E4391" t="inlineStr">
        <is>
          <t>KRISTIANSTAD</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31598-2023</t>
        </is>
      </c>
      <c r="B4392" s="1" t="n">
        <v>45117</v>
      </c>
      <c r="C4392" s="1" t="n">
        <v>45744</v>
      </c>
      <c r="D4392" t="inlineStr">
        <is>
          <t>SKÅNE LÄN</t>
        </is>
      </c>
      <c r="E4392" t="inlineStr">
        <is>
          <t>HÖRBY</t>
        </is>
      </c>
      <c r="G4392" t="n">
        <v>8.5</v>
      </c>
      <c r="H4392" t="n">
        <v>0</v>
      </c>
      <c r="I4392" t="n">
        <v>0</v>
      </c>
      <c r="J4392" t="n">
        <v>0</v>
      </c>
      <c r="K4392" t="n">
        <v>0</v>
      </c>
      <c r="L4392" t="n">
        <v>0</v>
      </c>
      <c r="M4392" t="n">
        <v>0</v>
      </c>
      <c r="N4392" t="n">
        <v>0</v>
      </c>
      <c r="O4392" t="n">
        <v>0</v>
      </c>
      <c r="P4392" t="n">
        <v>0</v>
      </c>
      <c r="Q4392" t="n">
        <v>0</v>
      </c>
      <c r="R4392" s="2" t="inlineStr"/>
    </row>
    <row r="4393" ht="15" customHeight="1">
      <c r="A4393" t="inlineStr">
        <is>
          <t>A 31624-2023</t>
        </is>
      </c>
      <c r="B4393" s="1" t="n">
        <v>45117</v>
      </c>
      <c r="C4393" s="1" t="n">
        <v>45744</v>
      </c>
      <c r="D4393" t="inlineStr">
        <is>
          <t>SKÅNE LÄN</t>
        </is>
      </c>
      <c r="E4393" t="inlineStr">
        <is>
          <t>OSBY</t>
        </is>
      </c>
      <c r="F4393" t="inlineStr">
        <is>
          <t>Sveaskog</t>
        </is>
      </c>
      <c r="G4393" t="n">
        <v>5.7</v>
      </c>
      <c r="H4393" t="n">
        <v>0</v>
      </c>
      <c r="I4393" t="n">
        <v>0</v>
      </c>
      <c r="J4393" t="n">
        <v>0</v>
      </c>
      <c r="K4393" t="n">
        <v>0</v>
      </c>
      <c r="L4393" t="n">
        <v>0</v>
      </c>
      <c r="M4393" t="n">
        <v>0</v>
      </c>
      <c r="N4393" t="n">
        <v>0</v>
      </c>
      <c r="O4393" t="n">
        <v>0</v>
      </c>
      <c r="P4393" t="n">
        <v>0</v>
      </c>
      <c r="Q4393" t="n">
        <v>0</v>
      </c>
      <c r="R4393" s="2" t="inlineStr"/>
    </row>
    <row r="4394" ht="15" customHeight="1">
      <c r="A4394" t="inlineStr">
        <is>
          <t>A 31649-2023</t>
        </is>
      </c>
      <c r="B4394" s="1" t="n">
        <v>45117</v>
      </c>
      <c r="C4394" s="1" t="n">
        <v>45744</v>
      </c>
      <c r="D4394" t="inlineStr">
        <is>
          <t>SKÅNE LÄN</t>
        </is>
      </c>
      <c r="E4394" t="inlineStr">
        <is>
          <t>BROMÖLLA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31658-2023</t>
        </is>
      </c>
      <c r="B4395" s="1" t="n">
        <v>45117</v>
      </c>
      <c r="C4395" s="1" t="n">
        <v>45744</v>
      </c>
      <c r="D4395" t="inlineStr">
        <is>
          <t>SKÅNE LÄN</t>
        </is>
      </c>
      <c r="E4395" t="inlineStr">
        <is>
          <t>KRISTIANSTAD</t>
        </is>
      </c>
      <c r="G4395" t="n">
        <v>7.8</v>
      </c>
      <c r="H4395" t="n">
        <v>0</v>
      </c>
      <c r="I4395" t="n">
        <v>0</v>
      </c>
      <c r="J4395" t="n">
        <v>0</v>
      </c>
      <c r="K4395" t="n">
        <v>0</v>
      </c>
      <c r="L4395" t="n">
        <v>0</v>
      </c>
      <c r="M4395" t="n">
        <v>0</v>
      </c>
      <c r="N4395" t="n">
        <v>0</v>
      </c>
      <c r="O4395" t="n">
        <v>0</v>
      </c>
      <c r="P4395" t="n">
        <v>0</v>
      </c>
      <c r="Q4395" t="n">
        <v>0</v>
      </c>
      <c r="R4395" s="2" t="inlineStr"/>
    </row>
    <row r="4396" ht="15" customHeight="1">
      <c r="A4396" t="inlineStr">
        <is>
          <t>A 31694-2023</t>
        </is>
      </c>
      <c r="B4396" s="1" t="n">
        <v>45117</v>
      </c>
      <c r="C4396" s="1" t="n">
        <v>45744</v>
      </c>
      <c r="D4396" t="inlineStr">
        <is>
          <t>SKÅNE LÄN</t>
        </is>
      </c>
      <c r="E4396" t="inlineStr">
        <is>
          <t>SVEDALA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31581-2023</t>
        </is>
      </c>
      <c r="B4397" s="1" t="n">
        <v>45117</v>
      </c>
      <c r="C4397" s="1" t="n">
        <v>45744</v>
      </c>
      <c r="D4397" t="inlineStr">
        <is>
          <t>SKÅNE LÄN</t>
        </is>
      </c>
      <c r="E4397" t="inlineStr">
        <is>
          <t>HÄSSLEHOLM</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31629-2023</t>
        </is>
      </c>
      <c r="B4398" s="1" t="n">
        <v>45117</v>
      </c>
      <c r="C4398" s="1" t="n">
        <v>45744</v>
      </c>
      <c r="D4398" t="inlineStr">
        <is>
          <t>SKÅNE LÄN</t>
        </is>
      </c>
      <c r="E4398" t="inlineStr">
        <is>
          <t>ÖSTRA GÖINGE</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31690-2023</t>
        </is>
      </c>
      <c r="B4399" s="1" t="n">
        <v>45117</v>
      </c>
      <c r="C4399" s="1" t="n">
        <v>45744</v>
      </c>
      <c r="D4399" t="inlineStr">
        <is>
          <t>SKÅNE LÄN</t>
        </is>
      </c>
      <c r="E4399" t="inlineStr">
        <is>
          <t>SVEDALA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31704-2023</t>
        </is>
      </c>
      <c r="B4400" s="1" t="n">
        <v>45117</v>
      </c>
      <c r="C4400" s="1" t="n">
        <v>45744</v>
      </c>
      <c r="D4400" t="inlineStr">
        <is>
          <t>SKÅNE LÄN</t>
        </is>
      </c>
      <c r="E4400" t="inlineStr">
        <is>
          <t>ÖRKELLJUNGA</t>
        </is>
      </c>
      <c r="G4400" t="n">
        <v>6.7</v>
      </c>
      <c r="H4400" t="n">
        <v>0</v>
      </c>
      <c r="I4400" t="n">
        <v>0</v>
      </c>
      <c r="J4400" t="n">
        <v>0</v>
      </c>
      <c r="K4400" t="n">
        <v>0</v>
      </c>
      <c r="L4400" t="n">
        <v>0</v>
      </c>
      <c r="M4400" t="n">
        <v>0</v>
      </c>
      <c r="N4400" t="n">
        <v>0</v>
      </c>
      <c r="O4400" t="n">
        <v>0</v>
      </c>
      <c r="P4400" t="n">
        <v>0</v>
      </c>
      <c r="Q4400" t="n">
        <v>0</v>
      </c>
      <c r="R4400" s="2" t="inlineStr"/>
    </row>
    <row r="4401" ht="15" customHeight="1">
      <c r="A4401" t="inlineStr">
        <is>
          <t>A 31710-2023</t>
        </is>
      </c>
      <c r="B4401" s="1" t="n">
        <v>45117</v>
      </c>
      <c r="C4401" s="1" t="n">
        <v>45744</v>
      </c>
      <c r="D4401" t="inlineStr">
        <is>
          <t>SKÅNE LÄN</t>
        </is>
      </c>
      <c r="E4401" t="inlineStr">
        <is>
          <t>SIMRISHAMN</t>
        </is>
      </c>
      <c r="F4401" t="inlineStr">
        <is>
          <t>Övriga Aktiebolag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31596-2023</t>
        </is>
      </c>
      <c r="B4402" s="1" t="n">
        <v>45117</v>
      </c>
      <c r="C4402" s="1" t="n">
        <v>45744</v>
      </c>
      <c r="D4402" t="inlineStr">
        <is>
          <t>SKÅNE LÄN</t>
        </is>
      </c>
      <c r="E4402" t="inlineStr">
        <is>
          <t>HÖRBY</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31626-2023</t>
        </is>
      </c>
      <c r="B4403" s="1" t="n">
        <v>45117</v>
      </c>
      <c r="C4403" s="1" t="n">
        <v>45744</v>
      </c>
      <c r="D4403" t="inlineStr">
        <is>
          <t>SKÅNE LÄN</t>
        </is>
      </c>
      <c r="E4403" t="inlineStr">
        <is>
          <t>OSBY</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31701-2023</t>
        </is>
      </c>
      <c r="B4404" s="1" t="n">
        <v>45117</v>
      </c>
      <c r="C4404" s="1" t="n">
        <v>45744</v>
      </c>
      <c r="D4404" t="inlineStr">
        <is>
          <t>SKÅNE LÄN</t>
        </is>
      </c>
      <c r="E4404" t="inlineStr">
        <is>
          <t>SVEDALA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31721-2023</t>
        </is>
      </c>
      <c r="B4405" s="1" t="n">
        <v>45117</v>
      </c>
      <c r="C4405" s="1" t="n">
        <v>45744</v>
      </c>
      <c r="D4405" t="inlineStr">
        <is>
          <t>SKÅNE LÄN</t>
        </is>
      </c>
      <c r="E4405" t="inlineStr">
        <is>
          <t>OSBY</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31720-2023</t>
        </is>
      </c>
      <c r="B4406" s="1" t="n">
        <v>45117</v>
      </c>
      <c r="C4406" s="1" t="n">
        <v>45744</v>
      </c>
      <c r="D4406" t="inlineStr">
        <is>
          <t>SKÅNE LÄN</t>
        </is>
      </c>
      <c r="E4406" t="inlineStr">
        <is>
          <t>ÄNGELHOLM</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33305-2023</t>
        </is>
      </c>
      <c r="B4407" s="1" t="n">
        <v>45117</v>
      </c>
      <c r="C4407" s="1" t="n">
        <v>45744</v>
      </c>
      <c r="D4407" t="inlineStr">
        <is>
          <t>SKÅNE LÄN</t>
        </is>
      </c>
      <c r="E4407" t="inlineStr">
        <is>
          <t>ÖSTRA GÖINGE</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31588-2023</t>
        </is>
      </c>
      <c r="B4408" s="1" t="n">
        <v>45117</v>
      </c>
      <c r="C4408" s="1" t="n">
        <v>45744</v>
      </c>
      <c r="D4408" t="inlineStr">
        <is>
          <t>SKÅNE LÄN</t>
        </is>
      </c>
      <c r="E4408" t="inlineStr">
        <is>
          <t>HÖRBY</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31593-2023</t>
        </is>
      </c>
      <c r="B4409" s="1" t="n">
        <v>45117</v>
      </c>
      <c r="C4409" s="1" t="n">
        <v>45744</v>
      </c>
      <c r="D4409" t="inlineStr">
        <is>
          <t>SKÅNE LÄN</t>
        </is>
      </c>
      <c r="E4409" t="inlineStr">
        <is>
          <t>HÖRBY</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31623-2023</t>
        </is>
      </c>
      <c r="B4410" s="1" t="n">
        <v>45117</v>
      </c>
      <c r="C4410" s="1" t="n">
        <v>45744</v>
      </c>
      <c r="D4410" t="inlineStr">
        <is>
          <t>SKÅNE LÄN</t>
        </is>
      </c>
      <c r="E4410" t="inlineStr">
        <is>
          <t>OSBY</t>
        </is>
      </c>
      <c r="F4410" t="inlineStr">
        <is>
          <t>Sveaskog</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31627-2023</t>
        </is>
      </c>
      <c r="B4411" s="1" t="n">
        <v>45117</v>
      </c>
      <c r="C4411" s="1" t="n">
        <v>45744</v>
      </c>
      <c r="D4411" t="inlineStr">
        <is>
          <t>SKÅNE LÄN</t>
        </is>
      </c>
      <c r="E4411" t="inlineStr">
        <is>
          <t>ÖSTRA GÖINGE</t>
        </is>
      </c>
      <c r="F4411" t="inlineStr">
        <is>
          <t>Sveaskog</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31693-2023</t>
        </is>
      </c>
      <c r="B4412" s="1" t="n">
        <v>45117</v>
      </c>
      <c r="C4412" s="1" t="n">
        <v>45744</v>
      </c>
      <c r="D4412" t="inlineStr">
        <is>
          <t>SKÅNE LÄN</t>
        </is>
      </c>
      <c r="E4412" t="inlineStr">
        <is>
          <t>SVEDALA</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31703-2023</t>
        </is>
      </c>
      <c r="B4413" s="1" t="n">
        <v>45117</v>
      </c>
      <c r="C4413" s="1" t="n">
        <v>45744</v>
      </c>
      <c r="D4413" t="inlineStr">
        <is>
          <t>SKÅNE LÄN</t>
        </is>
      </c>
      <c r="E4413" t="inlineStr">
        <is>
          <t>ÖRKELLJUNGA</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31709-2023</t>
        </is>
      </c>
      <c r="B4414" s="1" t="n">
        <v>45117</v>
      </c>
      <c r="C4414" s="1" t="n">
        <v>45744</v>
      </c>
      <c r="D4414" t="inlineStr">
        <is>
          <t>SKÅNE LÄN</t>
        </is>
      </c>
      <c r="E4414" t="inlineStr">
        <is>
          <t>ÄNGELHOLM</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31747-2023</t>
        </is>
      </c>
      <c r="B4415" s="1" t="n">
        <v>45118</v>
      </c>
      <c r="C4415" s="1" t="n">
        <v>45744</v>
      </c>
      <c r="D4415" t="inlineStr">
        <is>
          <t>SKÅNE LÄN</t>
        </is>
      </c>
      <c r="E4415" t="inlineStr">
        <is>
          <t>ÖRKELLJUNGA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31751-2023</t>
        </is>
      </c>
      <c r="B4416" s="1" t="n">
        <v>45118</v>
      </c>
      <c r="C4416" s="1" t="n">
        <v>45744</v>
      </c>
      <c r="D4416" t="inlineStr">
        <is>
          <t>SKÅNE LÄN</t>
        </is>
      </c>
      <c r="E4416" t="inlineStr">
        <is>
          <t>ÖRKELLJUNGA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31748-2023</t>
        </is>
      </c>
      <c r="B4417" s="1" t="n">
        <v>45118</v>
      </c>
      <c r="C4417" s="1" t="n">
        <v>45744</v>
      </c>
      <c r="D4417" t="inlineStr">
        <is>
          <t>SKÅNE LÄN</t>
        </is>
      </c>
      <c r="E4417" t="inlineStr">
        <is>
          <t>ÖRKELLJUNGA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31773-2023</t>
        </is>
      </c>
      <c r="B4418" s="1" t="n">
        <v>45118</v>
      </c>
      <c r="C4418" s="1" t="n">
        <v>45744</v>
      </c>
      <c r="D4418" t="inlineStr">
        <is>
          <t>SKÅNE LÄN</t>
        </is>
      </c>
      <c r="E4418" t="inlineStr">
        <is>
          <t>LUND</t>
        </is>
      </c>
      <c r="F4418" t="inlineStr">
        <is>
          <t>Kommuner</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31750-2023</t>
        </is>
      </c>
      <c r="B4419" s="1" t="n">
        <v>45118</v>
      </c>
      <c r="C4419" s="1" t="n">
        <v>45744</v>
      </c>
      <c r="D4419" t="inlineStr">
        <is>
          <t>SKÅNE LÄN</t>
        </is>
      </c>
      <c r="E4419" t="inlineStr">
        <is>
          <t>ÖRKELLJUNGA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31789-2023</t>
        </is>
      </c>
      <c r="B4420" s="1" t="n">
        <v>45118</v>
      </c>
      <c r="C4420" s="1" t="n">
        <v>45744</v>
      </c>
      <c r="D4420" t="inlineStr">
        <is>
          <t>SKÅNE LÄN</t>
        </is>
      </c>
      <c r="E4420" t="inlineStr">
        <is>
          <t>ÄNGELHOLM</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31872-2023</t>
        </is>
      </c>
      <c r="B4421" s="1" t="n">
        <v>45118</v>
      </c>
      <c r="C4421" s="1" t="n">
        <v>45744</v>
      </c>
      <c r="D4421" t="inlineStr">
        <is>
          <t>SKÅNE LÄN</t>
        </is>
      </c>
      <c r="E4421" t="inlineStr">
        <is>
          <t>HÄSSLEHOLM</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31907-2023</t>
        </is>
      </c>
      <c r="B4422" s="1" t="n">
        <v>45118</v>
      </c>
      <c r="C4422" s="1" t="n">
        <v>45744</v>
      </c>
      <c r="D4422" t="inlineStr">
        <is>
          <t>SKÅNE LÄN</t>
        </is>
      </c>
      <c r="E4422" t="inlineStr">
        <is>
          <t>ÄNGELHOLM</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31836-2023</t>
        </is>
      </c>
      <c r="B4423" s="1" t="n">
        <v>45118</v>
      </c>
      <c r="C4423" s="1" t="n">
        <v>45744</v>
      </c>
      <c r="D4423" t="inlineStr">
        <is>
          <t>SKÅNE LÄN</t>
        </is>
      </c>
      <c r="E4423" t="inlineStr">
        <is>
          <t>ÄNGELHOLM</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31908-2023</t>
        </is>
      </c>
      <c r="B4424" s="1" t="n">
        <v>45118</v>
      </c>
      <c r="C4424" s="1" t="n">
        <v>45744</v>
      </c>
      <c r="D4424" t="inlineStr">
        <is>
          <t>SKÅNE LÄN</t>
        </is>
      </c>
      <c r="E4424" t="inlineStr">
        <is>
          <t>ÄNGELHOLM</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31946-2023</t>
        </is>
      </c>
      <c r="B4425" s="1" t="n">
        <v>45119</v>
      </c>
      <c r="C4425" s="1" t="n">
        <v>45744</v>
      </c>
      <c r="D4425" t="inlineStr">
        <is>
          <t>SKÅNE LÄN</t>
        </is>
      </c>
      <c r="E4425" t="inlineStr">
        <is>
          <t>HÄSSLEHOLM</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31970-2023</t>
        </is>
      </c>
      <c r="B4426" s="1" t="n">
        <v>45119</v>
      </c>
      <c r="C4426" s="1" t="n">
        <v>45744</v>
      </c>
      <c r="D4426" t="inlineStr">
        <is>
          <t>SKÅNE LÄN</t>
        </is>
      </c>
      <c r="E4426" t="inlineStr">
        <is>
          <t>OSBY</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31986-2023</t>
        </is>
      </c>
      <c r="B4427" s="1" t="n">
        <v>45119</v>
      </c>
      <c r="C4427" s="1" t="n">
        <v>45744</v>
      </c>
      <c r="D4427" t="inlineStr">
        <is>
          <t>SKÅNE LÄN</t>
        </is>
      </c>
      <c r="E4427" t="inlineStr">
        <is>
          <t>HÄSSLEHOLM</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32001-2023</t>
        </is>
      </c>
      <c r="B4428" s="1" t="n">
        <v>45119</v>
      </c>
      <c r="C4428" s="1" t="n">
        <v>45744</v>
      </c>
      <c r="D4428" t="inlineStr">
        <is>
          <t>SKÅNE LÄN</t>
        </is>
      </c>
      <c r="E4428" t="inlineStr">
        <is>
          <t>OSBY</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32015-2023</t>
        </is>
      </c>
      <c r="B4429" s="1" t="n">
        <v>45119</v>
      </c>
      <c r="C4429" s="1" t="n">
        <v>45744</v>
      </c>
      <c r="D4429" t="inlineStr">
        <is>
          <t>SKÅNE LÄN</t>
        </is>
      </c>
      <c r="E4429" t="inlineStr">
        <is>
          <t>KRISTIANSTAD</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32061-2023</t>
        </is>
      </c>
      <c r="B4430" s="1" t="n">
        <v>45119</v>
      </c>
      <c r="C4430" s="1" t="n">
        <v>45744</v>
      </c>
      <c r="D4430" t="inlineStr">
        <is>
          <t>SKÅNE LÄN</t>
        </is>
      </c>
      <c r="E4430" t="inlineStr">
        <is>
          <t>HÄSSLEHOLM</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32103-2023</t>
        </is>
      </c>
      <c r="B4431" s="1" t="n">
        <v>45119</v>
      </c>
      <c r="C4431" s="1" t="n">
        <v>45744</v>
      </c>
      <c r="D4431" t="inlineStr">
        <is>
          <t>SKÅNE LÄN</t>
        </is>
      </c>
      <c r="E4431" t="inlineStr">
        <is>
          <t>KRISTIANSTAD</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32126-2023</t>
        </is>
      </c>
      <c r="B4432" s="1" t="n">
        <v>45119</v>
      </c>
      <c r="C4432" s="1" t="n">
        <v>45744</v>
      </c>
      <c r="D4432" t="inlineStr">
        <is>
          <t>SKÅNE LÄN</t>
        </is>
      </c>
      <c r="E4432" t="inlineStr">
        <is>
          <t>HÖRBY</t>
        </is>
      </c>
      <c r="F4432" t="inlineStr">
        <is>
          <t>Sveaskog</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32099-2023</t>
        </is>
      </c>
      <c r="B4433" s="1" t="n">
        <v>45119</v>
      </c>
      <c r="C4433" s="1" t="n">
        <v>45744</v>
      </c>
      <c r="D4433" t="inlineStr">
        <is>
          <t>SKÅNE LÄN</t>
        </is>
      </c>
      <c r="E4433" t="inlineStr">
        <is>
          <t>KRISTIANSTAD</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32127-2023</t>
        </is>
      </c>
      <c r="B4434" s="1" t="n">
        <v>45119</v>
      </c>
      <c r="C4434" s="1" t="n">
        <v>45744</v>
      </c>
      <c r="D4434" t="inlineStr">
        <is>
          <t>SKÅNE LÄN</t>
        </is>
      </c>
      <c r="E4434" t="inlineStr">
        <is>
          <t>HÖRBY</t>
        </is>
      </c>
      <c r="F4434" t="inlineStr">
        <is>
          <t>Sveaskog</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31944-2023</t>
        </is>
      </c>
      <c r="B4435" s="1" t="n">
        <v>45119</v>
      </c>
      <c r="C4435" s="1" t="n">
        <v>45744</v>
      </c>
      <c r="D4435" t="inlineStr">
        <is>
          <t>SKÅNE LÄN</t>
        </is>
      </c>
      <c r="E4435" t="inlineStr">
        <is>
          <t>HÄSSLEHOLM</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31989-2023</t>
        </is>
      </c>
      <c r="B4436" s="1" t="n">
        <v>45119</v>
      </c>
      <c r="C4436" s="1" t="n">
        <v>45744</v>
      </c>
      <c r="D4436" t="inlineStr">
        <is>
          <t>SKÅNE LÄN</t>
        </is>
      </c>
      <c r="E4436" t="inlineStr">
        <is>
          <t>HÖRBY</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32033-2023</t>
        </is>
      </c>
      <c r="B4437" s="1" t="n">
        <v>45119</v>
      </c>
      <c r="C4437" s="1" t="n">
        <v>45744</v>
      </c>
      <c r="D4437" t="inlineStr">
        <is>
          <t>SKÅNE LÄN</t>
        </is>
      </c>
      <c r="E4437" t="inlineStr">
        <is>
          <t>OSBY</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32132-2023</t>
        </is>
      </c>
      <c r="B4438" s="1" t="n">
        <v>45119</v>
      </c>
      <c r="C4438" s="1" t="n">
        <v>45744</v>
      </c>
      <c r="D4438" t="inlineStr">
        <is>
          <t>SKÅNE LÄN</t>
        </is>
      </c>
      <c r="E4438" t="inlineStr">
        <is>
          <t>HÖRBY</t>
        </is>
      </c>
      <c r="F4438" t="inlineStr">
        <is>
          <t>Sveaskog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32139-2023</t>
        </is>
      </c>
      <c r="B4439" s="1" t="n">
        <v>45119</v>
      </c>
      <c r="C4439" s="1" t="n">
        <v>45744</v>
      </c>
      <c r="D4439" t="inlineStr">
        <is>
          <t>SKÅNE LÄN</t>
        </is>
      </c>
      <c r="E4439" t="inlineStr">
        <is>
          <t>KLIPPAN</t>
        </is>
      </c>
      <c r="F4439" t="inlineStr">
        <is>
          <t>Sveaskog</t>
        </is>
      </c>
      <c r="G4439" t="n">
        <v>12.2</v>
      </c>
      <c r="H4439" t="n">
        <v>0</v>
      </c>
      <c r="I4439" t="n">
        <v>0</v>
      </c>
      <c r="J4439" t="n">
        <v>0</v>
      </c>
      <c r="K4439" t="n">
        <v>0</v>
      </c>
      <c r="L4439" t="n">
        <v>0</v>
      </c>
      <c r="M4439" t="n">
        <v>0</v>
      </c>
      <c r="N4439" t="n">
        <v>0</v>
      </c>
      <c r="O4439" t="n">
        <v>0</v>
      </c>
      <c r="P4439" t="n">
        <v>0</v>
      </c>
      <c r="Q4439" t="n">
        <v>0</v>
      </c>
      <c r="R4439" s="2" t="inlineStr"/>
    </row>
    <row r="4440" ht="15" customHeight="1">
      <c r="A4440" t="inlineStr">
        <is>
          <t>A 32145-2023</t>
        </is>
      </c>
      <c r="B4440" s="1" t="n">
        <v>45119</v>
      </c>
      <c r="C4440" s="1" t="n">
        <v>45744</v>
      </c>
      <c r="D4440" t="inlineStr">
        <is>
          <t>SKÅNE LÄN</t>
        </is>
      </c>
      <c r="E4440" t="inlineStr">
        <is>
          <t>HÖRBY</t>
        </is>
      </c>
      <c r="F4440" t="inlineStr">
        <is>
          <t>Sveaskog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31993-2023</t>
        </is>
      </c>
      <c r="B4441" s="1" t="n">
        <v>45119</v>
      </c>
      <c r="C4441" s="1" t="n">
        <v>45744</v>
      </c>
      <c r="D4441" t="inlineStr">
        <is>
          <t>SKÅNE LÄN</t>
        </is>
      </c>
      <c r="E4441" t="inlineStr">
        <is>
          <t>TOMELILLA</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31998-2023</t>
        </is>
      </c>
      <c r="B4442" s="1" t="n">
        <v>45119</v>
      </c>
      <c r="C4442" s="1" t="n">
        <v>45744</v>
      </c>
      <c r="D4442" t="inlineStr">
        <is>
          <t>SKÅNE LÄN</t>
        </is>
      </c>
      <c r="E4442" t="inlineStr">
        <is>
          <t>HÄSSLEHOLM</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32013-2023</t>
        </is>
      </c>
      <c r="B4443" s="1" t="n">
        <v>45119</v>
      </c>
      <c r="C4443" s="1" t="n">
        <v>45744</v>
      </c>
      <c r="D4443" t="inlineStr">
        <is>
          <t>SKÅNE LÄN</t>
        </is>
      </c>
      <c r="E4443" t="inlineStr">
        <is>
          <t>KRISTIANSTAD</t>
        </is>
      </c>
      <c r="G4443" t="n">
        <v>7.2</v>
      </c>
      <c r="H4443" t="n">
        <v>0</v>
      </c>
      <c r="I4443" t="n">
        <v>0</v>
      </c>
      <c r="J4443" t="n">
        <v>0</v>
      </c>
      <c r="K4443" t="n">
        <v>0</v>
      </c>
      <c r="L4443" t="n">
        <v>0</v>
      </c>
      <c r="M4443" t="n">
        <v>0</v>
      </c>
      <c r="N4443" t="n">
        <v>0</v>
      </c>
      <c r="O4443" t="n">
        <v>0</v>
      </c>
      <c r="P4443" t="n">
        <v>0</v>
      </c>
      <c r="Q4443" t="n">
        <v>0</v>
      </c>
      <c r="R4443" s="2" t="inlineStr"/>
    </row>
    <row r="4444" ht="15" customHeight="1">
      <c r="A4444" t="inlineStr">
        <is>
          <t>A 32021-2023</t>
        </is>
      </c>
      <c r="B4444" s="1" t="n">
        <v>45119</v>
      </c>
      <c r="C4444" s="1" t="n">
        <v>45744</v>
      </c>
      <c r="D4444" t="inlineStr">
        <is>
          <t>SKÅNE LÄN</t>
        </is>
      </c>
      <c r="E4444" t="inlineStr">
        <is>
          <t>KRISTIANSTAD</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32106-2023</t>
        </is>
      </c>
      <c r="B4445" s="1" t="n">
        <v>45119</v>
      </c>
      <c r="C4445" s="1" t="n">
        <v>45744</v>
      </c>
      <c r="D4445" t="inlineStr">
        <is>
          <t>SKÅNE LÄN</t>
        </is>
      </c>
      <c r="E4445" t="inlineStr">
        <is>
          <t>KRISTIANSTAD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32274-2023</t>
        </is>
      </c>
      <c r="B4446" s="1" t="n">
        <v>45120</v>
      </c>
      <c r="C4446" s="1" t="n">
        <v>45744</v>
      </c>
      <c r="D4446" t="inlineStr">
        <is>
          <t>SKÅNE LÄN</t>
        </is>
      </c>
      <c r="E4446" t="inlineStr">
        <is>
          <t>ÄNGELHOLM</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32277-2023</t>
        </is>
      </c>
      <c r="B4447" s="1" t="n">
        <v>45120</v>
      </c>
      <c r="C4447" s="1" t="n">
        <v>45744</v>
      </c>
      <c r="D4447" t="inlineStr">
        <is>
          <t>SKÅNE LÄN</t>
        </is>
      </c>
      <c r="E4447" t="inlineStr">
        <is>
          <t>ÄNGELHOLM</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32372-2023</t>
        </is>
      </c>
      <c r="B4448" s="1" t="n">
        <v>45120</v>
      </c>
      <c r="C4448" s="1" t="n">
        <v>45744</v>
      </c>
      <c r="D4448" t="inlineStr">
        <is>
          <t>SKÅNE LÄN</t>
        </is>
      </c>
      <c r="E4448" t="inlineStr">
        <is>
          <t>ÖRKELLJUNGA</t>
        </is>
      </c>
      <c r="G4448" t="n">
        <v>6.6</v>
      </c>
      <c r="H4448" t="n">
        <v>0</v>
      </c>
      <c r="I4448" t="n">
        <v>0</v>
      </c>
      <c r="J4448" t="n">
        <v>0</v>
      </c>
      <c r="K4448" t="n">
        <v>0</v>
      </c>
      <c r="L4448" t="n">
        <v>0</v>
      </c>
      <c r="M4448" t="n">
        <v>0</v>
      </c>
      <c r="N4448" t="n">
        <v>0</v>
      </c>
      <c r="O4448" t="n">
        <v>0</v>
      </c>
      <c r="P4448" t="n">
        <v>0</v>
      </c>
      <c r="Q4448" t="n">
        <v>0</v>
      </c>
      <c r="R4448" s="2" t="inlineStr"/>
    </row>
    <row r="4449" ht="15" customHeight="1">
      <c r="A4449" t="inlineStr">
        <is>
          <t>A 32378-2023</t>
        </is>
      </c>
      <c r="B4449" s="1" t="n">
        <v>45120</v>
      </c>
      <c r="C4449" s="1" t="n">
        <v>45744</v>
      </c>
      <c r="D4449" t="inlineStr">
        <is>
          <t>SKÅNE LÄN</t>
        </is>
      </c>
      <c r="E4449" t="inlineStr">
        <is>
          <t>SJÖBO</t>
        </is>
      </c>
      <c r="F4449" t="inlineStr">
        <is>
          <t>Övriga Aktiebolag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32364-2023</t>
        </is>
      </c>
      <c r="B4450" s="1" t="n">
        <v>45120</v>
      </c>
      <c r="C4450" s="1" t="n">
        <v>45744</v>
      </c>
      <c r="D4450" t="inlineStr">
        <is>
          <t>SKÅNE LÄN</t>
        </is>
      </c>
      <c r="E4450" t="inlineStr">
        <is>
          <t>ÄNGELHOLM</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32362-2023</t>
        </is>
      </c>
      <c r="B4451" s="1" t="n">
        <v>45120</v>
      </c>
      <c r="C4451" s="1" t="n">
        <v>45744</v>
      </c>
      <c r="D4451" t="inlineStr">
        <is>
          <t>SKÅNE LÄN</t>
        </is>
      </c>
      <c r="E4451" t="inlineStr">
        <is>
          <t>ÄNGELHOLM</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32375-2023</t>
        </is>
      </c>
      <c r="B4452" s="1" t="n">
        <v>45120</v>
      </c>
      <c r="C4452" s="1" t="n">
        <v>45744</v>
      </c>
      <c r="D4452" t="inlineStr">
        <is>
          <t>SKÅNE LÄN</t>
        </is>
      </c>
      <c r="E4452" t="inlineStr">
        <is>
          <t>SJÖBO</t>
        </is>
      </c>
      <c r="F4452" t="inlineStr">
        <is>
          <t>Övriga Aktiebolag</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32397-2023</t>
        </is>
      </c>
      <c r="B4453" s="1" t="n">
        <v>45120</v>
      </c>
      <c r="C4453" s="1" t="n">
        <v>45744</v>
      </c>
      <c r="D4453" t="inlineStr">
        <is>
          <t>SKÅNE LÄN</t>
        </is>
      </c>
      <c r="E4453" t="inlineStr">
        <is>
          <t>KRISTIANSTAD</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32430-2023</t>
        </is>
      </c>
      <c r="B4454" s="1" t="n">
        <v>45120</v>
      </c>
      <c r="C4454" s="1" t="n">
        <v>45744</v>
      </c>
      <c r="D4454" t="inlineStr">
        <is>
          <t>SKÅNE LÄN</t>
        </is>
      </c>
      <c r="E4454" t="inlineStr">
        <is>
          <t>ÄNGELHOLM</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32459-2023</t>
        </is>
      </c>
      <c r="B4455" s="1" t="n">
        <v>45120</v>
      </c>
      <c r="C4455" s="1" t="n">
        <v>45744</v>
      </c>
      <c r="D4455" t="inlineStr">
        <is>
          <t>SKÅNE LÄN</t>
        </is>
      </c>
      <c r="E4455" t="inlineStr">
        <is>
          <t>ÄNGELHOLM</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32484-2023</t>
        </is>
      </c>
      <c r="B4456" s="1" t="n">
        <v>45121</v>
      </c>
      <c r="C4456" s="1" t="n">
        <v>45744</v>
      </c>
      <c r="D4456" t="inlineStr">
        <is>
          <t>SKÅNE LÄN</t>
        </is>
      </c>
      <c r="E4456" t="inlineStr">
        <is>
          <t>OSBY</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32506-2023</t>
        </is>
      </c>
      <c r="B4457" s="1" t="n">
        <v>45121</v>
      </c>
      <c r="C4457" s="1" t="n">
        <v>45744</v>
      </c>
      <c r="D4457" t="inlineStr">
        <is>
          <t>SKÅNE LÄN</t>
        </is>
      </c>
      <c r="E4457" t="inlineStr">
        <is>
          <t>OSBY</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32517-2023</t>
        </is>
      </c>
      <c r="B4458" s="1" t="n">
        <v>45121</v>
      </c>
      <c r="C4458" s="1" t="n">
        <v>45744</v>
      </c>
      <c r="D4458" t="inlineStr">
        <is>
          <t>SKÅNE LÄN</t>
        </is>
      </c>
      <c r="E4458" t="inlineStr">
        <is>
          <t>ÖSTRA GÖINGE</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32507-2023</t>
        </is>
      </c>
      <c r="B4459" s="1" t="n">
        <v>45121</v>
      </c>
      <c r="C4459" s="1" t="n">
        <v>45744</v>
      </c>
      <c r="D4459" t="inlineStr">
        <is>
          <t>SKÅNE LÄN</t>
        </is>
      </c>
      <c r="E4459" t="inlineStr">
        <is>
          <t>OSBY</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32525-2023</t>
        </is>
      </c>
      <c r="B4460" s="1" t="n">
        <v>45121</v>
      </c>
      <c r="C4460" s="1" t="n">
        <v>45744</v>
      </c>
      <c r="D4460" t="inlineStr">
        <is>
          <t>SKÅNE LÄN</t>
        </is>
      </c>
      <c r="E4460" t="inlineStr">
        <is>
          <t>KRISTIANSTAD</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32567-2023</t>
        </is>
      </c>
      <c r="B4461" s="1" t="n">
        <v>45121</v>
      </c>
      <c r="C4461" s="1" t="n">
        <v>45744</v>
      </c>
      <c r="D4461" t="inlineStr">
        <is>
          <t>SKÅNE LÄN</t>
        </is>
      </c>
      <c r="E4461" t="inlineStr">
        <is>
          <t>HÄSSLEHOLM</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32671-2023</t>
        </is>
      </c>
      <c r="B4462" s="1" t="n">
        <v>45121</v>
      </c>
      <c r="C4462" s="1" t="n">
        <v>45744</v>
      </c>
      <c r="D4462" t="inlineStr">
        <is>
          <t>SKÅNE LÄN</t>
        </is>
      </c>
      <c r="E4462" t="inlineStr">
        <is>
          <t>HÖRBY</t>
        </is>
      </c>
      <c r="F4462" t="inlineStr">
        <is>
          <t>Sveaskog</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32702-2023</t>
        </is>
      </c>
      <c r="B4463" s="1" t="n">
        <v>45121</v>
      </c>
      <c r="C4463" s="1" t="n">
        <v>45744</v>
      </c>
      <c r="D4463" t="inlineStr">
        <is>
          <t>SKÅNE LÄN</t>
        </is>
      </c>
      <c r="E4463" t="inlineStr">
        <is>
          <t>KRISTIANSTAD</t>
        </is>
      </c>
      <c r="F4463" t="inlineStr">
        <is>
          <t>Sveaskog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32710-2023</t>
        </is>
      </c>
      <c r="B4464" s="1" t="n">
        <v>45121</v>
      </c>
      <c r="C4464" s="1" t="n">
        <v>45744</v>
      </c>
      <c r="D4464" t="inlineStr">
        <is>
          <t>SKÅNE LÄN</t>
        </is>
      </c>
      <c r="E4464" t="inlineStr">
        <is>
          <t>KRISTIANSTAD</t>
        </is>
      </c>
      <c r="F4464" t="inlineStr">
        <is>
          <t>Sveaskog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32714-2023</t>
        </is>
      </c>
      <c r="B4465" s="1" t="n">
        <v>45121</v>
      </c>
      <c r="C4465" s="1" t="n">
        <v>45744</v>
      </c>
      <c r="D4465" t="inlineStr">
        <is>
          <t>SKÅNE LÄN</t>
        </is>
      </c>
      <c r="E4465" t="inlineStr">
        <is>
          <t>KRISTIANSTAD</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32718-2023</t>
        </is>
      </c>
      <c r="B4466" s="1" t="n">
        <v>45121</v>
      </c>
      <c r="C4466" s="1" t="n">
        <v>45744</v>
      </c>
      <c r="D4466" t="inlineStr">
        <is>
          <t>SKÅNE LÄN</t>
        </is>
      </c>
      <c r="E4466" t="inlineStr">
        <is>
          <t>KRISTIANSTAD</t>
        </is>
      </c>
      <c r="F4466" t="inlineStr">
        <is>
          <t>Sveaskog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32700-2023</t>
        </is>
      </c>
      <c r="B4467" s="1" t="n">
        <v>45121</v>
      </c>
      <c r="C4467" s="1" t="n">
        <v>45744</v>
      </c>
      <c r="D4467" t="inlineStr">
        <is>
          <t>SKÅNE LÄN</t>
        </is>
      </c>
      <c r="E4467" t="inlineStr">
        <is>
          <t>KRISTIANSTAD</t>
        </is>
      </c>
      <c r="F4467" t="inlineStr">
        <is>
          <t>Sveaskog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32704-2023</t>
        </is>
      </c>
      <c r="B4468" s="1" t="n">
        <v>45121</v>
      </c>
      <c r="C4468" s="1" t="n">
        <v>45744</v>
      </c>
      <c r="D4468" t="inlineStr">
        <is>
          <t>SKÅNE LÄN</t>
        </is>
      </c>
      <c r="E4468" t="inlineStr">
        <is>
          <t>KRISTIANSTAD</t>
        </is>
      </c>
      <c r="F4468" t="inlineStr">
        <is>
          <t>Sveaskog</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32708-2023</t>
        </is>
      </c>
      <c r="B4469" s="1" t="n">
        <v>45121</v>
      </c>
      <c r="C4469" s="1" t="n">
        <v>45744</v>
      </c>
      <c r="D4469" t="inlineStr">
        <is>
          <t>SKÅNE LÄN</t>
        </is>
      </c>
      <c r="E4469" t="inlineStr">
        <is>
          <t>KRISTIANSTAD</t>
        </is>
      </c>
      <c r="F4469" t="inlineStr">
        <is>
          <t>Sveaskog</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32712-2023</t>
        </is>
      </c>
      <c r="B4470" s="1" t="n">
        <v>45121</v>
      </c>
      <c r="C4470" s="1" t="n">
        <v>45744</v>
      </c>
      <c r="D4470" t="inlineStr">
        <is>
          <t>SKÅNE LÄN</t>
        </is>
      </c>
      <c r="E4470" t="inlineStr">
        <is>
          <t>KRISTIANSTAD</t>
        </is>
      </c>
      <c r="F4470" t="inlineStr">
        <is>
          <t>Sveaskog</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32716-2023</t>
        </is>
      </c>
      <c r="B4471" s="1" t="n">
        <v>45121</v>
      </c>
      <c r="C4471" s="1" t="n">
        <v>45744</v>
      </c>
      <c r="D4471" t="inlineStr">
        <is>
          <t>SKÅNE LÄN</t>
        </is>
      </c>
      <c r="E4471" t="inlineStr">
        <is>
          <t>KRISTIANSTAD</t>
        </is>
      </c>
      <c r="F4471" t="inlineStr">
        <is>
          <t>Sveaskog</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32701-2023</t>
        </is>
      </c>
      <c r="B4472" s="1" t="n">
        <v>45121</v>
      </c>
      <c r="C4472" s="1" t="n">
        <v>45744</v>
      </c>
      <c r="D4472" t="inlineStr">
        <is>
          <t>SKÅNE LÄN</t>
        </is>
      </c>
      <c r="E4472" t="inlineStr">
        <is>
          <t>KRISTIANSTAD</t>
        </is>
      </c>
      <c r="F4472" t="inlineStr">
        <is>
          <t>Sveaskog</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32705-2023</t>
        </is>
      </c>
      <c r="B4473" s="1" t="n">
        <v>45121</v>
      </c>
      <c r="C4473" s="1" t="n">
        <v>45744</v>
      </c>
      <c r="D4473" t="inlineStr">
        <is>
          <t>SKÅNE LÄN</t>
        </is>
      </c>
      <c r="E4473" t="inlineStr">
        <is>
          <t>KRISTIANSTAD</t>
        </is>
      </c>
      <c r="F4473" t="inlineStr">
        <is>
          <t>Sveaskog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32709-2023</t>
        </is>
      </c>
      <c r="B4474" s="1" t="n">
        <v>45121</v>
      </c>
      <c r="C4474" s="1" t="n">
        <v>45744</v>
      </c>
      <c r="D4474" t="inlineStr">
        <is>
          <t>SKÅNE LÄN</t>
        </is>
      </c>
      <c r="E4474" t="inlineStr">
        <is>
          <t>KRISTIANSTAD</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32713-2023</t>
        </is>
      </c>
      <c r="B4475" s="1" t="n">
        <v>45121</v>
      </c>
      <c r="C4475" s="1" t="n">
        <v>45744</v>
      </c>
      <c r="D4475" t="inlineStr">
        <is>
          <t>SKÅNE LÄN</t>
        </is>
      </c>
      <c r="E4475" t="inlineStr">
        <is>
          <t>KRISTIANSTAD</t>
        </is>
      </c>
      <c r="F4475" t="inlineStr">
        <is>
          <t>Sveaskog</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32717-2023</t>
        </is>
      </c>
      <c r="B4476" s="1" t="n">
        <v>45121</v>
      </c>
      <c r="C4476" s="1" t="n">
        <v>45744</v>
      </c>
      <c r="D4476" t="inlineStr">
        <is>
          <t>SKÅNE LÄN</t>
        </is>
      </c>
      <c r="E4476" t="inlineStr">
        <is>
          <t>KRISTIANSTAD</t>
        </is>
      </c>
      <c r="F4476" t="inlineStr">
        <is>
          <t>Sveaskog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32514-2023</t>
        </is>
      </c>
      <c r="B4477" s="1" t="n">
        <v>45121</v>
      </c>
      <c r="C4477" s="1" t="n">
        <v>45744</v>
      </c>
      <c r="D4477" t="inlineStr">
        <is>
          <t>SKÅNE LÄN</t>
        </is>
      </c>
      <c r="E4477" t="inlineStr">
        <is>
          <t>ÖSTRA GÖINGE</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32707-2023</t>
        </is>
      </c>
      <c r="B4478" s="1" t="n">
        <v>45121</v>
      </c>
      <c r="C4478" s="1" t="n">
        <v>45744</v>
      </c>
      <c r="D4478" t="inlineStr">
        <is>
          <t>SKÅNE LÄN</t>
        </is>
      </c>
      <c r="E4478" t="inlineStr">
        <is>
          <t>KRISTIANSTAD</t>
        </is>
      </c>
      <c r="F4478" t="inlineStr">
        <is>
          <t>Sveaskog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32711-2023</t>
        </is>
      </c>
      <c r="B4479" s="1" t="n">
        <v>45121</v>
      </c>
      <c r="C4479" s="1" t="n">
        <v>45744</v>
      </c>
      <c r="D4479" t="inlineStr">
        <is>
          <t>SKÅNE LÄN</t>
        </is>
      </c>
      <c r="E4479" t="inlineStr">
        <is>
          <t>KRISTIANSTAD</t>
        </is>
      </c>
      <c r="F4479" t="inlineStr">
        <is>
          <t>Sveaskog</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32715-2023</t>
        </is>
      </c>
      <c r="B4480" s="1" t="n">
        <v>45121</v>
      </c>
      <c r="C4480" s="1" t="n">
        <v>45744</v>
      </c>
      <c r="D4480" t="inlineStr">
        <is>
          <t>SKÅNE LÄN</t>
        </is>
      </c>
      <c r="E4480" t="inlineStr">
        <is>
          <t>KRISTIANSTAD</t>
        </is>
      </c>
      <c r="F4480" t="inlineStr">
        <is>
          <t>Sveaskog</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32814-2023</t>
        </is>
      </c>
      <c r="B4481" s="1" t="n">
        <v>45124</v>
      </c>
      <c r="C4481" s="1" t="n">
        <v>45744</v>
      </c>
      <c r="D4481" t="inlineStr">
        <is>
          <t>SKÅNE LÄN</t>
        </is>
      </c>
      <c r="E4481" t="inlineStr">
        <is>
          <t>KRISTIANSTAD</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32855-2023</t>
        </is>
      </c>
      <c r="B4482" s="1" t="n">
        <v>45124</v>
      </c>
      <c r="C4482" s="1" t="n">
        <v>45744</v>
      </c>
      <c r="D4482" t="inlineStr">
        <is>
          <t>SKÅNE LÄN</t>
        </is>
      </c>
      <c r="E4482" t="inlineStr">
        <is>
          <t>ÖRKELLJUNGA</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32794-2023</t>
        </is>
      </c>
      <c r="B4483" s="1" t="n">
        <v>45124</v>
      </c>
      <c r="C4483" s="1" t="n">
        <v>45744</v>
      </c>
      <c r="D4483" t="inlineStr">
        <is>
          <t>SKÅNE LÄN</t>
        </is>
      </c>
      <c r="E4483" t="inlineStr">
        <is>
          <t>HÄSSLEHOLM</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32808-2023</t>
        </is>
      </c>
      <c r="B4484" s="1" t="n">
        <v>45124</v>
      </c>
      <c r="C4484" s="1" t="n">
        <v>45744</v>
      </c>
      <c r="D4484" t="inlineStr">
        <is>
          <t>SKÅNE LÄN</t>
        </is>
      </c>
      <c r="E4484" t="inlineStr">
        <is>
          <t>ÖSTRA GÖINGE</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32807-2023</t>
        </is>
      </c>
      <c r="B4485" s="1" t="n">
        <v>45124</v>
      </c>
      <c r="C4485" s="1" t="n">
        <v>45744</v>
      </c>
      <c r="D4485" t="inlineStr">
        <is>
          <t>SKÅNE LÄN</t>
        </is>
      </c>
      <c r="E4485" t="inlineStr">
        <is>
          <t>ÖSTRA GÖINGE</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33938-2023</t>
        </is>
      </c>
      <c r="B4486" s="1" t="n">
        <v>45124</v>
      </c>
      <c r="C4486" s="1" t="n">
        <v>45744</v>
      </c>
      <c r="D4486" t="inlineStr">
        <is>
          <t>SKÅNE LÄN</t>
        </is>
      </c>
      <c r="E4486" t="inlineStr">
        <is>
          <t>HÄSSLEHOLM</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33949-2023</t>
        </is>
      </c>
      <c r="B4487" s="1" t="n">
        <v>45124</v>
      </c>
      <c r="C4487" s="1" t="n">
        <v>45744</v>
      </c>
      <c r="D4487" t="inlineStr">
        <is>
          <t>SKÅNE LÄN</t>
        </is>
      </c>
      <c r="E4487" t="inlineStr">
        <is>
          <t>KRISTIANSTAD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32967-2023</t>
        </is>
      </c>
      <c r="B4488" s="1" t="n">
        <v>45125</v>
      </c>
      <c r="C4488" s="1" t="n">
        <v>45744</v>
      </c>
      <c r="D4488" t="inlineStr">
        <is>
          <t>SKÅNE LÄN</t>
        </is>
      </c>
      <c r="E4488" t="inlineStr">
        <is>
          <t>HÄSSLEHOLM</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33013-2023</t>
        </is>
      </c>
      <c r="B4489" s="1" t="n">
        <v>45125</v>
      </c>
      <c r="C4489" s="1" t="n">
        <v>45744</v>
      </c>
      <c r="D4489" t="inlineStr">
        <is>
          <t>SKÅNE LÄN</t>
        </is>
      </c>
      <c r="E4489" t="inlineStr">
        <is>
          <t>OSBY</t>
        </is>
      </c>
      <c r="G4489" t="n">
        <v>9.300000000000001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32968-2023</t>
        </is>
      </c>
      <c r="B4490" s="1" t="n">
        <v>45125</v>
      </c>
      <c r="C4490" s="1" t="n">
        <v>45744</v>
      </c>
      <c r="D4490" t="inlineStr">
        <is>
          <t>SKÅNE LÄN</t>
        </is>
      </c>
      <c r="E4490" t="inlineStr">
        <is>
          <t>HÄSSLEHOLM</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32999-2023</t>
        </is>
      </c>
      <c r="B4491" s="1" t="n">
        <v>45125</v>
      </c>
      <c r="C4491" s="1" t="n">
        <v>45744</v>
      </c>
      <c r="D4491" t="inlineStr">
        <is>
          <t>SKÅNE LÄN</t>
        </is>
      </c>
      <c r="E4491" t="inlineStr">
        <is>
          <t>HÄSSLEHOLM</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33024-2023</t>
        </is>
      </c>
      <c r="B4492" s="1" t="n">
        <v>45125</v>
      </c>
      <c r="C4492" s="1" t="n">
        <v>45744</v>
      </c>
      <c r="D4492" t="inlineStr">
        <is>
          <t>SKÅNE LÄN</t>
        </is>
      </c>
      <c r="E4492" t="inlineStr">
        <is>
          <t>KRISTIANSTAD</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32957-2023</t>
        </is>
      </c>
      <c r="B4493" s="1" t="n">
        <v>45125</v>
      </c>
      <c r="C4493" s="1" t="n">
        <v>45744</v>
      </c>
      <c r="D4493" t="inlineStr">
        <is>
          <t>SKÅNE LÄN</t>
        </is>
      </c>
      <c r="E4493" t="inlineStr">
        <is>
          <t>HÄSSLEHOLM</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32958-2023</t>
        </is>
      </c>
      <c r="B4494" s="1" t="n">
        <v>45125</v>
      </c>
      <c r="C4494" s="1" t="n">
        <v>45744</v>
      </c>
      <c r="D4494" t="inlineStr">
        <is>
          <t>SKÅNE LÄN</t>
        </is>
      </c>
      <c r="E4494" t="inlineStr">
        <is>
          <t>HÄSSLEHOLM</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33064-2023</t>
        </is>
      </c>
      <c r="B4495" s="1" t="n">
        <v>45126</v>
      </c>
      <c r="C4495" s="1" t="n">
        <v>45744</v>
      </c>
      <c r="D4495" t="inlineStr">
        <is>
          <t>SKÅNE LÄN</t>
        </is>
      </c>
      <c r="E4495" t="inlineStr">
        <is>
          <t>OSBY</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33095-2023</t>
        </is>
      </c>
      <c r="B4496" s="1" t="n">
        <v>45126</v>
      </c>
      <c r="C4496" s="1" t="n">
        <v>45744</v>
      </c>
      <c r="D4496" t="inlineStr">
        <is>
          <t>SKÅNE LÄN</t>
        </is>
      </c>
      <c r="E4496" t="inlineStr">
        <is>
          <t>HÄSSLEHOLM</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33056-2023</t>
        </is>
      </c>
      <c r="B4497" s="1" t="n">
        <v>45126</v>
      </c>
      <c r="C4497" s="1" t="n">
        <v>45744</v>
      </c>
      <c r="D4497" t="inlineStr">
        <is>
          <t>SKÅNE LÄN</t>
        </is>
      </c>
      <c r="E4497" t="inlineStr">
        <is>
          <t>HÄSSLEHOLM</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34216-2023</t>
        </is>
      </c>
      <c r="B4498" s="1" t="n">
        <v>45126</v>
      </c>
      <c r="C4498" s="1" t="n">
        <v>45744</v>
      </c>
      <c r="D4498" t="inlineStr">
        <is>
          <t>SKÅNE LÄN</t>
        </is>
      </c>
      <c r="E4498" t="inlineStr">
        <is>
          <t>BROMÖLLA</t>
        </is>
      </c>
      <c r="F4498" t="inlineStr">
        <is>
          <t>Kyrkan</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33188-2023</t>
        </is>
      </c>
      <c r="B4499" s="1" t="n">
        <v>45127</v>
      </c>
      <c r="C4499" s="1" t="n">
        <v>45744</v>
      </c>
      <c r="D4499" t="inlineStr">
        <is>
          <t>SKÅNE LÄN</t>
        </is>
      </c>
      <c r="E4499" t="inlineStr">
        <is>
          <t>ÄNGELHOLM</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33290-2023</t>
        </is>
      </c>
      <c r="B4500" s="1" t="n">
        <v>45127</v>
      </c>
      <c r="C4500" s="1" t="n">
        <v>45744</v>
      </c>
      <c r="D4500" t="inlineStr">
        <is>
          <t>SKÅNE LÄN</t>
        </is>
      </c>
      <c r="E4500" t="inlineStr">
        <is>
          <t>KRISTIANSTAD</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33255-2023</t>
        </is>
      </c>
      <c r="B4501" s="1" t="n">
        <v>45127</v>
      </c>
      <c r="C4501" s="1" t="n">
        <v>45744</v>
      </c>
      <c r="D4501" t="inlineStr">
        <is>
          <t>SKÅNE LÄN</t>
        </is>
      </c>
      <c r="E4501" t="inlineStr">
        <is>
          <t>BROMÖLLA</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33320-2023</t>
        </is>
      </c>
      <c r="B4502" s="1" t="n">
        <v>45127</v>
      </c>
      <c r="C4502" s="1" t="n">
        <v>45744</v>
      </c>
      <c r="D4502" t="inlineStr">
        <is>
          <t>SKÅNE LÄN</t>
        </is>
      </c>
      <c r="E4502" t="inlineStr">
        <is>
          <t>KRISTIANSTAD</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33362-2023</t>
        </is>
      </c>
      <c r="B4503" s="1" t="n">
        <v>45128</v>
      </c>
      <c r="C4503" s="1" t="n">
        <v>45744</v>
      </c>
      <c r="D4503" t="inlineStr">
        <is>
          <t>SKÅNE LÄN</t>
        </is>
      </c>
      <c r="E4503" t="inlineStr">
        <is>
          <t>KRISTIANSTAD</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33358-2023</t>
        </is>
      </c>
      <c r="B4504" s="1" t="n">
        <v>45128</v>
      </c>
      <c r="C4504" s="1" t="n">
        <v>45744</v>
      </c>
      <c r="D4504" t="inlineStr">
        <is>
          <t>SKÅNE LÄN</t>
        </is>
      </c>
      <c r="E4504" t="inlineStr">
        <is>
          <t>HÖRBY</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33407-2023</t>
        </is>
      </c>
      <c r="B4505" s="1" t="n">
        <v>45128</v>
      </c>
      <c r="C4505" s="1" t="n">
        <v>45744</v>
      </c>
      <c r="D4505" t="inlineStr">
        <is>
          <t>SKÅNE LÄN</t>
        </is>
      </c>
      <c r="E4505" t="inlineStr">
        <is>
          <t>OSBY</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33359-2023</t>
        </is>
      </c>
      <c r="B4506" s="1" t="n">
        <v>45128</v>
      </c>
      <c r="C4506" s="1" t="n">
        <v>45744</v>
      </c>
      <c r="D4506" t="inlineStr">
        <is>
          <t>SKÅNE LÄN</t>
        </is>
      </c>
      <c r="E4506" t="inlineStr">
        <is>
          <t>HÖRBY</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33409-2023</t>
        </is>
      </c>
      <c r="B4507" s="1" t="n">
        <v>45128</v>
      </c>
      <c r="C4507" s="1" t="n">
        <v>45744</v>
      </c>
      <c r="D4507" t="inlineStr">
        <is>
          <t>SKÅNE LÄN</t>
        </is>
      </c>
      <c r="E4507" t="inlineStr">
        <is>
          <t>OSBY</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33403-2023</t>
        </is>
      </c>
      <c r="B4508" s="1" t="n">
        <v>45128</v>
      </c>
      <c r="C4508" s="1" t="n">
        <v>45744</v>
      </c>
      <c r="D4508" t="inlineStr">
        <is>
          <t>SKÅNE LÄN</t>
        </is>
      </c>
      <c r="E4508" t="inlineStr">
        <is>
          <t>OSBY</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33471-2023</t>
        </is>
      </c>
      <c r="B4509" s="1" t="n">
        <v>45131</v>
      </c>
      <c r="C4509" s="1" t="n">
        <v>45744</v>
      </c>
      <c r="D4509" t="inlineStr">
        <is>
          <t>SKÅNE LÄN</t>
        </is>
      </c>
      <c r="E4509" t="inlineStr">
        <is>
          <t>OSBY</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33520-2023</t>
        </is>
      </c>
      <c r="B4510" s="1" t="n">
        <v>45131</v>
      </c>
      <c r="C4510" s="1" t="n">
        <v>45744</v>
      </c>
      <c r="D4510" t="inlineStr">
        <is>
          <t>SKÅNE LÄN</t>
        </is>
      </c>
      <c r="E4510" t="inlineStr">
        <is>
          <t>HÄSSLEHOLM</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33474-2023</t>
        </is>
      </c>
      <c r="B4511" s="1" t="n">
        <v>45131</v>
      </c>
      <c r="C4511" s="1" t="n">
        <v>45744</v>
      </c>
      <c r="D4511" t="inlineStr">
        <is>
          <t>SKÅNE LÄN</t>
        </is>
      </c>
      <c r="E4511" t="inlineStr">
        <is>
          <t>OSBY</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33473-2023</t>
        </is>
      </c>
      <c r="B4512" s="1" t="n">
        <v>45131</v>
      </c>
      <c r="C4512" s="1" t="n">
        <v>45744</v>
      </c>
      <c r="D4512" t="inlineStr">
        <is>
          <t>SKÅNE LÄN</t>
        </is>
      </c>
      <c r="E4512" t="inlineStr">
        <is>
          <t>OSBY</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33597-2023</t>
        </is>
      </c>
      <c r="B4513" s="1" t="n">
        <v>45132</v>
      </c>
      <c r="C4513" s="1" t="n">
        <v>45744</v>
      </c>
      <c r="D4513" t="inlineStr">
        <is>
          <t>SKÅNE LÄN</t>
        </is>
      </c>
      <c r="E4513" t="inlineStr">
        <is>
          <t>HÄSSLEHOLM</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33598-2023</t>
        </is>
      </c>
      <c r="B4514" s="1" t="n">
        <v>45132</v>
      </c>
      <c r="C4514" s="1" t="n">
        <v>45744</v>
      </c>
      <c r="D4514" t="inlineStr">
        <is>
          <t>SKÅNE LÄN</t>
        </is>
      </c>
      <c r="E4514" t="inlineStr">
        <is>
          <t>HÄSSLEHOLM</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33592-2023</t>
        </is>
      </c>
      <c r="B4515" s="1" t="n">
        <v>45132</v>
      </c>
      <c r="C4515" s="1" t="n">
        <v>45744</v>
      </c>
      <c r="D4515" t="inlineStr">
        <is>
          <t>SKÅNE LÄN</t>
        </is>
      </c>
      <c r="E4515" t="inlineStr">
        <is>
          <t>KRISTIANSTAD</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33599-2023</t>
        </is>
      </c>
      <c r="B4516" s="1" t="n">
        <v>45132</v>
      </c>
      <c r="C4516" s="1" t="n">
        <v>45744</v>
      </c>
      <c r="D4516" t="inlineStr">
        <is>
          <t>SKÅNE LÄN</t>
        </is>
      </c>
      <c r="E4516" t="inlineStr">
        <is>
          <t>HÄSSLEHOLM</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33796-2023</t>
        </is>
      </c>
      <c r="B4517" s="1" t="n">
        <v>45133</v>
      </c>
      <c r="C4517" s="1" t="n">
        <v>45744</v>
      </c>
      <c r="D4517" t="inlineStr">
        <is>
          <t>SKÅNE LÄN</t>
        </is>
      </c>
      <c r="E4517" t="inlineStr">
        <is>
          <t>ÖRKELLJUNGA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33787-2023</t>
        </is>
      </c>
      <c r="B4518" s="1" t="n">
        <v>45133</v>
      </c>
      <c r="C4518" s="1" t="n">
        <v>45744</v>
      </c>
      <c r="D4518" t="inlineStr">
        <is>
          <t>SKÅNE LÄN</t>
        </is>
      </c>
      <c r="E4518" t="inlineStr">
        <is>
          <t>ÖRKELLJUNGA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33789-2023</t>
        </is>
      </c>
      <c r="B4519" s="1" t="n">
        <v>45133</v>
      </c>
      <c r="C4519" s="1" t="n">
        <v>45744</v>
      </c>
      <c r="D4519" t="inlineStr">
        <is>
          <t>SKÅNE LÄN</t>
        </is>
      </c>
      <c r="E4519" t="inlineStr">
        <is>
          <t>ÖRKELLJUNGA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33988-2023</t>
        </is>
      </c>
      <c r="B4520" s="1" t="n">
        <v>45134</v>
      </c>
      <c r="C4520" s="1" t="n">
        <v>45744</v>
      </c>
      <c r="D4520" t="inlineStr">
        <is>
          <t>SKÅNE LÄN</t>
        </is>
      </c>
      <c r="E4520" t="inlineStr">
        <is>
          <t>KRISTIANSTAD</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34536-2023</t>
        </is>
      </c>
      <c r="B4521" s="1" t="n">
        <v>45134</v>
      </c>
      <c r="C4521" s="1" t="n">
        <v>45744</v>
      </c>
      <c r="D4521" t="inlineStr">
        <is>
          <t>SKÅNE LÄN</t>
        </is>
      </c>
      <c r="E4521" t="inlineStr">
        <is>
          <t>HÖÖR</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34018-2023</t>
        </is>
      </c>
      <c r="B4522" s="1" t="n">
        <v>45135</v>
      </c>
      <c r="C4522" s="1" t="n">
        <v>45744</v>
      </c>
      <c r="D4522" t="inlineStr">
        <is>
          <t>SKÅNE LÄN</t>
        </is>
      </c>
      <c r="E4522" t="inlineStr">
        <is>
          <t>OSBY</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34187-2023</t>
        </is>
      </c>
      <c r="B4523" s="1" t="n">
        <v>45138</v>
      </c>
      <c r="C4523" s="1" t="n">
        <v>45744</v>
      </c>
      <c r="D4523" t="inlineStr">
        <is>
          <t>SKÅNE LÄN</t>
        </is>
      </c>
      <c r="E4523" t="inlineStr">
        <is>
          <t>HÄSSLEHOLM</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34257-2023</t>
        </is>
      </c>
      <c r="B4524" s="1" t="n">
        <v>45138</v>
      </c>
      <c r="C4524" s="1" t="n">
        <v>45744</v>
      </c>
      <c r="D4524" t="inlineStr">
        <is>
          <t>SKÅNE LÄN</t>
        </is>
      </c>
      <c r="E4524" t="inlineStr">
        <is>
          <t>ÖSTRA GÖINGE</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34170-2023</t>
        </is>
      </c>
      <c r="B4525" s="1" t="n">
        <v>45138</v>
      </c>
      <c r="C4525" s="1" t="n">
        <v>45744</v>
      </c>
      <c r="D4525" t="inlineStr">
        <is>
          <t>SKÅNE LÄN</t>
        </is>
      </c>
      <c r="E4525" t="inlineStr">
        <is>
          <t>ESLÖV</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34279-2023</t>
        </is>
      </c>
      <c r="B4526" s="1" t="n">
        <v>45138</v>
      </c>
      <c r="C4526" s="1" t="n">
        <v>45744</v>
      </c>
      <c r="D4526" t="inlineStr">
        <is>
          <t>SKÅNE LÄN</t>
        </is>
      </c>
      <c r="E4526" t="inlineStr">
        <is>
          <t>ÖRKELLJUNGA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34256-2023</t>
        </is>
      </c>
      <c r="B4527" s="1" t="n">
        <v>45138</v>
      </c>
      <c r="C4527" s="1" t="n">
        <v>45744</v>
      </c>
      <c r="D4527" t="inlineStr">
        <is>
          <t>SKÅNE LÄN</t>
        </is>
      </c>
      <c r="E4527" t="inlineStr">
        <is>
          <t>ÖSTRA GÖINGE</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34254-2023</t>
        </is>
      </c>
      <c r="B4528" s="1" t="n">
        <v>45138</v>
      </c>
      <c r="C4528" s="1" t="n">
        <v>45744</v>
      </c>
      <c r="D4528" t="inlineStr">
        <is>
          <t>SKÅNE LÄN</t>
        </is>
      </c>
      <c r="E4528" t="inlineStr">
        <is>
          <t>ÖSTRA GÖINGE</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34369-2023</t>
        </is>
      </c>
      <c r="B4529" s="1" t="n">
        <v>45139</v>
      </c>
      <c r="C4529" s="1" t="n">
        <v>45744</v>
      </c>
      <c r="D4529" t="inlineStr">
        <is>
          <t>SKÅNE LÄN</t>
        </is>
      </c>
      <c r="E4529" t="inlineStr">
        <is>
          <t>HÄSSLEHOLM</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34649-2023</t>
        </is>
      </c>
      <c r="B4530" s="1" t="n">
        <v>45139</v>
      </c>
      <c r="C4530" s="1" t="n">
        <v>45744</v>
      </c>
      <c r="D4530" t="inlineStr">
        <is>
          <t>SKÅNE LÄN</t>
        </is>
      </c>
      <c r="E4530" t="inlineStr">
        <is>
          <t>ÖSTRA GÖINGE</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34725-2023</t>
        </is>
      </c>
      <c r="B4531" s="1" t="n">
        <v>45139</v>
      </c>
      <c r="C4531" s="1" t="n">
        <v>45744</v>
      </c>
      <c r="D4531" t="inlineStr">
        <is>
          <t>SKÅNE LÄN</t>
        </is>
      </c>
      <c r="E4531" t="inlineStr">
        <is>
          <t>ÖSTRA GÖINGE</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34466-2023</t>
        </is>
      </c>
      <c r="B4532" s="1" t="n">
        <v>45139</v>
      </c>
      <c r="C4532" s="1" t="n">
        <v>45744</v>
      </c>
      <c r="D4532" t="inlineStr">
        <is>
          <t>SKÅNE LÄN</t>
        </is>
      </c>
      <c r="E4532" t="inlineStr">
        <is>
          <t>ESLÖV</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34468-2023</t>
        </is>
      </c>
      <c r="B4533" s="1" t="n">
        <v>45139</v>
      </c>
      <c r="C4533" s="1" t="n">
        <v>45744</v>
      </c>
      <c r="D4533" t="inlineStr">
        <is>
          <t>SKÅNE LÄN</t>
        </is>
      </c>
      <c r="E4533" t="inlineStr">
        <is>
          <t>ESLÖV</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34722-2023</t>
        </is>
      </c>
      <c r="B4534" s="1" t="n">
        <v>45139</v>
      </c>
      <c r="C4534" s="1" t="n">
        <v>45744</v>
      </c>
      <c r="D4534" t="inlineStr">
        <is>
          <t>SKÅNE LÄN</t>
        </is>
      </c>
      <c r="E4534" t="inlineStr">
        <is>
          <t>ÖSTRA GÖINGE</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34514-2023</t>
        </is>
      </c>
      <c r="B4535" s="1" t="n">
        <v>45140</v>
      </c>
      <c r="C4535" s="1" t="n">
        <v>45744</v>
      </c>
      <c r="D4535" t="inlineStr">
        <is>
          <t>SKÅNE LÄN</t>
        </is>
      </c>
      <c r="E4535" t="inlineStr">
        <is>
          <t>ÄNGELHOLM</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34522-2023</t>
        </is>
      </c>
      <c r="B4536" s="1" t="n">
        <v>45140</v>
      </c>
      <c r="C4536" s="1" t="n">
        <v>45744</v>
      </c>
      <c r="D4536" t="inlineStr">
        <is>
          <t>SKÅNE LÄN</t>
        </is>
      </c>
      <c r="E4536" t="inlineStr">
        <is>
          <t>ÖRKELLJUNGA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34579-2023</t>
        </is>
      </c>
      <c r="B4537" s="1" t="n">
        <v>45140</v>
      </c>
      <c r="C4537" s="1" t="n">
        <v>45744</v>
      </c>
      <c r="D4537" t="inlineStr">
        <is>
          <t>SKÅNE LÄN</t>
        </is>
      </c>
      <c r="E4537" t="inlineStr">
        <is>
          <t>OSBY</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34516-2023</t>
        </is>
      </c>
      <c r="B4538" s="1" t="n">
        <v>45140</v>
      </c>
      <c r="C4538" s="1" t="n">
        <v>45744</v>
      </c>
      <c r="D4538" t="inlineStr">
        <is>
          <t>SKÅNE LÄN</t>
        </is>
      </c>
      <c r="E4538" t="inlineStr">
        <is>
          <t>ÖRKELLJUNGA</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34513-2023</t>
        </is>
      </c>
      <c r="B4539" s="1" t="n">
        <v>45140</v>
      </c>
      <c r="C4539" s="1" t="n">
        <v>45744</v>
      </c>
      <c r="D4539" t="inlineStr">
        <is>
          <t>SKÅNE LÄN</t>
        </is>
      </c>
      <c r="E4539" t="inlineStr">
        <is>
          <t>ÄNGELHOLM</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34517-2023</t>
        </is>
      </c>
      <c r="B4540" s="1" t="n">
        <v>45140</v>
      </c>
      <c r="C4540" s="1" t="n">
        <v>45744</v>
      </c>
      <c r="D4540" t="inlineStr">
        <is>
          <t>SKÅNE LÄN</t>
        </is>
      </c>
      <c r="E4540" t="inlineStr">
        <is>
          <t>ÖRKELLJUNGA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34520-2023</t>
        </is>
      </c>
      <c r="B4541" s="1" t="n">
        <v>45140</v>
      </c>
      <c r="C4541" s="1" t="n">
        <v>45744</v>
      </c>
      <c r="D4541" t="inlineStr">
        <is>
          <t>SKÅNE LÄN</t>
        </is>
      </c>
      <c r="E4541" t="inlineStr">
        <is>
          <t>ÖRKELLJUNGA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34521-2023</t>
        </is>
      </c>
      <c r="B4542" s="1" t="n">
        <v>45140</v>
      </c>
      <c r="C4542" s="1" t="n">
        <v>45744</v>
      </c>
      <c r="D4542" t="inlineStr">
        <is>
          <t>SKÅNE LÄN</t>
        </is>
      </c>
      <c r="E4542" t="inlineStr">
        <is>
          <t>ÖRKELLJUNGA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34591-2023</t>
        </is>
      </c>
      <c r="B4543" s="1" t="n">
        <v>45140</v>
      </c>
      <c r="C4543" s="1" t="n">
        <v>45744</v>
      </c>
      <c r="D4543" t="inlineStr">
        <is>
          <t>SKÅNE LÄN</t>
        </is>
      </c>
      <c r="E4543" t="inlineStr">
        <is>
          <t>ÖRKELLJUNGA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34565-2023</t>
        </is>
      </c>
      <c r="B4544" s="1" t="n">
        <v>45140</v>
      </c>
      <c r="C4544" s="1" t="n">
        <v>45744</v>
      </c>
      <c r="D4544" t="inlineStr">
        <is>
          <t>SKÅNE LÄN</t>
        </is>
      </c>
      <c r="E4544" t="inlineStr">
        <is>
          <t>OSBY</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34581-2023</t>
        </is>
      </c>
      <c r="B4545" s="1" t="n">
        <v>45140</v>
      </c>
      <c r="C4545" s="1" t="n">
        <v>45744</v>
      </c>
      <c r="D4545" t="inlineStr">
        <is>
          <t>SKÅNE LÄN</t>
        </is>
      </c>
      <c r="E4545" t="inlineStr">
        <is>
          <t>OSBY</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34595-2023</t>
        </is>
      </c>
      <c r="B4546" s="1" t="n">
        <v>45140</v>
      </c>
      <c r="C4546" s="1" t="n">
        <v>45744</v>
      </c>
      <c r="D4546" t="inlineStr">
        <is>
          <t>SKÅNE LÄN</t>
        </is>
      </c>
      <c r="E4546" t="inlineStr">
        <is>
          <t>ÖRKELLJUNGA</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34601-2023</t>
        </is>
      </c>
      <c r="B4547" s="1" t="n">
        <v>45140</v>
      </c>
      <c r="C4547" s="1" t="n">
        <v>45744</v>
      </c>
      <c r="D4547" t="inlineStr">
        <is>
          <t>SKÅNE LÄN</t>
        </is>
      </c>
      <c r="E4547" t="inlineStr">
        <is>
          <t>ÖRKELLJUNGA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34776-2023</t>
        </is>
      </c>
      <c r="B4548" s="1" t="n">
        <v>45140</v>
      </c>
      <c r="C4548" s="1" t="n">
        <v>45744</v>
      </c>
      <c r="D4548" t="inlineStr">
        <is>
          <t>SKÅNE LÄN</t>
        </is>
      </c>
      <c r="E4548" t="inlineStr">
        <is>
          <t>SJÖBO</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34764-2023</t>
        </is>
      </c>
      <c r="B4549" s="1" t="n">
        <v>45141</v>
      </c>
      <c r="C4549" s="1" t="n">
        <v>45744</v>
      </c>
      <c r="D4549" t="inlineStr">
        <is>
          <t>SKÅNE LÄN</t>
        </is>
      </c>
      <c r="E4549" t="inlineStr">
        <is>
          <t>BROMÖLLA</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34793-2023</t>
        </is>
      </c>
      <c r="B4550" s="1" t="n">
        <v>45141</v>
      </c>
      <c r="C4550" s="1" t="n">
        <v>45744</v>
      </c>
      <c r="D4550" t="inlineStr">
        <is>
          <t>SKÅNE LÄN</t>
        </is>
      </c>
      <c r="E4550" t="inlineStr">
        <is>
          <t>ÖSTRA GÖINGE</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34723-2023</t>
        </is>
      </c>
      <c r="B4551" s="1" t="n">
        <v>45141</v>
      </c>
      <c r="C4551" s="1" t="n">
        <v>45744</v>
      </c>
      <c r="D4551" t="inlineStr">
        <is>
          <t>SKÅNE LÄN</t>
        </is>
      </c>
      <c r="E4551" t="inlineStr">
        <is>
          <t>KRISTIANSTAD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34810-2023</t>
        </is>
      </c>
      <c r="B4552" s="1" t="n">
        <v>45141</v>
      </c>
      <c r="C4552" s="1" t="n">
        <v>45744</v>
      </c>
      <c r="D4552" t="inlineStr">
        <is>
          <t>SKÅNE LÄN</t>
        </is>
      </c>
      <c r="E4552" t="inlineStr">
        <is>
          <t>SVALÖV</t>
        </is>
      </c>
      <c r="G4552" t="n">
        <v>7</v>
      </c>
      <c r="H4552" t="n">
        <v>0</v>
      </c>
      <c r="I4552" t="n">
        <v>0</v>
      </c>
      <c r="J4552" t="n">
        <v>0</v>
      </c>
      <c r="K4552" t="n">
        <v>0</v>
      </c>
      <c r="L4552" t="n">
        <v>0</v>
      </c>
      <c r="M4552" t="n">
        <v>0</v>
      </c>
      <c r="N4552" t="n">
        <v>0</v>
      </c>
      <c r="O4552" t="n">
        <v>0</v>
      </c>
      <c r="P4552" t="n">
        <v>0</v>
      </c>
      <c r="Q4552" t="n">
        <v>0</v>
      </c>
      <c r="R4552" s="2" t="inlineStr"/>
    </row>
    <row r="4553" ht="15" customHeight="1">
      <c r="A4553" t="inlineStr">
        <is>
          <t>A 34934-2023</t>
        </is>
      </c>
      <c r="B4553" s="1" t="n">
        <v>45141</v>
      </c>
      <c r="C4553" s="1" t="n">
        <v>45744</v>
      </c>
      <c r="D4553" t="inlineStr">
        <is>
          <t>SKÅNE LÄN</t>
        </is>
      </c>
      <c r="E4553" t="inlineStr">
        <is>
          <t>OSBY</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34966-2023</t>
        </is>
      </c>
      <c r="B4554" s="1" t="n">
        <v>45141</v>
      </c>
      <c r="C4554" s="1" t="n">
        <v>45744</v>
      </c>
      <c r="D4554" t="inlineStr">
        <is>
          <t>SKÅNE LÄN</t>
        </is>
      </c>
      <c r="E4554" t="inlineStr">
        <is>
          <t>OSBY</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34924-2023</t>
        </is>
      </c>
      <c r="B4555" s="1" t="n">
        <v>45141</v>
      </c>
      <c r="C4555" s="1" t="n">
        <v>45744</v>
      </c>
      <c r="D4555" t="inlineStr">
        <is>
          <t>SKÅNE LÄN</t>
        </is>
      </c>
      <c r="E4555" t="inlineStr">
        <is>
          <t>OSBY</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34972-2023</t>
        </is>
      </c>
      <c r="B4556" s="1" t="n">
        <v>45141</v>
      </c>
      <c r="C4556" s="1" t="n">
        <v>45744</v>
      </c>
      <c r="D4556" t="inlineStr">
        <is>
          <t>SKÅNE LÄN</t>
        </is>
      </c>
      <c r="E4556" t="inlineStr">
        <is>
          <t>OSBY</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34724-2023</t>
        </is>
      </c>
      <c r="B4557" s="1" t="n">
        <v>45141</v>
      </c>
      <c r="C4557" s="1" t="n">
        <v>45744</v>
      </c>
      <c r="D4557" t="inlineStr">
        <is>
          <t>SKÅNE LÄN</t>
        </is>
      </c>
      <c r="E4557" t="inlineStr">
        <is>
          <t>KRISTIANSTAD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34730-2023</t>
        </is>
      </c>
      <c r="B4558" s="1" t="n">
        <v>45141</v>
      </c>
      <c r="C4558" s="1" t="n">
        <v>45744</v>
      </c>
      <c r="D4558" t="inlineStr">
        <is>
          <t>SKÅNE LÄN</t>
        </is>
      </c>
      <c r="E4558" t="inlineStr">
        <is>
          <t>KRISTIANSTAD</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34834-2023</t>
        </is>
      </c>
      <c r="B4559" s="1" t="n">
        <v>45141</v>
      </c>
      <c r="C4559" s="1" t="n">
        <v>45744</v>
      </c>
      <c r="D4559" t="inlineStr">
        <is>
          <t>SKÅNE LÄN</t>
        </is>
      </c>
      <c r="E4559" t="inlineStr">
        <is>
          <t>HÄSSLEHOLM</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34948-2023</t>
        </is>
      </c>
      <c r="B4560" s="1" t="n">
        <v>45141</v>
      </c>
      <c r="C4560" s="1" t="n">
        <v>45744</v>
      </c>
      <c r="D4560" t="inlineStr">
        <is>
          <t>SKÅNE LÄN</t>
        </is>
      </c>
      <c r="E4560" t="inlineStr">
        <is>
          <t>OSBY</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34813-2023</t>
        </is>
      </c>
      <c r="B4561" s="1" t="n">
        <v>45141</v>
      </c>
      <c r="C4561" s="1" t="n">
        <v>45744</v>
      </c>
      <c r="D4561" t="inlineStr">
        <is>
          <t>SKÅNE LÄN</t>
        </is>
      </c>
      <c r="E4561" t="inlineStr">
        <is>
          <t>SVALÖV</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34832-2023</t>
        </is>
      </c>
      <c r="B4562" s="1" t="n">
        <v>45141</v>
      </c>
      <c r="C4562" s="1" t="n">
        <v>45744</v>
      </c>
      <c r="D4562" t="inlineStr">
        <is>
          <t>SKÅNE LÄN</t>
        </is>
      </c>
      <c r="E4562" t="inlineStr">
        <is>
          <t>BROMÖLLA</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34968-2023</t>
        </is>
      </c>
      <c r="B4563" s="1" t="n">
        <v>45141</v>
      </c>
      <c r="C4563" s="1" t="n">
        <v>45744</v>
      </c>
      <c r="D4563" t="inlineStr">
        <is>
          <t>SKÅNE LÄN</t>
        </is>
      </c>
      <c r="E4563" t="inlineStr">
        <is>
          <t>OSBY</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34876-2023</t>
        </is>
      </c>
      <c r="B4564" s="1" t="n">
        <v>45142</v>
      </c>
      <c r="C4564" s="1" t="n">
        <v>45744</v>
      </c>
      <c r="D4564" t="inlineStr">
        <is>
          <t>SKÅNE LÄN</t>
        </is>
      </c>
      <c r="E4564" t="inlineStr">
        <is>
          <t>HÄSSLEHOLM</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34884-2023</t>
        </is>
      </c>
      <c r="B4565" s="1" t="n">
        <v>45142</v>
      </c>
      <c r="C4565" s="1" t="n">
        <v>45744</v>
      </c>
      <c r="D4565" t="inlineStr">
        <is>
          <t>SKÅNE LÄN</t>
        </is>
      </c>
      <c r="E4565" t="inlineStr">
        <is>
          <t>HÄSSLEHOLM</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34890-2023</t>
        </is>
      </c>
      <c r="B4566" s="1" t="n">
        <v>45142</v>
      </c>
      <c r="C4566" s="1" t="n">
        <v>45744</v>
      </c>
      <c r="D4566" t="inlineStr">
        <is>
          <t>SKÅNE LÄN</t>
        </is>
      </c>
      <c r="E4566" t="inlineStr">
        <is>
          <t>HÄSSLEHOLM</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34874-2023</t>
        </is>
      </c>
      <c r="B4567" s="1" t="n">
        <v>45142</v>
      </c>
      <c r="C4567" s="1" t="n">
        <v>45744</v>
      </c>
      <c r="D4567" t="inlineStr">
        <is>
          <t>SKÅNE LÄN</t>
        </is>
      </c>
      <c r="E4567" t="inlineStr">
        <is>
          <t>SJÖBO</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34886-2023</t>
        </is>
      </c>
      <c r="B4568" s="1" t="n">
        <v>45142</v>
      </c>
      <c r="C4568" s="1" t="n">
        <v>45744</v>
      </c>
      <c r="D4568" t="inlineStr">
        <is>
          <t>SKÅNE LÄN</t>
        </is>
      </c>
      <c r="E4568" t="inlineStr">
        <is>
          <t>HÄSSLEHOLM</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34887-2023</t>
        </is>
      </c>
      <c r="B4569" s="1" t="n">
        <v>45142</v>
      </c>
      <c r="C4569" s="1" t="n">
        <v>45744</v>
      </c>
      <c r="D4569" t="inlineStr">
        <is>
          <t>SKÅNE LÄN</t>
        </is>
      </c>
      <c r="E4569" t="inlineStr">
        <is>
          <t>HÄSSLEHOLM</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34931-2023</t>
        </is>
      </c>
      <c r="B4570" s="1" t="n">
        <v>45142</v>
      </c>
      <c r="C4570" s="1" t="n">
        <v>45744</v>
      </c>
      <c r="D4570" t="inlineStr">
        <is>
          <t>SKÅNE LÄN</t>
        </is>
      </c>
      <c r="E4570" t="inlineStr">
        <is>
          <t>ÖSTRA GÖINGE</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34883-2023</t>
        </is>
      </c>
      <c r="B4571" s="1" t="n">
        <v>45142</v>
      </c>
      <c r="C4571" s="1" t="n">
        <v>45744</v>
      </c>
      <c r="D4571" t="inlineStr">
        <is>
          <t>SKÅNE LÄN</t>
        </is>
      </c>
      <c r="E4571" t="inlineStr">
        <is>
          <t>HÄSSLEHOLM</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34888-2023</t>
        </is>
      </c>
      <c r="B4572" s="1" t="n">
        <v>45142</v>
      </c>
      <c r="C4572" s="1" t="n">
        <v>45744</v>
      </c>
      <c r="D4572" t="inlineStr">
        <is>
          <t>SKÅNE LÄN</t>
        </is>
      </c>
      <c r="E4572" t="inlineStr">
        <is>
          <t>HÄSSLEHOLM</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34976-2023</t>
        </is>
      </c>
      <c r="B4573" s="1" t="n">
        <v>45142</v>
      </c>
      <c r="C4573" s="1" t="n">
        <v>45744</v>
      </c>
      <c r="D4573" t="inlineStr">
        <is>
          <t>SKÅNE LÄN</t>
        </is>
      </c>
      <c r="E4573" t="inlineStr">
        <is>
          <t>ÖSTRA GÖINGE</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34987-2023</t>
        </is>
      </c>
      <c r="B4574" s="1" t="n">
        <v>45142</v>
      </c>
      <c r="C4574" s="1" t="n">
        <v>45744</v>
      </c>
      <c r="D4574" t="inlineStr">
        <is>
          <t>SKÅNE LÄN</t>
        </is>
      </c>
      <c r="E4574" t="inlineStr">
        <is>
          <t>ÖSTRA GÖINGE</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35022-2023</t>
        </is>
      </c>
      <c r="B4575" s="1" t="n">
        <v>45144</v>
      </c>
      <c r="C4575" s="1" t="n">
        <v>45744</v>
      </c>
      <c r="D4575" t="inlineStr">
        <is>
          <t>SKÅNE LÄN</t>
        </is>
      </c>
      <c r="E4575" t="inlineStr">
        <is>
          <t>KRISTIANSTAD</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35026-2023</t>
        </is>
      </c>
      <c r="B4576" s="1" t="n">
        <v>45144</v>
      </c>
      <c r="C4576" s="1" t="n">
        <v>45744</v>
      </c>
      <c r="D4576" t="inlineStr">
        <is>
          <t>SKÅNE LÄN</t>
        </is>
      </c>
      <c r="E4576" t="inlineStr">
        <is>
          <t>KRISTIANSTAD</t>
        </is>
      </c>
      <c r="F4576" t="inlineStr">
        <is>
          <t>Övriga Aktiebolag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35023-2023</t>
        </is>
      </c>
      <c r="B4577" s="1" t="n">
        <v>45144</v>
      </c>
      <c r="C4577" s="1" t="n">
        <v>45744</v>
      </c>
      <c r="D4577" t="inlineStr">
        <is>
          <t>SKÅNE LÄN</t>
        </is>
      </c>
      <c r="E4577" t="inlineStr">
        <is>
          <t>KRISTIANSTAD</t>
        </is>
      </c>
      <c r="F4577" t="inlineStr">
        <is>
          <t>Övriga Aktiebolag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35024-2023</t>
        </is>
      </c>
      <c r="B4578" s="1" t="n">
        <v>45144</v>
      </c>
      <c r="C4578" s="1" t="n">
        <v>45744</v>
      </c>
      <c r="D4578" t="inlineStr">
        <is>
          <t>SKÅNE LÄN</t>
        </is>
      </c>
      <c r="E4578" t="inlineStr">
        <is>
          <t>KRISTIANSTAD</t>
        </is>
      </c>
      <c r="F4578" t="inlineStr">
        <is>
          <t>Övriga Aktiebolag</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35034-2023</t>
        </is>
      </c>
      <c r="B4579" s="1" t="n">
        <v>45145</v>
      </c>
      <c r="C4579" s="1" t="n">
        <v>45744</v>
      </c>
      <c r="D4579" t="inlineStr">
        <is>
          <t>SKÅNE LÄN</t>
        </is>
      </c>
      <c r="E4579" t="inlineStr">
        <is>
          <t>BROMÖLLA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35082-2023</t>
        </is>
      </c>
      <c r="B4580" s="1" t="n">
        <v>45145</v>
      </c>
      <c r="C4580" s="1" t="n">
        <v>45744</v>
      </c>
      <c r="D4580" t="inlineStr">
        <is>
          <t>SKÅNE LÄN</t>
        </is>
      </c>
      <c r="E4580" t="inlineStr">
        <is>
          <t>HÄSSLEHOLM</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35150-2023</t>
        </is>
      </c>
      <c r="B4581" s="1" t="n">
        <v>45145</v>
      </c>
      <c r="C4581" s="1" t="n">
        <v>45744</v>
      </c>
      <c r="D4581" t="inlineStr">
        <is>
          <t>SKÅNE LÄN</t>
        </is>
      </c>
      <c r="E4581" t="inlineStr">
        <is>
          <t>HÄSSLEHOLM</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35194-2023</t>
        </is>
      </c>
      <c r="B4582" s="1" t="n">
        <v>45145</v>
      </c>
      <c r="C4582" s="1" t="n">
        <v>45744</v>
      </c>
      <c r="D4582" t="inlineStr">
        <is>
          <t>SKÅNE LÄN</t>
        </is>
      </c>
      <c r="E4582" t="inlineStr">
        <is>
          <t>PERSTORP</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35089-2023</t>
        </is>
      </c>
      <c r="B4583" s="1" t="n">
        <v>45145</v>
      </c>
      <c r="C4583" s="1" t="n">
        <v>45744</v>
      </c>
      <c r="D4583" t="inlineStr">
        <is>
          <t>SKÅNE LÄN</t>
        </is>
      </c>
      <c r="E4583" t="inlineStr">
        <is>
          <t>HÄSSLEHOLM</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35237-2023</t>
        </is>
      </c>
      <c r="B4584" s="1" t="n">
        <v>45145</v>
      </c>
      <c r="C4584" s="1" t="n">
        <v>45744</v>
      </c>
      <c r="D4584" t="inlineStr">
        <is>
          <t>SKÅNE LÄN</t>
        </is>
      </c>
      <c r="E4584" t="inlineStr">
        <is>
          <t>HÄSSLEHOLM</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35085-2023</t>
        </is>
      </c>
      <c r="B4585" s="1" t="n">
        <v>45145</v>
      </c>
      <c r="C4585" s="1" t="n">
        <v>45744</v>
      </c>
      <c r="D4585" t="inlineStr">
        <is>
          <t>SKÅNE LÄN</t>
        </is>
      </c>
      <c r="E4585" t="inlineStr">
        <is>
          <t>HÄSSLEHOLM</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35108-2023</t>
        </is>
      </c>
      <c r="B4586" s="1" t="n">
        <v>45145</v>
      </c>
      <c r="C4586" s="1" t="n">
        <v>45744</v>
      </c>
      <c r="D4586" t="inlineStr">
        <is>
          <t>SKÅNE LÄN</t>
        </is>
      </c>
      <c r="E4586" t="inlineStr">
        <is>
          <t>HÄSSLEHOLM</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35299-2023</t>
        </is>
      </c>
      <c r="B4587" s="1" t="n">
        <v>45146</v>
      </c>
      <c r="C4587" s="1" t="n">
        <v>45744</v>
      </c>
      <c r="D4587" t="inlineStr">
        <is>
          <t>SKÅNE LÄN</t>
        </is>
      </c>
      <c r="E4587" t="inlineStr">
        <is>
          <t>HÄSSLEHOLM</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35462-2023</t>
        </is>
      </c>
      <c r="B4588" s="1" t="n">
        <v>45146</v>
      </c>
      <c r="C4588" s="1" t="n">
        <v>45744</v>
      </c>
      <c r="D4588" t="inlineStr">
        <is>
          <t>SKÅNE LÄN</t>
        </is>
      </c>
      <c r="E4588" t="inlineStr">
        <is>
          <t>HÄSSLEHOLM</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35545-2023</t>
        </is>
      </c>
      <c r="B4589" s="1" t="n">
        <v>45146</v>
      </c>
      <c r="C4589" s="1" t="n">
        <v>45744</v>
      </c>
      <c r="D4589" t="inlineStr">
        <is>
          <t>SKÅNE LÄN</t>
        </is>
      </c>
      <c r="E4589" t="inlineStr">
        <is>
          <t>ÖSTRA GÖINGE</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35468-2023</t>
        </is>
      </c>
      <c r="B4590" s="1" t="n">
        <v>45146</v>
      </c>
      <c r="C4590" s="1" t="n">
        <v>45744</v>
      </c>
      <c r="D4590" t="inlineStr">
        <is>
          <t>SKÅNE LÄN</t>
        </is>
      </c>
      <c r="E4590" t="inlineStr">
        <is>
          <t>HÄSSLEHOLM</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35552-2023</t>
        </is>
      </c>
      <c r="B4591" s="1" t="n">
        <v>45146</v>
      </c>
      <c r="C4591" s="1" t="n">
        <v>45744</v>
      </c>
      <c r="D4591" t="inlineStr">
        <is>
          <t>SKÅNE LÄN</t>
        </is>
      </c>
      <c r="E4591" t="inlineStr">
        <is>
          <t>ÖSTRA GÖINGE</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35547-2023</t>
        </is>
      </c>
      <c r="B4592" s="1" t="n">
        <v>45146</v>
      </c>
      <c r="C4592" s="1" t="n">
        <v>45744</v>
      </c>
      <c r="D4592" t="inlineStr">
        <is>
          <t>SKÅNE LÄN</t>
        </is>
      </c>
      <c r="E4592" t="inlineStr">
        <is>
          <t>ÖSTRA GÖINGE</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35642-2023</t>
        </is>
      </c>
      <c r="B4593" s="1" t="n">
        <v>45147</v>
      </c>
      <c r="C4593" s="1" t="n">
        <v>45744</v>
      </c>
      <c r="D4593" t="inlineStr">
        <is>
          <t>SKÅNE LÄN</t>
        </is>
      </c>
      <c r="E4593" t="inlineStr">
        <is>
          <t>HELSINGBORG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35715-2023</t>
        </is>
      </c>
      <c r="B4594" s="1" t="n">
        <v>45147</v>
      </c>
      <c r="C4594" s="1" t="n">
        <v>45744</v>
      </c>
      <c r="D4594" t="inlineStr">
        <is>
          <t>SKÅNE LÄN</t>
        </is>
      </c>
      <c r="E4594" t="inlineStr">
        <is>
          <t>OSBY</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35676-2023</t>
        </is>
      </c>
      <c r="B4595" s="1" t="n">
        <v>45147</v>
      </c>
      <c r="C4595" s="1" t="n">
        <v>45744</v>
      </c>
      <c r="D4595" t="inlineStr">
        <is>
          <t>SKÅNE LÄN</t>
        </is>
      </c>
      <c r="E4595" t="inlineStr">
        <is>
          <t>ÖSTRA GÖINGE</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35680-2023</t>
        </is>
      </c>
      <c r="B4596" s="1" t="n">
        <v>45147</v>
      </c>
      <c r="C4596" s="1" t="n">
        <v>45744</v>
      </c>
      <c r="D4596" t="inlineStr">
        <is>
          <t>SKÅNE LÄN</t>
        </is>
      </c>
      <c r="E4596" t="inlineStr">
        <is>
          <t>ÖSTRA GÖINGE</t>
        </is>
      </c>
      <c r="G4596" t="n">
        <v>15.4</v>
      </c>
      <c r="H4596" t="n">
        <v>0</v>
      </c>
      <c r="I4596" t="n">
        <v>0</v>
      </c>
      <c r="J4596" t="n">
        <v>0</v>
      </c>
      <c r="K4596" t="n">
        <v>0</v>
      </c>
      <c r="L4596" t="n">
        <v>0</v>
      </c>
      <c r="M4596" t="n">
        <v>0</v>
      </c>
      <c r="N4596" t="n">
        <v>0</v>
      </c>
      <c r="O4596" t="n">
        <v>0</v>
      </c>
      <c r="P4596" t="n">
        <v>0</v>
      </c>
      <c r="Q4596" t="n">
        <v>0</v>
      </c>
      <c r="R4596" s="2" t="inlineStr"/>
    </row>
    <row r="4597" ht="15" customHeight="1">
      <c r="A4597" t="inlineStr">
        <is>
          <t>A 35640-2023</t>
        </is>
      </c>
      <c r="B4597" s="1" t="n">
        <v>45147</v>
      </c>
      <c r="C4597" s="1" t="n">
        <v>45744</v>
      </c>
      <c r="D4597" t="inlineStr">
        <is>
          <t>SKÅNE LÄN</t>
        </is>
      </c>
      <c r="E4597" t="inlineStr">
        <is>
          <t>HÄSSLEHOLM</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35644-2023</t>
        </is>
      </c>
      <c r="B4598" s="1" t="n">
        <v>45147</v>
      </c>
      <c r="C4598" s="1" t="n">
        <v>45744</v>
      </c>
      <c r="D4598" t="inlineStr">
        <is>
          <t>SKÅNE LÄN</t>
        </is>
      </c>
      <c r="E4598" t="inlineStr">
        <is>
          <t>HÄSSLEHOLM</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35669-2023</t>
        </is>
      </c>
      <c r="B4599" s="1" t="n">
        <v>45147</v>
      </c>
      <c r="C4599" s="1" t="n">
        <v>45744</v>
      </c>
      <c r="D4599" t="inlineStr">
        <is>
          <t>SKÅNE LÄN</t>
        </is>
      </c>
      <c r="E4599" t="inlineStr">
        <is>
          <t>ÖSTRA GÖINGE</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35673-2023</t>
        </is>
      </c>
      <c r="B4600" s="1" t="n">
        <v>45147</v>
      </c>
      <c r="C4600" s="1" t="n">
        <v>45744</v>
      </c>
      <c r="D4600" t="inlineStr">
        <is>
          <t>SKÅNE LÄN</t>
        </is>
      </c>
      <c r="E4600" t="inlineStr">
        <is>
          <t>ÖSTRA GÖINGE</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35681-2023</t>
        </is>
      </c>
      <c r="B4601" s="1" t="n">
        <v>45147</v>
      </c>
      <c r="C4601" s="1" t="n">
        <v>45744</v>
      </c>
      <c r="D4601" t="inlineStr">
        <is>
          <t>SKÅNE LÄN</t>
        </is>
      </c>
      <c r="E4601" t="inlineStr">
        <is>
          <t>ÖSTRA GÖINGE</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35685-2023</t>
        </is>
      </c>
      <c r="B4602" s="1" t="n">
        <v>45147</v>
      </c>
      <c r="C4602" s="1" t="n">
        <v>45744</v>
      </c>
      <c r="D4602" t="inlineStr">
        <is>
          <t>SKÅNE LÄN</t>
        </is>
      </c>
      <c r="E4602" t="inlineStr">
        <is>
          <t>ÖSTRA GÖINGE</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35825-2023</t>
        </is>
      </c>
      <c r="B4603" s="1" t="n">
        <v>45147</v>
      </c>
      <c r="C4603" s="1" t="n">
        <v>45744</v>
      </c>
      <c r="D4603" t="inlineStr">
        <is>
          <t>SKÅNE LÄN</t>
        </is>
      </c>
      <c r="E4603" t="inlineStr">
        <is>
          <t>ÖSTRA GÖINGE</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35798-2023</t>
        </is>
      </c>
      <c r="B4604" s="1" t="n">
        <v>45148</v>
      </c>
      <c r="C4604" s="1" t="n">
        <v>45744</v>
      </c>
      <c r="D4604" t="inlineStr">
        <is>
          <t>SKÅNE LÄN</t>
        </is>
      </c>
      <c r="E4604" t="inlineStr">
        <is>
          <t>BROMÖLLA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35804-2023</t>
        </is>
      </c>
      <c r="B4605" s="1" t="n">
        <v>45148</v>
      </c>
      <c r="C4605" s="1" t="n">
        <v>45744</v>
      </c>
      <c r="D4605" t="inlineStr">
        <is>
          <t>SKÅNE LÄN</t>
        </is>
      </c>
      <c r="E4605" t="inlineStr">
        <is>
          <t>BROMÖLLA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35874-2023</t>
        </is>
      </c>
      <c r="B4606" s="1" t="n">
        <v>45148</v>
      </c>
      <c r="C4606" s="1" t="n">
        <v>45744</v>
      </c>
      <c r="D4606" t="inlineStr">
        <is>
          <t>SKÅNE LÄN</t>
        </is>
      </c>
      <c r="E4606" t="inlineStr">
        <is>
          <t>OSBY</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35890-2023</t>
        </is>
      </c>
      <c r="B4607" s="1" t="n">
        <v>45148</v>
      </c>
      <c r="C4607" s="1" t="n">
        <v>45744</v>
      </c>
      <c r="D4607" t="inlineStr">
        <is>
          <t>SKÅNE LÄN</t>
        </is>
      </c>
      <c r="E4607" t="inlineStr">
        <is>
          <t>HÄSSLEHOLM</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35894-2023</t>
        </is>
      </c>
      <c r="B4608" s="1" t="n">
        <v>45148</v>
      </c>
      <c r="C4608" s="1" t="n">
        <v>45744</v>
      </c>
      <c r="D4608" t="inlineStr">
        <is>
          <t>SKÅNE LÄN</t>
        </is>
      </c>
      <c r="E4608" t="inlineStr">
        <is>
          <t>HÄSSLEHOLM</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35810-2023</t>
        </is>
      </c>
      <c r="B4609" s="1" t="n">
        <v>45148</v>
      </c>
      <c r="C4609" s="1" t="n">
        <v>45744</v>
      </c>
      <c r="D4609" t="inlineStr">
        <is>
          <t>SKÅNE LÄN</t>
        </is>
      </c>
      <c r="E4609" t="inlineStr">
        <is>
          <t>HÄSSLEHOLM</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35875-2023</t>
        </is>
      </c>
      <c r="B4610" s="1" t="n">
        <v>45148</v>
      </c>
      <c r="C4610" s="1" t="n">
        <v>45744</v>
      </c>
      <c r="D4610" t="inlineStr">
        <is>
          <t>SKÅNE LÄN</t>
        </is>
      </c>
      <c r="E4610" t="inlineStr">
        <is>
          <t>OSBY</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35892-2023</t>
        </is>
      </c>
      <c r="B4611" s="1" t="n">
        <v>45148</v>
      </c>
      <c r="C4611" s="1" t="n">
        <v>45744</v>
      </c>
      <c r="D4611" t="inlineStr">
        <is>
          <t>SKÅNE LÄN</t>
        </is>
      </c>
      <c r="E4611" t="inlineStr">
        <is>
          <t>HÄSSLEHOLM</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35795-2023</t>
        </is>
      </c>
      <c r="B4612" s="1" t="n">
        <v>45148</v>
      </c>
      <c r="C4612" s="1" t="n">
        <v>45744</v>
      </c>
      <c r="D4612" t="inlineStr">
        <is>
          <t>SKÅNE LÄN</t>
        </is>
      </c>
      <c r="E4612" t="inlineStr">
        <is>
          <t>BROMÖLLA</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35802-2023</t>
        </is>
      </c>
      <c r="B4613" s="1" t="n">
        <v>45148</v>
      </c>
      <c r="C4613" s="1" t="n">
        <v>45744</v>
      </c>
      <c r="D4613" t="inlineStr">
        <is>
          <t>SKÅNE LÄN</t>
        </is>
      </c>
      <c r="E4613" t="inlineStr">
        <is>
          <t>BROMÖLLA</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35833-2023</t>
        </is>
      </c>
      <c r="B4614" s="1" t="n">
        <v>45148</v>
      </c>
      <c r="C4614" s="1" t="n">
        <v>45744</v>
      </c>
      <c r="D4614" t="inlineStr">
        <is>
          <t>SKÅNE LÄN</t>
        </is>
      </c>
      <c r="E4614" t="inlineStr">
        <is>
          <t>HÄSSLEHOLM</t>
        </is>
      </c>
      <c r="F4614" t="inlineStr">
        <is>
          <t>Kommuner</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35889-2023</t>
        </is>
      </c>
      <c r="B4615" s="1" t="n">
        <v>45148</v>
      </c>
      <c r="C4615" s="1" t="n">
        <v>45744</v>
      </c>
      <c r="D4615" t="inlineStr">
        <is>
          <t>SKÅNE LÄN</t>
        </is>
      </c>
      <c r="E4615" t="inlineStr">
        <is>
          <t>HÄSSLEHOLM</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35893-2023</t>
        </is>
      </c>
      <c r="B4616" s="1" t="n">
        <v>45148</v>
      </c>
      <c r="C4616" s="1" t="n">
        <v>45744</v>
      </c>
      <c r="D4616" t="inlineStr">
        <is>
          <t>SKÅNE LÄN</t>
        </is>
      </c>
      <c r="E4616" t="inlineStr">
        <is>
          <t>HÄSSLEHOLM</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35901-2023</t>
        </is>
      </c>
      <c r="B4617" s="1" t="n">
        <v>45148</v>
      </c>
      <c r="C4617" s="1" t="n">
        <v>45744</v>
      </c>
      <c r="D4617" t="inlineStr">
        <is>
          <t>SKÅNE LÄN</t>
        </is>
      </c>
      <c r="E4617" t="inlineStr">
        <is>
          <t>KRISTIANSTAD</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35895-2023</t>
        </is>
      </c>
      <c r="B4618" s="1" t="n">
        <v>45148</v>
      </c>
      <c r="C4618" s="1" t="n">
        <v>45744</v>
      </c>
      <c r="D4618" t="inlineStr">
        <is>
          <t>SKÅNE LÄN</t>
        </is>
      </c>
      <c r="E4618" t="inlineStr">
        <is>
          <t>HÄSSLEHOLM</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35911-2023</t>
        </is>
      </c>
      <c r="B4619" s="1" t="n">
        <v>45148</v>
      </c>
      <c r="C4619" s="1" t="n">
        <v>45744</v>
      </c>
      <c r="D4619" t="inlineStr">
        <is>
          <t>SKÅNE LÄN</t>
        </is>
      </c>
      <c r="E4619" t="inlineStr">
        <is>
          <t>SVALÖV</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36160-2023</t>
        </is>
      </c>
      <c r="B4620" s="1" t="n">
        <v>45149</v>
      </c>
      <c r="C4620" s="1" t="n">
        <v>45744</v>
      </c>
      <c r="D4620" t="inlineStr">
        <is>
          <t>SKÅNE LÄN</t>
        </is>
      </c>
      <c r="E4620" t="inlineStr">
        <is>
          <t>KRISTIANSTAD</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36130-2023</t>
        </is>
      </c>
      <c r="B4621" s="1" t="n">
        <v>45149</v>
      </c>
      <c r="C4621" s="1" t="n">
        <v>45744</v>
      </c>
      <c r="D4621" t="inlineStr">
        <is>
          <t>SKÅNE LÄN</t>
        </is>
      </c>
      <c r="E4621" t="inlineStr">
        <is>
          <t>KRISTIANSTAD</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36158-2023</t>
        </is>
      </c>
      <c r="B4622" s="1" t="n">
        <v>45149</v>
      </c>
      <c r="C4622" s="1" t="n">
        <v>45744</v>
      </c>
      <c r="D4622" t="inlineStr">
        <is>
          <t>SKÅNE LÄN</t>
        </is>
      </c>
      <c r="E4622" t="inlineStr">
        <is>
          <t>KRISTIANSTAD</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36127-2023</t>
        </is>
      </c>
      <c r="B4623" s="1" t="n">
        <v>45149</v>
      </c>
      <c r="C4623" s="1" t="n">
        <v>45744</v>
      </c>
      <c r="D4623" t="inlineStr">
        <is>
          <t>SKÅNE LÄN</t>
        </is>
      </c>
      <c r="E4623" t="inlineStr">
        <is>
          <t>KRISTIANSTAD</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36240-2023</t>
        </is>
      </c>
      <c r="B4624" s="1" t="n">
        <v>45150</v>
      </c>
      <c r="C4624" s="1" t="n">
        <v>45744</v>
      </c>
      <c r="D4624" t="inlineStr">
        <is>
          <t>SKÅNE LÄN</t>
        </is>
      </c>
      <c r="E4624" t="inlineStr">
        <is>
          <t>HÄSSLEHOLM</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36414-2023</t>
        </is>
      </c>
      <c r="B4625" s="1" t="n">
        <v>45152</v>
      </c>
      <c r="C4625" s="1" t="n">
        <v>45744</v>
      </c>
      <c r="D4625" t="inlineStr">
        <is>
          <t>SKÅNE LÄN</t>
        </is>
      </c>
      <c r="E4625" t="inlineStr">
        <is>
          <t>SJÖBO</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36715-2023</t>
        </is>
      </c>
      <c r="B4626" s="1" t="n">
        <v>45153</v>
      </c>
      <c r="C4626" s="1" t="n">
        <v>45744</v>
      </c>
      <c r="D4626" t="inlineStr">
        <is>
          <t>SKÅNE LÄN</t>
        </is>
      </c>
      <c r="E4626" t="inlineStr">
        <is>
          <t>HÖÖR</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36713-2023</t>
        </is>
      </c>
      <c r="B4627" s="1" t="n">
        <v>45153</v>
      </c>
      <c r="C4627" s="1" t="n">
        <v>45744</v>
      </c>
      <c r="D4627" t="inlineStr">
        <is>
          <t>SKÅNE LÄN</t>
        </is>
      </c>
      <c r="E4627" t="inlineStr">
        <is>
          <t>LANDSKRONA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36733-2023</t>
        </is>
      </c>
      <c r="B4628" s="1" t="n">
        <v>45153</v>
      </c>
      <c r="C4628" s="1" t="n">
        <v>45744</v>
      </c>
      <c r="D4628" t="inlineStr">
        <is>
          <t>SKÅNE LÄN</t>
        </is>
      </c>
      <c r="E4628" t="inlineStr">
        <is>
          <t>HÄSSLEHOLM</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36818-2023</t>
        </is>
      </c>
      <c r="B4629" s="1" t="n">
        <v>45154</v>
      </c>
      <c r="C4629" s="1" t="n">
        <v>45744</v>
      </c>
      <c r="D4629" t="inlineStr">
        <is>
          <t>SKÅNE LÄN</t>
        </is>
      </c>
      <c r="E4629" t="inlineStr">
        <is>
          <t>HÄSSLEHOLM</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36811-2023</t>
        </is>
      </c>
      <c r="B4630" s="1" t="n">
        <v>45154</v>
      </c>
      <c r="C4630" s="1" t="n">
        <v>45744</v>
      </c>
      <c r="D4630" t="inlineStr">
        <is>
          <t>SKÅNE LÄN</t>
        </is>
      </c>
      <c r="E4630" t="inlineStr">
        <is>
          <t>HÄSSLEHOLM</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36855-2023</t>
        </is>
      </c>
      <c r="B4631" s="1" t="n">
        <v>45154</v>
      </c>
      <c r="C4631" s="1" t="n">
        <v>45744</v>
      </c>
      <c r="D4631" t="inlineStr">
        <is>
          <t>SKÅNE LÄN</t>
        </is>
      </c>
      <c r="E4631" t="inlineStr">
        <is>
          <t>PERSTORP</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36884-2023</t>
        </is>
      </c>
      <c r="B4632" s="1" t="n">
        <v>45154</v>
      </c>
      <c r="C4632" s="1" t="n">
        <v>45744</v>
      </c>
      <c r="D4632" t="inlineStr">
        <is>
          <t>SKÅNE LÄN</t>
        </is>
      </c>
      <c r="E4632" t="inlineStr">
        <is>
          <t>HÖÖR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36911-2023</t>
        </is>
      </c>
      <c r="B4633" s="1" t="n">
        <v>45154</v>
      </c>
      <c r="C4633" s="1" t="n">
        <v>45744</v>
      </c>
      <c r="D4633" t="inlineStr">
        <is>
          <t>SKÅNE LÄN</t>
        </is>
      </c>
      <c r="E4633" t="inlineStr">
        <is>
          <t>HÄSSLEHOLM</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36940-2023</t>
        </is>
      </c>
      <c r="B4634" s="1" t="n">
        <v>45154</v>
      </c>
      <c r="C4634" s="1" t="n">
        <v>45744</v>
      </c>
      <c r="D4634" t="inlineStr">
        <is>
          <t>SKÅNE LÄN</t>
        </is>
      </c>
      <c r="E4634" t="inlineStr">
        <is>
          <t>ÄNGELHOLM</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36952-2023</t>
        </is>
      </c>
      <c r="B4635" s="1" t="n">
        <v>45154</v>
      </c>
      <c r="C4635" s="1" t="n">
        <v>45744</v>
      </c>
      <c r="D4635" t="inlineStr">
        <is>
          <t>SKÅNE LÄN</t>
        </is>
      </c>
      <c r="E4635" t="inlineStr">
        <is>
          <t>OSBY</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36795-2023</t>
        </is>
      </c>
      <c r="B4636" s="1" t="n">
        <v>45154</v>
      </c>
      <c r="C4636" s="1" t="n">
        <v>45744</v>
      </c>
      <c r="D4636" t="inlineStr">
        <is>
          <t>SKÅNE LÄN</t>
        </is>
      </c>
      <c r="E4636" t="inlineStr">
        <is>
          <t>HÄSSLEHOLM</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36813-2023</t>
        </is>
      </c>
      <c r="B4637" s="1" t="n">
        <v>45154</v>
      </c>
      <c r="C4637" s="1" t="n">
        <v>45744</v>
      </c>
      <c r="D4637" t="inlineStr">
        <is>
          <t>SKÅNE LÄN</t>
        </is>
      </c>
      <c r="E4637" t="inlineStr">
        <is>
          <t>HÄSSLEHOLM</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36951-2023</t>
        </is>
      </c>
      <c r="B4638" s="1" t="n">
        <v>45154</v>
      </c>
      <c r="C4638" s="1" t="n">
        <v>45744</v>
      </c>
      <c r="D4638" t="inlineStr">
        <is>
          <t>SKÅNE LÄN</t>
        </is>
      </c>
      <c r="E4638" t="inlineStr">
        <is>
          <t>OSBY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37082-2023</t>
        </is>
      </c>
      <c r="B4639" s="1" t="n">
        <v>45155</v>
      </c>
      <c r="C4639" s="1" t="n">
        <v>45744</v>
      </c>
      <c r="D4639" t="inlineStr">
        <is>
          <t>SKÅNE LÄN</t>
        </is>
      </c>
      <c r="E4639" t="inlineStr">
        <is>
          <t>HÖRBY</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37044-2023</t>
        </is>
      </c>
      <c r="B4640" s="1" t="n">
        <v>45155</v>
      </c>
      <c r="C4640" s="1" t="n">
        <v>45744</v>
      </c>
      <c r="D4640" t="inlineStr">
        <is>
          <t>SKÅNE LÄN</t>
        </is>
      </c>
      <c r="E4640" t="inlineStr">
        <is>
          <t>KLIPPAN</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37086-2023</t>
        </is>
      </c>
      <c r="B4641" s="1" t="n">
        <v>45155</v>
      </c>
      <c r="C4641" s="1" t="n">
        <v>45744</v>
      </c>
      <c r="D4641" t="inlineStr">
        <is>
          <t>SKÅNE LÄN</t>
        </is>
      </c>
      <c r="E4641" t="inlineStr">
        <is>
          <t>HÖRBY</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37068-2023</t>
        </is>
      </c>
      <c r="B4642" s="1" t="n">
        <v>45155</v>
      </c>
      <c r="C4642" s="1" t="n">
        <v>45744</v>
      </c>
      <c r="D4642" t="inlineStr">
        <is>
          <t>SKÅNE LÄN</t>
        </is>
      </c>
      <c r="E4642" t="inlineStr">
        <is>
          <t>KLIPPAN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37079-2023</t>
        </is>
      </c>
      <c r="B4643" s="1" t="n">
        <v>45155</v>
      </c>
      <c r="C4643" s="1" t="n">
        <v>45744</v>
      </c>
      <c r="D4643" t="inlineStr">
        <is>
          <t>SKÅNE LÄN</t>
        </is>
      </c>
      <c r="E4643" t="inlineStr">
        <is>
          <t>HÖRBY</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37294-2023</t>
        </is>
      </c>
      <c r="B4644" s="1" t="n">
        <v>45156</v>
      </c>
      <c r="C4644" s="1" t="n">
        <v>45744</v>
      </c>
      <c r="D4644" t="inlineStr">
        <is>
          <t>SKÅNE LÄN</t>
        </is>
      </c>
      <c r="E4644" t="inlineStr">
        <is>
          <t>HÄSSLEHOLM</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37303-2023</t>
        </is>
      </c>
      <c r="B4645" s="1" t="n">
        <v>45156</v>
      </c>
      <c r="C4645" s="1" t="n">
        <v>45744</v>
      </c>
      <c r="D4645" t="inlineStr">
        <is>
          <t>SKÅNE LÄN</t>
        </is>
      </c>
      <c r="E4645" t="inlineStr">
        <is>
          <t>ÖSTRA GÖINGE</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37300-2023</t>
        </is>
      </c>
      <c r="B4646" s="1" t="n">
        <v>45156</v>
      </c>
      <c r="C4646" s="1" t="n">
        <v>45744</v>
      </c>
      <c r="D4646" t="inlineStr">
        <is>
          <t>SKÅNE LÄN</t>
        </is>
      </c>
      <c r="E4646" t="inlineStr">
        <is>
          <t>HÄSSLEHOLM</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37375-2023</t>
        </is>
      </c>
      <c r="B4647" s="1" t="n">
        <v>45156</v>
      </c>
      <c r="C4647" s="1" t="n">
        <v>45744</v>
      </c>
      <c r="D4647" t="inlineStr">
        <is>
          <t>SKÅNE LÄN</t>
        </is>
      </c>
      <c r="E4647" t="inlineStr">
        <is>
          <t>HÖÖR</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37382-2023</t>
        </is>
      </c>
      <c r="B4648" s="1" t="n">
        <v>45156</v>
      </c>
      <c r="C4648" s="1" t="n">
        <v>45744</v>
      </c>
      <c r="D4648" t="inlineStr">
        <is>
          <t>SKÅNE LÄN</t>
        </is>
      </c>
      <c r="E4648" t="inlineStr">
        <is>
          <t>HÖÖR</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37387-2023</t>
        </is>
      </c>
      <c r="B4649" s="1" t="n">
        <v>45156</v>
      </c>
      <c r="C4649" s="1" t="n">
        <v>45744</v>
      </c>
      <c r="D4649" t="inlineStr">
        <is>
          <t>SKÅNE LÄN</t>
        </is>
      </c>
      <c r="E4649" t="inlineStr">
        <is>
          <t>PERSTORP</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37598-2023</t>
        </is>
      </c>
      <c r="B4650" s="1" t="n">
        <v>45159</v>
      </c>
      <c r="C4650" s="1" t="n">
        <v>45744</v>
      </c>
      <c r="D4650" t="inlineStr">
        <is>
          <t>SKÅNE LÄN</t>
        </is>
      </c>
      <c r="E4650" t="inlineStr">
        <is>
          <t>OSBY</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37620-2023</t>
        </is>
      </c>
      <c r="B4651" s="1" t="n">
        <v>45159</v>
      </c>
      <c r="C4651" s="1" t="n">
        <v>45744</v>
      </c>
      <c r="D4651" t="inlineStr">
        <is>
          <t>SKÅNE LÄN</t>
        </is>
      </c>
      <c r="E4651" t="inlineStr">
        <is>
          <t>ÖRKELLJUNGA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37628-2023</t>
        </is>
      </c>
      <c r="B4652" s="1" t="n">
        <v>45159</v>
      </c>
      <c r="C4652" s="1" t="n">
        <v>45744</v>
      </c>
      <c r="D4652" t="inlineStr">
        <is>
          <t>SKÅNE LÄN</t>
        </is>
      </c>
      <c r="E4652" t="inlineStr">
        <is>
          <t>ÖRKELLJUNGA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37675-2023</t>
        </is>
      </c>
      <c r="B4653" s="1" t="n">
        <v>45159</v>
      </c>
      <c r="C4653" s="1" t="n">
        <v>45744</v>
      </c>
      <c r="D4653" t="inlineStr">
        <is>
          <t>SKÅNE LÄN</t>
        </is>
      </c>
      <c r="E4653" t="inlineStr">
        <is>
          <t>HÖÖR</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38021-2023</t>
        </is>
      </c>
      <c r="B4654" s="1" t="n">
        <v>45159</v>
      </c>
      <c r="C4654" s="1" t="n">
        <v>45744</v>
      </c>
      <c r="D4654" t="inlineStr">
        <is>
          <t>SKÅNE LÄN</t>
        </is>
      </c>
      <c r="E4654" t="inlineStr">
        <is>
          <t>KRISTIANSTAD</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38017-2023</t>
        </is>
      </c>
      <c r="B4655" s="1" t="n">
        <v>45159</v>
      </c>
      <c r="C4655" s="1" t="n">
        <v>45744</v>
      </c>
      <c r="D4655" t="inlineStr">
        <is>
          <t>SKÅNE LÄN</t>
        </is>
      </c>
      <c r="E4655" t="inlineStr">
        <is>
          <t>KRISTIANSTAD</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38011-2023</t>
        </is>
      </c>
      <c r="B4656" s="1" t="n">
        <v>45160</v>
      </c>
      <c r="C4656" s="1" t="n">
        <v>45744</v>
      </c>
      <c r="D4656" t="inlineStr">
        <is>
          <t>SKÅNE LÄN</t>
        </is>
      </c>
      <c r="E4656" t="inlineStr">
        <is>
          <t>SVEDALA</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38018-2023</t>
        </is>
      </c>
      <c r="B4657" s="1" t="n">
        <v>45160</v>
      </c>
      <c r="C4657" s="1" t="n">
        <v>45744</v>
      </c>
      <c r="D4657" t="inlineStr">
        <is>
          <t>SKÅNE LÄN</t>
        </is>
      </c>
      <c r="E4657" t="inlineStr">
        <is>
          <t>SVALÖV</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38006-2023</t>
        </is>
      </c>
      <c r="B4658" s="1" t="n">
        <v>45160</v>
      </c>
      <c r="C4658" s="1" t="n">
        <v>45744</v>
      </c>
      <c r="D4658" t="inlineStr">
        <is>
          <t>SKÅNE LÄN</t>
        </is>
      </c>
      <c r="E4658" t="inlineStr">
        <is>
          <t>SVALÖV</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38139-2023</t>
        </is>
      </c>
      <c r="B4659" s="1" t="n">
        <v>45160</v>
      </c>
      <c r="C4659" s="1" t="n">
        <v>45744</v>
      </c>
      <c r="D4659" t="inlineStr">
        <is>
          <t>SKÅNE LÄN</t>
        </is>
      </c>
      <c r="E4659" t="inlineStr">
        <is>
          <t>HÖÖR</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38211-2023</t>
        </is>
      </c>
      <c r="B4660" s="1" t="n">
        <v>45161</v>
      </c>
      <c r="C4660" s="1" t="n">
        <v>45744</v>
      </c>
      <c r="D4660" t="inlineStr">
        <is>
          <t>SKÅNE LÄN</t>
        </is>
      </c>
      <c r="E4660" t="inlineStr">
        <is>
          <t>HÄSSLEHOLM</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38307-2023</t>
        </is>
      </c>
      <c r="B4661" s="1" t="n">
        <v>45161</v>
      </c>
      <c r="C4661" s="1" t="n">
        <v>45744</v>
      </c>
      <c r="D4661" t="inlineStr">
        <is>
          <t>SKÅNE LÄN</t>
        </is>
      </c>
      <c r="E4661" t="inlineStr">
        <is>
          <t>HÄSSLEHOLM</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38325-2023</t>
        </is>
      </c>
      <c r="B4662" s="1" t="n">
        <v>45161</v>
      </c>
      <c r="C4662" s="1" t="n">
        <v>45744</v>
      </c>
      <c r="D4662" t="inlineStr">
        <is>
          <t>SKÅNE LÄN</t>
        </is>
      </c>
      <c r="E4662" t="inlineStr">
        <is>
          <t>KLIPPAN</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38329-2023</t>
        </is>
      </c>
      <c r="B4663" s="1" t="n">
        <v>45161</v>
      </c>
      <c r="C4663" s="1" t="n">
        <v>45744</v>
      </c>
      <c r="D4663" t="inlineStr">
        <is>
          <t>SKÅNE LÄN</t>
        </is>
      </c>
      <c r="E4663" t="inlineStr">
        <is>
          <t>PERSTORP</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38326-2023</t>
        </is>
      </c>
      <c r="B4664" s="1" t="n">
        <v>45161</v>
      </c>
      <c r="C4664" s="1" t="n">
        <v>45744</v>
      </c>
      <c r="D4664" t="inlineStr">
        <is>
          <t>SKÅNE LÄN</t>
        </is>
      </c>
      <c r="E4664" t="inlineStr">
        <is>
          <t>PERSTORP</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38888-2023</t>
        </is>
      </c>
      <c r="B4665" s="1" t="n">
        <v>45161</v>
      </c>
      <c r="C4665" s="1" t="n">
        <v>45744</v>
      </c>
      <c r="D4665" t="inlineStr">
        <is>
          <t>SKÅNE LÄN</t>
        </is>
      </c>
      <c r="E4665" t="inlineStr">
        <is>
          <t>HÄSSLEHOLM</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38173-2023</t>
        </is>
      </c>
      <c r="B4666" s="1" t="n">
        <v>45161</v>
      </c>
      <c r="C4666" s="1" t="n">
        <v>45744</v>
      </c>
      <c r="D4666" t="inlineStr">
        <is>
          <t>SKÅNE LÄN</t>
        </is>
      </c>
      <c r="E4666" t="inlineStr">
        <is>
          <t>ESLÖV</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38214-2023</t>
        </is>
      </c>
      <c r="B4667" s="1" t="n">
        <v>45161</v>
      </c>
      <c r="C4667" s="1" t="n">
        <v>45744</v>
      </c>
      <c r="D4667" t="inlineStr">
        <is>
          <t>SKÅNE LÄN</t>
        </is>
      </c>
      <c r="E4667" t="inlineStr">
        <is>
          <t>ÖRKELLJUNGA</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38222-2023</t>
        </is>
      </c>
      <c r="B4668" s="1" t="n">
        <v>45161</v>
      </c>
      <c r="C4668" s="1" t="n">
        <v>45744</v>
      </c>
      <c r="D4668" t="inlineStr">
        <is>
          <t>SKÅNE LÄN</t>
        </is>
      </c>
      <c r="E4668" t="inlineStr">
        <is>
          <t>HÄSSLEHOLM</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38324-2023</t>
        </is>
      </c>
      <c r="B4669" s="1" t="n">
        <v>45161</v>
      </c>
      <c r="C4669" s="1" t="n">
        <v>45744</v>
      </c>
      <c r="D4669" t="inlineStr">
        <is>
          <t>SKÅNE LÄN</t>
        </is>
      </c>
      <c r="E4669" t="inlineStr">
        <is>
          <t>PERSTORP</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38328-2023</t>
        </is>
      </c>
      <c r="B4670" s="1" t="n">
        <v>45161</v>
      </c>
      <c r="C4670" s="1" t="n">
        <v>45744</v>
      </c>
      <c r="D4670" t="inlineStr">
        <is>
          <t>SKÅNE LÄN</t>
        </is>
      </c>
      <c r="E4670" t="inlineStr">
        <is>
          <t>PERSTORP</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38221-2023</t>
        </is>
      </c>
      <c r="B4671" s="1" t="n">
        <v>45161</v>
      </c>
      <c r="C4671" s="1" t="n">
        <v>45744</v>
      </c>
      <c r="D4671" t="inlineStr">
        <is>
          <t>SKÅNE LÄN</t>
        </is>
      </c>
      <c r="E4671" t="inlineStr">
        <is>
          <t>HÄSSLEHOLM</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38323-2023</t>
        </is>
      </c>
      <c r="B4672" s="1" t="n">
        <v>45161</v>
      </c>
      <c r="C4672" s="1" t="n">
        <v>45744</v>
      </c>
      <c r="D4672" t="inlineStr">
        <is>
          <t>SKÅNE LÄN</t>
        </is>
      </c>
      <c r="E4672" t="inlineStr">
        <is>
          <t>KLIPPAN</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38488-2023</t>
        </is>
      </c>
      <c r="B4673" s="1" t="n">
        <v>45162</v>
      </c>
      <c r="C4673" s="1" t="n">
        <v>45744</v>
      </c>
      <c r="D4673" t="inlineStr">
        <is>
          <t>SKÅNE LÄN</t>
        </is>
      </c>
      <c r="E4673" t="inlineStr">
        <is>
          <t>OSBY</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39015-2023</t>
        </is>
      </c>
      <c r="B4674" s="1" t="n">
        <v>45162</v>
      </c>
      <c r="C4674" s="1" t="n">
        <v>45744</v>
      </c>
      <c r="D4674" t="inlineStr">
        <is>
          <t>SKÅNE LÄN</t>
        </is>
      </c>
      <c r="E4674" t="inlineStr">
        <is>
          <t>SIMRISHAMN</t>
        </is>
      </c>
      <c r="G4674" t="n">
        <v>9</v>
      </c>
      <c r="H4674" t="n">
        <v>0</v>
      </c>
      <c r="I4674" t="n">
        <v>0</v>
      </c>
      <c r="J4674" t="n">
        <v>0</v>
      </c>
      <c r="K4674" t="n">
        <v>0</v>
      </c>
      <c r="L4674" t="n">
        <v>0</v>
      </c>
      <c r="M4674" t="n">
        <v>0</v>
      </c>
      <c r="N4674" t="n">
        <v>0</v>
      </c>
      <c r="O4674" t="n">
        <v>0</v>
      </c>
      <c r="P4674" t="n">
        <v>0</v>
      </c>
      <c r="Q4674" t="n">
        <v>0</v>
      </c>
      <c r="R4674" s="2" t="inlineStr"/>
    </row>
    <row r="4675" ht="15" customHeight="1">
      <c r="A4675" t="inlineStr">
        <is>
          <t>A 38486-2023</t>
        </is>
      </c>
      <c r="B4675" s="1" t="n">
        <v>45162</v>
      </c>
      <c r="C4675" s="1" t="n">
        <v>45744</v>
      </c>
      <c r="D4675" t="inlineStr">
        <is>
          <t>SKÅNE LÄN</t>
        </is>
      </c>
      <c r="E4675" t="inlineStr">
        <is>
          <t>OSBY</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38485-2023</t>
        </is>
      </c>
      <c r="B4676" s="1" t="n">
        <v>45162</v>
      </c>
      <c r="C4676" s="1" t="n">
        <v>45744</v>
      </c>
      <c r="D4676" t="inlineStr">
        <is>
          <t>SKÅNE LÄN</t>
        </is>
      </c>
      <c r="E4676" t="inlineStr">
        <is>
          <t>OSBY</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39221-2023</t>
        </is>
      </c>
      <c r="B4677" s="1" t="n">
        <v>45162</v>
      </c>
      <c r="C4677" s="1" t="n">
        <v>45744</v>
      </c>
      <c r="D4677" t="inlineStr">
        <is>
          <t>SKÅNE LÄN</t>
        </is>
      </c>
      <c r="E4677" t="inlineStr">
        <is>
          <t>SIMRISHAMN</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39238-2023</t>
        </is>
      </c>
      <c r="B4678" s="1" t="n">
        <v>45162</v>
      </c>
      <c r="C4678" s="1" t="n">
        <v>45744</v>
      </c>
      <c r="D4678" t="inlineStr">
        <is>
          <t>SKÅNE LÄN</t>
        </is>
      </c>
      <c r="E4678" t="inlineStr">
        <is>
          <t>SIMRISHAMN</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38562-2023</t>
        </is>
      </c>
      <c r="B4679" s="1" t="n">
        <v>45162</v>
      </c>
      <c r="C4679" s="1" t="n">
        <v>45744</v>
      </c>
      <c r="D4679" t="inlineStr">
        <is>
          <t>SKÅNE LÄN</t>
        </is>
      </c>
      <c r="E4679" t="inlineStr">
        <is>
          <t>TOMELILLA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38631-2023</t>
        </is>
      </c>
      <c r="B4680" s="1" t="n">
        <v>45162</v>
      </c>
      <c r="C4680" s="1" t="n">
        <v>45744</v>
      </c>
      <c r="D4680" t="inlineStr">
        <is>
          <t>SKÅNE LÄN</t>
        </is>
      </c>
      <c r="E4680" t="inlineStr">
        <is>
          <t>YSTAD</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38638-2023</t>
        </is>
      </c>
      <c r="B4681" s="1" t="n">
        <v>45162</v>
      </c>
      <c r="C4681" s="1" t="n">
        <v>45744</v>
      </c>
      <c r="D4681" t="inlineStr">
        <is>
          <t>SKÅNE LÄN</t>
        </is>
      </c>
      <c r="E4681" t="inlineStr">
        <is>
          <t>KRISTIANSTAD</t>
        </is>
      </c>
      <c r="G4681" t="n">
        <v>7.6</v>
      </c>
      <c r="H4681" t="n">
        <v>0</v>
      </c>
      <c r="I4681" t="n">
        <v>0</v>
      </c>
      <c r="J4681" t="n">
        <v>0</v>
      </c>
      <c r="K4681" t="n">
        <v>0</v>
      </c>
      <c r="L4681" t="n">
        <v>0</v>
      </c>
      <c r="M4681" t="n">
        <v>0</v>
      </c>
      <c r="N4681" t="n">
        <v>0</v>
      </c>
      <c r="O4681" t="n">
        <v>0</v>
      </c>
      <c r="P4681" t="n">
        <v>0</v>
      </c>
      <c r="Q4681" t="n">
        <v>0</v>
      </c>
      <c r="R4681" s="2" t="inlineStr"/>
    </row>
    <row r="4682" ht="15" customHeight="1">
      <c r="A4682" t="inlineStr">
        <is>
          <t>A 38724-2023</t>
        </is>
      </c>
      <c r="B4682" s="1" t="n">
        <v>45163</v>
      </c>
      <c r="C4682" s="1" t="n">
        <v>45744</v>
      </c>
      <c r="D4682" t="inlineStr">
        <is>
          <t>SKÅNE LÄN</t>
        </is>
      </c>
      <c r="E4682" t="inlineStr">
        <is>
          <t>KLIPPAN</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38936-2023</t>
        </is>
      </c>
      <c r="B4683" s="1" t="n">
        <v>45163</v>
      </c>
      <c r="C4683" s="1" t="n">
        <v>45744</v>
      </c>
      <c r="D4683" t="inlineStr">
        <is>
          <t>SKÅNE LÄN</t>
        </is>
      </c>
      <c r="E4683" t="inlineStr">
        <is>
          <t>PERSTORP</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38945-2023</t>
        </is>
      </c>
      <c r="B4684" s="1" t="n">
        <v>45163</v>
      </c>
      <c r="C4684" s="1" t="n">
        <v>45744</v>
      </c>
      <c r="D4684" t="inlineStr">
        <is>
          <t>SKÅNE LÄN</t>
        </is>
      </c>
      <c r="E4684" t="inlineStr">
        <is>
          <t>KLIPPAN</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39014-2023</t>
        </is>
      </c>
      <c r="B4685" s="1" t="n">
        <v>45163</v>
      </c>
      <c r="C4685" s="1" t="n">
        <v>45744</v>
      </c>
      <c r="D4685" t="inlineStr">
        <is>
          <t>SKÅNE LÄN</t>
        </is>
      </c>
      <c r="E4685" t="inlineStr">
        <is>
          <t>ÄNGELHOLM</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39020-2023</t>
        </is>
      </c>
      <c r="B4686" s="1" t="n">
        <v>45163</v>
      </c>
      <c r="C4686" s="1" t="n">
        <v>45744</v>
      </c>
      <c r="D4686" t="inlineStr">
        <is>
          <t>SKÅNE LÄN</t>
        </is>
      </c>
      <c r="E4686" t="inlineStr">
        <is>
          <t>KRISTIANSTAD</t>
        </is>
      </c>
      <c r="F4686" t="inlineStr">
        <is>
          <t>Sveaskog</t>
        </is>
      </c>
      <c r="G4686" t="n">
        <v>8</v>
      </c>
      <c r="H4686" t="n">
        <v>0</v>
      </c>
      <c r="I4686" t="n">
        <v>0</v>
      </c>
      <c r="J4686" t="n">
        <v>0</v>
      </c>
      <c r="K4686" t="n">
        <v>0</v>
      </c>
      <c r="L4686" t="n">
        <v>0</v>
      </c>
      <c r="M4686" t="n">
        <v>0</v>
      </c>
      <c r="N4686" t="n">
        <v>0</v>
      </c>
      <c r="O4686" t="n">
        <v>0</v>
      </c>
      <c r="P4686" t="n">
        <v>0</v>
      </c>
      <c r="Q4686" t="n">
        <v>0</v>
      </c>
      <c r="R4686" s="2" t="inlineStr"/>
    </row>
    <row r="4687" ht="15" customHeight="1">
      <c r="A4687" t="inlineStr">
        <is>
          <t>A 39407-2023</t>
        </is>
      </c>
      <c r="B4687" s="1" t="n">
        <v>45163</v>
      </c>
      <c r="C4687" s="1" t="n">
        <v>45744</v>
      </c>
      <c r="D4687" t="inlineStr">
        <is>
          <t>SKÅNE LÄN</t>
        </is>
      </c>
      <c r="E4687" t="inlineStr">
        <is>
          <t>SJÖBO</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38759-2023</t>
        </is>
      </c>
      <c r="B4688" s="1" t="n">
        <v>45163</v>
      </c>
      <c r="C4688" s="1" t="n">
        <v>45744</v>
      </c>
      <c r="D4688" t="inlineStr">
        <is>
          <t>SKÅNE LÄN</t>
        </is>
      </c>
      <c r="E4688" t="inlineStr">
        <is>
          <t>OSBY</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38719-2023</t>
        </is>
      </c>
      <c r="B4689" s="1" t="n">
        <v>45163</v>
      </c>
      <c r="C4689" s="1" t="n">
        <v>45744</v>
      </c>
      <c r="D4689" t="inlineStr">
        <is>
          <t>SKÅNE LÄN</t>
        </is>
      </c>
      <c r="E4689" t="inlineStr">
        <is>
          <t>KLIPPAN</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39414-2023</t>
        </is>
      </c>
      <c r="B4690" s="1" t="n">
        <v>45163</v>
      </c>
      <c r="C4690" s="1" t="n">
        <v>45744</v>
      </c>
      <c r="D4690" t="inlineStr">
        <is>
          <t>SKÅNE LÄN</t>
        </is>
      </c>
      <c r="E4690" t="inlineStr">
        <is>
          <t>SJÖBO</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39622-2023</t>
        </is>
      </c>
      <c r="B4691" s="1" t="n">
        <v>45163</v>
      </c>
      <c r="C4691" s="1" t="n">
        <v>45744</v>
      </c>
      <c r="D4691" t="inlineStr">
        <is>
          <t>SKÅNE LÄN</t>
        </is>
      </c>
      <c r="E4691" t="inlineStr">
        <is>
          <t>ÖRKELLJUNGA</t>
        </is>
      </c>
      <c r="G4691" t="n">
        <v>10.7</v>
      </c>
      <c r="H4691" t="n">
        <v>0</v>
      </c>
      <c r="I4691" t="n">
        <v>0</v>
      </c>
      <c r="J4691" t="n">
        <v>0</v>
      </c>
      <c r="K4691" t="n">
        <v>0</v>
      </c>
      <c r="L4691" t="n">
        <v>0</v>
      </c>
      <c r="M4691" t="n">
        <v>0</v>
      </c>
      <c r="N4691" t="n">
        <v>0</v>
      </c>
      <c r="O4691" t="n">
        <v>0</v>
      </c>
      <c r="P4691" t="n">
        <v>0</v>
      </c>
      <c r="Q4691" t="n">
        <v>0</v>
      </c>
      <c r="R4691" s="2" t="inlineStr"/>
    </row>
    <row r="4692" ht="15" customHeight="1">
      <c r="A4692" t="inlineStr">
        <is>
          <t>A 39609-2023</t>
        </is>
      </c>
      <c r="B4692" s="1" t="n">
        <v>45163</v>
      </c>
      <c r="C4692" s="1" t="n">
        <v>45744</v>
      </c>
      <c r="D4692" t="inlineStr">
        <is>
          <t>SKÅNE LÄN</t>
        </is>
      </c>
      <c r="E4692" t="inlineStr">
        <is>
          <t>KRISTIANSTAD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39111-2023</t>
        </is>
      </c>
      <c r="B4693" s="1" t="n">
        <v>45164</v>
      </c>
      <c r="C4693" s="1" t="n">
        <v>45744</v>
      </c>
      <c r="D4693" t="inlineStr">
        <is>
          <t>SKÅNE LÄN</t>
        </is>
      </c>
      <c r="E4693" t="inlineStr">
        <is>
          <t>HÄSSLEHOLM</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39117-2023</t>
        </is>
      </c>
      <c r="B4694" s="1" t="n">
        <v>45165</v>
      </c>
      <c r="C4694" s="1" t="n">
        <v>45744</v>
      </c>
      <c r="D4694" t="inlineStr">
        <is>
          <t>SKÅNE LÄN</t>
        </is>
      </c>
      <c r="E4694" t="inlineStr">
        <is>
          <t>KRISTIANSTAD</t>
        </is>
      </c>
      <c r="F4694" t="inlineStr">
        <is>
          <t>Sveaskog</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39166-2023</t>
        </is>
      </c>
      <c r="B4695" s="1" t="n">
        <v>45166</v>
      </c>
      <c r="C4695" s="1" t="n">
        <v>45744</v>
      </c>
      <c r="D4695" t="inlineStr">
        <is>
          <t>SKÅNE LÄN</t>
        </is>
      </c>
      <c r="E4695" t="inlineStr">
        <is>
          <t>ÖSTRA GÖINGE</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36358-2023</t>
        </is>
      </c>
      <c r="B4696" s="1" t="n">
        <v>45166</v>
      </c>
      <c r="C4696" s="1" t="n">
        <v>45744</v>
      </c>
      <c r="D4696" t="inlineStr">
        <is>
          <t>SKÅNE LÄN</t>
        </is>
      </c>
      <c r="E4696" t="inlineStr">
        <is>
          <t>KRISTIANSTAD</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39298-2023</t>
        </is>
      </c>
      <c r="B4697" s="1" t="n">
        <v>45166</v>
      </c>
      <c r="C4697" s="1" t="n">
        <v>45744</v>
      </c>
      <c r="D4697" t="inlineStr">
        <is>
          <t>SKÅNE LÄN</t>
        </is>
      </c>
      <c r="E4697" t="inlineStr">
        <is>
          <t>HÖRBY</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39898-2023</t>
        </is>
      </c>
      <c r="B4698" s="1" t="n">
        <v>45166</v>
      </c>
      <c r="C4698" s="1" t="n">
        <v>45744</v>
      </c>
      <c r="D4698" t="inlineStr">
        <is>
          <t>SKÅNE LÄN</t>
        </is>
      </c>
      <c r="E4698" t="inlineStr">
        <is>
          <t>KRISTIANSTAD</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39900-2023</t>
        </is>
      </c>
      <c r="B4699" s="1" t="n">
        <v>45166</v>
      </c>
      <c r="C4699" s="1" t="n">
        <v>45744</v>
      </c>
      <c r="D4699" t="inlineStr">
        <is>
          <t>SKÅNE LÄN</t>
        </is>
      </c>
      <c r="E4699" t="inlineStr">
        <is>
          <t>KRISTIANSTAD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39531-2023</t>
        </is>
      </c>
      <c r="B4700" s="1" t="n">
        <v>45167</v>
      </c>
      <c r="C4700" s="1" t="n">
        <v>45744</v>
      </c>
      <c r="D4700" t="inlineStr">
        <is>
          <t>SKÅNE LÄN</t>
        </is>
      </c>
      <c r="E4700" t="inlineStr">
        <is>
          <t>ÖRKELLJUNGA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39585-2023</t>
        </is>
      </c>
      <c r="B4701" s="1" t="n">
        <v>45167</v>
      </c>
      <c r="C4701" s="1" t="n">
        <v>45744</v>
      </c>
      <c r="D4701" t="inlineStr">
        <is>
          <t>SKÅNE LÄN</t>
        </is>
      </c>
      <c r="E4701" t="inlineStr">
        <is>
          <t>HÖÖR</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39530-2023</t>
        </is>
      </c>
      <c r="B4702" s="1" t="n">
        <v>45167</v>
      </c>
      <c r="C4702" s="1" t="n">
        <v>45744</v>
      </c>
      <c r="D4702" t="inlineStr">
        <is>
          <t>SKÅNE LÄN</t>
        </is>
      </c>
      <c r="E4702" t="inlineStr">
        <is>
          <t>KLIPPAN</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39534-2023</t>
        </is>
      </c>
      <c r="B4703" s="1" t="n">
        <v>45167</v>
      </c>
      <c r="C4703" s="1" t="n">
        <v>45744</v>
      </c>
      <c r="D4703" t="inlineStr">
        <is>
          <t>SKÅNE LÄN</t>
        </is>
      </c>
      <c r="E4703" t="inlineStr">
        <is>
          <t>ÖRKELLJUNGA</t>
        </is>
      </c>
      <c r="G4703" t="n">
        <v>8.6</v>
      </c>
      <c r="H4703" t="n">
        <v>0</v>
      </c>
      <c r="I4703" t="n">
        <v>0</v>
      </c>
      <c r="J4703" t="n">
        <v>0</v>
      </c>
      <c r="K4703" t="n">
        <v>0</v>
      </c>
      <c r="L4703" t="n">
        <v>0</v>
      </c>
      <c r="M4703" t="n">
        <v>0</v>
      </c>
      <c r="N4703" t="n">
        <v>0</v>
      </c>
      <c r="O4703" t="n">
        <v>0</v>
      </c>
      <c r="P4703" t="n">
        <v>0</v>
      </c>
      <c r="Q4703" t="n">
        <v>0</v>
      </c>
      <c r="R4703" s="2" t="inlineStr"/>
    </row>
    <row r="4704" ht="15" customHeight="1">
      <c r="A4704" t="inlineStr">
        <is>
          <t>A 39603-2023</t>
        </is>
      </c>
      <c r="B4704" s="1" t="n">
        <v>45167</v>
      </c>
      <c r="C4704" s="1" t="n">
        <v>45744</v>
      </c>
      <c r="D4704" t="inlineStr">
        <is>
          <t>SKÅNE LÄN</t>
        </is>
      </c>
      <c r="E4704" t="inlineStr">
        <is>
          <t>HÖÖR</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39659-2023</t>
        </is>
      </c>
      <c r="B4705" s="1" t="n">
        <v>45167</v>
      </c>
      <c r="C4705" s="1" t="n">
        <v>45744</v>
      </c>
      <c r="D4705" t="inlineStr">
        <is>
          <t>SKÅNE LÄN</t>
        </is>
      </c>
      <c r="E4705" t="inlineStr">
        <is>
          <t>ÖRKELLJUNGA</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39753-2023</t>
        </is>
      </c>
      <c r="B4706" s="1" t="n">
        <v>45167</v>
      </c>
      <c r="C4706" s="1" t="n">
        <v>45744</v>
      </c>
      <c r="D4706" t="inlineStr">
        <is>
          <t>SKÅNE LÄN</t>
        </is>
      </c>
      <c r="E4706" t="inlineStr">
        <is>
          <t>OSBY</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40054-2023</t>
        </is>
      </c>
      <c r="B4707" s="1" t="n">
        <v>45167</v>
      </c>
      <c r="C4707" s="1" t="n">
        <v>45744</v>
      </c>
      <c r="D4707" t="inlineStr">
        <is>
          <t>SKÅNE LÄN</t>
        </is>
      </c>
      <c r="E4707" t="inlineStr">
        <is>
          <t>KRISTIANSTAD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39650-2023</t>
        </is>
      </c>
      <c r="B4708" s="1" t="n">
        <v>45167</v>
      </c>
      <c r="C4708" s="1" t="n">
        <v>45744</v>
      </c>
      <c r="D4708" t="inlineStr">
        <is>
          <t>SKÅNE LÄN</t>
        </is>
      </c>
      <c r="E4708" t="inlineStr">
        <is>
          <t>ÖRKELLJUNGA</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39915-2023</t>
        </is>
      </c>
      <c r="B4709" s="1" t="n">
        <v>45168</v>
      </c>
      <c r="C4709" s="1" t="n">
        <v>45744</v>
      </c>
      <c r="D4709" t="inlineStr">
        <is>
          <t>SKÅNE LÄN</t>
        </is>
      </c>
      <c r="E4709" t="inlineStr">
        <is>
          <t>HÄSSLEHOLM</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39935-2023</t>
        </is>
      </c>
      <c r="B4710" s="1" t="n">
        <v>45168</v>
      </c>
      <c r="C4710" s="1" t="n">
        <v>45744</v>
      </c>
      <c r="D4710" t="inlineStr">
        <is>
          <t>SKÅNE LÄN</t>
        </is>
      </c>
      <c r="E4710" t="inlineStr">
        <is>
          <t>KRISTIANSTAD</t>
        </is>
      </c>
      <c r="F4710" t="inlineStr">
        <is>
          <t>Sveaskog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40017-2023</t>
        </is>
      </c>
      <c r="B4711" s="1" t="n">
        <v>45168</v>
      </c>
      <c r="C4711" s="1" t="n">
        <v>45744</v>
      </c>
      <c r="D4711" t="inlineStr">
        <is>
          <t>SKÅNE LÄN</t>
        </is>
      </c>
      <c r="E4711" t="inlineStr">
        <is>
          <t>ÖRKELLJUNGA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40289-2023</t>
        </is>
      </c>
      <c r="B4712" s="1" t="n">
        <v>45169</v>
      </c>
      <c r="C4712" s="1" t="n">
        <v>45744</v>
      </c>
      <c r="D4712" t="inlineStr">
        <is>
          <t>SKÅNE LÄN</t>
        </is>
      </c>
      <c r="E4712" t="inlineStr">
        <is>
          <t>OSBY</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40224-2023</t>
        </is>
      </c>
      <c r="B4713" s="1" t="n">
        <v>45169</v>
      </c>
      <c r="C4713" s="1" t="n">
        <v>45744</v>
      </c>
      <c r="D4713" t="inlineStr">
        <is>
          <t>SKÅNE LÄN</t>
        </is>
      </c>
      <c r="E4713" t="inlineStr">
        <is>
          <t>KRISTIANSTAD</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40226-2023</t>
        </is>
      </c>
      <c r="B4714" s="1" t="n">
        <v>45169</v>
      </c>
      <c r="C4714" s="1" t="n">
        <v>45744</v>
      </c>
      <c r="D4714" t="inlineStr">
        <is>
          <t>SKÅNE LÄN</t>
        </is>
      </c>
      <c r="E4714" t="inlineStr">
        <is>
          <t>KRISTIANSTAD</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40278-2023</t>
        </is>
      </c>
      <c r="B4715" s="1" t="n">
        <v>45169</v>
      </c>
      <c r="C4715" s="1" t="n">
        <v>45744</v>
      </c>
      <c r="D4715" t="inlineStr">
        <is>
          <t>SKÅNE LÄN</t>
        </is>
      </c>
      <c r="E4715" t="inlineStr">
        <is>
          <t>ÄNGELHOLM</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41027-2023</t>
        </is>
      </c>
      <c r="B4716" s="1" t="n">
        <v>45169</v>
      </c>
      <c r="C4716" s="1" t="n">
        <v>45744</v>
      </c>
      <c r="D4716" t="inlineStr">
        <is>
          <t>SKÅNE LÄN</t>
        </is>
      </c>
      <c r="E4716" t="inlineStr">
        <is>
          <t>KRISTIANSTAD</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40275-2023</t>
        </is>
      </c>
      <c r="B4717" s="1" t="n">
        <v>45169</v>
      </c>
      <c r="C4717" s="1" t="n">
        <v>45744</v>
      </c>
      <c r="D4717" t="inlineStr">
        <is>
          <t>SKÅNE LÄN</t>
        </is>
      </c>
      <c r="E4717" t="inlineStr">
        <is>
          <t>ÄNGELHOLM</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40710-2023</t>
        </is>
      </c>
      <c r="B4718" s="1" t="n">
        <v>45170</v>
      </c>
      <c r="C4718" s="1" t="n">
        <v>45744</v>
      </c>
      <c r="D4718" t="inlineStr">
        <is>
          <t>SKÅNE LÄN</t>
        </is>
      </c>
      <c r="E4718" t="inlineStr">
        <is>
          <t>KLIPPAN</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41220-2023</t>
        </is>
      </c>
      <c r="B4719" s="1" t="n">
        <v>45170</v>
      </c>
      <c r="C4719" s="1" t="n">
        <v>45744</v>
      </c>
      <c r="D4719" t="inlineStr">
        <is>
          <t>SKÅNE LÄN</t>
        </is>
      </c>
      <c r="E4719" t="inlineStr">
        <is>
          <t>KRISTIANSTAD</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40814-2023</t>
        </is>
      </c>
      <c r="B4720" s="1" t="n">
        <v>45171</v>
      </c>
      <c r="C4720" s="1" t="n">
        <v>45744</v>
      </c>
      <c r="D4720" t="inlineStr">
        <is>
          <t>SKÅNE LÄN</t>
        </is>
      </c>
      <c r="E4720" t="inlineStr">
        <is>
          <t>ÖRKELLJUNGA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40843-2023</t>
        </is>
      </c>
      <c r="B4721" s="1" t="n">
        <v>45173</v>
      </c>
      <c r="C4721" s="1" t="n">
        <v>45744</v>
      </c>
      <c r="D4721" t="inlineStr">
        <is>
          <t>SKÅNE LÄN</t>
        </is>
      </c>
      <c r="E4721" t="inlineStr">
        <is>
          <t>ÖSTRA GÖINGE</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40847-2023</t>
        </is>
      </c>
      <c r="B4722" s="1" t="n">
        <v>45173</v>
      </c>
      <c r="C4722" s="1" t="n">
        <v>45744</v>
      </c>
      <c r="D4722" t="inlineStr">
        <is>
          <t>SKÅNE LÄN</t>
        </is>
      </c>
      <c r="E4722" t="inlineStr">
        <is>
          <t>OSBY</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41060-2023</t>
        </is>
      </c>
      <c r="B4723" s="1" t="n">
        <v>45173</v>
      </c>
      <c r="C4723" s="1" t="n">
        <v>45744</v>
      </c>
      <c r="D4723" t="inlineStr">
        <is>
          <t>SKÅNE LÄN</t>
        </is>
      </c>
      <c r="E4723" t="inlineStr">
        <is>
          <t>KRISTIANSTAD</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41065-2023</t>
        </is>
      </c>
      <c r="B4724" s="1" t="n">
        <v>45173</v>
      </c>
      <c r="C4724" s="1" t="n">
        <v>45744</v>
      </c>
      <c r="D4724" t="inlineStr">
        <is>
          <t>SKÅNE LÄN</t>
        </is>
      </c>
      <c r="E4724" t="inlineStr">
        <is>
          <t>KRISTIANSTAD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41069-2023</t>
        </is>
      </c>
      <c r="B4725" s="1" t="n">
        <v>45173</v>
      </c>
      <c r="C4725" s="1" t="n">
        <v>45744</v>
      </c>
      <c r="D4725" t="inlineStr">
        <is>
          <t>SKÅNE LÄN</t>
        </is>
      </c>
      <c r="E4725" t="inlineStr">
        <is>
          <t>KRISTIANSTAD</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41209-2023</t>
        </is>
      </c>
      <c r="B4726" s="1" t="n">
        <v>45174</v>
      </c>
      <c r="C4726" s="1" t="n">
        <v>45744</v>
      </c>
      <c r="D4726" t="inlineStr">
        <is>
          <t>SKÅNE LÄN</t>
        </is>
      </c>
      <c r="E4726" t="inlineStr">
        <is>
          <t>HÄSSLEHOLM</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41211-2023</t>
        </is>
      </c>
      <c r="B4727" s="1" t="n">
        <v>45174</v>
      </c>
      <c r="C4727" s="1" t="n">
        <v>45744</v>
      </c>
      <c r="D4727" t="inlineStr">
        <is>
          <t>SKÅNE LÄN</t>
        </is>
      </c>
      <c r="E4727" t="inlineStr">
        <is>
          <t>HÄSSLEHOLM</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41253-2023</t>
        </is>
      </c>
      <c r="B4728" s="1" t="n">
        <v>45174</v>
      </c>
      <c r="C4728" s="1" t="n">
        <v>45744</v>
      </c>
      <c r="D4728" t="inlineStr">
        <is>
          <t>SKÅNE LÄN</t>
        </is>
      </c>
      <c r="E4728" t="inlineStr">
        <is>
          <t>BROMÖLLA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41271-2023</t>
        </is>
      </c>
      <c r="B4729" s="1" t="n">
        <v>45174</v>
      </c>
      <c r="C4729" s="1" t="n">
        <v>45744</v>
      </c>
      <c r="D4729" t="inlineStr">
        <is>
          <t>SKÅNE LÄN</t>
        </is>
      </c>
      <c r="E4729" t="inlineStr">
        <is>
          <t>HÖRBY</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41254-2023</t>
        </is>
      </c>
      <c r="B4730" s="1" t="n">
        <v>45174</v>
      </c>
      <c r="C4730" s="1" t="n">
        <v>45744</v>
      </c>
      <c r="D4730" t="inlineStr">
        <is>
          <t>SKÅNE LÄN</t>
        </is>
      </c>
      <c r="E4730" t="inlineStr">
        <is>
          <t>BROMÖLLA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41261-2023</t>
        </is>
      </c>
      <c r="B4731" s="1" t="n">
        <v>45174</v>
      </c>
      <c r="C4731" s="1" t="n">
        <v>45744</v>
      </c>
      <c r="D4731" t="inlineStr">
        <is>
          <t>SKÅNE LÄN</t>
        </is>
      </c>
      <c r="E4731" t="inlineStr">
        <is>
          <t>HÄSSLEHOLM</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42057-2023</t>
        </is>
      </c>
      <c r="B4732" s="1" t="n">
        <v>45174</v>
      </c>
      <c r="C4732" s="1" t="n">
        <v>45744</v>
      </c>
      <c r="D4732" t="inlineStr">
        <is>
          <t>SKÅNE LÄN</t>
        </is>
      </c>
      <c r="E4732" t="inlineStr">
        <is>
          <t>HÖÖR</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41440-2023</t>
        </is>
      </c>
      <c r="B4733" s="1" t="n">
        <v>45175</v>
      </c>
      <c r="C4733" s="1" t="n">
        <v>45744</v>
      </c>
      <c r="D4733" t="inlineStr">
        <is>
          <t>SKÅNE LÄN</t>
        </is>
      </c>
      <c r="E4733" t="inlineStr">
        <is>
          <t>OSBY</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41529-2023</t>
        </is>
      </c>
      <c r="B4734" s="1" t="n">
        <v>45175</v>
      </c>
      <c r="C4734" s="1" t="n">
        <v>45744</v>
      </c>
      <c r="D4734" t="inlineStr">
        <is>
          <t>SKÅNE LÄN</t>
        </is>
      </c>
      <c r="E4734" t="inlineStr">
        <is>
          <t>OSBY</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41490-2023</t>
        </is>
      </c>
      <c r="B4735" s="1" t="n">
        <v>45175</v>
      </c>
      <c r="C4735" s="1" t="n">
        <v>45744</v>
      </c>
      <c r="D4735" t="inlineStr">
        <is>
          <t>SKÅNE LÄN</t>
        </is>
      </c>
      <c r="E4735" t="inlineStr">
        <is>
          <t>OSBY</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41436-2023</t>
        </is>
      </c>
      <c r="B4736" s="1" t="n">
        <v>45175</v>
      </c>
      <c r="C4736" s="1" t="n">
        <v>45744</v>
      </c>
      <c r="D4736" t="inlineStr">
        <is>
          <t>SKÅNE LÄN</t>
        </is>
      </c>
      <c r="E4736" t="inlineStr">
        <is>
          <t>OSBY</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41623-2023</t>
        </is>
      </c>
      <c r="B4737" s="1" t="n">
        <v>45175</v>
      </c>
      <c r="C4737" s="1" t="n">
        <v>45744</v>
      </c>
      <c r="D4737" t="inlineStr">
        <is>
          <t>SKÅNE LÄN</t>
        </is>
      </c>
      <c r="E4737" t="inlineStr">
        <is>
          <t>HÖÖR</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41777-2023</t>
        </is>
      </c>
      <c r="B4738" s="1" t="n">
        <v>45176</v>
      </c>
      <c r="C4738" s="1" t="n">
        <v>45744</v>
      </c>
      <c r="D4738" t="inlineStr">
        <is>
          <t>SKÅNE LÄN</t>
        </is>
      </c>
      <c r="E4738" t="inlineStr">
        <is>
          <t>ÖSTRA GÖINGE</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41871-2023</t>
        </is>
      </c>
      <c r="B4739" s="1" t="n">
        <v>45176</v>
      </c>
      <c r="C4739" s="1" t="n">
        <v>45744</v>
      </c>
      <c r="D4739" t="inlineStr">
        <is>
          <t>SKÅNE LÄN</t>
        </is>
      </c>
      <c r="E4739" t="inlineStr">
        <is>
          <t>KRISTIANSTAD</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41873-2023</t>
        </is>
      </c>
      <c r="B4740" s="1" t="n">
        <v>45176</v>
      </c>
      <c r="C4740" s="1" t="n">
        <v>45744</v>
      </c>
      <c r="D4740" t="inlineStr">
        <is>
          <t>SKÅNE LÄN</t>
        </is>
      </c>
      <c r="E4740" t="inlineStr">
        <is>
          <t>HÄSSLEHOLM</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42715-2023</t>
        </is>
      </c>
      <c r="B4741" s="1" t="n">
        <v>45176</v>
      </c>
      <c r="C4741" s="1" t="n">
        <v>45744</v>
      </c>
      <c r="D4741" t="inlineStr">
        <is>
          <t>SKÅNE LÄN</t>
        </is>
      </c>
      <c r="E4741" t="inlineStr">
        <is>
          <t>HÖRBY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42704-2023</t>
        </is>
      </c>
      <c r="B4742" s="1" t="n">
        <v>45176</v>
      </c>
      <c r="C4742" s="1" t="n">
        <v>45744</v>
      </c>
      <c r="D4742" t="inlineStr">
        <is>
          <t>SKÅNE LÄN</t>
        </is>
      </c>
      <c r="E4742" t="inlineStr">
        <is>
          <t>HÖRBY</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42588-2023</t>
        </is>
      </c>
      <c r="B4743" s="1" t="n">
        <v>45176</v>
      </c>
      <c r="C4743" s="1" t="n">
        <v>45744</v>
      </c>
      <c r="D4743" t="inlineStr">
        <is>
          <t>SKÅNE LÄN</t>
        </is>
      </c>
      <c r="E4743" t="inlineStr">
        <is>
          <t>SVALÖV</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42724-2023</t>
        </is>
      </c>
      <c r="B4744" s="1" t="n">
        <v>45176</v>
      </c>
      <c r="C4744" s="1" t="n">
        <v>45744</v>
      </c>
      <c r="D4744" t="inlineStr">
        <is>
          <t>SKÅNE LÄN</t>
        </is>
      </c>
      <c r="E4744" t="inlineStr">
        <is>
          <t>HÖRBY</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42050-2023</t>
        </is>
      </c>
      <c r="B4745" s="1" t="n">
        <v>45177</v>
      </c>
      <c r="C4745" s="1" t="n">
        <v>45744</v>
      </c>
      <c r="D4745" t="inlineStr">
        <is>
          <t>SKÅNE LÄN</t>
        </is>
      </c>
      <c r="E4745" t="inlineStr">
        <is>
          <t>ESLÖV</t>
        </is>
      </c>
      <c r="G4745" t="n">
        <v>10.3</v>
      </c>
      <c r="H4745" t="n">
        <v>0</v>
      </c>
      <c r="I4745" t="n">
        <v>0</v>
      </c>
      <c r="J4745" t="n">
        <v>0</v>
      </c>
      <c r="K4745" t="n">
        <v>0</v>
      </c>
      <c r="L4745" t="n">
        <v>0</v>
      </c>
      <c r="M4745" t="n">
        <v>0</v>
      </c>
      <c r="N4745" t="n">
        <v>0</v>
      </c>
      <c r="O4745" t="n">
        <v>0</v>
      </c>
      <c r="P4745" t="n">
        <v>0</v>
      </c>
      <c r="Q4745" t="n">
        <v>0</v>
      </c>
      <c r="R4745" s="2" t="inlineStr"/>
    </row>
    <row r="4746" ht="15" customHeight="1">
      <c r="A4746" t="inlineStr">
        <is>
          <t>A 41977-2023</t>
        </is>
      </c>
      <c r="B4746" s="1" t="n">
        <v>45177</v>
      </c>
      <c r="C4746" s="1" t="n">
        <v>45744</v>
      </c>
      <c r="D4746" t="inlineStr">
        <is>
          <t>SKÅNE LÄN</t>
        </is>
      </c>
      <c r="E4746" t="inlineStr">
        <is>
          <t>OSBY</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42078-2023</t>
        </is>
      </c>
      <c r="B4747" s="1" t="n">
        <v>45177</v>
      </c>
      <c r="C4747" s="1" t="n">
        <v>45744</v>
      </c>
      <c r="D4747" t="inlineStr">
        <is>
          <t>SKÅNE LÄN</t>
        </is>
      </c>
      <c r="E4747" t="inlineStr">
        <is>
          <t>HÄSSLEHOLM</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42177-2023</t>
        </is>
      </c>
      <c r="B4748" s="1" t="n">
        <v>45178</v>
      </c>
      <c r="C4748" s="1" t="n">
        <v>45744</v>
      </c>
      <c r="D4748" t="inlineStr">
        <is>
          <t>SKÅNE LÄN</t>
        </is>
      </c>
      <c r="E4748" t="inlineStr">
        <is>
          <t>ÖRKELLJUNGA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42191-2023</t>
        </is>
      </c>
      <c r="B4749" s="1" t="n">
        <v>45179</v>
      </c>
      <c r="C4749" s="1" t="n">
        <v>45744</v>
      </c>
      <c r="D4749" t="inlineStr">
        <is>
          <t>SKÅNE LÄN</t>
        </is>
      </c>
      <c r="E4749" t="inlineStr">
        <is>
          <t>ÖSTRA GÖINGE</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42192-2023</t>
        </is>
      </c>
      <c r="B4750" s="1" t="n">
        <v>45179</v>
      </c>
      <c r="C4750" s="1" t="n">
        <v>45744</v>
      </c>
      <c r="D4750" t="inlineStr">
        <is>
          <t>SKÅNE LÄN</t>
        </is>
      </c>
      <c r="E4750" t="inlineStr">
        <is>
          <t>ÖSTRA GÖINGE</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42364-2023</t>
        </is>
      </c>
      <c r="B4751" s="1" t="n">
        <v>45180</v>
      </c>
      <c r="C4751" s="1" t="n">
        <v>45744</v>
      </c>
      <c r="D4751" t="inlineStr">
        <is>
          <t>SKÅNE LÄN</t>
        </is>
      </c>
      <c r="E4751" t="inlineStr">
        <is>
          <t>HÄSSLEHOLM</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42231-2023</t>
        </is>
      </c>
      <c r="B4752" s="1" t="n">
        <v>45180</v>
      </c>
      <c r="C4752" s="1" t="n">
        <v>45744</v>
      </c>
      <c r="D4752" t="inlineStr">
        <is>
          <t>SKÅNE LÄN</t>
        </is>
      </c>
      <c r="E4752" t="inlineStr">
        <is>
          <t>SIMRISHAMN</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42248-2023</t>
        </is>
      </c>
      <c r="B4753" s="1" t="n">
        <v>45180</v>
      </c>
      <c r="C4753" s="1" t="n">
        <v>45744</v>
      </c>
      <c r="D4753" t="inlineStr">
        <is>
          <t>SKÅNE LÄN</t>
        </is>
      </c>
      <c r="E4753" t="inlineStr">
        <is>
          <t>KRISTIANSTAD</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42399-2023</t>
        </is>
      </c>
      <c r="B4754" s="1" t="n">
        <v>45180</v>
      </c>
      <c r="C4754" s="1" t="n">
        <v>45744</v>
      </c>
      <c r="D4754" t="inlineStr">
        <is>
          <t>SKÅNE LÄN</t>
        </is>
      </c>
      <c r="E4754" t="inlineStr">
        <is>
          <t>ÖSTRA GÖINGE</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42293-2023</t>
        </is>
      </c>
      <c r="B4755" s="1" t="n">
        <v>45180</v>
      </c>
      <c r="C4755" s="1" t="n">
        <v>45744</v>
      </c>
      <c r="D4755" t="inlineStr">
        <is>
          <t>SKÅNE LÄN</t>
        </is>
      </c>
      <c r="E4755" t="inlineStr">
        <is>
          <t>KRISTIANSTAD</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42333-2023</t>
        </is>
      </c>
      <c r="B4756" s="1" t="n">
        <v>45180</v>
      </c>
      <c r="C4756" s="1" t="n">
        <v>45744</v>
      </c>
      <c r="D4756" t="inlineStr">
        <is>
          <t>SKÅNE LÄN</t>
        </is>
      </c>
      <c r="E4756" t="inlineStr">
        <is>
          <t>BROMÖLLA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42432-2023</t>
        </is>
      </c>
      <c r="B4757" s="1" t="n">
        <v>45180</v>
      </c>
      <c r="C4757" s="1" t="n">
        <v>45744</v>
      </c>
      <c r="D4757" t="inlineStr">
        <is>
          <t>SKÅNE LÄN</t>
        </is>
      </c>
      <c r="E4757" t="inlineStr">
        <is>
          <t>ÖSTRA GÖINGE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43276-2023</t>
        </is>
      </c>
      <c r="B4758" s="1" t="n">
        <v>45180</v>
      </c>
      <c r="C4758" s="1" t="n">
        <v>45744</v>
      </c>
      <c r="D4758" t="inlineStr">
        <is>
          <t>SKÅNE LÄN</t>
        </is>
      </c>
      <c r="E4758" t="inlineStr">
        <is>
          <t>BROMÖLLA</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42325-2023</t>
        </is>
      </c>
      <c r="B4759" s="1" t="n">
        <v>45180</v>
      </c>
      <c r="C4759" s="1" t="n">
        <v>45744</v>
      </c>
      <c r="D4759" t="inlineStr">
        <is>
          <t>SKÅNE LÄN</t>
        </is>
      </c>
      <c r="E4759" t="inlineStr">
        <is>
          <t>KRISTIANSTAD</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42370-2023</t>
        </is>
      </c>
      <c r="B4760" s="1" t="n">
        <v>45180</v>
      </c>
      <c r="C4760" s="1" t="n">
        <v>45744</v>
      </c>
      <c r="D4760" t="inlineStr">
        <is>
          <t>SKÅNE LÄN</t>
        </is>
      </c>
      <c r="E4760" t="inlineStr">
        <is>
          <t>HÄSSLEHOLM</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42374-2023</t>
        </is>
      </c>
      <c r="B4761" s="1" t="n">
        <v>45180</v>
      </c>
      <c r="C4761" s="1" t="n">
        <v>45744</v>
      </c>
      <c r="D4761" t="inlineStr">
        <is>
          <t>SKÅNE LÄN</t>
        </is>
      </c>
      <c r="E4761" t="inlineStr">
        <is>
          <t>SIMRISHAMN</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42898-2023</t>
        </is>
      </c>
      <c r="B4762" s="1" t="n">
        <v>45182</v>
      </c>
      <c r="C4762" s="1" t="n">
        <v>45744</v>
      </c>
      <c r="D4762" t="inlineStr">
        <is>
          <t>SKÅNE LÄN</t>
        </is>
      </c>
      <c r="E4762" t="inlineStr">
        <is>
          <t>KRISTIANSTAD</t>
        </is>
      </c>
      <c r="F4762" t="inlineStr">
        <is>
          <t>Sveaskog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43022-2023</t>
        </is>
      </c>
      <c r="B4763" s="1" t="n">
        <v>45182</v>
      </c>
      <c r="C4763" s="1" t="n">
        <v>45744</v>
      </c>
      <c r="D4763" t="inlineStr">
        <is>
          <t>SKÅNE LÄN</t>
        </is>
      </c>
      <c r="E4763" t="inlineStr">
        <is>
          <t>ÖSTRA GÖINGE</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42899-2023</t>
        </is>
      </c>
      <c r="B4764" s="1" t="n">
        <v>45182</v>
      </c>
      <c r="C4764" s="1" t="n">
        <v>45744</v>
      </c>
      <c r="D4764" t="inlineStr">
        <is>
          <t>SKÅNE LÄN</t>
        </is>
      </c>
      <c r="E4764" t="inlineStr">
        <is>
          <t>KRISTIANSTAD</t>
        </is>
      </c>
      <c r="F4764" t="inlineStr">
        <is>
          <t>Sveaskog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42932-2023</t>
        </is>
      </c>
      <c r="B4765" s="1" t="n">
        <v>45182</v>
      </c>
      <c r="C4765" s="1" t="n">
        <v>45744</v>
      </c>
      <c r="D4765" t="inlineStr">
        <is>
          <t>SKÅNE LÄN</t>
        </is>
      </c>
      <c r="E4765" t="inlineStr">
        <is>
          <t>HÖÖR</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42937-2023</t>
        </is>
      </c>
      <c r="B4766" s="1" t="n">
        <v>45182</v>
      </c>
      <c r="C4766" s="1" t="n">
        <v>45744</v>
      </c>
      <c r="D4766" t="inlineStr">
        <is>
          <t>SKÅNE LÄN</t>
        </is>
      </c>
      <c r="E4766" t="inlineStr">
        <is>
          <t>HÖÖR</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43736-2023</t>
        </is>
      </c>
      <c r="B4767" s="1" t="n">
        <v>45182</v>
      </c>
      <c r="C4767" s="1" t="n">
        <v>45744</v>
      </c>
      <c r="D4767" t="inlineStr">
        <is>
          <t>SKÅNE LÄN</t>
        </is>
      </c>
      <c r="E4767" t="inlineStr">
        <is>
          <t>SVALÖV</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43321-2023</t>
        </is>
      </c>
      <c r="B4768" s="1" t="n">
        <v>45183</v>
      </c>
      <c r="C4768" s="1" t="n">
        <v>45744</v>
      </c>
      <c r="D4768" t="inlineStr">
        <is>
          <t>SKÅNE LÄN</t>
        </is>
      </c>
      <c r="E4768" t="inlineStr">
        <is>
          <t>KRISTIANSTAD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44251-2023</t>
        </is>
      </c>
      <c r="B4769" s="1" t="n">
        <v>45183</v>
      </c>
      <c r="C4769" s="1" t="n">
        <v>45744</v>
      </c>
      <c r="D4769" t="inlineStr">
        <is>
          <t>SKÅNE LÄN</t>
        </is>
      </c>
      <c r="E4769" t="inlineStr">
        <is>
          <t>HÖRBY</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43479-2023</t>
        </is>
      </c>
      <c r="B4770" s="1" t="n">
        <v>45184</v>
      </c>
      <c r="C4770" s="1" t="n">
        <v>45744</v>
      </c>
      <c r="D4770" t="inlineStr">
        <is>
          <t>SKÅNE LÄN</t>
        </is>
      </c>
      <c r="E4770" t="inlineStr">
        <is>
          <t>ÖSTRA GÖINGE</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43478-2023</t>
        </is>
      </c>
      <c r="B4771" s="1" t="n">
        <v>45184</v>
      </c>
      <c r="C4771" s="1" t="n">
        <v>45744</v>
      </c>
      <c r="D4771" t="inlineStr">
        <is>
          <t>SKÅNE LÄN</t>
        </is>
      </c>
      <c r="E4771" t="inlineStr">
        <is>
          <t>ÖSTRA GÖINGE</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44494-2023</t>
        </is>
      </c>
      <c r="B4772" s="1" t="n">
        <v>45184</v>
      </c>
      <c r="C4772" s="1" t="n">
        <v>45744</v>
      </c>
      <c r="D4772" t="inlineStr">
        <is>
          <t>SKÅNE LÄN</t>
        </is>
      </c>
      <c r="E4772" t="inlineStr">
        <is>
          <t>KRISTIANSTAD</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43629-2023</t>
        </is>
      </c>
      <c r="B4773" s="1" t="n">
        <v>45184</v>
      </c>
      <c r="C4773" s="1" t="n">
        <v>45744</v>
      </c>
      <c r="D4773" t="inlineStr">
        <is>
          <t>SKÅNE LÄN</t>
        </is>
      </c>
      <c r="E4773" t="inlineStr">
        <is>
          <t>HÄSSLEHOLM</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43491-2023</t>
        </is>
      </c>
      <c r="B4774" s="1" t="n">
        <v>45184</v>
      </c>
      <c r="C4774" s="1" t="n">
        <v>45744</v>
      </c>
      <c r="D4774" t="inlineStr">
        <is>
          <t>SKÅNE LÄN</t>
        </is>
      </c>
      <c r="E4774" t="inlineStr">
        <is>
          <t>ÖSTRA GÖINGE</t>
        </is>
      </c>
      <c r="G4774" t="n">
        <v>7.4</v>
      </c>
      <c r="H4774" t="n">
        <v>0</v>
      </c>
      <c r="I4774" t="n">
        <v>0</v>
      </c>
      <c r="J4774" t="n">
        <v>0</v>
      </c>
      <c r="K4774" t="n">
        <v>0</v>
      </c>
      <c r="L4774" t="n">
        <v>0</v>
      </c>
      <c r="M4774" t="n">
        <v>0</v>
      </c>
      <c r="N4774" t="n">
        <v>0</v>
      </c>
      <c r="O4774" t="n">
        <v>0</v>
      </c>
      <c r="P4774" t="n">
        <v>0</v>
      </c>
      <c r="Q4774" t="n">
        <v>0</v>
      </c>
      <c r="R4774" s="2" t="inlineStr"/>
    </row>
    <row r="4775" ht="15" customHeight="1">
      <c r="A4775" t="inlineStr">
        <is>
          <t>A 44767-2023</t>
        </is>
      </c>
      <c r="B4775" s="1" t="n">
        <v>45186</v>
      </c>
      <c r="C4775" s="1" t="n">
        <v>45744</v>
      </c>
      <c r="D4775" t="inlineStr">
        <is>
          <t>SKÅNE LÄN</t>
        </is>
      </c>
      <c r="E4775" t="inlineStr">
        <is>
          <t>HÄSSLEHOLM</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44789-2023</t>
        </is>
      </c>
      <c r="B4776" s="1" t="n">
        <v>45186</v>
      </c>
      <c r="C4776" s="1" t="n">
        <v>45744</v>
      </c>
      <c r="D4776" t="inlineStr">
        <is>
          <t>SKÅNE LÄN</t>
        </is>
      </c>
      <c r="E4776" t="inlineStr">
        <is>
          <t>HÄSSLEHOLM</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44783-2023</t>
        </is>
      </c>
      <c r="B4777" s="1" t="n">
        <v>45186</v>
      </c>
      <c r="C4777" s="1" t="n">
        <v>45744</v>
      </c>
      <c r="D4777" t="inlineStr">
        <is>
          <t>SKÅNE LÄN</t>
        </is>
      </c>
      <c r="E4777" t="inlineStr">
        <is>
          <t>ÖRKELLJUNGA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43677-2023</t>
        </is>
      </c>
      <c r="B4778" s="1" t="n">
        <v>45187</v>
      </c>
      <c r="C4778" s="1" t="n">
        <v>45744</v>
      </c>
      <c r="D4778" t="inlineStr">
        <is>
          <t>SKÅNE LÄN</t>
        </is>
      </c>
      <c r="E4778" t="inlineStr">
        <is>
          <t>HÄSSLEHOLM</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43689-2023</t>
        </is>
      </c>
      <c r="B4779" s="1" t="n">
        <v>45187</v>
      </c>
      <c r="C4779" s="1" t="n">
        <v>45744</v>
      </c>
      <c r="D4779" t="inlineStr">
        <is>
          <t>SKÅNE LÄN</t>
        </is>
      </c>
      <c r="E4779" t="inlineStr">
        <is>
          <t>OSBY</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43828-2023</t>
        </is>
      </c>
      <c r="B4780" s="1" t="n">
        <v>45187</v>
      </c>
      <c r="C4780" s="1" t="n">
        <v>45744</v>
      </c>
      <c r="D4780" t="inlineStr">
        <is>
          <t>SKÅNE LÄN</t>
        </is>
      </c>
      <c r="E4780" t="inlineStr">
        <is>
          <t>HÄSSLEHOLM</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43874-2023</t>
        </is>
      </c>
      <c r="B4781" s="1" t="n">
        <v>45187</v>
      </c>
      <c r="C4781" s="1" t="n">
        <v>45744</v>
      </c>
      <c r="D4781" t="inlineStr">
        <is>
          <t>SKÅNE LÄN</t>
        </is>
      </c>
      <c r="E4781" t="inlineStr">
        <is>
          <t>KRISTIANSTAD</t>
        </is>
      </c>
      <c r="F4781" t="inlineStr">
        <is>
          <t>Sveaskog</t>
        </is>
      </c>
      <c r="G4781" t="n">
        <v>11.2</v>
      </c>
      <c r="H4781" t="n">
        <v>0</v>
      </c>
      <c r="I4781" t="n">
        <v>0</v>
      </c>
      <c r="J4781" t="n">
        <v>0</v>
      </c>
      <c r="K4781" t="n">
        <v>0</v>
      </c>
      <c r="L4781" t="n">
        <v>0</v>
      </c>
      <c r="M4781" t="n">
        <v>0</v>
      </c>
      <c r="N4781" t="n">
        <v>0</v>
      </c>
      <c r="O4781" t="n">
        <v>0</v>
      </c>
      <c r="P4781" t="n">
        <v>0</v>
      </c>
      <c r="Q4781" t="n">
        <v>0</v>
      </c>
      <c r="R4781" s="2" t="inlineStr"/>
    </row>
    <row r="4782" ht="15" customHeight="1">
      <c r="A4782" t="inlineStr">
        <is>
          <t>A 43882-2023</t>
        </is>
      </c>
      <c r="B4782" s="1" t="n">
        <v>45187</v>
      </c>
      <c r="C4782" s="1" t="n">
        <v>45744</v>
      </c>
      <c r="D4782" t="inlineStr">
        <is>
          <t>SKÅNE LÄN</t>
        </is>
      </c>
      <c r="E4782" t="inlineStr">
        <is>
          <t>HÖRBY</t>
        </is>
      </c>
      <c r="F4782" t="inlineStr">
        <is>
          <t>Sveaskog</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43745-2023</t>
        </is>
      </c>
      <c r="B4783" s="1" t="n">
        <v>45187</v>
      </c>
      <c r="C4783" s="1" t="n">
        <v>45744</v>
      </c>
      <c r="D4783" t="inlineStr">
        <is>
          <t>SKÅNE LÄN</t>
        </is>
      </c>
      <c r="E4783" t="inlineStr">
        <is>
          <t>SJÖBO</t>
        </is>
      </c>
      <c r="F4783" t="inlineStr">
        <is>
          <t>Sveaskog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43932-2023</t>
        </is>
      </c>
      <c r="B4784" s="1" t="n">
        <v>45187</v>
      </c>
      <c r="C4784" s="1" t="n">
        <v>45744</v>
      </c>
      <c r="D4784" t="inlineStr">
        <is>
          <t>SKÅNE LÄN</t>
        </is>
      </c>
      <c r="E4784" t="inlineStr">
        <is>
          <t>HÖRBY</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43792-2023</t>
        </is>
      </c>
      <c r="B4785" s="1" t="n">
        <v>45187</v>
      </c>
      <c r="C4785" s="1" t="n">
        <v>45744</v>
      </c>
      <c r="D4785" t="inlineStr">
        <is>
          <t>SKÅNE LÄN</t>
        </is>
      </c>
      <c r="E4785" t="inlineStr">
        <is>
          <t>SIMRISHAMN</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43935-2023</t>
        </is>
      </c>
      <c r="B4786" s="1" t="n">
        <v>45187</v>
      </c>
      <c r="C4786" s="1" t="n">
        <v>45744</v>
      </c>
      <c r="D4786" t="inlineStr">
        <is>
          <t>SKÅNE LÄN</t>
        </is>
      </c>
      <c r="E4786" t="inlineStr">
        <is>
          <t>HÖRBY</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43939-2023</t>
        </is>
      </c>
      <c r="B4787" s="1" t="n">
        <v>45187</v>
      </c>
      <c r="C4787" s="1" t="n">
        <v>45744</v>
      </c>
      <c r="D4787" t="inlineStr">
        <is>
          <t>SKÅNE LÄN</t>
        </is>
      </c>
      <c r="E4787" t="inlineStr">
        <is>
          <t>HÖRBY</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43871-2023</t>
        </is>
      </c>
      <c r="B4788" s="1" t="n">
        <v>45187</v>
      </c>
      <c r="C4788" s="1" t="n">
        <v>45744</v>
      </c>
      <c r="D4788" t="inlineStr">
        <is>
          <t>SKÅNE LÄN</t>
        </is>
      </c>
      <c r="E4788" t="inlineStr">
        <is>
          <t>KRISTIANSTAD</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43879-2023</t>
        </is>
      </c>
      <c r="B4789" s="1" t="n">
        <v>45187</v>
      </c>
      <c r="C4789" s="1" t="n">
        <v>45744</v>
      </c>
      <c r="D4789" t="inlineStr">
        <is>
          <t>SKÅNE LÄN</t>
        </is>
      </c>
      <c r="E4789" t="inlineStr">
        <is>
          <t>HÖRBY</t>
        </is>
      </c>
      <c r="F4789" t="inlineStr">
        <is>
          <t>Sveaskog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43937-2023</t>
        </is>
      </c>
      <c r="B4790" s="1" t="n">
        <v>45187</v>
      </c>
      <c r="C4790" s="1" t="n">
        <v>45744</v>
      </c>
      <c r="D4790" t="inlineStr">
        <is>
          <t>SKÅNE LÄN</t>
        </is>
      </c>
      <c r="E4790" t="inlineStr">
        <is>
          <t>HÖRBY</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44038-2023</t>
        </is>
      </c>
      <c r="B4791" s="1" t="n">
        <v>45188</v>
      </c>
      <c r="C4791" s="1" t="n">
        <v>45744</v>
      </c>
      <c r="D4791" t="inlineStr">
        <is>
          <t>SKÅNE LÄN</t>
        </is>
      </c>
      <c r="E4791" t="inlineStr">
        <is>
          <t>OSBY</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44042-2023</t>
        </is>
      </c>
      <c r="B4792" s="1" t="n">
        <v>45188</v>
      </c>
      <c r="C4792" s="1" t="n">
        <v>45744</v>
      </c>
      <c r="D4792" t="inlineStr">
        <is>
          <t>SKÅNE LÄN</t>
        </is>
      </c>
      <c r="E4792" t="inlineStr">
        <is>
          <t>HÄSSLEHOLM</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44043-2023</t>
        </is>
      </c>
      <c r="B4793" s="1" t="n">
        <v>45188</v>
      </c>
      <c r="C4793" s="1" t="n">
        <v>45744</v>
      </c>
      <c r="D4793" t="inlineStr">
        <is>
          <t>SKÅNE LÄN</t>
        </is>
      </c>
      <c r="E4793" t="inlineStr">
        <is>
          <t>ÖSTRA GÖINGE</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44108-2023</t>
        </is>
      </c>
      <c r="B4794" s="1" t="n">
        <v>45188</v>
      </c>
      <c r="C4794" s="1" t="n">
        <v>45744</v>
      </c>
      <c r="D4794" t="inlineStr">
        <is>
          <t>SKÅNE LÄN</t>
        </is>
      </c>
      <c r="E4794" t="inlineStr">
        <is>
          <t>OSBY</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44112-2023</t>
        </is>
      </c>
      <c r="B4795" s="1" t="n">
        <v>45188</v>
      </c>
      <c r="C4795" s="1" t="n">
        <v>45744</v>
      </c>
      <c r="D4795" t="inlineStr">
        <is>
          <t>SKÅNE LÄN</t>
        </is>
      </c>
      <c r="E4795" t="inlineStr">
        <is>
          <t>SVALÖV</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44107-2023</t>
        </is>
      </c>
      <c r="B4796" s="1" t="n">
        <v>45188</v>
      </c>
      <c r="C4796" s="1" t="n">
        <v>45744</v>
      </c>
      <c r="D4796" t="inlineStr">
        <is>
          <t>SKÅNE LÄN</t>
        </is>
      </c>
      <c r="E4796" t="inlineStr">
        <is>
          <t>SVALÖV</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44339-2023</t>
        </is>
      </c>
      <c r="B4797" s="1" t="n">
        <v>45188</v>
      </c>
      <c r="C4797" s="1" t="n">
        <v>45744</v>
      </c>
      <c r="D4797" t="inlineStr">
        <is>
          <t>SKÅNE LÄN</t>
        </is>
      </c>
      <c r="E4797" t="inlineStr">
        <is>
          <t>KRISTIANSTAD</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44365-2023</t>
        </is>
      </c>
      <c r="B4798" s="1" t="n">
        <v>45188</v>
      </c>
      <c r="C4798" s="1" t="n">
        <v>45744</v>
      </c>
      <c r="D4798" t="inlineStr">
        <is>
          <t>SKÅNE LÄN</t>
        </is>
      </c>
      <c r="E4798" t="inlineStr">
        <is>
          <t>KLIPPAN</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44434-2023</t>
        </is>
      </c>
      <c r="B4799" s="1" t="n">
        <v>45189</v>
      </c>
      <c r="C4799" s="1" t="n">
        <v>45744</v>
      </c>
      <c r="D4799" t="inlineStr">
        <is>
          <t>SKÅNE LÄN</t>
        </is>
      </c>
      <c r="E4799" t="inlineStr">
        <is>
          <t>SVALÖV</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44440-2023</t>
        </is>
      </c>
      <c r="B4800" s="1" t="n">
        <v>45189</v>
      </c>
      <c r="C4800" s="1" t="n">
        <v>45744</v>
      </c>
      <c r="D4800" t="inlineStr">
        <is>
          <t>SKÅNE LÄN</t>
        </is>
      </c>
      <c r="E4800" t="inlineStr">
        <is>
          <t>KRISTIANSTAD</t>
        </is>
      </c>
      <c r="F4800" t="inlineStr">
        <is>
          <t>Sveaskog</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44443-2023</t>
        </is>
      </c>
      <c r="B4801" s="1" t="n">
        <v>45189</v>
      </c>
      <c r="C4801" s="1" t="n">
        <v>45744</v>
      </c>
      <c r="D4801" t="inlineStr">
        <is>
          <t>SKÅNE LÄN</t>
        </is>
      </c>
      <c r="E4801" t="inlineStr">
        <is>
          <t>KRISTIANSTAD</t>
        </is>
      </c>
      <c r="F4801" t="inlineStr">
        <is>
          <t>Sveaskog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44496-2023</t>
        </is>
      </c>
      <c r="B4802" s="1" t="n">
        <v>45189</v>
      </c>
      <c r="C4802" s="1" t="n">
        <v>45744</v>
      </c>
      <c r="D4802" t="inlineStr">
        <is>
          <t>SKÅNE LÄN</t>
        </is>
      </c>
      <c r="E4802" t="inlineStr">
        <is>
          <t>ESLÖV</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44553-2023</t>
        </is>
      </c>
      <c r="B4803" s="1" t="n">
        <v>45189</v>
      </c>
      <c r="C4803" s="1" t="n">
        <v>45744</v>
      </c>
      <c r="D4803" t="inlineStr">
        <is>
          <t>SKÅNE LÄN</t>
        </is>
      </c>
      <c r="E4803" t="inlineStr">
        <is>
          <t>KRISTIANSTAD</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44579-2023</t>
        </is>
      </c>
      <c r="B4804" s="1" t="n">
        <v>45189</v>
      </c>
      <c r="C4804" s="1" t="n">
        <v>45744</v>
      </c>
      <c r="D4804" t="inlineStr">
        <is>
          <t>SKÅNE LÄN</t>
        </is>
      </c>
      <c r="E4804" t="inlineStr">
        <is>
          <t>KRISTIANSTAD</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44603-2023</t>
        </is>
      </c>
      <c r="B4805" s="1" t="n">
        <v>45189</v>
      </c>
      <c r="C4805" s="1" t="n">
        <v>45744</v>
      </c>
      <c r="D4805" t="inlineStr">
        <is>
          <t>SKÅNE LÄN</t>
        </is>
      </c>
      <c r="E4805" t="inlineStr">
        <is>
          <t>SVALÖV</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44580-2023</t>
        </is>
      </c>
      <c r="B4806" s="1" t="n">
        <v>45189</v>
      </c>
      <c r="C4806" s="1" t="n">
        <v>45744</v>
      </c>
      <c r="D4806" t="inlineStr">
        <is>
          <t>SKÅNE LÄN</t>
        </is>
      </c>
      <c r="E4806" t="inlineStr">
        <is>
          <t>SJÖBO</t>
        </is>
      </c>
      <c r="F4806" t="inlineStr">
        <is>
          <t>Kommuner</t>
        </is>
      </c>
      <c r="G4806" t="n">
        <v>6.4</v>
      </c>
      <c r="H4806" t="n">
        <v>0</v>
      </c>
      <c r="I4806" t="n">
        <v>0</v>
      </c>
      <c r="J4806" t="n">
        <v>0</v>
      </c>
      <c r="K4806" t="n">
        <v>0</v>
      </c>
      <c r="L4806" t="n">
        <v>0</v>
      </c>
      <c r="M4806" t="n">
        <v>0</v>
      </c>
      <c r="N4806" t="n">
        <v>0</v>
      </c>
      <c r="O4806" t="n">
        <v>0</v>
      </c>
      <c r="P4806" t="n">
        <v>0</v>
      </c>
      <c r="Q4806" t="n">
        <v>0</v>
      </c>
      <c r="R4806" s="2" t="inlineStr"/>
    </row>
    <row r="4807" ht="15" customHeight="1">
      <c r="A4807" t="inlineStr">
        <is>
          <t>A 44613-2023</t>
        </is>
      </c>
      <c r="B4807" s="1" t="n">
        <v>45189</v>
      </c>
      <c r="C4807" s="1" t="n">
        <v>45744</v>
      </c>
      <c r="D4807" t="inlineStr">
        <is>
          <t>SKÅNE LÄN</t>
        </is>
      </c>
      <c r="E4807" t="inlineStr">
        <is>
          <t>HÖRBY</t>
        </is>
      </c>
      <c r="F4807" t="inlineStr">
        <is>
          <t>Sveaskog</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44442-2023</t>
        </is>
      </c>
      <c r="B4808" s="1" t="n">
        <v>45189</v>
      </c>
      <c r="C4808" s="1" t="n">
        <v>45744</v>
      </c>
      <c r="D4808" t="inlineStr">
        <is>
          <t>SKÅNE LÄN</t>
        </is>
      </c>
      <c r="E4808" t="inlineStr">
        <is>
          <t>KRISTIANSTAD</t>
        </is>
      </c>
      <c r="F4808" t="inlineStr">
        <is>
          <t>Sveaskog</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44448-2023</t>
        </is>
      </c>
      <c r="B4809" s="1" t="n">
        <v>45189</v>
      </c>
      <c r="C4809" s="1" t="n">
        <v>45744</v>
      </c>
      <c r="D4809" t="inlineStr">
        <is>
          <t>SKÅNE LÄN</t>
        </is>
      </c>
      <c r="E4809" t="inlineStr">
        <is>
          <t>ÄNGELHOLM</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44454-2023</t>
        </is>
      </c>
      <c r="B4810" s="1" t="n">
        <v>45189</v>
      </c>
      <c r="C4810" s="1" t="n">
        <v>45744</v>
      </c>
      <c r="D4810" t="inlineStr">
        <is>
          <t>SKÅNE LÄN</t>
        </is>
      </c>
      <c r="E4810" t="inlineStr">
        <is>
          <t>ÖRKELLJUNGA</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44631-2023</t>
        </is>
      </c>
      <c r="B4811" s="1" t="n">
        <v>45189</v>
      </c>
      <c r="C4811" s="1" t="n">
        <v>45744</v>
      </c>
      <c r="D4811" t="inlineStr">
        <is>
          <t>SKÅNE LÄN</t>
        </is>
      </c>
      <c r="E4811" t="inlineStr">
        <is>
          <t>KRISTIANSTAD</t>
        </is>
      </c>
      <c r="F4811" t="inlineStr">
        <is>
          <t>Sveaskog</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44646-2023</t>
        </is>
      </c>
      <c r="B4812" s="1" t="n">
        <v>45189</v>
      </c>
      <c r="C4812" s="1" t="n">
        <v>45744</v>
      </c>
      <c r="D4812" t="inlineStr">
        <is>
          <t>SKÅNE LÄN</t>
        </is>
      </c>
      <c r="E4812" t="inlineStr">
        <is>
          <t>LUND</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44550-2023</t>
        </is>
      </c>
      <c r="B4813" s="1" t="n">
        <v>45189</v>
      </c>
      <c r="C4813" s="1" t="n">
        <v>45744</v>
      </c>
      <c r="D4813" t="inlineStr">
        <is>
          <t>SKÅNE LÄN</t>
        </is>
      </c>
      <c r="E4813" t="inlineStr">
        <is>
          <t>KRISTIANSTAD</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44671-2023</t>
        </is>
      </c>
      <c r="B4814" s="1" t="n">
        <v>45189</v>
      </c>
      <c r="C4814" s="1" t="n">
        <v>45744</v>
      </c>
      <c r="D4814" t="inlineStr">
        <is>
          <t>SKÅNE LÄN</t>
        </is>
      </c>
      <c r="E4814" t="inlineStr">
        <is>
          <t>HÄSSLEHOLM</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45925-2023</t>
        </is>
      </c>
      <c r="B4815" s="1" t="n">
        <v>45189</v>
      </c>
      <c r="C4815" s="1" t="n">
        <v>45744</v>
      </c>
      <c r="D4815" t="inlineStr">
        <is>
          <t>SKÅNE LÄN</t>
        </is>
      </c>
      <c r="E4815" t="inlineStr">
        <is>
          <t>SJÖBO</t>
        </is>
      </c>
      <c r="F4815" t="inlineStr">
        <is>
          <t>Sveaskog</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45981-2023</t>
        </is>
      </c>
      <c r="B4816" s="1" t="n">
        <v>45189</v>
      </c>
      <c r="C4816" s="1" t="n">
        <v>45744</v>
      </c>
      <c r="D4816" t="inlineStr">
        <is>
          <t>SKÅNE LÄN</t>
        </is>
      </c>
      <c r="E4816" t="inlineStr">
        <is>
          <t>SJÖBO</t>
        </is>
      </c>
      <c r="F4816" t="inlineStr">
        <is>
          <t>Sveaskog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46057-2023</t>
        </is>
      </c>
      <c r="B4817" s="1" t="n">
        <v>45189</v>
      </c>
      <c r="C4817" s="1" t="n">
        <v>45744</v>
      </c>
      <c r="D4817" t="inlineStr">
        <is>
          <t>SKÅNE LÄN</t>
        </is>
      </c>
      <c r="E4817" t="inlineStr">
        <is>
          <t>KRISTIANSTAD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44732-2023</t>
        </is>
      </c>
      <c r="B4818" s="1" t="n">
        <v>45190</v>
      </c>
      <c r="C4818" s="1" t="n">
        <v>45744</v>
      </c>
      <c r="D4818" t="inlineStr">
        <is>
          <t>SKÅNE LÄN</t>
        </is>
      </c>
      <c r="E4818" t="inlineStr">
        <is>
          <t>ÖSTRA GÖINGE</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44741-2023</t>
        </is>
      </c>
      <c r="B4819" s="1" t="n">
        <v>45190</v>
      </c>
      <c r="C4819" s="1" t="n">
        <v>45744</v>
      </c>
      <c r="D4819" t="inlineStr">
        <is>
          <t>SKÅNE LÄN</t>
        </is>
      </c>
      <c r="E4819" t="inlineStr">
        <is>
          <t>HÄSSLEHOLM</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44735-2023</t>
        </is>
      </c>
      <c r="B4820" s="1" t="n">
        <v>45190</v>
      </c>
      <c r="C4820" s="1" t="n">
        <v>45744</v>
      </c>
      <c r="D4820" t="inlineStr">
        <is>
          <t>SKÅNE LÄN</t>
        </is>
      </c>
      <c r="E4820" t="inlineStr">
        <is>
          <t>ÖSTRA GÖINGE</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44716-2023</t>
        </is>
      </c>
      <c r="B4821" s="1" t="n">
        <v>45190</v>
      </c>
      <c r="C4821" s="1" t="n">
        <v>45744</v>
      </c>
      <c r="D4821" t="inlineStr">
        <is>
          <t>SKÅNE LÄN</t>
        </is>
      </c>
      <c r="E4821" t="inlineStr">
        <is>
          <t>ÖSTRA GÖINGE</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44738-2023</t>
        </is>
      </c>
      <c r="B4822" s="1" t="n">
        <v>45190</v>
      </c>
      <c r="C4822" s="1" t="n">
        <v>45744</v>
      </c>
      <c r="D4822" t="inlineStr">
        <is>
          <t>SKÅNE LÄN</t>
        </is>
      </c>
      <c r="E4822" t="inlineStr">
        <is>
          <t>ÖSTRA GÖINGE</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44816-2023</t>
        </is>
      </c>
      <c r="B4823" s="1" t="n">
        <v>45190</v>
      </c>
      <c r="C4823" s="1" t="n">
        <v>45744</v>
      </c>
      <c r="D4823" t="inlineStr">
        <is>
          <t>SKÅNE LÄN</t>
        </is>
      </c>
      <c r="E4823" t="inlineStr">
        <is>
          <t>HÖRBY</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44838-2023</t>
        </is>
      </c>
      <c r="B4824" s="1" t="n">
        <v>45190</v>
      </c>
      <c r="C4824" s="1" t="n">
        <v>45744</v>
      </c>
      <c r="D4824" t="inlineStr">
        <is>
          <t>SKÅNE LÄN</t>
        </is>
      </c>
      <c r="E4824" t="inlineStr">
        <is>
          <t>HÄSSLEHOLM</t>
        </is>
      </c>
      <c r="F4824" t="inlineStr">
        <is>
          <t>Kommuner</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44842-2023</t>
        </is>
      </c>
      <c r="B4825" s="1" t="n">
        <v>45190</v>
      </c>
      <c r="C4825" s="1" t="n">
        <v>45744</v>
      </c>
      <c r="D4825" t="inlineStr">
        <is>
          <t>SKÅNE LÄN</t>
        </is>
      </c>
      <c r="E4825" t="inlineStr">
        <is>
          <t>HÄSSLEHOLM</t>
        </is>
      </c>
      <c r="F4825" t="inlineStr">
        <is>
          <t>Kommuner</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44934-2023</t>
        </is>
      </c>
      <c r="B4826" s="1" t="n">
        <v>45190</v>
      </c>
      <c r="C4826" s="1" t="n">
        <v>45744</v>
      </c>
      <c r="D4826" t="inlineStr">
        <is>
          <t>SKÅNE LÄN</t>
        </is>
      </c>
      <c r="E4826" t="inlineStr">
        <is>
          <t>SIMRISHAMN</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44874-2023</t>
        </is>
      </c>
      <c r="B4827" s="1" t="n">
        <v>45190</v>
      </c>
      <c r="C4827" s="1" t="n">
        <v>45744</v>
      </c>
      <c r="D4827" t="inlineStr">
        <is>
          <t>SKÅNE LÄN</t>
        </is>
      </c>
      <c r="E4827" t="inlineStr">
        <is>
          <t>OSBY</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44940-2023</t>
        </is>
      </c>
      <c r="B4828" s="1" t="n">
        <v>45190</v>
      </c>
      <c r="C4828" s="1" t="n">
        <v>45744</v>
      </c>
      <c r="D4828" t="inlineStr">
        <is>
          <t>SKÅNE LÄN</t>
        </is>
      </c>
      <c r="E4828" t="inlineStr">
        <is>
          <t>HÄSSLEHOLM</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44960-2023</t>
        </is>
      </c>
      <c r="B4829" s="1" t="n">
        <v>45190</v>
      </c>
      <c r="C4829" s="1" t="n">
        <v>45744</v>
      </c>
      <c r="D4829" t="inlineStr">
        <is>
          <t>SKÅNE LÄN</t>
        </is>
      </c>
      <c r="E4829" t="inlineStr">
        <is>
          <t>HÖÖR</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46095-2023</t>
        </is>
      </c>
      <c r="B4830" s="1" t="n">
        <v>45190</v>
      </c>
      <c r="C4830" s="1" t="n">
        <v>45744</v>
      </c>
      <c r="D4830" t="inlineStr">
        <is>
          <t>SKÅNE LÄN</t>
        </is>
      </c>
      <c r="E4830" t="inlineStr">
        <is>
          <t>KRISTIANSTAD</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45220-2023</t>
        </is>
      </c>
      <c r="B4831" s="1" t="n">
        <v>45191</v>
      </c>
      <c r="C4831" s="1" t="n">
        <v>45744</v>
      </c>
      <c r="D4831" t="inlineStr">
        <is>
          <t>SKÅNE LÄN</t>
        </is>
      </c>
      <c r="E4831" t="inlineStr">
        <is>
          <t>HÄSSLEHOLM</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45123-2023</t>
        </is>
      </c>
      <c r="B4832" s="1" t="n">
        <v>45191</v>
      </c>
      <c r="C4832" s="1" t="n">
        <v>45744</v>
      </c>
      <c r="D4832" t="inlineStr">
        <is>
          <t>SKÅNE LÄN</t>
        </is>
      </c>
      <c r="E4832" t="inlineStr">
        <is>
          <t>KRISTIANSTAD</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45222-2023</t>
        </is>
      </c>
      <c r="B4833" s="1" t="n">
        <v>45191</v>
      </c>
      <c r="C4833" s="1" t="n">
        <v>45744</v>
      </c>
      <c r="D4833" t="inlineStr">
        <is>
          <t>SKÅNE LÄN</t>
        </is>
      </c>
      <c r="E4833" t="inlineStr">
        <is>
          <t>HÄSSLEHOLM</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45348-2023</t>
        </is>
      </c>
      <c r="B4834" s="1" t="n">
        <v>45191</v>
      </c>
      <c r="C4834" s="1" t="n">
        <v>45744</v>
      </c>
      <c r="D4834" t="inlineStr">
        <is>
          <t>SKÅNE LÄN</t>
        </is>
      </c>
      <c r="E4834" t="inlineStr">
        <is>
          <t>KRISTIANSTAD</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45349-2023</t>
        </is>
      </c>
      <c r="B4835" s="1" t="n">
        <v>45191</v>
      </c>
      <c r="C4835" s="1" t="n">
        <v>45744</v>
      </c>
      <c r="D4835" t="inlineStr">
        <is>
          <t>SKÅNE LÄN</t>
        </is>
      </c>
      <c r="E4835" t="inlineStr">
        <is>
          <t>HÖÖR</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46397-2023</t>
        </is>
      </c>
      <c r="B4836" s="1" t="n">
        <v>45191</v>
      </c>
      <c r="C4836" s="1" t="n">
        <v>45744</v>
      </c>
      <c r="D4836" t="inlineStr">
        <is>
          <t>SKÅNE LÄN</t>
        </is>
      </c>
      <c r="E4836" t="inlineStr">
        <is>
          <t>SJÖBO</t>
        </is>
      </c>
      <c r="G4836" t="n">
        <v>9.300000000000001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45353-2023</t>
        </is>
      </c>
      <c r="B4837" s="1" t="n">
        <v>45192</v>
      </c>
      <c r="C4837" s="1" t="n">
        <v>45744</v>
      </c>
      <c r="D4837" t="inlineStr">
        <is>
          <t>SKÅNE LÄN</t>
        </is>
      </c>
      <c r="E4837" t="inlineStr">
        <is>
          <t>HÄSSLEHOLM</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45357-2023</t>
        </is>
      </c>
      <c r="B4838" s="1" t="n">
        <v>45192</v>
      </c>
      <c r="C4838" s="1" t="n">
        <v>45744</v>
      </c>
      <c r="D4838" t="inlineStr">
        <is>
          <t>SKÅNE LÄN</t>
        </is>
      </c>
      <c r="E4838" t="inlineStr">
        <is>
          <t>ÖSTRA GÖINGE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45361-2023</t>
        </is>
      </c>
      <c r="B4839" s="1" t="n">
        <v>45192</v>
      </c>
      <c r="C4839" s="1" t="n">
        <v>45744</v>
      </c>
      <c r="D4839" t="inlineStr">
        <is>
          <t>SKÅNE LÄN</t>
        </is>
      </c>
      <c r="E4839" t="inlineStr">
        <is>
          <t>HÄSSLEHOLM</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45358-2023</t>
        </is>
      </c>
      <c r="B4840" s="1" t="n">
        <v>45192</v>
      </c>
      <c r="C4840" s="1" t="n">
        <v>45744</v>
      </c>
      <c r="D4840" t="inlineStr">
        <is>
          <t>SKÅNE LÄN</t>
        </is>
      </c>
      <c r="E4840" t="inlineStr">
        <is>
          <t>ÖSTRA GÖINGE</t>
        </is>
      </c>
      <c r="G4840" t="n">
        <v>5.9</v>
      </c>
      <c r="H4840" t="n">
        <v>0</v>
      </c>
      <c r="I4840" t="n">
        <v>0</v>
      </c>
      <c r="J4840" t="n">
        <v>0</v>
      </c>
      <c r="K4840" t="n">
        <v>0</v>
      </c>
      <c r="L4840" t="n">
        <v>0</v>
      </c>
      <c r="M4840" t="n">
        <v>0</v>
      </c>
      <c r="N4840" t="n">
        <v>0</v>
      </c>
      <c r="O4840" t="n">
        <v>0</v>
      </c>
      <c r="P4840" t="n">
        <v>0</v>
      </c>
      <c r="Q4840" t="n">
        <v>0</v>
      </c>
      <c r="R4840" s="2" t="inlineStr"/>
    </row>
    <row r="4841" ht="15" customHeight="1">
      <c r="A4841" t="inlineStr">
        <is>
          <t>A 45359-2023</t>
        </is>
      </c>
      <c r="B4841" s="1" t="n">
        <v>45192</v>
      </c>
      <c r="C4841" s="1" t="n">
        <v>45744</v>
      </c>
      <c r="D4841" t="inlineStr">
        <is>
          <t>SKÅNE LÄN</t>
        </is>
      </c>
      <c r="E4841" t="inlineStr">
        <is>
          <t>ÖSTRA GÖINGE</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45420-2023</t>
        </is>
      </c>
      <c r="B4842" s="1" t="n">
        <v>45194</v>
      </c>
      <c r="C4842" s="1" t="n">
        <v>45744</v>
      </c>
      <c r="D4842" t="inlineStr">
        <is>
          <t>SKÅNE LÄN</t>
        </is>
      </c>
      <c r="E4842" t="inlineStr">
        <is>
          <t>OSBY</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45461-2023</t>
        </is>
      </c>
      <c r="B4843" s="1" t="n">
        <v>45194</v>
      </c>
      <c r="C4843" s="1" t="n">
        <v>45744</v>
      </c>
      <c r="D4843" t="inlineStr">
        <is>
          <t>SKÅNE LÄN</t>
        </is>
      </c>
      <c r="E4843" t="inlineStr">
        <is>
          <t>HÄSSLEHOLM</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45470-2023</t>
        </is>
      </c>
      <c r="B4844" s="1" t="n">
        <v>45194</v>
      </c>
      <c r="C4844" s="1" t="n">
        <v>45744</v>
      </c>
      <c r="D4844" t="inlineStr">
        <is>
          <t>SKÅNE LÄN</t>
        </is>
      </c>
      <c r="E4844" t="inlineStr">
        <is>
          <t>HÄSSLEHOLM</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45538-2023</t>
        </is>
      </c>
      <c r="B4845" s="1" t="n">
        <v>45194</v>
      </c>
      <c r="C4845" s="1" t="n">
        <v>45744</v>
      </c>
      <c r="D4845" t="inlineStr">
        <is>
          <t>SKÅNE LÄN</t>
        </is>
      </c>
      <c r="E4845" t="inlineStr">
        <is>
          <t>HÖRBY</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45611-2023</t>
        </is>
      </c>
      <c r="B4846" s="1" t="n">
        <v>45194</v>
      </c>
      <c r="C4846" s="1" t="n">
        <v>45744</v>
      </c>
      <c r="D4846" t="inlineStr">
        <is>
          <t>SKÅNE LÄN</t>
        </is>
      </c>
      <c r="E4846" t="inlineStr">
        <is>
          <t>KRISTIANSTAD</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45609-2023</t>
        </is>
      </c>
      <c r="B4847" s="1" t="n">
        <v>45194</v>
      </c>
      <c r="C4847" s="1" t="n">
        <v>45744</v>
      </c>
      <c r="D4847" t="inlineStr">
        <is>
          <t>SKÅNE LÄN</t>
        </is>
      </c>
      <c r="E4847" t="inlineStr">
        <is>
          <t>KRISTIANSTAD</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46606-2023</t>
        </is>
      </c>
      <c r="B4848" s="1" t="n">
        <v>45194</v>
      </c>
      <c r="C4848" s="1" t="n">
        <v>45744</v>
      </c>
      <c r="D4848" t="inlineStr">
        <is>
          <t>SKÅNE LÄN</t>
        </is>
      </c>
      <c r="E4848" t="inlineStr">
        <is>
          <t>ÖSTRA GÖINGE</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45526-2023</t>
        </is>
      </c>
      <c r="B4849" s="1" t="n">
        <v>45194</v>
      </c>
      <c r="C4849" s="1" t="n">
        <v>45744</v>
      </c>
      <c r="D4849" t="inlineStr">
        <is>
          <t>SKÅNE LÄN</t>
        </is>
      </c>
      <c r="E4849" t="inlineStr">
        <is>
          <t>KRISTIANSTAD</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45588-2023</t>
        </is>
      </c>
      <c r="B4850" s="1" t="n">
        <v>45194</v>
      </c>
      <c r="C4850" s="1" t="n">
        <v>45744</v>
      </c>
      <c r="D4850" t="inlineStr">
        <is>
          <t>SKÅNE LÄN</t>
        </is>
      </c>
      <c r="E4850" t="inlineStr">
        <is>
          <t>ÖRKELLJUNGA</t>
        </is>
      </c>
      <c r="F4850" t="inlineStr">
        <is>
          <t>Kyrkan</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45606-2023</t>
        </is>
      </c>
      <c r="B4851" s="1" t="n">
        <v>45194</v>
      </c>
      <c r="C4851" s="1" t="n">
        <v>45744</v>
      </c>
      <c r="D4851" t="inlineStr">
        <is>
          <t>SKÅNE LÄN</t>
        </is>
      </c>
      <c r="E4851" t="inlineStr">
        <is>
          <t>KRISTIANSTAD</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46618-2023</t>
        </is>
      </c>
      <c r="B4852" s="1" t="n">
        <v>45194</v>
      </c>
      <c r="C4852" s="1" t="n">
        <v>45744</v>
      </c>
      <c r="D4852" t="inlineStr">
        <is>
          <t>SKÅNE LÄN</t>
        </is>
      </c>
      <c r="E4852" t="inlineStr">
        <is>
          <t>ÖSTRA GÖINGE</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45663-2023</t>
        </is>
      </c>
      <c r="B4853" s="1" t="n">
        <v>45194</v>
      </c>
      <c r="C4853" s="1" t="n">
        <v>45744</v>
      </c>
      <c r="D4853" t="inlineStr">
        <is>
          <t>SKÅNE LÄN</t>
        </is>
      </c>
      <c r="E4853" t="inlineStr">
        <is>
          <t>HÄSSLEHOLM</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46625-2023</t>
        </is>
      </c>
      <c r="B4854" s="1" t="n">
        <v>45194</v>
      </c>
      <c r="C4854" s="1" t="n">
        <v>45744</v>
      </c>
      <c r="D4854" t="inlineStr">
        <is>
          <t>SKÅNE LÄN</t>
        </is>
      </c>
      <c r="E4854" t="inlineStr">
        <is>
          <t>ÖSTRA GÖINGE</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45803-2023</t>
        </is>
      </c>
      <c r="B4855" s="1" t="n">
        <v>45195</v>
      </c>
      <c r="C4855" s="1" t="n">
        <v>45744</v>
      </c>
      <c r="D4855" t="inlineStr">
        <is>
          <t>SKÅNE LÄN</t>
        </is>
      </c>
      <c r="E4855" t="inlineStr">
        <is>
          <t>HÄSSLEHOLM</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45906-2023</t>
        </is>
      </c>
      <c r="B4856" s="1" t="n">
        <v>45195</v>
      </c>
      <c r="C4856" s="1" t="n">
        <v>45744</v>
      </c>
      <c r="D4856" t="inlineStr">
        <is>
          <t>SKÅNE LÄN</t>
        </is>
      </c>
      <c r="E4856" t="inlineStr">
        <is>
          <t>OSBY</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46733-2023</t>
        </is>
      </c>
      <c r="B4857" s="1" t="n">
        <v>45195</v>
      </c>
      <c r="C4857" s="1" t="n">
        <v>45744</v>
      </c>
      <c r="D4857" t="inlineStr">
        <is>
          <t>SKÅNE LÄN</t>
        </is>
      </c>
      <c r="E4857" t="inlineStr">
        <is>
          <t>BROMÖLLA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45900-2023</t>
        </is>
      </c>
      <c r="B4858" s="1" t="n">
        <v>45195</v>
      </c>
      <c r="C4858" s="1" t="n">
        <v>45744</v>
      </c>
      <c r="D4858" t="inlineStr">
        <is>
          <t>SKÅNE LÄN</t>
        </is>
      </c>
      <c r="E4858" t="inlineStr">
        <is>
          <t>OSBY</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45769-2023</t>
        </is>
      </c>
      <c r="B4859" s="1" t="n">
        <v>45195</v>
      </c>
      <c r="C4859" s="1" t="n">
        <v>45744</v>
      </c>
      <c r="D4859" t="inlineStr">
        <is>
          <t>SKÅNE LÄN</t>
        </is>
      </c>
      <c r="E4859" t="inlineStr">
        <is>
          <t>OSBY</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45899-2023</t>
        </is>
      </c>
      <c r="B4860" s="1" t="n">
        <v>45195</v>
      </c>
      <c r="C4860" s="1" t="n">
        <v>45744</v>
      </c>
      <c r="D4860" t="inlineStr">
        <is>
          <t>SKÅNE LÄN</t>
        </is>
      </c>
      <c r="E4860" t="inlineStr">
        <is>
          <t>OSBY</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45903-2023</t>
        </is>
      </c>
      <c r="B4861" s="1" t="n">
        <v>45195</v>
      </c>
      <c r="C4861" s="1" t="n">
        <v>45744</v>
      </c>
      <c r="D4861" t="inlineStr">
        <is>
          <t>SKÅNE LÄN</t>
        </is>
      </c>
      <c r="E4861" t="inlineStr">
        <is>
          <t>OSBY</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46668-2023</t>
        </is>
      </c>
      <c r="B4862" s="1" t="n">
        <v>45195</v>
      </c>
      <c r="C4862" s="1" t="n">
        <v>45744</v>
      </c>
      <c r="D4862" t="inlineStr">
        <is>
          <t>SKÅNE LÄN</t>
        </is>
      </c>
      <c r="E4862" t="inlineStr">
        <is>
          <t>KRISTIANSTAD</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45983-2023</t>
        </is>
      </c>
      <c r="B4863" s="1" t="n">
        <v>45196</v>
      </c>
      <c r="C4863" s="1" t="n">
        <v>45744</v>
      </c>
      <c r="D4863" t="inlineStr">
        <is>
          <t>SKÅNE LÄN</t>
        </is>
      </c>
      <c r="E4863" t="inlineStr">
        <is>
          <t>SKURUP</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46246-2023</t>
        </is>
      </c>
      <c r="B4864" s="1" t="n">
        <v>45196</v>
      </c>
      <c r="C4864" s="1" t="n">
        <v>45744</v>
      </c>
      <c r="D4864" t="inlineStr">
        <is>
          <t>SKÅNE LÄN</t>
        </is>
      </c>
      <c r="E4864" t="inlineStr">
        <is>
          <t>OSBY</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46245-2023</t>
        </is>
      </c>
      <c r="B4865" s="1" t="n">
        <v>45196</v>
      </c>
      <c r="C4865" s="1" t="n">
        <v>45744</v>
      </c>
      <c r="D4865" t="inlineStr">
        <is>
          <t>SKÅNE LÄN</t>
        </is>
      </c>
      <c r="E4865" t="inlineStr">
        <is>
          <t>OSBY</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46243-2023</t>
        </is>
      </c>
      <c r="B4866" s="1" t="n">
        <v>45196</v>
      </c>
      <c r="C4866" s="1" t="n">
        <v>45744</v>
      </c>
      <c r="D4866" t="inlineStr">
        <is>
          <t>SKÅNE LÄN</t>
        </is>
      </c>
      <c r="E4866" t="inlineStr">
        <is>
          <t>OSBY</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46247-2023</t>
        </is>
      </c>
      <c r="B4867" s="1" t="n">
        <v>45196</v>
      </c>
      <c r="C4867" s="1" t="n">
        <v>45744</v>
      </c>
      <c r="D4867" t="inlineStr">
        <is>
          <t>SKÅNE LÄN</t>
        </is>
      </c>
      <c r="E4867" t="inlineStr">
        <is>
          <t>OSBY</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47315-2023</t>
        </is>
      </c>
      <c r="B4868" s="1" t="n">
        <v>45196</v>
      </c>
      <c r="C4868" s="1" t="n">
        <v>45744</v>
      </c>
      <c r="D4868" t="inlineStr">
        <is>
          <t>SKÅNE LÄN</t>
        </is>
      </c>
      <c r="E4868" t="inlineStr">
        <is>
          <t>BROMÖLLA</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46288-2023</t>
        </is>
      </c>
      <c r="B4869" s="1" t="n">
        <v>45197</v>
      </c>
      <c r="C4869" s="1" t="n">
        <v>45744</v>
      </c>
      <c r="D4869" t="inlineStr">
        <is>
          <t>SKÅNE LÄN</t>
        </is>
      </c>
      <c r="E4869" t="inlineStr">
        <is>
          <t>HÄSSLEHOLM</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46425-2023</t>
        </is>
      </c>
      <c r="B4870" s="1" t="n">
        <v>45197</v>
      </c>
      <c r="C4870" s="1" t="n">
        <v>45744</v>
      </c>
      <c r="D4870" t="inlineStr">
        <is>
          <t>SKÅNE LÄN</t>
        </is>
      </c>
      <c r="E4870" t="inlineStr">
        <is>
          <t>OSBY</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46432-2023</t>
        </is>
      </c>
      <c r="B4871" s="1" t="n">
        <v>45197</v>
      </c>
      <c r="C4871" s="1" t="n">
        <v>45744</v>
      </c>
      <c r="D4871" t="inlineStr">
        <is>
          <t>SKÅNE LÄN</t>
        </is>
      </c>
      <c r="E4871" t="inlineStr">
        <is>
          <t>OSBY</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46524-2023</t>
        </is>
      </c>
      <c r="B4872" s="1" t="n">
        <v>45197</v>
      </c>
      <c r="C4872" s="1" t="n">
        <v>45744</v>
      </c>
      <c r="D4872" t="inlineStr">
        <is>
          <t>SKÅNE LÄN</t>
        </is>
      </c>
      <c r="E4872" t="inlineStr">
        <is>
          <t>KRISTIANSTAD</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46523-2023</t>
        </is>
      </c>
      <c r="B4873" s="1" t="n">
        <v>45197</v>
      </c>
      <c r="C4873" s="1" t="n">
        <v>45744</v>
      </c>
      <c r="D4873" t="inlineStr">
        <is>
          <t>SKÅNE LÄN</t>
        </is>
      </c>
      <c r="E4873" t="inlineStr">
        <is>
          <t>KRISTIANSTAD</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46373-2023</t>
        </is>
      </c>
      <c r="B4874" s="1" t="n">
        <v>45197</v>
      </c>
      <c r="C4874" s="1" t="n">
        <v>45744</v>
      </c>
      <c r="D4874" t="inlineStr">
        <is>
          <t>SKÅNE LÄN</t>
        </is>
      </c>
      <c r="E4874" t="inlineStr">
        <is>
          <t>PERSTORP</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46521-2023</t>
        </is>
      </c>
      <c r="B4875" s="1" t="n">
        <v>45197</v>
      </c>
      <c r="C4875" s="1" t="n">
        <v>45744</v>
      </c>
      <c r="D4875" t="inlineStr">
        <is>
          <t>SKÅNE LÄN</t>
        </is>
      </c>
      <c r="E4875" t="inlineStr">
        <is>
          <t>KRISTIANSTAD</t>
        </is>
      </c>
      <c r="G4875" t="n">
        <v>10.3</v>
      </c>
      <c r="H4875" t="n">
        <v>0</v>
      </c>
      <c r="I4875" t="n">
        <v>0</v>
      </c>
      <c r="J4875" t="n">
        <v>0</v>
      </c>
      <c r="K4875" t="n">
        <v>0</v>
      </c>
      <c r="L4875" t="n">
        <v>0</v>
      </c>
      <c r="M4875" t="n">
        <v>0</v>
      </c>
      <c r="N4875" t="n">
        <v>0</v>
      </c>
      <c r="O4875" t="n">
        <v>0</v>
      </c>
      <c r="P4875" t="n">
        <v>0</v>
      </c>
      <c r="Q4875" t="n">
        <v>0</v>
      </c>
      <c r="R4875" s="2" t="inlineStr"/>
    </row>
    <row r="4876" ht="15" customHeight="1">
      <c r="A4876" t="inlineStr">
        <is>
          <t>A 46525-2023</t>
        </is>
      </c>
      <c r="B4876" s="1" t="n">
        <v>45197</v>
      </c>
      <c r="C4876" s="1" t="n">
        <v>45744</v>
      </c>
      <c r="D4876" t="inlineStr">
        <is>
          <t>SKÅNE LÄN</t>
        </is>
      </c>
      <c r="E4876" t="inlineStr">
        <is>
          <t>KRISTIANSTAD</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46431-2023</t>
        </is>
      </c>
      <c r="B4877" s="1" t="n">
        <v>45197</v>
      </c>
      <c r="C4877" s="1" t="n">
        <v>45744</v>
      </c>
      <c r="D4877" t="inlineStr">
        <is>
          <t>SKÅNE LÄN</t>
        </is>
      </c>
      <c r="E4877" t="inlineStr">
        <is>
          <t>OSBY</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47268-2023</t>
        </is>
      </c>
      <c r="B4878" s="1" t="n">
        <v>45197</v>
      </c>
      <c r="C4878" s="1" t="n">
        <v>45744</v>
      </c>
      <c r="D4878" t="inlineStr">
        <is>
          <t>SKÅNE LÄN</t>
        </is>
      </c>
      <c r="E4878" t="inlineStr">
        <is>
          <t>ÖSTRA GÖINGE</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47394-2023</t>
        </is>
      </c>
      <c r="B4879" s="1" t="n">
        <v>45197</v>
      </c>
      <c r="C4879" s="1" t="n">
        <v>45744</v>
      </c>
      <c r="D4879" t="inlineStr">
        <is>
          <t>SKÅNE LÄN</t>
        </is>
      </c>
      <c r="E4879" t="inlineStr">
        <is>
          <t>BROMÖLLA</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46566-2023</t>
        </is>
      </c>
      <c r="B4880" s="1" t="n">
        <v>45198</v>
      </c>
      <c r="C4880" s="1" t="n">
        <v>45744</v>
      </c>
      <c r="D4880" t="inlineStr">
        <is>
          <t>SKÅNE LÄN</t>
        </is>
      </c>
      <c r="E4880" t="inlineStr">
        <is>
          <t>ÖSTRA GÖINGE</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46641-2023</t>
        </is>
      </c>
      <c r="B4881" s="1" t="n">
        <v>45198</v>
      </c>
      <c r="C4881" s="1" t="n">
        <v>45744</v>
      </c>
      <c r="D4881" t="inlineStr">
        <is>
          <t>SKÅNE LÄN</t>
        </is>
      </c>
      <c r="E4881" t="inlineStr">
        <is>
          <t>HÄSSLEHOLM</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46680-2023</t>
        </is>
      </c>
      <c r="B4882" s="1" t="n">
        <v>45198</v>
      </c>
      <c r="C4882" s="1" t="n">
        <v>45744</v>
      </c>
      <c r="D4882" t="inlineStr">
        <is>
          <t>SKÅNE LÄN</t>
        </is>
      </c>
      <c r="E4882" t="inlineStr">
        <is>
          <t>HÄSSLEHOLM</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46728-2023</t>
        </is>
      </c>
      <c r="B4883" s="1" t="n">
        <v>45198</v>
      </c>
      <c r="C4883" s="1" t="n">
        <v>45744</v>
      </c>
      <c r="D4883" t="inlineStr">
        <is>
          <t>SKÅNE LÄN</t>
        </is>
      </c>
      <c r="E4883" t="inlineStr">
        <is>
          <t>KLIPPAN</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46772-2023</t>
        </is>
      </c>
      <c r="B4884" s="1" t="n">
        <v>45198</v>
      </c>
      <c r="C4884" s="1" t="n">
        <v>45744</v>
      </c>
      <c r="D4884" t="inlineStr">
        <is>
          <t>SKÅNE LÄN</t>
        </is>
      </c>
      <c r="E4884" t="inlineStr">
        <is>
          <t>KRISTIANSTAD</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46573-2023</t>
        </is>
      </c>
      <c r="B4885" s="1" t="n">
        <v>45198</v>
      </c>
      <c r="C4885" s="1" t="n">
        <v>45744</v>
      </c>
      <c r="D4885" t="inlineStr">
        <is>
          <t>SKÅNE LÄN</t>
        </is>
      </c>
      <c r="E4885" t="inlineStr">
        <is>
          <t>KLIPPAN</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46645-2023</t>
        </is>
      </c>
      <c r="B4886" s="1" t="n">
        <v>45198</v>
      </c>
      <c r="C4886" s="1" t="n">
        <v>45744</v>
      </c>
      <c r="D4886" t="inlineStr">
        <is>
          <t>SKÅNE LÄN</t>
        </is>
      </c>
      <c r="E4886" t="inlineStr">
        <is>
          <t>HÄSSLEHOLM</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46677-2023</t>
        </is>
      </c>
      <c r="B4887" s="1" t="n">
        <v>45198</v>
      </c>
      <c r="C4887" s="1" t="n">
        <v>45744</v>
      </c>
      <c r="D4887" t="inlineStr">
        <is>
          <t>SKÅNE LÄN</t>
        </is>
      </c>
      <c r="E4887" t="inlineStr">
        <is>
          <t>ÖSTRA GÖINGE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46683-2023</t>
        </is>
      </c>
      <c r="B4888" s="1" t="n">
        <v>45198</v>
      </c>
      <c r="C4888" s="1" t="n">
        <v>45744</v>
      </c>
      <c r="D4888" t="inlineStr">
        <is>
          <t>SKÅNE LÄN</t>
        </is>
      </c>
      <c r="E4888" t="inlineStr">
        <is>
          <t>ÖRKELLJUNGA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47652-2023</t>
        </is>
      </c>
      <c r="B4889" s="1" t="n">
        <v>45198</v>
      </c>
      <c r="C4889" s="1" t="n">
        <v>45744</v>
      </c>
      <c r="D4889" t="inlineStr">
        <is>
          <t>SKÅNE LÄN</t>
        </is>
      </c>
      <c r="E4889" t="inlineStr">
        <is>
          <t>KRISTIANSTAD</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46836-2023</t>
        </is>
      </c>
      <c r="B4890" s="1" t="n">
        <v>45199</v>
      </c>
      <c r="C4890" s="1" t="n">
        <v>45744</v>
      </c>
      <c r="D4890" t="inlineStr">
        <is>
          <t>SKÅNE LÄN</t>
        </is>
      </c>
      <c r="E4890" t="inlineStr">
        <is>
          <t>KLIPPAN</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46835-2023</t>
        </is>
      </c>
      <c r="B4891" s="1" t="n">
        <v>45199</v>
      </c>
      <c r="C4891" s="1" t="n">
        <v>45744</v>
      </c>
      <c r="D4891" t="inlineStr">
        <is>
          <t>SKÅNE LÄN</t>
        </is>
      </c>
      <c r="E4891" t="inlineStr">
        <is>
          <t>KLIPPAN</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47065-2023</t>
        </is>
      </c>
      <c r="B4892" s="1" t="n">
        <v>45201</v>
      </c>
      <c r="C4892" s="1" t="n">
        <v>45744</v>
      </c>
      <c r="D4892" t="inlineStr">
        <is>
          <t>SKÅNE LÄN</t>
        </is>
      </c>
      <c r="E4892" t="inlineStr">
        <is>
          <t>PERSTORP</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46947-2023</t>
        </is>
      </c>
      <c r="B4893" s="1" t="n">
        <v>45201</v>
      </c>
      <c r="C4893" s="1" t="n">
        <v>45744</v>
      </c>
      <c r="D4893" t="inlineStr">
        <is>
          <t>SKÅNE LÄN</t>
        </is>
      </c>
      <c r="E4893" t="inlineStr">
        <is>
          <t>BÅSTAD</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47231-2023</t>
        </is>
      </c>
      <c r="B4894" s="1" t="n">
        <v>45202</v>
      </c>
      <c r="C4894" s="1" t="n">
        <v>45744</v>
      </c>
      <c r="D4894" t="inlineStr">
        <is>
          <t>SKÅNE LÄN</t>
        </is>
      </c>
      <c r="E4894" t="inlineStr">
        <is>
          <t>TOMELILLA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47249-2023</t>
        </is>
      </c>
      <c r="B4895" s="1" t="n">
        <v>45202</v>
      </c>
      <c r="C4895" s="1" t="n">
        <v>45744</v>
      </c>
      <c r="D4895" t="inlineStr">
        <is>
          <t>SKÅNE LÄN</t>
        </is>
      </c>
      <c r="E4895" t="inlineStr">
        <is>
          <t>HÄSSLEHOLM</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47248-2023</t>
        </is>
      </c>
      <c r="B4896" s="1" t="n">
        <v>45202</v>
      </c>
      <c r="C4896" s="1" t="n">
        <v>45744</v>
      </c>
      <c r="D4896" t="inlineStr">
        <is>
          <t>SKÅNE LÄN</t>
        </is>
      </c>
      <c r="E4896" t="inlineStr">
        <is>
          <t>HÄSSLEHOLM</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48621-2023</t>
        </is>
      </c>
      <c r="B4897" s="1" t="n">
        <v>45202</v>
      </c>
      <c r="C4897" s="1" t="n">
        <v>45744</v>
      </c>
      <c r="D4897" t="inlineStr">
        <is>
          <t>SKÅNE LÄN</t>
        </is>
      </c>
      <c r="E4897" t="inlineStr">
        <is>
          <t>ÖSTRA GÖINGE</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48613-2023</t>
        </is>
      </c>
      <c r="B4898" s="1" t="n">
        <v>45202</v>
      </c>
      <c r="C4898" s="1" t="n">
        <v>45744</v>
      </c>
      <c r="D4898" t="inlineStr">
        <is>
          <t>SKÅNE LÄN</t>
        </is>
      </c>
      <c r="E4898" t="inlineStr">
        <is>
          <t>ÖSTRA GÖINGE</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47584-2023</t>
        </is>
      </c>
      <c r="B4899" s="1" t="n">
        <v>45203</v>
      </c>
      <c r="C4899" s="1" t="n">
        <v>45744</v>
      </c>
      <c r="D4899" t="inlineStr">
        <is>
          <t>SKÅNE LÄN</t>
        </is>
      </c>
      <c r="E4899" t="inlineStr">
        <is>
          <t>ÖSTRA GÖINGE</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47637-2023</t>
        </is>
      </c>
      <c r="B4900" s="1" t="n">
        <v>45203</v>
      </c>
      <c r="C4900" s="1" t="n">
        <v>45744</v>
      </c>
      <c r="D4900" t="inlineStr">
        <is>
          <t>SKÅNE LÄN</t>
        </is>
      </c>
      <c r="E4900" t="inlineStr">
        <is>
          <t>HÖRBY</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47641-2023</t>
        </is>
      </c>
      <c r="B4901" s="1" t="n">
        <v>45203</v>
      </c>
      <c r="C4901" s="1" t="n">
        <v>45744</v>
      </c>
      <c r="D4901" t="inlineStr">
        <is>
          <t>SKÅNE LÄN</t>
        </is>
      </c>
      <c r="E4901" t="inlineStr">
        <is>
          <t>HÖRBY</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47656-2023</t>
        </is>
      </c>
      <c r="B4902" s="1" t="n">
        <v>45203</v>
      </c>
      <c r="C4902" s="1" t="n">
        <v>45744</v>
      </c>
      <c r="D4902" t="inlineStr">
        <is>
          <t>SKÅNE LÄN</t>
        </is>
      </c>
      <c r="E4902" t="inlineStr">
        <is>
          <t>SJÖBO</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47552-2023</t>
        </is>
      </c>
      <c r="B4903" s="1" t="n">
        <v>45203</v>
      </c>
      <c r="C4903" s="1" t="n">
        <v>45744</v>
      </c>
      <c r="D4903" t="inlineStr">
        <is>
          <t>SKÅNE LÄN</t>
        </is>
      </c>
      <c r="E4903" t="inlineStr">
        <is>
          <t>HÖRBY</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47609-2023</t>
        </is>
      </c>
      <c r="B4904" s="1" t="n">
        <v>45203</v>
      </c>
      <c r="C4904" s="1" t="n">
        <v>45744</v>
      </c>
      <c r="D4904" t="inlineStr">
        <is>
          <t>SKÅNE LÄN</t>
        </is>
      </c>
      <c r="E4904" t="inlineStr">
        <is>
          <t>HÖRBY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47572-2023</t>
        </is>
      </c>
      <c r="B4905" s="1" t="n">
        <v>45203</v>
      </c>
      <c r="C4905" s="1" t="n">
        <v>45744</v>
      </c>
      <c r="D4905" t="inlineStr">
        <is>
          <t>SKÅNE LÄN</t>
        </is>
      </c>
      <c r="E4905" t="inlineStr">
        <is>
          <t>KLIPPAN</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47592-2023</t>
        </is>
      </c>
      <c r="B4906" s="1" t="n">
        <v>45203</v>
      </c>
      <c r="C4906" s="1" t="n">
        <v>45744</v>
      </c>
      <c r="D4906" t="inlineStr">
        <is>
          <t>SKÅNE LÄN</t>
        </is>
      </c>
      <c r="E4906" t="inlineStr">
        <is>
          <t>ÖSTRA GÖINGE</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47612-2023</t>
        </is>
      </c>
      <c r="B4907" s="1" t="n">
        <v>45203</v>
      </c>
      <c r="C4907" s="1" t="n">
        <v>45744</v>
      </c>
      <c r="D4907" t="inlineStr">
        <is>
          <t>SKÅNE LÄN</t>
        </is>
      </c>
      <c r="E4907" t="inlineStr">
        <is>
          <t>HÖRBY</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47558-2023</t>
        </is>
      </c>
      <c r="B4908" s="1" t="n">
        <v>45203</v>
      </c>
      <c r="C4908" s="1" t="n">
        <v>45744</v>
      </c>
      <c r="D4908" t="inlineStr">
        <is>
          <t>SKÅNE LÄN</t>
        </is>
      </c>
      <c r="E4908" t="inlineStr">
        <is>
          <t>HÖRBY</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47591-2023</t>
        </is>
      </c>
      <c r="B4909" s="1" t="n">
        <v>45203</v>
      </c>
      <c r="C4909" s="1" t="n">
        <v>45744</v>
      </c>
      <c r="D4909" t="inlineStr">
        <is>
          <t>SKÅNE LÄN</t>
        </is>
      </c>
      <c r="E4909" t="inlineStr">
        <is>
          <t>ÖSTRA GÖINGE</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47647-2023</t>
        </is>
      </c>
      <c r="B4910" s="1" t="n">
        <v>45203</v>
      </c>
      <c r="C4910" s="1" t="n">
        <v>45744</v>
      </c>
      <c r="D4910" t="inlineStr">
        <is>
          <t>SKÅNE LÄN</t>
        </is>
      </c>
      <c r="E4910" t="inlineStr">
        <is>
          <t>HÖRBY</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47874-2023</t>
        </is>
      </c>
      <c r="B4911" s="1" t="n">
        <v>45204</v>
      </c>
      <c r="C4911" s="1" t="n">
        <v>45744</v>
      </c>
      <c r="D4911" t="inlineStr">
        <is>
          <t>SKÅNE LÄN</t>
        </is>
      </c>
      <c r="E4911" t="inlineStr">
        <is>
          <t>SIMRISHAMN</t>
        </is>
      </c>
      <c r="F4911" t="inlineStr">
        <is>
          <t>Övriga Aktiebolag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47943-2023</t>
        </is>
      </c>
      <c r="B4912" s="1" t="n">
        <v>45204</v>
      </c>
      <c r="C4912" s="1" t="n">
        <v>45744</v>
      </c>
      <c r="D4912" t="inlineStr">
        <is>
          <t>SKÅNE LÄN</t>
        </is>
      </c>
      <c r="E4912" t="inlineStr">
        <is>
          <t>SJÖBO</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48046-2023</t>
        </is>
      </c>
      <c r="B4913" s="1" t="n">
        <v>45204</v>
      </c>
      <c r="C4913" s="1" t="n">
        <v>45744</v>
      </c>
      <c r="D4913" t="inlineStr">
        <is>
          <t>SKÅNE LÄN</t>
        </is>
      </c>
      <c r="E4913" t="inlineStr">
        <is>
          <t>HÄSSLEHOLM</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47840-2023</t>
        </is>
      </c>
      <c r="B4914" s="1" t="n">
        <v>45204</v>
      </c>
      <c r="C4914" s="1" t="n">
        <v>45744</v>
      </c>
      <c r="D4914" t="inlineStr">
        <is>
          <t>SKÅNE LÄN</t>
        </is>
      </c>
      <c r="E4914" t="inlineStr">
        <is>
          <t>HÄSSLEHOLM</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47915-2023</t>
        </is>
      </c>
      <c r="B4915" s="1" t="n">
        <v>45204</v>
      </c>
      <c r="C4915" s="1" t="n">
        <v>45744</v>
      </c>
      <c r="D4915" t="inlineStr">
        <is>
          <t>SKÅNE LÄN</t>
        </is>
      </c>
      <c r="E4915" t="inlineStr">
        <is>
          <t>HÄSSLEHOLM</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47950-2023</t>
        </is>
      </c>
      <c r="B4916" s="1" t="n">
        <v>45204</v>
      </c>
      <c r="C4916" s="1" t="n">
        <v>45744</v>
      </c>
      <c r="D4916" t="inlineStr">
        <is>
          <t>SKÅNE LÄN</t>
        </is>
      </c>
      <c r="E4916" t="inlineStr">
        <is>
          <t>PERSTORP</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48853-2023</t>
        </is>
      </c>
      <c r="B4917" s="1" t="n">
        <v>45204</v>
      </c>
      <c r="C4917" s="1" t="n">
        <v>45744</v>
      </c>
      <c r="D4917" t="inlineStr">
        <is>
          <t>SKÅNE LÄN</t>
        </is>
      </c>
      <c r="E4917" t="inlineStr">
        <is>
          <t>KRISTIANSTAD</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49017-2023</t>
        </is>
      </c>
      <c r="B4918" s="1" t="n">
        <v>45204</v>
      </c>
      <c r="C4918" s="1" t="n">
        <v>45744</v>
      </c>
      <c r="D4918" t="inlineStr">
        <is>
          <t>SKÅNE LÄN</t>
        </is>
      </c>
      <c r="E4918" t="inlineStr">
        <is>
          <t>ÖRKELLJUNGA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49016-2023</t>
        </is>
      </c>
      <c r="B4919" s="1" t="n">
        <v>45204</v>
      </c>
      <c r="C4919" s="1" t="n">
        <v>45744</v>
      </c>
      <c r="D4919" t="inlineStr">
        <is>
          <t>SKÅNE LÄN</t>
        </is>
      </c>
      <c r="E4919" t="inlineStr">
        <is>
          <t>ÖRKELLJUNGA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48133-2023</t>
        </is>
      </c>
      <c r="B4920" s="1" t="n">
        <v>45205</v>
      </c>
      <c r="C4920" s="1" t="n">
        <v>45744</v>
      </c>
      <c r="D4920" t="inlineStr">
        <is>
          <t>SKÅNE LÄN</t>
        </is>
      </c>
      <c r="E4920" t="inlineStr">
        <is>
          <t>HÖRBY</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48309-2023</t>
        </is>
      </c>
      <c r="B4921" s="1" t="n">
        <v>45205</v>
      </c>
      <c r="C4921" s="1" t="n">
        <v>45744</v>
      </c>
      <c r="D4921" t="inlineStr">
        <is>
          <t>SKÅNE LÄN</t>
        </is>
      </c>
      <c r="E4921" t="inlineStr">
        <is>
          <t>ÄNGELHOLM</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48335-2023</t>
        </is>
      </c>
      <c r="B4922" s="1" t="n">
        <v>45205</v>
      </c>
      <c r="C4922" s="1" t="n">
        <v>45744</v>
      </c>
      <c r="D4922" t="inlineStr">
        <is>
          <t>SKÅNE LÄN</t>
        </is>
      </c>
      <c r="E4922" t="inlineStr">
        <is>
          <t>HÄSSLEHOLM</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48408-2023</t>
        </is>
      </c>
      <c r="B4923" s="1" t="n">
        <v>45205</v>
      </c>
      <c r="C4923" s="1" t="n">
        <v>45744</v>
      </c>
      <c r="D4923" t="inlineStr">
        <is>
          <t>SKÅNE LÄN</t>
        </is>
      </c>
      <c r="E4923" t="inlineStr">
        <is>
          <t>ÖSTRA GÖINGE</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48326-2023</t>
        </is>
      </c>
      <c r="B4924" s="1" t="n">
        <v>45205</v>
      </c>
      <c r="C4924" s="1" t="n">
        <v>45744</v>
      </c>
      <c r="D4924" t="inlineStr">
        <is>
          <t>SKÅNE LÄN</t>
        </is>
      </c>
      <c r="E4924" t="inlineStr">
        <is>
          <t>HÄSSLEHOLM</t>
        </is>
      </c>
      <c r="G4924" t="n">
        <v>12.7</v>
      </c>
      <c r="H4924" t="n">
        <v>0</v>
      </c>
      <c r="I4924" t="n">
        <v>0</v>
      </c>
      <c r="J4924" t="n">
        <v>0</v>
      </c>
      <c r="K4924" t="n">
        <v>0</v>
      </c>
      <c r="L4924" t="n">
        <v>0</v>
      </c>
      <c r="M4924" t="n">
        <v>0</v>
      </c>
      <c r="N4924" t="n">
        <v>0</v>
      </c>
      <c r="O4924" t="n">
        <v>0</v>
      </c>
      <c r="P4924" t="n">
        <v>0</v>
      </c>
      <c r="Q4924" t="n">
        <v>0</v>
      </c>
      <c r="R4924" s="2" t="inlineStr"/>
    </row>
    <row r="4925" ht="15" customHeight="1">
      <c r="A4925" t="inlineStr">
        <is>
          <t>A 48513-2023</t>
        </is>
      </c>
      <c r="B4925" s="1" t="n">
        <v>45208</v>
      </c>
      <c r="C4925" s="1" t="n">
        <v>45744</v>
      </c>
      <c r="D4925" t="inlineStr">
        <is>
          <t>SKÅNE LÄN</t>
        </is>
      </c>
      <c r="E4925" t="inlineStr">
        <is>
          <t>OSBY</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48582-2023</t>
        </is>
      </c>
      <c r="B4926" s="1" t="n">
        <v>45208</v>
      </c>
      <c r="C4926" s="1" t="n">
        <v>45744</v>
      </c>
      <c r="D4926" t="inlineStr">
        <is>
          <t>SKÅNE LÄN</t>
        </is>
      </c>
      <c r="E4926" t="inlineStr">
        <is>
          <t>OSBY</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48579-2023</t>
        </is>
      </c>
      <c r="B4927" s="1" t="n">
        <v>45208</v>
      </c>
      <c r="C4927" s="1" t="n">
        <v>45744</v>
      </c>
      <c r="D4927" t="inlineStr">
        <is>
          <t>SKÅNE LÄN</t>
        </is>
      </c>
      <c r="E4927" t="inlineStr">
        <is>
          <t>OSBY</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48677-2023</t>
        </is>
      </c>
      <c r="B4928" s="1" t="n">
        <v>45208</v>
      </c>
      <c r="C4928" s="1" t="n">
        <v>45744</v>
      </c>
      <c r="D4928" t="inlineStr">
        <is>
          <t>SKÅNE LÄN</t>
        </is>
      </c>
      <c r="E4928" t="inlineStr">
        <is>
          <t>HÄSSLEHOLM</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48738-2023</t>
        </is>
      </c>
      <c r="B4929" s="1" t="n">
        <v>45208</v>
      </c>
      <c r="C4929" s="1" t="n">
        <v>45744</v>
      </c>
      <c r="D4929" t="inlineStr">
        <is>
          <t>SKÅNE LÄN</t>
        </is>
      </c>
      <c r="E4929" t="inlineStr">
        <is>
          <t>BROMÖLLA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48627-2023</t>
        </is>
      </c>
      <c r="B4930" s="1" t="n">
        <v>45208</v>
      </c>
      <c r="C4930" s="1" t="n">
        <v>45744</v>
      </c>
      <c r="D4930" t="inlineStr">
        <is>
          <t>SKÅNE LÄN</t>
        </is>
      </c>
      <c r="E4930" t="inlineStr">
        <is>
          <t>HÄSSLEHOLM</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49726-2023</t>
        </is>
      </c>
      <c r="B4931" s="1" t="n">
        <v>45208</v>
      </c>
      <c r="C4931" s="1" t="n">
        <v>45744</v>
      </c>
      <c r="D4931" t="inlineStr">
        <is>
          <t>SKÅNE LÄN</t>
        </is>
      </c>
      <c r="E4931" t="inlineStr">
        <is>
          <t>HÖRBY</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48797-2023</t>
        </is>
      </c>
      <c r="B4932" s="1" t="n">
        <v>45209</v>
      </c>
      <c r="C4932" s="1" t="n">
        <v>45744</v>
      </c>
      <c r="D4932" t="inlineStr">
        <is>
          <t>SKÅNE LÄN</t>
        </is>
      </c>
      <c r="E4932" t="inlineStr">
        <is>
          <t>HÄSSLEHOLM</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48840-2023</t>
        </is>
      </c>
      <c r="B4933" s="1" t="n">
        <v>45209</v>
      </c>
      <c r="C4933" s="1" t="n">
        <v>45744</v>
      </c>
      <c r="D4933" t="inlineStr">
        <is>
          <t>SKÅNE LÄN</t>
        </is>
      </c>
      <c r="E4933" t="inlineStr">
        <is>
          <t>OSBY</t>
        </is>
      </c>
      <c r="G4933" t="n">
        <v>7.9</v>
      </c>
      <c r="H4933" t="n">
        <v>0</v>
      </c>
      <c r="I4933" t="n">
        <v>0</v>
      </c>
      <c r="J4933" t="n">
        <v>0</v>
      </c>
      <c r="K4933" t="n">
        <v>0</v>
      </c>
      <c r="L4933" t="n">
        <v>0</v>
      </c>
      <c r="M4933" t="n">
        <v>0</v>
      </c>
      <c r="N4933" t="n">
        <v>0</v>
      </c>
      <c r="O4933" t="n">
        <v>0</v>
      </c>
      <c r="P4933" t="n">
        <v>0</v>
      </c>
      <c r="Q4933" t="n">
        <v>0</v>
      </c>
      <c r="R4933" s="2" t="inlineStr"/>
    </row>
    <row r="4934" ht="15" customHeight="1">
      <c r="A4934" t="inlineStr">
        <is>
          <t>A 48844-2023</t>
        </is>
      </c>
      <c r="B4934" s="1" t="n">
        <v>45209</v>
      </c>
      <c r="C4934" s="1" t="n">
        <v>45744</v>
      </c>
      <c r="D4934" t="inlineStr">
        <is>
          <t>SKÅNE LÄN</t>
        </is>
      </c>
      <c r="E4934" t="inlineStr">
        <is>
          <t>HÄSSLEHOLM</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48798-2023</t>
        </is>
      </c>
      <c r="B4935" s="1" t="n">
        <v>45209</v>
      </c>
      <c r="C4935" s="1" t="n">
        <v>45744</v>
      </c>
      <c r="D4935" t="inlineStr">
        <is>
          <t>SKÅNE LÄN</t>
        </is>
      </c>
      <c r="E4935" t="inlineStr">
        <is>
          <t>HÄSSLEHOLM</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48965-2023</t>
        </is>
      </c>
      <c r="B4936" s="1" t="n">
        <v>45209</v>
      </c>
      <c r="C4936" s="1" t="n">
        <v>45744</v>
      </c>
      <c r="D4936" t="inlineStr">
        <is>
          <t>SKÅNE LÄN</t>
        </is>
      </c>
      <c r="E4936" t="inlineStr">
        <is>
          <t>KLIPPAN</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48974-2023</t>
        </is>
      </c>
      <c r="B4937" s="1" t="n">
        <v>45209</v>
      </c>
      <c r="C4937" s="1" t="n">
        <v>45744</v>
      </c>
      <c r="D4937" t="inlineStr">
        <is>
          <t>SKÅNE LÄN</t>
        </is>
      </c>
      <c r="E4937" t="inlineStr">
        <is>
          <t>BÅSTAD</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48966-2023</t>
        </is>
      </c>
      <c r="B4938" s="1" t="n">
        <v>45209</v>
      </c>
      <c r="C4938" s="1" t="n">
        <v>45744</v>
      </c>
      <c r="D4938" t="inlineStr">
        <is>
          <t>SKÅNE LÄN</t>
        </is>
      </c>
      <c r="E4938" t="inlineStr">
        <is>
          <t>ÖRKELLJUNGA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48910-2023</t>
        </is>
      </c>
      <c r="B4939" s="1" t="n">
        <v>45209</v>
      </c>
      <c r="C4939" s="1" t="n">
        <v>45744</v>
      </c>
      <c r="D4939" t="inlineStr">
        <is>
          <t>SKÅNE LÄN</t>
        </is>
      </c>
      <c r="E4939" t="inlineStr">
        <is>
          <t>ÖSTRA GÖINGE</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50356-2023</t>
        </is>
      </c>
      <c r="B4940" s="1" t="n">
        <v>45209</v>
      </c>
      <c r="C4940" s="1" t="n">
        <v>45744</v>
      </c>
      <c r="D4940" t="inlineStr">
        <is>
          <t>SKÅNE LÄN</t>
        </is>
      </c>
      <c r="E4940" t="inlineStr">
        <is>
          <t>ÖSTRA GÖINGE</t>
        </is>
      </c>
      <c r="G4940" t="n">
        <v>6.4</v>
      </c>
      <c r="H4940" t="n">
        <v>0</v>
      </c>
      <c r="I4940" t="n">
        <v>0</v>
      </c>
      <c r="J4940" t="n">
        <v>0</v>
      </c>
      <c r="K4940" t="n">
        <v>0</v>
      </c>
      <c r="L4940" t="n">
        <v>0</v>
      </c>
      <c r="M4940" t="n">
        <v>0</v>
      </c>
      <c r="N4940" t="n">
        <v>0</v>
      </c>
      <c r="O4940" t="n">
        <v>0</v>
      </c>
      <c r="P4940" t="n">
        <v>0</v>
      </c>
      <c r="Q4940" t="n">
        <v>0</v>
      </c>
      <c r="R4940" s="2" t="inlineStr"/>
    </row>
    <row r="4941" ht="15" customHeight="1">
      <c r="A4941" t="inlineStr">
        <is>
          <t>A 50304-2023</t>
        </is>
      </c>
      <c r="B4941" s="1" t="n">
        <v>45209</v>
      </c>
      <c r="C4941" s="1" t="n">
        <v>45744</v>
      </c>
      <c r="D4941" t="inlineStr">
        <is>
          <t>SKÅNE LÄN</t>
        </is>
      </c>
      <c r="E4941" t="inlineStr">
        <is>
          <t>ÖRKELLJUNGA</t>
        </is>
      </c>
      <c r="G4941" t="n">
        <v>17.9</v>
      </c>
      <c r="H4941" t="n">
        <v>0</v>
      </c>
      <c r="I4941" t="n">
        <v>0</v>
      </c>
      <c r="J4941" t="n">
        <v>0</v>
      </c>
      <c r="K4941" t="n">
        <v>0</v>
      </c>
      <c r="L4941" t="n">
        <v>0</v>
      </c>
      <c r="M4941" t="n">
        <v>0</v>
      </c>
      <c r="N4941" t="n">
        <v>0</v>
      </c>
      <c r="O4941" t="n">
        <v>0</v>
      </c>
      <c r="P4941" t="n">
        <v>0</v>
      </c>
      <c r="Q4941" t="n">
        <v>0</v>
      </c>
      <c r="R4941" s="2" t="inlineStr"/>
    </row>
    <row r="4942" ht="15" customHeight="1">
      <c r="A4942" t="inlineStr">
        <is>
          <t>A 49106-2023</t>
        </is>
      </c>
      <c r="B4942" s="1" t="n">
        <v>45210</v>
      </c>
      <c r="C4942" s="1" t="n">
        <v>45744</v>
      </c>
      <c r="D4942" t="inlineStr">
        <is>
          <t>SKÅNE LÄN</t>
        </is>
      </c>
      <c r="E4942" t="inlineStr">
        <is>
          <t>HÄSSLEHOLM</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49297-2023</t>
        </is>
      </c>
      <c r="B4943" s="1" t="n">
        <v>45210</v>
      </c>
      <c r="C4943" s="1" t="n">
        <v>45744</v>
      </c>
      <c r="D4943" t="inlineStr">
        <is>
          <t>SKÅNE LÄN</t>
        </is>
      </c>
      <c r="E4943" t="inlineStr">
        <is>
          <t>LUND</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49049-2023</t>
        </is>
      </c>
      <c r="B4944" s="1" t="n">
        <v>45210</v>
      </c>
      <c r="C4944" s="1" t="n">
        <v>45744</v>
      </c>
      <c r="D4944" t="inlineStr">
        <is>
          <t>SKÅNE LÄN</t>
        </is>
      </c>
      <c r="E4944" t="inlineStr">
        <is>
          <t>ÖRKELLJUNGA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49107-2023</t>
        </is>
      </c>
      <c r="B4945" s="1" t="n">
        <v>45210</v>
      </c>
      <c r="C4945" s="1" t="n">
        <v>45744</v>
      </c>
      <c r="D4945" t="inlineStr">
        <is>
          <t>SKÅNE LÄN</t>
        </is>
      </c>
      <c r="E4945" t="inlineStr">
        <is>
          <t>HÄSSLEHOLM</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49111-2023</t>
        </is>
      </c>
      <c r="B4946" s="1" t="n">
        <v>45210</v>
      </c>
      <c r="C4946" s="1" t="n">
        <v>45744</v>
      </c>
      <c r="D4946" t="inlineStr">
        <is>
          <t>SKÅNE LÄN</t>
        </is>
      </c>
      <c r="E4946" t="inlineStr">
        <is>
          <t>HÄSSLEHOLM</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49228-2023</t>
        </is>
      </c>
      <c r="B4947" s="1" t="n">
        <v>45210</v>
      </c>
      <c r="C4947" s="1" t="n">
        <v>45744</v>
      </c>
      <c r="D4947" t="inlineStr">
        <is>
          <t>SKÅNE LÄN</t>
        </is>
      </c>
      <c r="E4947" t="inlineStr">
        <is>
          <t>ÖSTRA GÖINGE</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49298-2023</t>
        </is>
      </c>
      <c r="B4948" s="1" t="n">
        <v>45210</v>
      </c>
      <c r="C4948" s="1" t="n">
        <v>45744</v>
      </c>
      <c r="D4948" t="inlineStr">
        <is>
          <t>SKÅNE LÄN</t>
        </is>
      </c>
      <c r="E4948" t="inlineStr">
        <is>
          <t>SJÖBO</t>
        </is>
      </c>
      <c r="G4948" t="n">
        <v>0.1</v>
      </c>
      <c r="H4948" t="n">
        <v>0</v>
      </c>
      <c r="I4948" t="n">
        <v>0</v>
      </c>
      <c r="J4948" t="n">
        <v>0</v>
      </c>
      <c r="K4948" t="n">
        <v>0</v>
      </c>
      <c r="L4948" t="n">
        <v>0</v>
      </c>
      <c r="M4948" t="n">
        <v>0</v>
      </c>
      <c r="N4948" t="n">
        <v>0</v>
      </c>
      <c r="O4948" t="n">
        <v>0</v>
      </c>
      <c r="P4948" t="n">
        <v>0</v>
      </c>
      <c r="Q4948" t="n">
        <v>0</v>
      </c>
      <c r="R4948" s="2" t="inlineStr"/>
    </row>
    <row r="4949" ht="15" customHeight="1">
      <c r="A4949" t="inlineStr">
        <is>
          <t>A 50652-2023</t>
        </is>
      </c>
      <c r="B4949" s="1" t="n">
        <v>45210</v>
      </c>
      <c r="C4949" s="1" t="n">
        <v>45744</v>
      </c>
      <c r="D4949" t="inlineStr">
        <is>
          <t>SKÅNE LÄN</t>
        </is>
      </c>
      <c r="E4949" t="inlineStr">
        <is>
          <t>ÄNGELHOLM</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50607-2023</t>
        </is>
      </c>
      <c r="B4950" s="1" t="n">
        <v>45210</v>
      </c>
      <c r="C4950" s="1" t="n">
        <v>45744</v>
      </c>
      <c r="D4950" t="inlineStr">
        <is>
          <t>SKÅNE LÄN</t>
        </is>
      </c>
      <c r="E4950" t="inlineStr">
        <is>
          <t>HÄSSLEHOLM</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50694-2023</t>
        </is>
      </c>
      <c r="B4951" s="1" t="n">
        <v>45210</v>
      </c>
      <c r="C4951" s="1" t="n">
        <v>45744</v>
      </c>
      <c r="D4951" t="inlineStr">
        <is>
          <t>SKÅNE LÄN</t>
        </is>
      </c>
      <c r="E4951" t="inlineStr">
        <is>
          <t>KRISTIANSTAD</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50781-2023</t>
        </is>
      </c>
      <c r="B4952" s="1" t="n">
        <v>45210</v>
      </c>
      <c r="C4952" s="1" t="n">
        <v>45744</v>
      </c>
      <c r="D4952" t="inlineStr">
        <is>
          <t>SKÅNE LÄN</t>
        </is>
      </c>
      <c r="E4952" t="inlineStr">
        <is>
          <t>HÄSSLEHOLM</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50616-2023</t>
        </is>
      </c>
      <c r="B4953" s="1" t="n">
        <v>45210</v>
      </c>
      <c r="C4953" s="1" t="n">
        <v>45744</v>
      </c>
      <c r="D4953" t="inlineStr">
        <is>
          <t>SKÅNE LÄN</t>
        </is>
      </c>
      <c r="E4953" t="inlineStr">
        <is>
          <t>HÄSSLEHOLM</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49363-2023</t>
        </is>
      </c>
      <c r="B4954" s="1" t="n">
        <v>45211</v>
      </c>
      <c r="C4954" s="1" t="n">
        <v>45744</v>
      </c>
      <c r="D4954" t="inlineStr">
        <is>
          <t>SKÅNE LÄN</t>
        </is>
      </c>
      <c r="E4954" t="inlineStr">
        <is>
          <t>HÖRBY</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49370-2023</t>
        </is>
      </c>
      <c r="B4955" s="1" t="n">
        <v>45211</v>
      </c>
      <c r="C4955" s="1" t="n">
        <v>45744</v>
      </c>
      <c r="D4955" t="inlineStr">
        <is>
          <t>SKÅNE LÄN</t>
        </is>
      </c>
      <c r="E4955" t="inlineStr">
        <is>
          <t>KLIPPAN</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49387-2023</t>
        </is>
      </c>
      <c r="B4956" s="1" t="n">
        <v>45211</v>
      </c>
      <c r="C4956" s="1" t="n">
        <v>45744</v>
      </c>
      <c r="D4956" t="inlineStr">
        <is>
          <t>SKÅNE LÄN</t>
        </is>
      </c>
      <c r="E4956" t="inlineStr">
        <is>
          <t>KLIPPAN</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49450-2023</t>
        </is>
      </c>
      <c r="B4957" s="1" t="n">
        <v>45211</v>
      </c>
      <c r="C4957" s="1" t="n">
        <v>45744</v>
      </c>
      <c r="D4957" t="inlineStr">
        <is>
          <t>SKÅNE LÄN</t>
        </is>
      </c>
      <c r="E4957" t="inlineStr">
        <is>
          <t>KRISTIANSTAD</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49622-2023</t>
        </is>
      </c>
      <c r="B4958" s="1" t="n">
        <v>45211</v>
      </c>
      <c r="C4958" s="1" t="n">
        <v>45744</v>
      </c>
      <c r="D4958" t="inlineStr">
        <is>
          <t>SKÅNE LÄN</t>
        </is>
      </c>
      <c r="E4958" t="inlineStr">
        <is>
          <t>OSBY</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51031-2023</t>
        </is>
      </c>
      <c r="B4959" s="1" t="n">
        <v>45211</v>
      </c>
      <c r="C4959" s="1" t="n">
        <v>45744</v>
      </c>
      <c r="D4959" t="inlineStr">
        <is>
          <t>SKÅNE LÄN</t>
        </is>
      </c>
      <c r="E4959" t="inlineStr">
        <is>
          <t>TOMELILLA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49687-2023</t>
        </is>
      </c>
      <c r="B4960" s="1" t="n">
        <v>45212</v>
      </c>
      <c r="C4960" s="1" t="n">
        <v>45744</v>
      </c>
      <c r="D4960" t="inlineStr">
        <is>
          <t>SKÅNE LÄN</t>
        </is>
      </c>
      <c r="E4960" t="inlineStr">
        <is>
          <t>ÖRKELLJUNGA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49686-2023</t>
        </is>
      </c>
      <c r="B4961" s="1" t="n">
        <v>45212</v>
      </c>
      <c r="C4961" s="1" t="n">
        <v>45744</v>
      </c>
      <c r="D4961" t="inlineStr">
        <is>
          <t>SKÅNE LÄN</t>
        </is>
      </c>
      <c r="E4961" t="inlineStr">
        <is>
          <t>KLIPPAN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51323-2023</t>
        </is>
      </c>
      <c r="B4962" s="1" t="n">
        <v>45212</v>
      </c>
      <c r="C4962" s="1" t="n">
        <v>45744</v>
      </c>
      <c r="D4962" t="inlineStr">
        <is>
          <t>SKÅNE LÄN</t>
        </is>
      </c>
      <c r="E4962" t="inlineStr">
        <is>
          <t>HÄSSLEHOLM</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51245-2023</t>
        </is>
      </c>
      <c r="B4963" s="1" t="n">
        <v>45212</v>
      </c>
      <c r="C4963" s="1" t="n">
        <v>45744</v>
      </c>
      <c r="D4963" t="inlineStr">
        <is>
          <t>SKÅNE LÄN</t>
        </is>
      </c>
      <c r="E4963" t="inlineStr">
        <is>
          <t>HÄSSLEHOLM</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49918-2023</t>
        </is>
      </c>
      <c r="B4964" s="1" t="n">
        <v>45214</v>
      </c>
      <c r="C4964" s="1" t="n">
        <v>45744</v>
      </c>
      <c r="D4964" t="inlineStr">
        <is>
          <t>SKÅNE LÄN</t>
        </is>
      </c>
      <c r="E4964" t="inlineStr">
        <is>
          <t>KLIPPAN</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50000-2023</t>
        </is>
      </c>
      <c r="B4965" s="1" t="n">
        <v>45215</v>
      </c>
      <c r="C4965" s="1" t="n">
        <v>45744</v>
      </c>
      <c r="D4965" t="inlineStr">
        <is>
          <t>SKÅNE LÄN</t>
        </is>
      </c>
      <c r="E4965" t="inlineStr">
        <is>
          <t>HÄSSLEHOLM</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49937-2023</t>
        </is>
      </c>
      <c r="B4966" s="1" t="n">
        <v>45215</v>
      </c>
      <c r="C4966" s="1" t="n">
        <v>45744</v>
      </c>
      <c r="D4966" t="inlineStr">
        <is>
          <t>SKÅNE LÄN</t>
        </is>
      </c>
      <c r="E4966" t="inlineStr">
        <is>
          <t>HÄSSLEHOLM</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49942-2023</t>
        </is>
      </c>
      <c r="B4967" s="1" t="n">
        <v>45215</v>
      </c>
      <c r="C4967" s="1" t="n">
        <v>45744</v>
      </c>
      <c r="D4967" t="inlineStr">
        <is>
          <t>SKÅNE LÄN</t>
        </is>
      </c>
      <c r="E4967" t="inlineStr">
        <is>
          <t>HÄSSLEHOLM</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49950-2023</t>
        </is>
      </c>
      <c r="B4968" s="1" t="n">
        <v>45215</v>
      </c>
      <c r="C4968" s="1" t="n">
        <v>45744</v>
      </c>
      <c r="D4968" t="inlineStr">
        <is>
          <t>SKÅNE LÄN</t>
        </is>
      </c>
      <c r="E4968" t="inlineStr">
        <is>
          <t>HÄSSLEHOLM</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50003-2023</t>
        </is>
      </c>
      <c r="B4969" s="1" t="n">
        <v>45215</v>
      </c>
      <c r="C4969" s="1" t="n">
        <v>45744</v>
      </c>
      <c r="D4969" t="inlineStr">
        <is>
          <t>SKÅNE LÄN</t>
        </is>
      </c>
      <c r="E4969" t="inlineStr">
        <is>
          <t>ÖRKELLJUNGA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50276-2023</t>
        </is>
      </c>
      <c r="B4970" s="1" t="n">
        <v>45216</v>
      </c>
      <c r="C4970" s="1" t="n">
        <v>45744</v>
      </c>
      <c r="D4970" t="inlineStr">
        <is>
          <t>SKÅNE LÄN</t>
        </is>
      </c>
      <c r="E4970" t="inlineStr">
        <is>
          <t>OSBY</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50325-2023</t>
        </is>
      </c>
      <c r="B4971" s="1" t="n">
        <v>45216</v>
      </c>
      <c r="C4971" s="1" t="n">
        <v>45744</v>
      </c>
      <c r="D4971" t="inlineStr">
        <is>
          <t>SKÅNE LÄN</t>
        </is>
      </c>
      <c r="E4971" t="inlineStr">
        <is>
          <t>HÖÖR</t>
        </is>
      </c>
      <c r="G4971" t="n">
        <v>11.4</v>
      </c>
      <c r="H4971" t="n">
        <v>0</v>
      </c>
      <c r="I4971" t="n">
        <v>0</v>
      </c>
      <c r="J4971" t="n">
        <v>0</v>
      </c>
      <c r="K4971" t="n">
        <v>0</v>
      </c>
      <c r="L4971" t="n">
        <v>0</v>
      </c>
      <c r="M4971" t="n">
        <v>0</v>
      </c>
      <c r="N4971" t="n">
        <v>0</v>
      </c>
      <c r="O4971" t="n">
        <v>0</v>
      </c>
      <c r="P4971" t="n">
        <v>0</v>
      </c>
      <c r="Q4971" t="n">
        <v>0</v>
      </c>
      <c r="R4971" s="2" t="inlineStr"/>
    </row>
    <row r="4972" ht="15" customHeight="1">
      <c r="A4972" t="inlineStr">
        <is>
          <t>A 50330-2023</t>
        </is>
      </c>
      <c r="B4972" s="1" t="n">
        <v>45216</v>
      </c>
      <c r="C4972" s="1" t="n">
        <v>45744</v>
      </c>
      <c r="D4972" t="inlineStr">
        <is>
          <t>SKÅNE LÄN</t>
        </is>
      </c>
      <c r="E4972" t="inlineStr">
        <is>
          <t>HÖÖR</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51968-2023</t>
        </is>
      </c>
      <c r="B4973" s="1" t="n">
        <v>45216</v>
      </c>
      <c r="C4973" s="1" t="n">
        <v>45744</v>
      </c>
      <c r="D4973" t="inlineStr">
        <is>
          <t>SKÅNE LÄN</t>
        </is>
      </c>
      <c r="E4973" t="inlineStr">
        <is>
          <t>OSBY</t>
        </is>
      </c>
      <c r="G4973" t="n">
        <v>7.4</v>
      </c>
      <c r="H4973" t="n">
        <v>0</v>
      </c>
      <c r="I4973" t="n">
        <v>0</v>
      </c>
      <c r="J4973" t="n">
        <v>0</v>
      </c>
      <c r="K4973" t="n">
        <v>0</v>
      </c>
      <c r="L4973" t="n">
        <v>0</v>
      </c>
      <c r="M4973" t="n">
        <v>0</v>
      </c>
      <c r="N4973" t="n">
        <v>0</v>
      </c>
      <c r="O4973" t="n">
        <v>0</v>
      </c>
      <c r="P4973" t="n">
        <v>0</v>
      </c>
      <c r="Q4973" t="n">
        <v>0</v>
      </c>
      <c r="R4973" s="2" t="inlineStr"/>
    </row>
    <row r="4974" ht="15" customHeight="1">
      <c r="A4974" t="inlineStr">
        <is>
          <t>A 50380-2023</t>
        </is>
      </c>
      <c r="B4974" s="1" t="n">
        <v>45216</v>
      </c>
      <c r="C4974" s="1" t="n">
        <v>45744</v>
      </c>
      <c r="D4974" t="inlineStr">
        <is>
          <t>SKÅNE LÄN</t>
        </is>
      </c>
      <c r="E4974" t="inlineStr">
        <is>
          <t>OSBY</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50332-2023</t>
        </is>
      </c>
      <c r="B4975" s="1" t="n">
        <v>45216</v>
      </c>
      <c r="C4975" s="1" t="n">
        <v>45744</v>
      </c>
      <c r="D4975" t="inlineStr">
        <is>
          <t>SKÅNE LÄN</t>
        </is>
      </c>
      <c r="E4975" t="inlineStr">
        <is>
          <t>HÖÖR</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50300-2023</t>
        </is>
      </c>
      <c r="B4976" s="1" t="n">
        <v>45216</v>
      </c>
      <c r="C4976" s="1" t="n">
        <v>45744</v>
      </c>
      <c r="D4976" t="inlineStr">
        <is>
          <t>SKÅNE LÄN</t>
        </is>
      </c>
      <c r="E4976" t="inlineStr">
        <is>
          <t>HÖRBY</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50472-2023</t>
        </is>
      </c>
      <c r="B4977" s="1" t="n">
        <v>45216</v>
      </c>
      <c r="C4977" s="1" t="n">
        <v>45744</v>
      </c>
      <c r="D4977" t="inlineStr">
        <is>
          <t>SKÅNE LÄN</t>
        </is>
      </c>
      <c r="E4977" t="inlineStr">
        <is>
          <t>ÖSTRA GÖINGE</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50279-2023</t>
        </is>
      </c>
      <c r="B4978" s="1" t="n">
        <v>45216</v>
      </c>
      <c r="C4978" s="1" t="n">
        <v>45744</v>
      </c>
      <c r="D4978" t="inlineStr">
        <is>
          <t>SKÅNE LÄN</t>
        </is>
      </c>
      <c r="E4978" t="inlineStr">
        <is>
          <t>ÖRKELLJUNGA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50571-2023</t>
        </is>
      </c>
      <c r="B4979" s="1" t="n">
        <v>45217</v>
      </c>
      <c r="C4979" s="1" t="n">
        <v>45744</v>
      </c>
      <c r="D4979" t="inlineStr">
        <is>
          <t>SKÅNE LÄN</t>
        </is>
      </c>
      <c r="E4979" t="inlineStr">
        <is>
          <t>HÄSSLEHOLM</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50654-2023</t>
        </is>
      </c>
      <c r="B4980" s="1" t="n">
        <v>45217</v>
      </c>
      <c r="C4980" s="1" t="n">
        <v>45744</v>
      </c>
      <c r="D4980" t="inlineStr">
        <is>
          <t>SKÅNE LÄN</t>
        </is>
      </c>
      <c r="E4980" t="inlineStr">
        <is>
          <t>OSBY</t>
        </is>
      </c>
      <c r="F4980" t="inlineStr">
        <is>
          <t>Kommuner</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50659-2023</t>
        </is>
      </c>
      <c r="B4981" s="1" t="n">
        <v>45217</v>
      </c>
      <c r="C4981" s="1" t="n">
        <v>45744</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50664-2023</t>
        </is>
      </c>
      <c r="B4982" s="1" t="n">
        <v>45217</v>
      </c>
      <c r="C4982" s="1" t="n">
        <v>45744</v>
      </c>
      <c r="D4982" t="inlineStr">
        <is>
          <t>SKÅNE LÄN</t>
        </is>
      </c>
      <c r="E4982" t="inlineStr">
        <is>
          <t>HÄSSLEHOLM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50529-2023</t>
        </is>
      </c>
      <c r="B4983" s="1" t="n">
        <v>45217</v>
      </c>
      <c r="C4983" s="1" t="n">
        <v>45744</v>
      </c>
      <c r="D4983" t="inlineStr">
        <is>
          <t>SKÅNE LÄN</t>
        </is>
      </c>
      <c r="E4983" t="inlineStr">
        <is>
          <t>OSBY</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50587-2023</t>
        </is>
      </c>
      <c r="B4984" s="1" t="n">
        <v>45217</v>
      </c>
      <c r="C4984" s="1" t="n">
        <v>45744</v>
      </c>
      <c r="D4984" t="inlineStr">
        <is>
          <t>SKÅNE LÄN</t>
        </is>
      </c>
      <c r="E4984" t="inlineStr">
        <is>
          <t>HÄSSLEHOLM</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50669-2023</t>
        </is>
      </c>
      <c r="B4985" s="1" t="n">
        <v>45217</v>
      </c>
      <c r="C4985" s="1" t="n">
        <v>45744</v>
      </c>
      <c r="D4985" t="inlineStr">
        <is>
          <t>SKÅNE LÄN</t>
        </is>
      </c>
      <c r="E4985" t="inlineStr">
        <is>
          <t>HÄSSLEHOLM</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50675-2023</t>
        </is>
      </c>
      <c r="B4986" s="1" t="n">
        <v>45217</v>
      </c>
      <c r="C4986" s="1" t="n">
        <v>45744</v>
      </c>
      <c r="D4986" t="inlineStr">
        <is>
          <t>SKÅNE LÄN</t>
        </is>
      </c>
      <c r="E4986" t="inlineStr">
        <is>
          <t>OSBY</t>
        </is>
      </c>
      <c r="F4986" t="inlineStr">
        <is>
          <t>Kommuner</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50700-2023</t>
        </is>
      </c>
      <c r="B4987" s="1" t="n">
        <v>45217</v>
      </c>
      <c r="C4987" s="1" t="n">
        <v>45744</v>
      </c>
      <c r="D4987" t="inlineStr">
        <is>
          <t>SKÅNE LÄN</t>
        </is>
      </c>
      <c r="E4987" t="inlineStr">
        <is>
          <t>KRISTIANSTAD</t>
        </is>
      </c>
      <c r="F4987" t="inlineStr">
        <is>
          <t>Sveaskog</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50704-2023</t>
        </is>
      </c>
      <c r="B4988" s="1" t="n">
        <v>45217</v>
      </c>
      <c r="C4988" s="1" t="n">
        <v>45744</v>
      </c>
      <c r="D4988" t="inlineStr">
        <is>
          <t>SKÅNE LÄN</t>
        </is>
      </c>
      <c r="E4988" t="inlineStr">
        <is>
          <t>HÖRBY</t>
        </is>
      </c>
      <c r="F4988" t="inlineStr">
        <is>
          <t>Sveaskog</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50717-2023</t>
        </is>
      </c>
      <c r="B4989" s="1" t="n">
        <v>45217</v>
      </c>
      <c r="C4989" s="1" t="n">
        <v>45744</v>
      </c>
      <c r="D4989" t="inlineStr">
        <is>
          <t>SKÅNE LÄN</t>
        </is>
      </c>
      <c r="E4989" t="inlineStr">
        <is>
          <t>ÖRKELLJUNGA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50798-2023</t>
        </is>
      </c>
      <c r="B4990" s="1" t="n">
        <v>45217</v>
      </c>
      <c r="C4990" s="1" t="n">
        <v>45744</v>
      </c>
      <c r="D4990" t="inlineStr">
        <is>
          <t>SKÅNE LÄN</t>
        </is>
      </c>
      <c r="E4990" t="inlineStr">
        <is>
          <t>SJÖBO</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50527-2023</t>
        </is>
      </c>
      <c r="B4991" s="1" t="n">
        <v>45217</v>
      </c>
      <c r="C4991" s="1" t="n">
        <v>45744</v>
      </c>
      <c r="D4991" t="inlineStr">
        <is>
          <t>SKÅNE LÄN</t>
        </is>
      </c>
      <c r="E4991" t="inlineStr">
        <is>
          <t>OSBY</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50531-2023</t>
        </is>
      </c>
      <c r="B4992" s="1" t="n">
        <v>45217</v>
      </c>
      <c r="C4992" s="1" t="n">
        <v>45744</v>
      </c>
      <c r="D4992" t="inlineStr">
        <is>
          <t>SKÅNE LÄN</t>
        </is>
      </c>
      <c r="E4992" t="inlineStr">
        <is>
          <t>ÅSTORP</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50548-2023</t>
        </is>
      </c>
      <c r="B4993" s="1" t="n">
        <v>45217</v>
      </c>
      <c r="C4993" s="1" t="n">
        <v>45744</v>
      </c>
      <c r="D4993" t="inlineStr">
        <is>
          <t>SKÅNE LÄN</t>
        </is>
      </c>
      <c r="E4993" t="inlineStr">
        <is>
          <t>HÄSSLEHOLM</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50657-2023</t>
        </is>
      </c>
      <c r="B4994" s="1" t="n">
        <v>45217</v>
      </c>
      <c r="C4994" s="1" t="n">
        <v>45744</v>
      </c>
      <c r="D4994" t="inlineStr">
        <is>
          <t>SKÅNE LÄN</t>
        </is>
      </c>
      <c r="E4994" t="inlineStr">
        <is>
          <t>HÄSSLEHOLM</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50738-2023</t>
        </is>
      </c>
      <c r="B4995" s="1" t="n">
        <v>45217</v>
      </c>
      <c r="C4995" s="1" t="n">
        <v>45744</v>
      </c>
      <c r="D4995" t="inlineStr">
        <is>
          <t>SKÅNE LÄN</t>
        </is>
      </c>
      <c r="E4995" t="inlineStr">
        <is>
          <t>OSBY</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50557-2023</t>
        </is>
      </c>
      <c r="B4996" s="1" t="n">
        <v>45217</v>
      </c>
      <c r="C4996" s="1" t="n">
        <v>45744</v>
      </c>
      <c r="D4996" t="inlineStr">
        <is>
          <t>SKÅNE LÄN</t>
        </is>
      </c>
      <c r="E4996" t="inlineStr">
        <is>
          <t>HÄSSLEHOLM</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50564-2023</t>
        </is>
      </c>
      <c r="B4997" s="1" t="n">
        <v>45217</v>
      </c>
      <c r="C4997" s="1" t="n">
        <v>45744</v>
      </c>
      <c r="D4997" t="inlineStr">
        <is>
          <t>SKÅNE LÄN</t>
        </is>
      </c>
      <c r="E4997" t="inlineStr">
        <is>
          <t>HÄSSLEHOLM</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50611-2023</t>
        </is>
      </c>
      <c r="B4998" s="1" t="n">
        <v>45217</v>
      </c>
      <c r="C4998" s="1" t="n">
        <v>45744</v>
      </c>
      <c r="D4998" t="inlineStr">
        <is>
          <t>SKÅNE LÄN</t>
        </is>
      </c>
      <c r="E4998" t="inlineStr">
        <is>
          <t>OSBY</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50666-2023</t>
        </is>
      </c>
      <c r="B4999" s="1" t="n">
        <v>45217</v>
      </c>
      <c r="C4999" s="1" t="n">
        <v>45744</v>
      </c>
      <c r="D4999" t="inlineStr">
        <is>
          <t>SKÅNE LÄN</t>
        </is>
      </c>
      <c r="E4999" t="inlineStr">
        <is>
          <t>OSBY</t>
        </is>
      </c>
      <c r="F4999" t="inlineStr">
        <is>
          <t>Kommuner</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50701-2023</t>
        </is>
      </c>
      <c r="B5000" s="1" t="n">
        <v>45217</v>
      </c>
      <c r="C5000" s="1" t="n">
        <v>45744</v>
      </c>
      <c r="D5000" t="inlineStr">
        <is>
          <t>SKÅNE LÄN</t>
        </is>
      </c>
      <c r="E5000" t="inlineStr">
        <is>
          <t>ÖRKELLJUNGA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50728-2023</t>
        </is>
      </c>
      <c r="B5001" s="1" t="n">
        <v>45217</v>
      </c>
      <c r="C5001" s="1" t="n">
        <v>45744</v>
      </c>
      <c r="D5001" t="inlineStr">
        <is>
          <t>SKÅNE LÄN</t>
        </is>
      </c>
      <c r="E5001" t="inlineStr">
        <is>
          <t>OSBY</t>
        </is>
      </c>
      <c r="F5001" t="inlineStr">
        <is>
          <t>Kommuner</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50741-2023</t>
        </is>
      </c>
      <c r="B5002" s="1" t="n">
        <v>45217</v>
      </c>
      <c r="C5002" s="1" t="n">
        <v>45744</v>
      </c>
      <c r="D5002" t="inlineStr">
        <is>
          <t>SKÅNE LÄN</t>
        </is>
      </c>
      <c r="E5002" t="inlineStr">
        <is>
          <t>OSBY</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52176-2023</t>
        </is>
      </c>
      <c r="B5003" s="1" t="n">
        <v>45217</v>
      </c>
      <c r="C5003" s="1" t="n">
        <v>45744</v>
      </c>
      <c r="D5003" t="inlineStr">
        <is>
          <t>SKÅNE LÄN</t>
        </is>
      </c>
      <c r="E5003" t="inlineStr">
        <is>
          <t>KRISTIANSTAD</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52196-2023</t>
        </is>
      </c>
      <c r="B5004" s="1" t="n">
        <v>45217</v>
      </c>
      <c r="C5004" s="1" t="n">
        <v>45744</v>
      </c>
      <c r="D5004" t="inlineStr">
        <is>
          <t>SKÅNE LÄN</t>
        </is>
      </c>
      <c r="E5004" t="inlineStr">
        <is>
          <t>HÖRBY</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52307-2023</t>
        </is>
      </c>
      <c r="B5005" s="1" t="n">
        <v>45217</v>
      </c>
      <c r="C5005" s="1" t="n">
        <v>45744</v>
      </c>
      <c r="D5005" t="inlineStr">
        <is>
          <t>SKÅNE LÄN</t>
        </is>
      </c>
      <c r="E5005" t="inlineStr">
        <is>
          <t>BROMÖLLA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51059-2023</t>
        </is>
      </c>
      <c r="B5006" s="1" t="n">
        <v>45218</v>
      </c>
      <c r="C5006" s="1" t="n">
        <v>45744</v>
      </c>
      <c r="D5006" t="inlineStr">
        <is>
          <t>SKÅNE LÄN</t>
        </is>
      </c>
      <c r="E5006" t="inlineStr">
        <is>
          <t>PERSTORP</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51092-2023</t>
        </is>
      </c>
      <c r="B5007" s="1" t="n">
        <v>45218</v>
      </c>
      <c r="C5007" s="1" t="n">
        <v>45744</v>
      </c>
      <c r="D5007" t="inlineStr">
        <is>
          <t>SKÅNE LÄN</t>
        </is>
      </c>
      <c r="E5007" t="inlineStr">
        <is>
          <t>OSBY</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51018-2023</t>
        </is>
      </c>
      <c r="B5008" s="1" t="n">
        <v>45218</v>
      </c>
      <c r="C5008" s="1" t="n">
        <v>45744</v>
      </c>
      <c r="D5008" t="inlineStr">
        <is>
          <t>SKÅNE LÄN</t>
        </is>
      </c>
      <c r="E5008" t="inlineStr">
        <is>
          <t>HÄSSLEHOLM</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52548-2023</t>
        </is>
      </c>
      <c r="B5009" s="1" t="n">
        <v>45218</v>
      </c>
      <c r="C5009" s="1" t="n">
        <v>45744</v>
      </c>
      <c r="D5009" t="inlineStr">
        <is>
          <t>SKÅNE LÄN</t>
        </is>
      </c>
      <c r="E5009" t="inlineStr">
        <is>
          <t>HÄSSLEHOLM</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51319-2023</t>
        </is>
      </c>
      <c r="B5010" s="1" t="n">
        <v>45219</v>
      </c>
      <c r="C5010" s="1" t="n">
        <v>45744</v>
      </c>
      <c r="D5010" t="inlineStr">
        <is>
          <t>SKÅNE LÄN</t>
        </is>
      </c>
      <c r="E5010" t="inlineStr">
        <is>
          <t>KRISTIANSTAD</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52575-2023</t>
        </is>
      </c>
      <c r="B5011" s="1" t="n">
        <v>45219</v>
      </c>
      <c r="C5011" s="1" t="n">
        <v>45744</v>
      </c>
      <c r="D5011" t="inlineStr">
        <is>
          <t>SKÅNE LÄN</t>
        </is>
      </c>
      <c r="E5011" t="inlineStr">
        <is>
          <t>PERSTORP</t>
        </is>
      </c>
      <c r="F5011" t="inlineStr">
        <is>
          <t>Övriga Aktiebolag</t>
        </is>
      </c>
      <c r="G5011" t="n">
        <v>10.2</v>
      </c>
      <c r="H5011" t="n">
        <v>0</v>
      </c>
      <c r="I5011" t="n">
        <v>0</v>
      </c>
      <c r="J5011" t="n">
        <v>0</v>
      </c>
      <c r="K5011" t="n">
        <v>0</v>
      </c>
      <c r="L5011" t="n">
        <v>0</v>
      </c>
      <c r="M5011" t="n">
        <v>0</v>
      </c>
      <c r="N5011" t="n">
        <v>0</v>
      </c>
      <c r="O5011" t="n">
        <v>0</v>
      </c>
      <c r="P5011" t="n">
        <v>0</v>
      </c>
      <c r="Q5011" t="n">
        <v>0</v>
      </c>
      <c r="R5011" s="2" t="inlineStr"/>
    </row>
    <row r="5012" ht="15" customHeight="1">
      <c r="A5012" t="inlineStr">
        <is>
          <t>A 52601-2023</t>
        </is>
      </c>
      <c r="B5012" s="1" t="n">
        <v>45219</v>
      </c>
      <c r="C5012" s="1" t="n">
        <v>45744</v>
      </c>
      <c r="D5012" t="inlineStr">
        <is>
          <t>SKÅNE LÄN</t>
        </is>
      </c>
      <c r="E5012" t="inlineStr">
        <is>
          <t>KLIPPAN</t>
        </is>
      </c>
      <c r="F5012" t="inlineStr">
        <is>
          <t>Övriga Aktiebolag</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52583-2023</t>
        </is>
      </c>
      <c r="B5013" s="1" t="n">
        <v>45219</v>
      </c>
      <c r="C5013" s="1" t="n">
        <v>45744</v>
      </c>
      <c r="D5013" t="inlineStr">
        <is>
          <t>SKÅNE LÄN</t>
        </is>
      </c>
      <c r="E5013" t="inlineStr">
        <is>
          <t>PERSTORP</t>
        </is>
      </c>
      <c r="F5013" t="inlineStr">
        <is>
          <t>Övriga Aktiebolag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52608-2023</t>
        </is>
      </c>
      <c r="B5014" s="1" t="n">
        <v>45219</v>
      </c>
      <c r="C5014" s="1" t="n">
        <v>45744</v>
      </c>
      <c r="D5014" t="inlineStr">
        <is>
          <t>SKÅNE LÄN</t>
        </is>
      </c>
      <c r="E5014" t="inlineStr">
        <is>
          <t>HÄSSLEHOLM</t>
        </is>
      </c>
      <c r="F5014" t="inlineStr">
        <is>
          <t>Övriga Aktiebolag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52612-2023</t>
        </is>
      </c>
      <c r="B5015" s="1" t="n">
        <v>45219</v>
      </c>
      <c r="C5015" s="1" t="n">
        <v>45744</v>
      </c>
      <c r="D5015" t="inlineStr">
        <is>
          <t>SKÅNE LÄN</t>
        </is>
      </c>
      <c r="E5015" t="inlineStr">
        <is>
          <t>KLIPPAN</t>
        </is>
      </c>
      <c r="F5015" t="inlineStr">
        <is>
          <t>Övriga Aktiebolag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52596-2023</t>
        </is>
      </c>
      <c r="B5016" s="1" t="n">
        <v>45219</v>
      </c>
      <c r="C5016" s="1" t="n">
        <v>45744</v>
      </c>
      <c r="D5016" t="inlineStr">
        <is>
          <t>SKÅNE LÄN</t>
        </is>
      </c>
      <c r="E5016" t="inlineStr">
        <is>
          <t>PERSTORP</t>
        </is>
      </c>
      <c r="F5016" t="inlineStr">
        <is>
          <t>Övriga Aktiebolag</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52615-2023</t>
        </is>
      </c>
      <c r="B5017" s="1" t="n">
        <v>45219</v>
      </c>
      <c r="C5017" s="1" t="n">
        <v>45744</v>
      </c>
      <c r="D5017" t="inlineStr">
        <is>
          <t>SKÅNE LÄN</t>
        </is>
      </c>
      <c r="E5017" t="inlineStr">
        <is>
          <t>PERSTORP</t>
        </is>
      </c>
      <c r="F5017" t="inlineStr">
        <is>
          <t>Övriga Aktiebolag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52617-2023</t>
        </is>
      </c>
      <c r="B5018" s="1" t="n">
        <v>45219</v>
      </c>
      <c r="C5018" s="1" t="n">
        <v>45744</v>
      </c>
      <c r="D5018" t="inlineStr">
        <is>
          <t>SKÅNE LÄN</t>
        </is>
      </c>
      <c r="E5018" t="inlineStr">
        <is>
          <t>PERSTORP</t>
        </is>
      </c>
      <c r="F5018" t="inlineStr">
        <is>
          <t>Övriga Aktiebolag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52605-2023</t>
        </is>
      </c>
      <c r="B5019" s="1" t="n">
        <v>45219</v>
      </c>
      <c r="C5019" s="1" t="n">
        <v>45744</v>
      </c>
      <c r="D5019" t="inlineStr">
        <is>
          <t>SKÅNE LÄN</t>
        </is>
      </c>
      <c r="E5019" t="inlineStr">
        <is>
          <t>KLIPPAN</t>
        </is>
      </c>
      <c r="F5019" t="inlineStr">
        <is>
          <t>Övriga Aktiebolag</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52581-2023</t>
        </is>
      </c>
      <c r="B5020" s="1" t="n">
        <v>45219</v>
      </c>
      <c r="C5020" s="1" t="n">
        <v>45744</v>
      </c>
      <c r="D5020" t="inlineStr">
        <is>
          <t>SKÅNE LÄN</t>
        </is>
      </c>
      <c r="E5020" t="inlineStr">
        <is>
          <t>PERSTORP</t>
        </is>
      </c>
      <c r="F5020" t="inlineStr">
        <is>
          <t>Övriga Aktiebolag</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51328-2023</t>
        </is>
      </c>
      <c r="B5021" s="1" t="n">
        <v>45219</v>
      </c>
      <c r="C5021" s="1" t="n">
        <v>45744</v>
      </c>
      <c r="D5021" t="inlineStr">
        <is>
          <t>SKÅNE LÄN</t>
        </is>
      </c>
      <c r="E5021" t="inlineStr">
        <is>
          <t>HÖÖR</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51577-2023</t>
        </is>
      </c>
      <c r="B5022" s="1" t="n">
        <v>45222</v>
      </c>
      <c r="C5022" s="1" t="n">
        <v>45744</v>
      </c>
      <c r="D5022" t="inlineStr">
        <is>
          <t>SKÅNE LÄN</t>
        </is>
      </c>
      <c r="E5022" t="inlineStr">
        <is>
          <t>ÖRKELLJUNGA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51684-2023</t>
        </is>
      </c>
      <c r="B5023" s="1" t="n">
        <v>45222</v>
      </c>
      <c r="C5023" s="1" t="n">
        <v>45744</v>
      </c>
      <c r="D5023" t="inlineStr">
        <is>
          <t>SKÅNE LÄN</t>
        </is>
      </c>
      <c r="E5023" t="inlineStr">
        <is>
          <t>OSBY</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51565-2023</t>
        </is>
      </c>
      <c r="B5024" s="1" t="n">
        <v>45222</v>
      </c>
      <c r="C5024" s="1" t="n">
        <v>45744</v>
      </c>
      <c r="D5024" t="inlineStr">
        <is>
          <t>SKÅNE LÄN</t>
        </is>
      </c>
      <c r="E5024" t="inlineStr">
        <is>
          <t>HÄSSLEHOLM</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51752-2023</t>
        </is>
      </c>
      <c r="B5025" s="1" t="n">
        <v>45222</v>
      </c>
      <c r="C5025" s="1" t="n">
        <v>45744</v>
      </c>
      <c r="D5025" t="inlineStr">
        <is>
          <t>SKÅNE LÄN</t>
        </is>
      </c>
      <c r="E5025" t="inlineStr">
        <is>
          <t>HÄSSLEHOLM</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51571-2023</t>
        </is>
      </c>
      <c r="B5026" s="1" t="n">
        <v>45222</v>
      </c>
      <c r="C5026" s="1" t="n">
        <v>45744</v>
      </c>
      <c r="D5026" t="inlineStr">
        <is>
          <t>SKÅNE LÄN</t>
        </is>
      </c>
      <c r="E5026" t="inlineStr">
        <is>
          <t>HÄSSLEHOLM</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52972-2023</t>
        </is>
      </c>
      <c r="B5027" s="1" t="n">
        <v>45222</v>
      </c>
      <c r="C5027" s="1" t="n">
        <v>45744</v>
      </c>
      <c r="D5027" t="inlineStr">
        <is>
          <t>SKÅNE LÄN</t>
        </is>
      </c>
      <c r="E5027" t="inlineStr">
        <is>
          <t>BROMÖLLA</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51938-2023</t>
        </is>
      </c>
      <c r="B5028" s="1" t="n">
        <v>45223</v>
      </c>
      <c r="C5028" s="1" t="n">
        <v>45744</v>
      </c>
      <c r="D5028" t="inlineStr">
        <is>
          <t>SKÅNE LÄN</t>
        </is>
      </c>
      <c r="E5028" t="inlineStr">
        <is>
          <t>HÖÖR</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51956-2023</t>
        </is>
      </c>
      <c r="B5029" s="1" t="n">
        <v>45223</v>
      </c>
      <c r="C5029" s="1" t="n">
        <v>45744</v>
      </c>
      <c r="D5029" t="inlineStr">
        <is>
          <t>SKÅNE LÄN</t>
        </is>
      </c>
      <c r="E5029" t="inlineStr">
        <is>
          <t>HÖÖR</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52064-2023</t>
        </is>
      </c>
      <c r="B5030" s="1" t="n">
        <v>45223</v>
      </c>
      <c r="C5030" s="1" t="n">
        <v>45744</v>
      </c>
      <c r="D5030" t="inlineStr">
        <is>
          <t>SKÅNE LÄN</t>
        </is>
      </c>
      <c r="E5030" t="inlineStr">
        <is>
          <t>HÖRBY</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51844-2023</t>
        </is>
      </c>
      <c r="B5031" s="1" t="n">
        <v>45223</v>
      </c>
      <c r="C5031" s="1" t="n">
        <v>45744</v>
      </c>
      <c r="D5031" t="inlineStr">
        <is>
          <t>SKÅNE LÄN</t>
        </is>
      </c>
      <c r="E5031" t="inlineStr">
        <is>
          <t>KLIPPAN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51940-2023</t>
        </is>
      </c>
      <c r="B5032" s="1" t="n">
        <v>45223</v>
      </c>
      <c r="C5032" s="1" t="n">
        <v>45744</v>
      </c>
      <c r="D5032" t="inlineStr">
        <is>
          <t>SKÅNE LÄN</t>
        </is>
      </c>
      <c r="E5032" t="inlineStr">
        <is>
          <t>HÖÖR</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52286-2023</t>
        </is>
      </c>
      <c r="B5033" s="1" t="n">
        <v>45224</v>
      </c>
      <c r="C5033" s="1" t="n">
        <v>45744</v>
      </c>
      <c r="D5033" t="inlineStr">
        <is>
          <t>SKÅNE LÄN</t>
        </is>
      </c>
      <c r="E5033" t="inlineStr">
        <is>
          <t>KLIPPAN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52310-2023</t>
        </is>
      </c>
      <c r="B5034" s="1" t="n">
        <v>45224</v>
      </c>
      <c r="C5034" s="1" t="n">
        <v>45744</v>
      </c>
      <c r="D5034" t="inlineStr">
        <is>
          <t>SKÅNE LÄN</t>
        </is>
      </c>
      <c r="E5034" t="inlineStr">
        <is>
          <t>HÖRBY</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52340-2023</t>
        </is>
      </c>
      <c r="B5035" s="1" t="n">
        <v>45224</v>
      </c>
      <c r="C5035" s="1" t="n">
        <v>45744</v>
      </c>
      <c r="D5035" t="inlineStr">
        <is>
          <t>SKÅNE LÄN</t>
        </is>
      </c>
      <c r="E5035" t="inlineStr">
        <is>
          <t>HÄSSLEHOLM</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52326-2023</t>
        </is>
      </c>
      <c r="B5036" s="1" t="n">
        <v>45224</v>
      </c>
      <c r="C5036" s="1" t="n">
        <v>45744</v>
      </c>
      <c r="D5036" t="inlineStr">
        <is>
          <t>SKÅNE LÄN</t>
        </is>
      </c>
      <c r="E5036" t="inlineStr">
        <is>
          <t>HÖÖR</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52337-2023</t>
        </is>
      </c>
      <c r="B5037" s="1" t="n">
        <v>45224</v>
      </c>
      <c r="C5037" s="1" t="n">
        <v>45744</v>
      </c>
      <c r="D5037" t="inlineStr">
        <is>
          <t>SKÅNE LÄN</t>
        </is>
      </c>
      <c r="E5037" t="inlineStr">
        <is>
          <t>HÄSSLEHOLM</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52341-2023</t>
        </is>
      </c>
      <c r="B5038" s="1" t="n">
        <v>45224</v>
      </c>
      <c r="C5038" s="1" t="n">
        <v>45744</v>
      </c>
      <c r="D5038" t="inlineStr">
        <is>
          <t>SKÅNE LÄN</t>
        </is>
      </c>
      <c r="E5038" t="inlineStr">
        <is>
          <t>HÄSSLEHOLM</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53870-2023</t>
        </is>
      </c>
      <c r="B5039" s="1" t="n">
        <v>45224</v>
      </c>
      <c r="C5039" s="1" t="n">
        <v>45744</v>
      </c>
      <c r="D5039" t="inlineStr">
        <is>
          <t>SKÅNE LÄN</t>
        </is>
      </c>
      <c r="E5039" t="inlineStr">
        <is>
          <t>HÄSSLEHOLM</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52653-2023</t>
        </is>
      </c>
      <c r="B5040" s="1" t="n">
        <v>45225</v>
      </c>
      <c r="C5040" s="1" t="n">
        <v>45744</v>
      </c>
      <c r="D5040" t="inlineStr">
        <is>
          <t>SKÅNE LÄN</t>
        </is>
      </c>
      <c r="E5040" t="inlineStr">
        <is>
          <t>PERSTORP</t>
        </is>
      </c>
      <c r="G5040" t="n">
        <v>9.9</v>
      </c>
      <c r="H5040" t="n">
        <v>0</v>
      </c>
      <c r="I5040" t="n">
        <v>0</v>
      </c>
      <c r="J5040" t="n">
        <v>0</v>
      </c>
      <c r="K5040" t="n">
        <v>0</v>
      </c>
      <c r="L5040" t="n">
        <v>0</v>
      </c>
      <c r="M5040" t="n">
        <v>0</v>
      </c>
      <c r="N5040" t="n">
        <v>0</v>
      </c>
      <c r="O5040" t="n">
        <v>0</v>
      </c>
      <c r="P5040" t="n">
        <v>0</v>
      </c>
      <c r="Q5040" t="n">
        <v>0</v>
      </c>
      <c r="R5040" s="2" t="inlineStr"/>
    </row>
    <row r="5041" ht="15" customHeight="1">
      <c r="A5041" t="inlineStr">
        <is>
          <t>A 52664-2023</t>
        </is>
      </c>
      <c r="B5041" s="1" t="n">
        <v>45225</v>
      </c>
      <c r="C5041" s="1" t="n">
        <v>45744</v>
      </c>
      <c r="D5041" t="inlineStr">
        <is>
          <t>SKÅNE LÄN</t>
        </is>
      </c>
      <c r="E5041" t="inlineStr">
        <is>
          <t>SVALÖV</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52652-2023</t>
        </is>
      </c>
      <c r="B5042" s="1" t="n">
        <v>45225</v>
      </c>
      <c r="C5042" s="1" t="n">
        <v>45744</v>
      </c>
      <c r="D5042" t="inlineStr">
        <is>
          <t>SKÅNE LÄN</t>
        </is>
      </c>
      <c r="E5042" t="inlineStr">
        <is>
          <t>ESLÖV</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54458-2023</t>
        </is>
      </c>
      <c r="B5043" s="1" t="n">
        <v>45226</v>
      </c>
      <c r="C5043" s="1" t="n">
        <v>45744</v>
      </c>
      <c r="D5043" t="inlineStr">
        <is>
          <t>SKÅNE LÄN</t>
        </is>
      </c>
      <c r="E5043" t="inlineStr">
        <is>
          <t>KRISTIANSTAD</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54392-2023</t>
        </is>
      </c>
      <c r="B5044" s="1" t="n">
        <v>45226</v>
      </c>
      <c r="C5044" s="1" t="n">
        <v>45744</v>
      </c>
      <c r="D5044" t="inlineStr">
        <is>
          <t>SKÅNE LÄN</t>
        </is>
      </c>
      <c r="E5044" t="inlineStr">
        <is>
          <t>KRISTIANSTAD</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52835-2023</t>
        </is>
      </c>
      <c r="B5045" s="1" t="n">
        <v>45226</v>
      </c>
      <c r="C5045" s="1" t="n">
        <v>45744</v>
      </c>
      <c r="D5045" t="inlineStr">
        <is>
          <t>SKÅNE LÄN</t>
        </is>
      </c>
      <c r="E5045" t="inlineStr">
        <is>
          <t>BROMÖLLA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52973-2023</t>
        </is>
      </c>
      <c r="B5046" s="1" t="n">
        <v>45226</v>
      </c>
      <c r="C5046" s="1" t="n">
        <v>45744</v>
      </c>
      <c r="D5046" t="inlineStr">
        <is>
          <t>SKÅNE LÄN</t>
        </is>
      </c>
      <c r="E5046" t="inlineStr">
        <is>
          <t>HÄSSLEHOLM</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54431-2023</t>
        </is>
      </c>
      <c r="B5047" s="1" t="n">
        <v>45226</v>
      </c>
      <c r="C5047" s="1" t="n">
        <v>45744</v>
      </c>
      <c r="D5047" t="inlineStr">
        <is>
          <t>SKÅNE LÄN</t>
        </is>
      </c>
      <c r="E5047" t="inlineStr">
        <is>
          <t>HÖRBY</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53032-2023</t>
        </is>
      </c>
      <c r="B5048" s="1" t="n">
        <v>45226</v>
      </c>
      <c r="C5048" s="1" t="n">
        <v>45744</v>
      </c>
      <c r="D5048" t="inlineStr">
        <is>
          <t>SKÅNE LÄN</t>
        </is>
      </c>
      <c r="E5048" t="inlineStr">
        <is>
          <t>ÖRKELLJUNGA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53070-2023</t>
        </is>
      </c>
      <c r="B5049" s="1" t="n">
        <v>45227</v>
      </c>
      <c r="C5049" s="1" t="n">
        <v>45744</v>
      </c>
      <c r="D5049" t="inlineStr">
        <is>
          <t>SKÅNE LÄN</t>
        </is>
      </c>
      <c r="E5049" t="inlineStr">
        <is>
          <t>ÖSTRA GÖINGE</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54631-2023</t>
        </is>
      </c>
      <c r="B5050" s="1" t="n">
        <v>45228</v>
      </c>
      <c r="C5050" s="1" t="n">
        <v>45744</v>
      </c>
      <c r="D5050" t="inlineStr">
        <is>
          <t>SKÅNE LÄN</t>
        </is>
      </c>
      <c r="E5050" t="inlineStr">
        <is>
          <t>KRISTIANSTAD</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54630-2023</t>
        </is>
      </c>
      <c r="B5051" s="1" t="n">
        <v>45228</v>
      </c>
      <c r="C5051" s="1" t="n">
        <v>45744</v>
      </c>
      <c r="D5051" t="inlineStr">
        <is>
          <t>SKÅNE LÄN</t>
        </is>
      </c>
      <c r="E5051" t="inlineStr">
        <is>
          <t>KRISTIANSTAD</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53135-2023</t>
        </is>
      </c>
      <c r="B5052" s="1" t="n">
        <v>45229</v>
      </c>
      <c r="C5052" s="1" t="n">
        <v>45744</v>
      </c>
      <c r="D5052" t="inlineStr">
        <is>
          <t>SKÅNE LÄN</t>
        </is>
      </c>
      <c r="E5052" t="inlineStr">
        <is>
          <t>PERSTORP</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53218-2023</t>
        </is>
      </c>
      <c r="B5053" s="1" t="n">
        <v>45229</v>
      </c>
      <c r="C5053" s="1" t="n">
        <v>45744</v>
      </c>
      <c r="D5053" t="inlineStr">
        <is>
          <t>SKÅNE LÄN</t>
        </is>
      </c>
      <c r="E5053" t="inlineStr">
        <is>
          <t>BJUV</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53222-2023</t>
        </is>
      </c>
      <c r="B5054" s="1" t="n">
        <v>45229</v>
      </c>
      <c r="C5054" s="1" t="n">
        <v>45744</v>
      </c>
      <c r="D5054" t="inlineStr">
        <is>
          <t>SKÅNE LÄN</t>
        </is>
      </c>
      <c r="E5054" t="inlineStr">
        <is>
          <t>KLIPPAN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53299-2023</t>
        </is>
      </c>
      <c r="B5055" s="1" t="n">
        <v>45229</v>
      </c>
      <c r="C5055" s="1" t="n">
        <v>45744</v>
      </c>
      <c r="D5055" t="inlineStr">
        <is>
          <t>SKÅNE LÄN</t>
        </is>
      </c>
      <c r="E5055" t="inlineStr">
        <is>
          <t>KRISTIANSTAD</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53350-2023</t>
        </is>
      </c>
      <c r="B5056" s="1" t="n">
        <v>45229</v>
      </c>
      <c r="C5056" s="1" t="n">
        <v>45744</v>
      </c>
      <c r="D5056" t="inlineStr">
        <is>
          <t>SKÅNE LÄN</t>
        </is>
      </c>
      <c r="E5056" t="inlineStr">
        <is>
          <t>HÄSSLEHOLM</t>
        </is>
      </c>
      <c r="F5056" t="inlineStr">
        <is>
          <t>Kommuner</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54869-2023</t>
        </is>
      </c>
      <c r="B5057" s="1" t="n">
        <v>45229</v>
      </c>
      <c r="C5057" s="1" t="n">
        <v>45744</v>
      </c>
      <c r="D5057" t="inlineStr">
        <is>
          <t>SKÅNE LÄN</t>
        </is>
      </c>
      <c r="E5057" t="inlineStr">
        <is>
          <t>ÖSTRA GÖINGE</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53746-2023</t>
        </is>
      </c>
      <c r="B5058" s="1" t="n">
        <v>45230</v>
      </c>
      <c r="C5058" s="1" t="n">
        <v>45744</v>
      </c>
      <c r="D5058" t="inlineStr">
        <is>
          <t>SKÅNE LÄN</t>
        </is>
      </c>
      <c r="E5058" t="inlineStr">
        <is>
          <t>KRISTIANSTAD</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53623-2023</t>
        </is>
      </c>
      <c r="B5059" s="1" t="n">
        <v>45230</v>
      </c>
      <c r="C5059" s="1" t="n">
        <v>45744</v>
      </c>
      <c r="D5059" t="inlineStr">
        <is>
          <t>SKÅNE LÄN</t>
        </is>
      </c>
      <c r="E5059" t="inlineStr">
        <is>
          <t>HÄSSLEHOLM</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53587-2023</t>
        </is>
      </c>
      <c r="B5060" s="1" t="n">
        <v>45230</v>
      </c>
      <c r="C5060" s="1" t="n">
        <v>45744</v>
      </c>
      <c r="D5060" t="inlineStr">
        <is>
          <t>SKÅNE LÄN</t>
        </is>
      </c>
      <c r="E5060" t="inlineStr">
        <is>
          <t>SVALÖV</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53591-2023</t>
        </is>
      </c>
      <c r="B5061" s="1" t="n">
        <v>45230</v>
      </c>
      <c r="C5061" s="1" t="n">
        <v>45744</v>
      </c>
      <c r="D5061" t="inlineStr">
        <is>
          <t>SKÅNE LÄN</t>
        </is>
      </c>
      <c r="E5061" t="inlineStr">
        <is>
          <t>OSBY</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53774-2023</t>
        </is>
      </c>
      <c r="B5062" s="1" t="n">
        <v>45231</v>
      </c>
      <c r="C5062" s="1" t="n">
        <v>45744</v>
      </c>
      <c r="D5062" t="inlineStr">
        <is>
          <t>SKÅNE LÄN</t>
        </is>
      </c>
      <c r="E5062" t="inlineStr">
        <is>
          <t>OSBY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53848-2023</t>
        </is>
      </c>
      <c r="B5063" s="1" t="n">
        <v>45231</v>
      </c>
      <c r="C5063" s="1" t="n">
        <v>45744</v>
      </c>
      <c r="D5063" t="inlineStr">
        <is>
          <t>SKÅNE LÄN</t>
        </is>
      </c>
      <c r="E5063" t="inlineStr">
        <is>
          <t>HÖÖR</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53880-2023</t>
        </is>
      </c>
      <c r="B5064" s="1" t="n">
        <v>45231</v>
      </c>
      <c r="C5064" s="1" t="n">
        <v>45744</v>
      </c>
      <c r="D5064" t="inlineStr">
        <is>
          <t>SKÅNE LÄN</t>
        </is>
      </c>
      <c r="E5064" t="inlineStr">
        <is>
          <t>HÄSSLEHOLM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53773-2023</t>
        </is>
      </c>
      <c r="B5065" s="1" t="n">
        <v>45231</v>
      </c>
      <c r="C5065" s="1" t="n">
        <v>45744</v>
      </c>
      <c r="D5065" t="inlineStr">
        <is>
          <t>SKÅNE LÄN</t>
        </is>
      </c>
      <c r="E5065" t="inlineStr">
        <is>
          <t>OSBY</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53956-2023</t>
        </is>
      </c>
      <c r="B5066" s="1" t="n">
        <v>45231</v>
      </c>
      <c r="C5066" s="1" t="n">
        <v>45744</v>
      </c>
      <c r="D5066" t="inlineStr">
        <is>
          <t>SKÅNE LÄN</t>
        </is>
      </c>
      <c r="E5066" t="inlineStr">
        <is>
          <t>HÖÖR</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53887-2023</t>
        </is>
      </c>
      <c r="B5067" s="1" t="n">
        <v>45231</v>
      </c>
      <c r="C5067" s="1" t="n">
        <v>45744</v>
      </c>
      <c r="D5067" t="inlineStr">
        <is>
          <t>SKÅNE LÄN</t>
        </is>
      </c>
      <c r="E5067" t="inlineStr">
        <is>
          <t>HÄSSLEHOLM</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54009-2023</t>
        </is>
      </c>
      <c r="B5068" s="1" t="n">
        <v>45231</v>
      </c>
      <c r="C5068" s="1" t="n">
        <v>45744</v>
      </c>
      <c r="D5068" t="inlineStr">
        <is>
          <t>SKÅNE LÄN</t>
        </is>
      </c>
      <c r="E5068" t="inlineStr">
        <is>
          <t>OSBY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53807-2023</t>
        </is>
      </c>
      <c r="B5069" s="1" t="n">
        <v>45231</v>
      </c>
      <c r="C5069" s="1" t="n">
        <v>45744</v>
      </c>
      <c r="D5069" t="inlineStr">
        <is>
          <t>SKÅNE LÄN</t>
        </is>
      </c>
      <c r="E5069" t="inlineStr">
        <is>
          <t>HÖÖR</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53875-2023</t>
        </is>
      </c>
      <c r="B5070" s="1" t="n">
        <v>45231</v>
      </c>
      <c r="C5070" s="1" t="n">
        <v>45744</v>
      </c>
      <c r="D5070" t="inlineStr">
        <is>
          <t>SKÅNE LÄN</t>
        </is>
      </c>
      <c r="E5070" t="inlineStr">
        <is>
          <t>PERSTORP</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53897-2023</t>
        </is>
      </c>
      <c r="B5071" s="1" t="n">
        <v>45231</v>
      </c>
      <c r="C5071" s="1" t="n">
        <v>45744</v>
      </c>
      <c r="D5071" t="inlineStr">
        <is>
          <t>SKÅNE LÄN</t>
        </is>
      </c>
      <c r="E5071" t="inlineStr">
        <is>
          <t>HÄSSLEHOLM</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54282-2023</t>
        </is>
      </c>
      <c r="B5072" s="1" t="n">
        <v>45232</v>
      </c>
      <c r="C5072" s="1" t="n">
        <v>45744</v>
      </c>
      <c r="D5072" t="inlineStr">
        <is>
          <t>SKÅNE LÄN</t>
        </is>
      </c>
      <c r="E5072" t="inlineStr">
        <is>
          <t>SVEDALA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54308-2023</t>
        </is>
      </c>
      <c r="B5073" s="1" t="n">
        <v>45232</v>
      </c>
      <c r="C5073" s="1" t="n">
        <v>45744</v>
      </c>
      <c r="D5073" t="inlineStr">
        <is>
          <t>SKÅNE LÄN</t>
        </is>
      </c>
      <c r="E5073" t="inlineStr">
        <is>
          <t>KRISTIANSTAD</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54280-2023</t>
        </is>
      </c>
      <c r="B5074" s="1" t="n">
        <v>45232</v>
      </c>
      <c r="C5074" s="1" t="n">
        <v>45744</v>
      </c>
      <c r="D5074" t="inlineStr">
        <is>
          <t>SKÅNE LÄN</t>
        </is>
      </c>
      <c r="E5074" t="inlineStr">
        <is>
          <t>SVEDALA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54284-2023</t>
        </is>
      </c>
      <c r="B5075" s="1" t="n">
        <v>45232</v>
      </c>
      <c r="C5075" s="1" t="n">
        <v>45744</v>
      </c>
      <c r="D5075" t="inlineStr">
        <is>
          <t>SKÅNE LÄN</t>
        </is>
      </c>
      <c r="E5075" t="inlineStr">
        <is>
          <t>SVEDALA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56056-2023</t>
        </is>
      </c>
      <c r="B5076" s="1" t="n">
        <v>45233</v>
      </c>
      <c r="C5076" s="1" t="n">
        <v>45744</v>
      </c>
      <c r="D5076" t="inlineStr">
        <is>
          <t>SKÅNE LÄN</t>
        </is>
      </c>
      <c r="E5076" t="inlineStr">
        <is>
          <t>BROMÖLLA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55992-2023</t>
        </is>
      </c>
      <c r="B5077" s="1" t="n">
        <v>45233</v>
      </c>
      <c r="C5077" s="1" t="n">
        <v>45744</v>
      </c>
      <c r="D5077" t="inlineStr">
        <is>
          <t>SKÅNE LÄN</t>
        </is>
      </c>
      <c r="E5077" t="inlineStr">
        <is>
          <t>KRISTIANSTAD</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55954-2023</t>
        </is>
      </c>
      <c r="B5078" s="1" t="n">
        <v>45233</v>
      </c>
      <c r="C5078" s="1" t="n">
        <v>45744</v>
      </c>
      <c r="D5078" t="inlineStr">
        <is>
          <t>SKÅNE LÄN</t>
        </is>
      </c>
      <c r="E5078" t="inlineStr">
        <is>
          <t>KRISTIANSTAD</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54580-2023</t>
        </is>
      </c>
      <c r="B5079" s="1" t="n">
        <v>45233</v>
      </c>
      <c r="C5079" s="1" t="n">
        <v>45744</v>
      </c>
      <c r="D5079" t="inlineStr">
        <is>
          <t>SKÅNE LÄN</t>
        </is>
      </c>
      <c r="E5079" t="inlineStr">
        <is>
          <t>SVEDALA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54557-2023</t>
        </is>
      </c>
      <c r="B5080" s="1" t="n">
        <v>45233</v>
      </c>
      <c r="C5080" s="1" t="n">
        <v>45744</v>
      </c>
      <c r="D5080" t="inlineStr">
        <is>
          <t>SKÅNE LÄN</t>
        </is>
      </c>
      <c r="E5080" t="inlineStr">
        <is>
          <t>BJUV</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55959-2023</t>
        </is>
      </c>
      <c r="B5081" s="1" t="n">
        <v>45233</v>
      </c>
      <c r="C5081" s="1" t="n">
        <v>45744</v>
      </c>
      <c r="D5081" t="inlineStr">
        <is>
          <t>SKÅNE LÄN</t>
        </is>
      </c>
      <c r="E5081" t="inlineStr">
        <is>
          <t>KRISTIANSTAD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55961-2023</t>
        </is>
      </c>
      <c r="B5082" s="1" t="n">
        <v>45233</v>
      </c>
      <c r="C5082" s="1" t="n">
        <v>45744</v>
      </c>
      <c r="D5082" t="inlineStr">
        <is>
          <t>SKÅNE LÄN</t>
        </is>
      </c>
      <c r="E5082" t="inlineStr">
        <is>
          <t>KRISTIANSTAD</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54473-2023</t>
        </is>
      </c>
      <c r="B5083" s="1" t="n">
        <v>45233</v>
      </c>
      <c r="C5083" s="1" t="n">
        <v>45744</v>
      </c>
      <c r="D5083" t="inlineStr">
        <is>
          <t>SKÅNE LÄN</t>
        </is>
      </c>
      <c r="E5083" t="inlineStr">
        <is>
          <t>HÄSSLEHOLM</t>
        </is>
      </c>
      <c r="G5083" t="n">
        <v>24.5</v>
      </c>
      <c r="H5083" t="n">
        <v>0</v>
      </c>
      <c r="I5083" t="n">
        <v>0</v>
      </c>
      <c r="J5083" t="n">
        <v>0</v>
      </c>
      <c r="K5083" t="n">
        <v>0</v>
      </c>
      <c r="L5083" t="n">
        <v>0</v>
      </c>
      <c r="M5083" t="n">
        <v>0</v>
      </c>
      <c r="N5083" t="n">
        <v>0</v>
      </c>
      <c r="O5083" t="n">
        <v>0</v>
      </c>
      <c r="P5083" t="n">
        <v>0</v>
      </c>
      <c r="Q5083" t="n">
        <v>0</v>
      </c>
      <c r="R5083" s="2" t="inlineStr"/>
    </row>
    <row r="5084" ht="15" customHeight="1">
      <c r="A5084" t="inlineStr">
        <is>
          <t>A 54579-2023</t>
        </is>
      </c>
      <c r="B5084" s="1" t="n">
        <v>45233</v>
      </c>
      <c r="C5084" s="1" t="n">
        <v>45744</v>
      </c>
      <c r="D5084" t="inlineStr">
        <is>
          <t>SKÅNE LÄN</t>
        </is>
      </c>
      <c r="E5084" t="inlineStr">
        <is>
          <t>SVEDALA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54534-2023</t>
        </is>
      </c>
      <c r="B5085" s="1" t="n">
        <v>45233</v>
      </c>
      <c r="C5085" s="1" t="n">
        <v>45744</v>
      </c>
      <c r="D5085" t="inlineStr">
        <is>
          <t>SKÅNE LÄN</t>
        </is>
      </c>
      <c r="E5085" t="inlineStr">
        <is>
          <t>KRISTIANSTAD</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54513-2023</t>
        </is>
      </c>
      <c r="B5086" s="1" t="n">
        <v>45233</v>
      </c>
      <c r="C5086" s="1" t="n">
        <v>45744</v>
      </c>
      <c r="D5086" t="inlineStr">
        <is>
          <t>SKÅNE LÄN</t>
        </is>
      </c>
      <c r="E5086" t="inlineStr">
        <is>
          <t>OSBY</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54471-2023</t>
        </is>
      </c>
      <c r="B5087" s="1" t="n">
        <v>45233</v>
      </c>
      <c r="C5087" s="1" t="n">
        <v>45744</v>
      </c>
      <c r="D5087" t="inlineStr">
        <is>
          <t>SKÅNE LÄN</t>
        </is>
      </c>
      <c r="E5087" t="inlineStr">
        <is>
          <t>HÄSSLEHOLM</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54376-2023</t>
        </is>
      </c>
      <c r="B5088" s="1" t="n">
        <v>45233</v>
      </c>
      <c r="C5088" s="1" t="n">
        <v>45744</v>
      </c>
      <c r="D5088" t="inlineStr">
        <is>
          <t>SKÅNE LÄN</t>
        </is>
      </c>
      <c r="E5088" t="inlineStr">
        <is>
          <t>HÄSSLEHOLM</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54664-2023</t>
        </is>
      </c>
      <c r="B5089" s="1" t="n">
        <v>45235</v>
      </c>
      <c r="C5089" s="1" t="n">
        <v>45744</v>
      </c>
      <c r="D5089" t="inlineStr">
        <is>
          <t>SKÅNE LÄN</t>
        </is>
      </c>
      <c r="E5089" t="inlineStr">
        <is>
          <t>ÖRKELLJUNGA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54668-2023</t>
        </is>
      </c>
      <c r="B5090" s="1" t="n">
        <v>45235</v>
      </c>
      <c r="C5090" s="1" t="n">
        <v>45744</v>
      </c>
      <c r="D5090" t="inlineStr">
        <is>
          <t>SKÅNE LÄN</t>
        </is>
      </c>
      <c r="E5090" t="inlineStr">
        <is>
          <t>ÖRKELLJUNGA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54646-2023</t>
        </is>
      </c>
      <c r="B5091" s="1" t="n">
        <v>45235</v>
      </c>
      <c r="C5091" s="1" t="n">
        <v>45744</v>
      </c>
      <c r="D5091" t="inlineStr">
        <is>
          <t>SKÅNE LÄN</t>
        </is>
      </c>
      <c r="E5091" t="inlineStr">
        <is>
          <t>ÖRKELLJUNGA</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54658-2023</t>
        </is>
      </c>
      <c r="B5092" s="1" t="n">
        <v>45235</v>
      </c>
      <c r="C5092" s="1" t="n">
        <v>45744</v>
      </c>
      <c r="D5092" t="inlineStr">
        <is>
          <t>SKÅNE LÄN</t>
        </is>
      </c>
      <c r="E5092" t="inlineStr">
        <is>
          <t>HÄSSLEHOLM</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54662-2023</t>
        </is>
      </c>
      <c r="B5093" s="1" t="n">
        <v>45235</v>
      </c>
      <c r="C5093" s="1" t="n">
        <v>45744</v>
      </c>
      <c r="D5093" t="inlineStr">
        <is>
          <t>SKÅNE LÄN</t>
        </is>
      </c>
      <c r="E5093" t="inlineStr">
        <is>
          <t>ÖRKELLJUNGA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54666-2023</t>
        </is>
      </c>
      <c r="B5094" s="1" t="n">
        <v>45235</v>
      </c>
      <c r="C5094" s="1" t="n">
        <v>45744</v>
      </c>
      <c r="D5094" t="inlineStr">
        <is>
          <t>SKÅNE LÄN</t>
        </is>
      </c>
      <c r="E5094" t="inlineStr">
        <is>
          <t>ÖRKELLJUNGA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54647-2023</t>
        </is>
      </c>
      <c r="B5095" s="1" t="n">
        <v>45235</v>
      </c>
      <c r="C5095" s="1" t="n">
        <v>45744</v>
      </c>
      <c r="D5095" t="inlineStr">
        <is>
          <t>SKÅNE LÄN</t>
        </is>
      </c>
      <c r="E5095" t="inlineStr">
        <is>
          <t>PERSTORP</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54659-2023</t>
        </is>
      </c>
      <c r="B5096" s="1" t="n">
        <v>45235</v>
      </c>
      <c r="C5096" s="1" t="n">
        <v>45744</v>
      </c>
      <c r="D5096" t="inlineStr">
        <is>
          <t>SKÅNE LÄN</t>
        </is>
      </c>
      <c r="E5096" t="inlineStr">
        <is>
          <t>HÄSSLEHOLM</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54663-2023</t>
        </is>
      </c>
      <c r="B5097" s="1" t="n">
        <v>45235</v>
      </c>
      <c r="C5097" s="1" t="n">
        <v>45744</v>
      </c>
      <c r="D5097" t="inlineStr">
        <is>
          <t>SKÅNE LÄN</t>
        </is>
      </c>
      <c r="E5097" t="inlineStr">
        <is>
          <t>ÖRKELLJUNGA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54667-2023</t>
        </is>
      </c>
      <c r="B5098" s="1" t="n">
        <v>45235</v>
      </c>
      <c r="C5098" s="1" t="n">
        <v>45744</v>
      </c>
      <c r="D5098" t="inlineStr">
        <is>
          <t>SKÅNE LÄN</t>
        </is>
      </c>
      <c r="E5098" t="inlineStr">
        <is>
          <t>ÖRKELLJUNGA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54645-2023</t>
        </is>
      </c>
      <c r="B5099" s="1" t="n">
        <v>45235</v>
      </c>
      <c r="C5099" s="1" t="n">
        <v>45744</v>
      </c>
      <c r="D5099" t="inlineStr">
        <is>
          <t>SKÅNE LÄN</t>
        </is>
      </c>
      <c r="E5099" t="inlineStr">
        <is>
          <t>ÖRKELLJUNGA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54661-2023</t>
        </is>
      </c>
      <c r="B5100" s="1" t="n">
        <v>45235</v>
      </c>
      <c r="C5100" s="1" t="n">
        <v>45744</v>
      </c>
      <c r="D5100" t="inlineStr">
        <is>
          <t>SKÅNE LÄN</t>
        </is>
      </c>
      <c r="E5100" t="inlineStr">
        <is>
          <t>ÖRKELLJUNGA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54665-2023</t>
        </is>
      </c>
      <c r="B5101" s="1" t="n">
        <v>45235</v>
      </c>
      <c r="C5101" s="1" t="n">
        <v>45744</v>
      </c>
      <c r="D5101" t="inlineStr">
        <is>
          <t>SKÅNE LÄN</t>
        </is>
      </c>
      <c r="E5101" t="inlineStr">
        <is>
          <t>ÖRKELLJUNGA</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54669-2023</t>
        </is>
      </c>
      <c r="B5102" s="1" t="n">
        <v>45235</v>
      </c>
      <c r="C5102" s="1" t="n">
        <v>45744</v>
      </c>
      <c r="D5102" t="inlineStr">
        <is>
          <t>SKÅNE LÄN</t>
        </is>
      </c>
      <c r="E5102" t="inlineStr">
        <is>
          <t>ÖRKELLJUNGA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54689-2023</t>
        </is>
      </c>
      <c r="B5103" s="1" t="n">
        <v>45235</v>
      </c>
      <c r="C5103" s="1" t="n">
        <v>45744</v>
      </c>
      <c r="D5103" t="inlineStr">
        <is>
          <t>SKÅNE LÄN</t>
        </is>
      </c>
      <c r="E5103" t="inlineStr">
        <is>
          <t>BROMÖLLA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54711-2023</t>
        </is>
      </c>
      <c r="B5104" s="1" t="n">
        <v>45236</v>
      </c>
      <c r="C5104" s="1" t="n">
        <v>45744</v>
      </c>
      <c r="D5104" t="inlineStr">
        <is>
          <t>SKÅNE LÄN</t>
        </is>
      </c>
      <c r="E5104" t="inlineStr">
        <is>
          <t>SJÖBO</t>
        </is>
      </c>
      <c r="F5104" t="inlineStr">
        <is>
          <t>Kommuner</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54729-2023</t>
        </is>
      </c>
      <c r="B5105" s="1" t="n">
        <v>45236</v>
      </c>
      <c r="C5105" s="1" t="n">
        <v>45744</v>
      </c>
      <c r="D5105" t="inlineStr">
        <is>
          <t>SKÅNE LÄN</t>
        </is>
      </c>
      <c r="E5105" t="inlineStr">
        <is>
          <t>ÖRKELLJUNGA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56101-2023</t>
        </is>
      </c>
      <c r="B5106" s="1" t="n">
        <v>45236</v>
      </c>
      <c r="C5106" s="1" t="n">
        <v>45744</v>
      </c>
      <c r="D5106" t="inlineStr">
        <is>
          <t>SKÅNE LÄN</t>
        </is>
      </c>
      <c r="E5106" t="inlineStr">
        <is>
          <t>HÄSSLEHOLM</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54709-2023</t>
        </is>
      </c>
      <c r="B5107" s="1" t="n">
        <v>45236</v>
      </c>
      <c r="C5107" s="1" t="n">
        <v>45744</v>
      </c>
      <c r="D5107" t="inlineStr">
        <is>
          <t>SKÅNE LÄN</t>
        </is>
      </c>
      <c r="E5107" t="inlineStr">
        <is>
          <t>ÄNGELHOLM</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54750-2023</t>
        </is>
      </c>
      <c r="B5108" s="1" t="n">
        <v>45236</v>
      </c>
      <c r="C5108" s="1" t="n">
        <v>45744</v>
      </c>
      <c r="D5108" t="inlineStr">
        <is>
          <t>SKÅNE LÄN</t>
        </is>
      </c>
      <c r="E5108" t="inlineStr">
        <is>
          <t>PERSTORP</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54798-2023</t>
        </is>
      </c>
      <c r="B5109" s="1" t="n">
        <v>45236</v>
      </c>
      <c r="C5109" s="1" t="n">
        <v>45744</v>
      </c>
      <c r="D5109" t="inlineStr">
        <is>
          <t>SKÅNE LÄN</t>
        </is>
      </c>
      <c r="E5109" t="inlineStr">
        <is>
          <t>HÖÖR</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54894-2023</t>
        </is>
      </c>
      <c r="B5110" s="1" t="n">
        <v>45236</v>
      </c>
      <c r="C5110" s="1" t="n">
        <v>45744</v>
      </c>
      <c r="D5110" t="inlineStr">
        <is>
          <t>SKÅNE LÄN</t>
        </is>
      </c>
      <c r="E5110" t="inlineStr">
        <is>
          <t>HÖRBY</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54795-2023</t>
        </is>
      </c>
      <c r="B5111" s="1" t="n">
        <v>45236</v>
      </c>
      <c r="C5111" s="1" t="n">
        <v>45744</v>
      </c>
      <c r="D5111" t="inlineStr">
        <is>
          <t>SKÅNE LÄN</t>
        </is>
      </c>
      <c r="E5111" t="inlineStr">
        <is>
          <t>HÖÖR</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55049-2023</t>
        </is>
      </c>
      <c r="B5112" s="1" t="n">
        <v>45237</v>
      </c>
      <c r="C5112" s="1" t="n">
        <v>45744</v>
      </c>
      <c r="D5112" t="inlineStr">
        <is>
          <t>SKÅNE LÄN</t>
        </is>
      </c>
      <c r="E5112" t="inlineStr">
        <is>
          <t>ÖRKELLJUNGA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55154-2023</t>
        </is>
      </c>
      <c r="B5113" s="1" t="n">
        <v>45237</v>
      </c>
      <c r="C5113" s="1" t="n">
        <v>45744</v>
      </c>
      <c r="D5113" t="inlineStr">
        <is>
          <t>SKÅNE LÄN</t>
        </is>
      </c>
      <c r="E5113" t="inlineStr">
        <is>
          <t>LUND</t>
        </is>
      </c>
      <c r="F5113" t="inlineStr">
        <is>
          <t>Kommuner</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55047-2023</t>
        </is>
      </c>
      <c r="B5114" s="1" t="n">
        <v>45237</v>
      </c>
      <c r="C5114" s="1" t="n">
        <v>45744</v>
      </c>
      <c r="D5114" t="inlineStr">
        <is>
          <t>SKÅNE LÄN</t>
        </is>
      </c>
      <c r="E5114" t="inlineStr">
        <is>
          <t>ÖRKELLJUNGA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55148-2023</t>
        </is>
      </c>
      <c r="B5115" s="1" t="n">
        <v>45237</v>
      </c>
      <c r="C5115" s="1" t="n">
        <v>45744</v>
      </c>
      <c r="D5115" t="inlineStr">
        <is>
          <t>SKÅNE LÄN</t>
        </is>
      </c>
      <c r="E5115" t="inlineStr">
        <is>
          <t>LUND</t>
        </is>
      </c>
      <c r="F5115" t="inlineStr">
        <is>
          <t>Kommuner</t>
        </is>
      </c>
      <c r="G5115" t="n">
        <v>7.5</v>
      </c>
      <c r="H5115" t="n">
        <v>0</v>
      </c>
      <c r="I5115" t="n">
        <v>0</v>
      </c>
      <c r="J5115" t="n">
        <v>0</v>
      </c>
      <c r="K5115" t="n">
        <v>0</v>
      </c>
      <c r="L5115" t="n">
        <v>0</v>
      </c>
      <c r="M5115" t="n">
        <v>0</v>
      </c>
      <c r="N5115" t="n">
        <v>0</v>
      </c>
      <c r="O5115" t="n">
        <v>0</v>
      </c>
      <c r="P5115" t="n">
        <v>0</v>
      </c>
      <c r="Q5115" t="n">
        <v>0</v>
      </c>
      <c r="R5115" s="2" t="inlineStr"/>
    </row>
    <row r="5116" ht="15" customHeight="1">
      <c r="A5116" t="inlineStr">
        <is>
          <t>A 55147-2023</t>
        </is>
      </c>
      <c r="B5116" s="1" t="n">
        <v>45237</v>
      </c>
      <c r="C5116" s="1" t="n">
        <v>45744</v>
      </c>
      <c r="D5116" t="inlineStr">
        <is>
          <t>SKÅNE LÄN</t>
        </is>
      </c>
      <c r="E5116" t="inlineStr">
        <is>
          <t>LUND</t>
        </is>
      </c>
      <c r="F5116" t="inlineStr">
        <is>
          <t>Kommuner</t>
        </is>
      </c>
      <c r="G5116" t="n">
        <v>13.5</v>
      </c>
      <c r="H5116" t="n">
        <v>0</v>
      </c>
      <c r="I5116" t="n">
        <v>0</v>
      </c>
      <c r="J5116" t="n">
        <v>0</v>
      </c>
      <c r="K5116" t="n">
        <v>0</v>
      </c>
      <c r="L5116" t="n">
        <v>0</v>
      </c>
      <c r="M5116" t="n">
        <v>0</v>
      </c>
      <c r="N5116" t="n">
        <v>0</v>
      </c>
      <c r="O5116" t="n">
        <v>0</v>
      </c>
      <c r="P5116" t="n">
        <v>0</v>
      </c>
      <c r="Q5116" t="n">
        <v>0</v>
      </c>
      <c r="R5116" s="2" t="inlineStr"/>
    </row>
    <row r="5117" ht="15" customHeight="1">
      <c r="A5117" t="inlineStr">
        <is>
          <t>A 55152-2023</t>
        </is>
      </c>
      <c r="B5117" s="1" t="n">
        <v>45237</v>
      </c>
      <c r="C5117" s="1" t="n">
        <v>45744</v>
      </c>
      <c r="D5117" t="inlineStr">
        <is>
          <t>SKÅNE LÄN</t>
        </is>
      </c>
      <c r="E5117" t="inlineStr">
        <is>
          <t>LUND</t>
        </is>
      </c>
      <c r="F5117" t="inlineStr">
        <is>
          <t>Kommuner</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55158-2023</t>
        </is>
      </c>
      <c r="B5118" s="1" t="n">
        <v>45237</v>
      </c>
      <c r="C5118" s="1" t="n">
        <v>45744</v>
      </c>
      <c r="D5118" t="inlineStr">
        <is>
          <t>SKÅNE LÄN</t>
        </is>
      </c>
      <c r="E5118" t="inlineStr">
        <is>
          <t>LUND</t>
        </is>
      </c>
      <c r="F5118" t="inlineStr">
        <is>
          <t>Kommuner</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55284-2023</t>
        </is>
      </c>
      <c r="B5119" s="1" t="n">
        <v>45237</v>
      </c>
      <c r="C5119" s="1" t="n">
        <v>45744</v>
      </c>
      <c r="D5119" t="inlineStr">
        <is>
          <t>SKÅNE LÄN</t>
        </is>
      </c>
      <c r="E5119" t="inlineStr">
        <is>
          <t>HÄSSLEHOLM</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55218-2023</t>
        </is>
      </c>
      <c r="B5120" s="1" t="n">
        <v>45237</v>
      </c>
      <c r="C5120" s="1" t="n">
        <v>45744</v>
      </c>
      <c r="D5120" t="inlineStr">
        <is>
          <t>SKÅNE LÄN</t>
        </is>
      </c>
      <c r="E5120" t="inlineStr">
        <is>
          <t>HÄSSLEHOLM</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55265-2023</t>
        </is>
      </c>
      <c r="B5121" s="1" t="n">
        <v>45237</v>
      </c>
      <c r="C5121" s="1" t="n">
        <v>45744</v>
      </c>
      <c r="D5121" t="inlineStr">
        <is>
          <t>SKÅNE LÄN</t>
        </is>
      </c>
      <c r="E5121" t="inlineStr">
        <is>
          <t>HÖRBY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55292-2023</t>
        </is>
      </c>
      <c r="B5122" s="1" t="n">
        <v>45237</v>
      </c>
      <c r="C5122" s="1" t="n">
        <v>45744</v>
      </c>
      <c r="D5122" t="inlineStr">
        <is>
          <t>SKÅNE LÄN</t>
        </is>
      </c>
      <c r="E5122" t="inlineStr">
        <is>
          <t>OSBY</t>
        </is>
      </c>
      <c r="G5122" t="n">
        <v>8.300000000000001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55291-2023</t>
        </is>
      </c>
      <c r="B5123" s="1" t="n">
        <v>45237</v>
      </c>
      <c r="C5123" s="1" t="n">
        <v>45744</v>
      </c>
      <c r="D5123" t="inlineStr">
        <is>
          <t>SKÅNE LÄN</t>
        </is>
      </c>
      <c r="E5123" t="inlineStr">
        <is>
          <t>KLIPPAN</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55294-2023</t>
        </is>
      </c>
      <c r="B5124" s="1" t="n">
        <v>45237</v>
      </c>
      <c r="C5124" s="1" t="n">
        <v>45744</v>
      </c>
      <c r="D5124" t="inlineStr">
        <is>
          <t>SKÅNE LÄN</t>
        </is>
      </c>
      <c r="E5124" t="inlineStr">
        <is>
          <t>OSBY</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56397-2023</t>
        </is>
      </c>
      <c r="B5125" s="1" t="n">
        <v>45237</v>
      </c>
      <c r="C5125" s="1" t="n">
        <v>45744</v>
      </c>
      <c r="D5125" t="inlineStr">
        <is>
          <t>SKÅNE LÄN</t>
        </is>
      </c>
      <c r="E5125" t="inlineStr">
        <is>
          <t>HÄSSLEHOLM</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55389-2023</t>
        </is>
      </c>
      <c r="B5126" s="1" t="n">
        <v>45238</v>
      </c>
      <c r="C5126" s="1" t="n">
        <v>45744</v>
      </c>
      <c r="D5126" t="inlineStr">
        <is>
          <t>SKÅNE LÄN</t>
        </is>
      </c>
      <c r="E5126" t="inlineStr">
        <is>
          <t>OSBY</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55519-2023</t>
        </is>
      </c>
      <c r="B5127" s="1" t="n">
        <v>45238</v>
      </c>
      <c r="C5127" s="1" t="n">
        <v>45744</v>
      </c>
      <c r="D5127" t="inlineStr">
        <is>
          <t>SKÅNE LÄN</t>
        </is>
      </c>
      <c r="E5127" t="inlineStr">
        <is>
          <t>PERSTORP</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55456-2023</t>
        </is>
      </c>
      <c r="B5128" s="1" t="n">
        <v>45238</v>
      </c>
      <c r="C5128" s="1" t="n">
        <v>45744</v>
      </c>
      <c r="D5128" t="inlineStr">
        <is>
          <t>SKÅNE LÄN</t>
        </is>
      </c>
      <c r="E5128" t="inlineStr">
        <is>
          <t>BROMÖLLA</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56827-2023</t>
        </is>
      </c>
      <c r="B5129" s="1" t="n">
        <v>45238</v>
      </c>
      <c r="C5129" s="1" t="n">
        <v>45744</v>
      </c>
      <c r="D5129" t="inlineStr">
        <is>
          <t>SKÅNE LÄN</t>
        </is>
      </c>
      <c r="E5129" t="inlineStr">
        <is>
          <t>ÖRKELLJUNGA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56750-2023</t>
        </is>
      </c>
      <c r="B5130" s="1" t="n">
        <v>45238</v>
      </c>
      <c r="C5130" s="1" t="n">
        <v>45744</v>
      </c>
      <c r="D5130" t="inlineStr">
        <is>
          <t>SKÅNE LÄN</t>
        </is>
      </c>
      <c r="E5130" t="inlineStr">
        <is>
          <t>HÖRBY</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56759-2023</t>
        </is>
      </c>
      <c r="B5131" s="1" t="n">
        <v>45238</v>
      </c>
      <c r="C5131" s="1" t="n">
        <v>45744</v>
      </c>
      <c r="D5131" t="inlineStr">
        <is>
          <t>SKÅNE LÄN</t>
        </is>
      </c>
      <c r="E5131" t="inlineStr">
        <is>
          <t>KLIPPAN</t>
        </is>
      </c>
      <c r="G5131" t="n">
        <v>7.4</v>
      </c>
      <c r="H5131" t="n">
        <v>0</v>
      </c>
      <c r="I5131" t="n">
        <v>0</v>
      </c>
      <c r="J5131" t="n">
        <v>0</v>
      </c>
      <c r="K5131" t="n">
        <v>0</v>
      </c>
      <c r="L5131" t="n">
        <v>0</v>
      </c>
      <c r="M5131" t="n">
        <v>0</v>
      </c>
      <c r="N5131" t="n">
        <v>0</v>
      </c>
      <c r="O5131" t="n">
        <v>0</v>
      </c>
      <c r="P5131" t="n">
        <v>0</v>
      </c>
      <c r="Q5131" t="n">
        <v>0</v>
      </c>
      <c r="R5131" s="2" t="inlineStr"/>
    </row>
    <row r="5132" ht="15" customHeight="1">
      <c r="A5132" t="inlineStr">
        <is>
          <t>A 55680-2023</t>
        </is>
      </c>
      <c r="B5132" s="1" t="n">
        <v>45239</v>
      </c>
      <c r="C5132" s="1" t="n">
        <v>45744</v>
      </c>
      <c r="D5132" t="inlineStr">
        <is>
          <t>SKÅNE LÄN</t>
        </is>
      </c>
      <c r="E5132" t="inlineStr">
        <is>
          <t>OSBY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55797-2023</t>
        </is>
      </c>
      <c r="B5133" s="1" t="n">
        <v>45239</v>
      </c>
      <c r="C5133" s="1" t="n">
        <v>45744</v>
      </c>
      <c r="D5133" t="inlineStr">
        <is>
          <t>SKÅNE LÄN</t>
        </is>
      </c>
      <c r="E5133" t="inlineStr">
        <is>
          <t>HÖÖR</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55682-2023</t>
        </is>
      </c>
      <c r="B5134" s="1" t="n">
        <v>45239</v>
      </c>
      <c r="C5134" s="1" t="n">
        <v>45744</v>
      </c>
      <c r="D5134" t="inlineStr">
        <is>
          <t>SKÅNE LÄN</t>
        </is>
      </c>
      <c r="E5134" t="inlineStr">
        <is>
          <t>OSBY</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55833-2023</t>
        </is>
      </c>
      <c r="B5135" s="1" t="n">
        <v>45239</v>
      </c>
      <c r="C5135" s="1" t="n">
        <v>45744</v>
      </c>
      <c r="D5135" t="inlineStr">
        <is>
          <t>SKÅNE LÄN</t>
        </is>
      </c>
      <c r="E5135" t="inlineStr">
        <is>
          <t>KLIPPAN</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55802-2023</t>
        </is>
      </c>
      <c r="B5136" s="1" t="n">
        <v>45239</v>
      </c>
      <c r="C5136" s="1" t="n">
        <v>45744</v>
      </c>
      <c r="D5136" t="inlineStr">
        <is>
          <t>SKÅNE LÄN</t>
        </is>
      </c>
      <c r="E5136" t="inlineStr">
        <is>
          <t>TOMELILLA</t>
        </is>
      </c>
      <c r="F5136" t="inlineStr">
        <is>
          <t>Övriga Aktiebolag</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55897-2023</t>
        </is>
      </c>
      <c r="B5137" s="1" t="n">
        <v>45239</v>
      </c>
      <c r="C5137" s="1" t="n">
        <v>45744</v>
      </c>
      <c r="D5137" t="inlineStr">
        <is>
          <t>SKÅNE LÄN</t>
        </is>
      </c>
      <c r="E5137" t="inlineStr">
        <is>
          <t>ÖSTRA GÖINGE</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55933-2023</t>
        </is>
      </c>
      <c r="B5138" s="1" t="n">
        <v>45239</v>
      </c>
      <c r="C5138" s="1" t="n">
        <v>45744</v>
      </c>
      <c r="D5138" t="inlineStr">
        <is>
          <t>SKÅNE LÄN</t>
        </is>
      </c>
      <c r="E5138" t="inlineStr">
        <is>
          <t>ÖSTRA GÖINGE</t>
        </is>
      </c>
      <c r="G5138" t="n">
        <v>10.6</v>
      </c>
      <c r="H5138" t="n">
        <v>0</v>
      </c>
      <c r="I5138" t="n">
        <v>0</v>
      </c>
      <c r="J5138" t="n">
        <v>0</v>
      </c>
      <c r="K5138" t="n">
        <v>0</v>
      </c>
      <c r="L5138" t="n">
        <v>0</v>
      </c>
      <c r="M5138" t="n">
        <v>0</v>
      </c>
      <c r="N5138" t="n">
        <v>0</v>
      </c>
      <c r="O5138" t="n">
        <v>0</v>
      </c>
      <c r="P5138" t="n">
        <v>0</v>
      </c>
      <c r="Q5138" t="n">
        <v>0</v>
      </c>
      <c r="R5138" s="2" t="inlineStr"/>
    </row>
    <row r="5139" ht="15" customHeight="1">
      <c r="A5139" t="inlineStr">
        <is>
          <t>A 55934-2023</t>
        </is>
      </c>
      <c r="B5139" s="1" t="n">
        <v>45239</v>
      </c>
      <c r="C5139" s="1" t="n">
        <v>45744</v>
      </c>
      <c r="D5139" t="inlineStr">
        <is>
          <t>SKÅNE LÄN</t>
        </is>
      </c>
      <c r="E5139" t="inlineStr">
        <is>
          <t>ÖSTRA GÖINGE</t>
        </is>
      </c>
      <c r="G5139" t="n">
        <v>16.3</v>
      </c>
      <c r="H5139" t="n">
        <v>0</v>
      </c>
      <c r="I5139" t="n">
        <v>0</v>
      </c>
      <c r="J5139" t="n">
        <v>0</v>
      </c>
      <c r="K5139" t="n">
        <v>0</v>
      </c>
      <c r="L5139" t="n">
        <v>0</v>
      </c>
      <c r="M5139" t="n">
        <v>0</v>
      </c>
      <c r="N5139" t="n">
        <v>0</v>
      </c>
      <c r="O5139" t="n">
        <v>0</v>
      </c>
      <c r="P5139" t="n">
        <v>0</v>
      </c>
      <c r="Q5139" t="n">
        <v>0</v>
      </c>
      <c r="R5139" s="2" t="inlineStr"/>
    </row>
    <row r="5140" ht="15" customHeight="1">
      <c r="A5140" t="inlineStr">
        <is>
          <t>A 55683-2023</t>
        </is>
      </c>
      <c r="B5140" s="1" t="n">
        <v>45239</v>
      </c>
      <c r="C5140" s="1" t="n">
        <v>45744</v>
      </c>
      <c r="D5140" t="inlineStr">
        <is>
          <t>SKÅNE LÄN</t>
        </is>
      </c>
      <c r="E5140" t="inlineStr">
        <is>
          <t>OSBY</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56202-2023</t>
        </is>
      </c>
      <c r="B5141" s="1" t="n">
        <v>45240</v>
      </c>
      <c r="C5141" s="1" t="n">
        <v>45744</v>
      </c>
      <c r="D5141" t="inlineStr">
        <is>
          <t>SKÅNE LÄN</t>
        </is>
      </c>
      <c r="E5141" t="inlineStr">
        <is>
          <t>SVEDALA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57428-2023</t>
        </is>
      </c>
      <c r="B5142" s="1" t="n">
        <v>45240</v>
      </c>
      <c r="C5142" s="1" t="n">
        <v>45744</v>
      </c>
      <c r="D5142" t="inlineStr">
        <is>
          <t>SKÅNE LÄN</t>
        </is>
      </c>
      <c r="E5142" t="inlineStr">
        <is>
          <t>HÖÖR</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56166-2023</t>
        </is>
      </c>
      <c r="B5143" s="1" t="n">
        <v>45240</v>
      </c>
      <c r="C5143" s="1" t="n">
        <v>45744</v>
      </c>
      <c r="D5143" t="inlineStr">
        <is>
          <t>SKÅNE LÄN</t>
        </is>
      </c>
      <c r="E5143" t="inlineStr">
        <is>
          <t>OSBY</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56080-2023</t>
        </is>
      </c>
      <c r="B5144" s="1" t="n">
        <v>45240</v>
      </c>
      <c r="C5144" s="1" t="n">
        <v>45744</v>
      </c>
      <c r="D5144" t="inlineStr">
        <is>
          <t>SKÅNE LÄN</t>
        </is>
      </c>
      <c r="E5144" t="inlineStr">
        <is>
          <t>HÄSSLEHOLM</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55935-2023</t>
        </is>
      </c>
      <c r="B5145" s="1" t="n">
        <v>45240</v>
      </c>
      <c r="C5145" s="1" t="n">
        <v>45744</v>
      </c>
      <c r="D5145" t="inlineStr">
        <is>
          <t>SKÅNE LÄN</t>
        </is>
      </c>
      <c r="E5145" t="inlineStr">
        <is>
          <t>ÖSTRA GÖINGE</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56647-2023</t>
        </is>
      </c>
      <c r="B5146" s="1" t="n">
        <v>45243</v>
      </c>
      <c r="C5146" s="1" t="n">
        <v>45744</v>
      </c>
      <c r="D5146" t="inlineStr">
        <is>
          <t>SKÅNE LÄN</t>
        </is>
      </c>
      <c r="E5146" t="inlineStr">
        <is>
          <t>ÖSTRA GÖINGE</t>
        </is>
      </c>
      <c r="G5146" t="n">
        <v>7.7</v>
      </c>
      <c r="H5146" t="n">
        <v>0</v>
      </c>
      <c r="I5146" t="n">
        <v>0</v>
      </c>
      <c r="J5146" t="n">
        <v>0</v>
      </c>
      <c r="K5146" t="n">
        <v>0</v>
      </c>
      <c r="L5146" t="n">
        <v>0</v>
      </c>
      <c r="M5146" t="n">
        <v>0</v>
      </c>
      <c r="N5146" t="n">
        <v>0</v>
      </c>
      <c r="O5146" t="n">
        <v>0</v>
      </c>
      <c r="P5146" t="n">
        <v>0</v>
      </c>
      <c r="Q5146" t="n">
        <v>0</v>
      </c>
      <c r="R5146" s="2" t="inlineStr"/>
    </row>
    <row r="5147" ht="15" customHeight="1">
      <c r="A5147" t="inlineStr">
        <is>
          <t>A 56355-2023</t>
        </is>
      </c>
      <c r="B5147" s="1" t="n">
        <v>45243</v>
      </c>
      <c r="C5147" s="1" t="n">
        <v>45744</v>
      </c>
      <c r="D5147" t="inlineStr">
        <is>
          <t>SKÅNE LÄN</t>
        </is>
      </c>
      <c r="E5147" t="inlineStr">
        <is>
          <t>HÄSSLEHOLM</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56360-2023</t>
        </is>
      </c>
      <c r="B5148" s="1" t="n">
        <v>45243</v>
      </c>
      <c r="C5148" s="1" t="n">
        <v>45744</v>
      </c>
      <c r="D5148" t="inlineStr">
        <is>
          <t>SKÅNE LÄN</t>
        </is>
      </c>
      <c r="E5148" t="inlineStr">
        <is>
          <t>BROMÖLLA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56386-2023</t>
        </is>
      </c>
      <c r="B5149" s="1" t="n">
        <v>45243</v>
      </c>
      <c r="C5149" s="1" t="n">
        <v>45744</v>
      </c>
      <c r="D5149" t="inlineStr">
        <is>
          <t>SKÅNE LÄN</t>
        </is>
      </c>
      <c r="E5149" t="inlineStr">
        <is>
          <t>HÄSSLEHOLM</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56649-2023</t>
        </is>
      </c>
      <c r="B5150" s="1" t="n">
        <v>45243</v>
      </c>
      <c r="C5150" s="1" t="n">
        <v>45744</v>
      </c>
      <c r="D5150" t="inlineStr">
        <is>
          <t>SKÅNE LÄN</t>
        </is>
      </c>
      <c r="E5150" t="inlineStr">
        <is>
          <t>ÖSTRA GÖINGE</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56443-2023</t>
        </is>
      </c>
      <c r="B5151" s="1" t="n">
        <v>45243</v>
      </c>
      <c r="C5151" s="1" t="n">
        <v>45744</v>
      </c>
      <c r="D5151" t="inlineStr">
        <is>
          <t>SKÅNE LÄN</t>
        </is>
      </c>
      <c r="E5151" t="inlineStr">
        <is>
          <t>OSBY</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56460-2023</t>
        </is>
      </c>
      <c r="B5152" s="1" t="n">
        <v>45243</v>
      </c>
      <c r="C5152" s="1" t="n">
        <v>45744</v>
      </c>
      <c r="D5152" t="inlineStr">
        <is>
          <t>SKÅNE LÄN</t>
        </is>
      </c>
      <c r="E5152" t="inlineStr">
        <is>
          <t>ÖRKELLJUNGA</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56646-2023</t>
        </is>
      </c>
      <c r="B5153" s="1" t="n">
        <v>45243</v>
      </c>
      <c r="C5153" s="1" t="n">
        <v>45744</v>
      </c>
      <c r="D5153" t="inlineStr">
        <is>
          <t>SKÅNE LÄN</t>
        </is>
      </c>
      <c r="E5153" t="inlineStr">
        <is>
          <t>ÖSTRA GÖINGE</t>
        </is>
      </c>
      <c r="G5153" t="n">
        <v>7.2</v>
      </c>
      <c r="H5153" t="n">
        <v>0</v>
      </c>
      <c r="I5153" t="n">
        <v>0</v>
      </c>
      <c r="J5153" t="n">
        <v>0</v>
      </c>
      <c r="K5153" t="n">
        <v>0</v>
      </c>
      <c r="L5153" t="n">
        <v>0</v>
      </c>
      <c r="M5153" t="n">
        <v>0</v>
      </c>
      <c r="N5153" t="n">
        <v>0</v>
      </c>
      <c r="O5153" t="n">
        <v>0</v>
      </c>
      <c r="P5153" t="n">
        <v>0</v>
      </c>
      <c r="Q5153" t="n">
        <v>0</v>
      </c>
      <c r="R5153" s="2" t="inlineStr"/>
    </row>
    <row r="5154" ht="15" customHeight="1">
      <c r="A5154" t="inlineStr">
        <is>
          <t>A 57738-2023</t>
        </is>
      </c>
      <c r="B5154" s="1" t="n">
        <v>45243</v>
      </c>
      <c r="C5154" s="1" t="n">
        <v>45744</v>
      </c>
      <c r="D5154" t="inlineStr">
        <is>
          <t>SKÅNE LÄN</t>
        </is>
      </c>
      <c r="E5154" t="inlineStr">
        <is>
          <t>OSBY</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57735-2023</t>
        </is>
      </c>
      <c r="B5155" s="1" t="n">
        <v>45243</v>
      </c>
      <c r="C5155" s="1" t="n">
        <v>45744</v>
      </c>
      <c r="D5155" t="inlineStr">
        <is>
          <t>SKÅNE LÄN</t>
        </is>
      </c>
      <c r="E5155" t="inlineStr">
        <is>
          <t>HÄSSLEHOLM</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56972-2023</t>
        </is>
      </c>
      <c r="B5156" s="1" t="n">
        <v>45244</v>
      </c>
      <c r="C5156" s="1" t="n">
        <v>45744</v>
      </c>
      <c r="D5156" t="inlineStr">
        <is>
          <t>SKÅNE LÄN</t>
        </is>
      </c>
      <c r="E5156" t="inlineStr">
        <is>
          <t>KRISTIANSTAD</t>
        </is>
      </c>
      <c r="F5156" t="inlineStr">
        <is>
          <t>Övriga Aktiebolag</t>
        </is>
      </c>
      <c r="G5156" t="n">
        <v>8.9</v>
      </c>
      <c r="H5156" t="n">
        <v>0</v>
      </c>
      <c r="I5156" t="n">
        <v>0</v>
      </c>
      <c r="J5156" t="n">
        <v>0</v>
      </c>
      <c r="K5156" t="n">
        <v>0</v>
      </c>
      <c r="L5156" t="n">
        <v>0</v>
      </c>
      <c r="M5156" t="n">
        <v>0</v>
      </c>
      <c r="N5156" t="n">
        <v>0</v>
      </c>
      <c r="O5156" t="n">
        <v>0</v>
      </c>
      <c r="P5156" t="n">
        <v>0</v>
      </c>
      <c r="Q5156" t="n">
        <v>0</v>
      </c>
      <c r="R5156" s="2" t="inlineStr"/>
    </row>
    <row r="5157" ht="15" customHeight="1">
      <c r="A5157" t="inlineStr">
        <is>
          <t>A 56969-2023</t>
        </is>
      </c>
      <c r="B5157" s="1" t="n">
        <v>45244</v>
      </c>
      <c r="C5157" s="1" t="n">
        <v>45744</v>
      </c>
      <c r="D5157" t="inlineStr">
        <is>
          <t>SKÅNE LÄN</t>
        </is>
      </c>
      <c r="E5157" t="inlineStr">
        <is>
          <t>KRISTIANSTAD</t>
        </is>
      </c>
      <c r="F5157" t="inlineStr">
        <is>
          <t>Övriga Aktiebolag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57042-2023</t>
        </is>
      </c>
      <c r="B5158" s="1" t="n">
        <v>45244</v>
      </c>
      <c r="C5158" s="1" t="n">
        <v>45744</v>
      </c>
      <c r="D5158" t="inlineStr">
        <is>
          <t>SKÅNE LÄN</t>
        </is>
      </c>
      <c r="E5158" t="inlineStr">
        <is>
          <t>OSBY</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57039-2023</t>
        </is>
      </c>
      <c r="B5159" s="1" t="n">
        <v>45244</v>
      </c>
      <c r="C5159" s="1" t="n">
        <v>45744</v>
      </c>
      <c r="D5159" t="inlineStr">
        <is>
          <t>SKÅNE LÄN</t>
        </is>
      </c>
      <c r="E5159" t="inlineStr">
        <is>
          <t>OSBY</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57043-2023</t>
        </is>
      </c>
      <c r="B5160" s="1" t="n">
        <v>45244</v>
      </c>
      <c r="C5160" s="1" t="n">
        <v>45744</v>
      </c>
      <c r="D5160" t="inlineStr">
        <is>
          <t>SKÅNE LÄN</t>
        </is>
      </c>
      <c r="E5160" t="inlineStr">
        <is>
          <t>OSBY</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56940-2023</t>
        </is>
      </c>
      <c r="B5161" s="1" t="n">
        <v>45244</v>
      </c>
      <c r="C5161" s="1" t="n">
        <v>45744</v>
      </c>
      <c r="D5161" t="inlineStr">
        <is>
          <t>SKÅNE LÄN</t>
        </is>
      </c>
      <c r="E5161" t="inlineStr">
        <is>
          <t>HÖÖR</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57033-2023</t>
        </is>
      </c>
      <c r="B5162" s="1" t="n">
        <v>45244</v>
      </c>
      <c r="C5162" s="1" t="n">
        <v>45744</v>
      </c>
      <c r="D5162" t="inlineStr">
        <is>
          <t>SKÅNE LÄN</t>
        </is>
      </c>
      <c r="E5162" t="inlineStr">
        <is>
          <t>OSBY</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57045-2023</t>
        </is>
      </c>
      <c r="B5163" s="1" t="n">
        <v>45244</v>
      </c>
      <c r="C5163" s="1" t="n">
        <v>45744</v>
      </c>
      <c r="D5163" t="inlineStr">
        <is>
          <t>SKÅNE LÄN</t>
        </is>
      </c>
      <c r="E5163" t="inlineStr">
        <is>
          <t>OSBY</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57293-2023</t>
        </is>
      </c>
      <c r="B5164" s="1" t="n">
        <v>45245</v>
      </c>
      <c r="C5164" s="1" t="n">
        <v>45744</v>
      </c>
      <c r="D5164" t="inlineStr">
        <is>
          <t>SKÅNE LÄN</t>
        </is>
      </c>
      <c r="E5164" t="inlineStr">
        <is>
          <t>ÖSTRA GÖINGE</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57272-2023</t>
        </is>
      </c>
      <c r="B5165" s="1" t="n">
        <v>45245</v>
      </c>
      <c r="C5165" s="1" t="n">
        <v>45744</v>
      </c>
      <c r="D5165" t="inlineStr">
        <is>
          <t>SKÅNE LÄN</t>
        </is>
      </c>
      <c r="E5165" t="inlineStr">
        <is>
          <t>HÄSSLEHOLM</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57277-2023</t>
        </is>
      </c>
      <c r="B5166" s="1" t="n">
        <v>45245</v>
      </c>
      <c r="C5166" s="1" t="n">
        <v>45744</v>
      </c>
      <c r="D5166" t="inlineStr">
        <is>
          <t>SKÅNE LÄN</t>
        </is>
      </c>
      <c r="E5166" t="inlineStr">
        <is>
          <t>HÄSSLEHOLM</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57290-2023</t>
        </is>
      </c>
      <c r="B5167" s="1" t="n">
        <v>45245</v>
      </c>
      <c r="C5167" s="1" t="n">
        <v>45744</v>
      </c>
      <c r="D5167" t="inlineStr">
        <is>
          <t>SKÅNE LÄN</t>
        </is>
      </c>
      <c r="E5167" t="inlineStr">
        <is>
          <t>ÖSTRA GÖINGE</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57275-2023</t>
        </is>
      </c>
      <c r="B5168" s="1" t="n">
        <v>45245</v>
      </c>
      <c r="C5168" s="1" t="n">
        <v>45744</v>
      </c>
      <c r="D5168" t="inlineStr">
        <is>
          <t>SKÅNE LÄN</t>
        </is>
      </c>
      <c r="E5168" t="inlineStr">
        <is>
          <t>HÄSSLEHOLM</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57487-2023</t>
        </is>
      </c>
      <c r="B5169" s="1" t="n">
        <v>45246</v>
      </c>
      <c r="C5169" s="1" t="n">
        <v>45744</v>
      </c>
      <c r="D5169" t="inlineStr">
        <is>
          <t>SKÅNE LÄN</t>
        </is>
      </c>
      <c r="E5169" t="inlineStr">
        <is>
          <t>ÖSTRA GÖINGE</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57552-2023</t>
        </is>
      </c>
      <c r="B5170" s="1" t="n">
        <v>45246</v>
      </c>
      <c r="C5170" s="1" t="n">
        <v>45744</v>
      </c>
      <c r="D5170" t="inlineStr">
        <is>
          <t>SKÅNE LÄN</t>
        </is>
      </c>
      <c r="E5170" t="inlineStr">
        <is>
          <t>ÄNGELHOLM</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57489-2023</t>
        </is>
      </c>
      <c r="B5171" s="1" t="n">
        <v>45246</v>
      </c>
      <c r="C5171" s="1" t="n">
        <v>45744</v>
      </c>
      <c r="D5171" t="inlineStr">
        <is>
          <t>SKÅNE LÄN</t>
        </is>
      </c>
      <c r="E5171" t="inlineStr">
        <is>
          <t>ÖSTRA GÖINGE</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57695-2023</t>
        </is>
      </c>
      <c r="B5172" s="1" t="n">
        <v>45246</v>
      </c>
      <c r="C5172" s="1" t="n">
        <v>45744</v>
      </c>
      <c r="D5172" t="inlineStr">
        <is>
          <t>SKÅNE LÄN</t>
        </is>
      </c>
      <c r="E5172" t="inlineStr">
        <is>
          <t>HÄSSLEHOLM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57749-2023</t>
        </is>
      </c>
      <c r="B5173" s="1" t="n">
        <v>45246</v>
      </c>
      <c r="C5173" s="1" t="n">
        <v>45744</v>
      </c>
      <c r="D5173" t="inlineStr">
        <is>
          <t>SKÅNE LÄN</t>
        </is>
      </c>
      <c r="E5173" t="inlineStr">
        <is>
          <t>HÄSSLEHOLM</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57963-2023</t>
        </is>
      </c>
      <c r="B5174" s="1" t="n">
        <v>45247</v>
      </c>
      <c r="C5174" s="1" t="n">
        <v>45744</v>
      </c>
      <c r="D5174" t="inlineStr">
        <is>
          <t>SKÅNE LÄN</t>
        </is>
      </c>
      <c r="E5174" t="inlineStr">
        <is>
          <t>HÄSSLEHOLM</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57979-2023</t>
        </is>
      </c>
      <c r="B5175" s="1" t="n">
        <v>45247</v>
      </c>
      <c r="C5175" s="1" t="n">
        <v>45744</v>
      </c>
      <c r="D5175" t="inlineStr">
        <is>
          <t>SKÅNE LÄN</t>
        </is>
      </c>
      <c r="E5175" t="inlineStr">
        <is>
          <t>KRISTIANSTAD</t>
        </is>
      </c>
      <c r="G5175" t="n">
        <v>11.9</v>
      </c>
      <c r="H5175" t="n">
        <v>0</v>
      </c>
      <c r="I5175" t="n">
        <v>0</v>
      </c>
      <c r="J5175" t="n">
        <v>0</v>
      </c>
      <c r="K5175" t="n">
        <v>0</v>
      </c>
      <c r="L5175" t="n">
        <v>0</v>
      </c>
      <c r="M5175" t="n">
        <v>0</v>
      </c>
      <c r="N5175" t="n">
        <v>0</v>
      </c>
      <c r="O5175" t="n">
        <v>0</v>
      </c>
      <c r="P5175" t="n">
        <v>0</v>
      </c>
      <c r="Q5175" t="n">
        <v>0</v>
      </c>
      <c r="R5175" s="2" t="inlineStr"/>
    </row>
    <row r="5176" ht="15" customHeight="1">
      <c r="A5176" t="inlineStr">
        <is>
          <t>A 57961-2023</t>
        </is>
      </c>
      <c r="B5176" s="1" t="n">
        <v>45247</v>
      </c>
      <c r="C5176" s="1" t="n">
        <v>45744</v>
      </c>
      <c r="D5176" t="inlineStr">
        <is>
          <t>SKÅNE LÄN</t>
        </is>
      </c>
      <c r="E5176" t="inlineStr">
        <is>
          <t>TOMELILLA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57996-2023</t>
        </is>
      </c>
      <c r="B5177" s="1" t="n">
        <v>45247</v>
      </c>
      <c r="C5177" s="1" t="n">
        <v>45744</v>
      </c>
      <c r="D5177" t="inlineStr">
        <is>
          <t>SKÅNE LÄN</t>
        </is>
      </c>
      <c r="E5177" t="inlineStr">
        <is>
          <t>KRISTIANSTAD</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58007-2023</t>
        </is>
      </c>
      <c r="B5178" s="1" t="n">
        <v>45247</v>
      </c>
      <c r="C5178" s="1" t="n">
        <v>45744</v>
      </c>
      <c r="D5178" t="inlineStr">
        <is>
          <t>SKÅNE LÄN</t>
        </is>
      </c>
      <c r="E5178" t="inlineStr">
        <is>
          <t>KRISTIANSTAD</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57976-2023</t>
        </is>
      </c>
      <c r="B5179" s="1" t="n">
        <v>45247</v>
      </c>
      <c r="C5179" s="1" t="n">
        <v>45744</v>
      </c>
      <c r="D5179" t="inlineStr">
        <is>
          <t>SKÅNE LÄN</t>
        </is>
      </c>
      <c r="E5179" t="inlineStr">
        <is>
          <t>KRISTIANSTAD</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58003-2023</t>
        </is>
      </c>
      <c r="B5180" s="1" t="n">
        <v>45247</v>
      </c>
      <c r="C5180" s="1" t="n">
        <v>45744</v>
      </c>
      <c r="D5180" t="inlineStr">
        <is>
          <t>SKÅNE LÄN</t>
        </is>
      </c>
      <c r="E5180" t="inlineStr">
        <is>
          <t>KRISTIANSTAD</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58815-2023</t>
        </is>
      </c>
      <c r="B5181" s="1" t="n">
        <v>45247</v>
      </c>
      <c r="C5181" s="1" t="n">
        <v>45744</v>
      </c>
      <c r="D5181" t="inlineStr">
        <is>
          <t>SKÅNE LÄN</t>
        </is>
      </c>
      <c r="E5181" t="inlineStr">
        <is>
          <t>HÄSSLEHOLM</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57987-2023</t>
        </is>
      </c>
      <c r="B5182" s="1" t="n">
        <v>45247</v>
      </c>
      <c r="C5182" s="1" t="n">
        <v>45744</v>
      </c>
      <c r="D5182" t="inlineStr">
        <is>
          <t>SKÅNE LÄN</t>
        </is>
      </c>
      <c r="E5182" t="inlineStr">
        <is>
          <t>KRISTIANSTAD</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57967-2023</t>
        </is>
      </c>
      <c r="B5183" s="1" t="n">
        <v>45247</v>
      </c>
      <c r="C5183" s="1" t="n">
        <v>45744</v>
      </c>
      <c r="D5183" t="inlineStr">
        <is>
          <t>SKÅNE LÄN</t>
        </is>
      </c>
      <c r="E5183" t="inlineStr">
        <is>
          <t>HÄSSLEHOLM</t>
        </is>
      </c>
      <c r="G5183" t="n">
        <v>8.6</v>
      </c>
      <c r="H5183" t="n">
        <v>0</v>
      </c>
      <c r="I5183" t="n">
        <v>0</v>
      </c>
      <c r="J5183" t="n">
        <v>0</v>
      </c>
      <c r="K5183" t="n">
        <v>0</v>
      </c>
      <c r="L5183" t="n">
        <v>0</v>
      </c>
      <c r="M5183" t="n">
        <v>0</v>
      </c>
      <c r="N5183" t="n">
        <v>0</v>
      </c>
      <c r="O5183" t="n">
        <v>0</v>
      </c>
      <c r="P5183" t="n">
        <v>0</v>
      </c>
      <c r="Q5183" t="n">
        <v>0</v>
      </c>
      <c r="R5183" s="2" t="inlineStr"/>
    </row>
    <row r="5184" ht="15" customHeight="1">
      <c r="A5184" t="inlineStr">
        <is>
          <t>A 58360-2023</t>
        </is>
      </c>
      <c r="B5184" s="1" t="n">
        <v>45250</v>
      </c>
      <c r="C5184" s="1" t="n">
        <v>45744</v>
      </c>
      <c r="D5184" t="inlineStr">
        <is>
          <t>SKÅNE LÄN</t>
        </is>
      </c>
      <c r="E5184" t="inlineStr">
        <is>
          <t>HÖRBY</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58915-2023</t>
        </is>
      </c>
      <c r="B5185" s="1" t="n">
        <v>45250</v>
      </c>
      <c r="C5185" s="1" t="n">
        <v>45744</v>
      </c>
      <c r="D5185" t="inlineStr">
        <is>
          <t>SKÅNE LÄN</t>
        </is>
      </c>
      <c r="E5185" t="inlineStr">
        <is>
          <t>HÄSSLEHOLM</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58284-2023</t>
        </is>
      </c>
      <c r="B5186" s="1" t="n">
        <v>45250</v>
      </c>
      <c r="C5186" s="1" t="n">
        <v>45744</v>
      </c>
      <c r="D5186" t="inlineStr">
        <is>
          <t>SKÅNE LÄN</t>
        </is>
      </c>
      <c r="E5186" t="inlineStr">
        <is>
          <t>ÖRKELLJUNGA</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58834-2023</t>
        </is>
      </c>
      <c r="B5187" s="1" t="n">
        <v>45250</v>
      </c>
      <c r="C5187" s="1" t="n">
        <v>45744</v>
      </c>
      <c r="D5187" t="inlineStr">
        <is>
          <t>SKÅNE LÄN</t>
        </is>
      </c>
      <c r="E5187" t="inlineStr">
        <is>
          <t>HÄSSLEHOLM</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58523-2023</t>
        </is>
      </c>
      <c r="B5188" s="1" t="n">
        <v>45251</v>
      </c>
      <c r="C5188" s="1" t="n">
        <v>45744</v>
      </c>
      <c r="D5188" t="inlineStr">
        <is>
          <t>SKÅNE LÄN</t>
        </is>
      </c>
      <c r="E5188" t="inlineStr">
        <is>
          <t>OSBY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58475-2023</t>
        </is>
      </c>
      <c r="B5189" s="1" t="n">
        <v>45251</v>
      </c>
      <c r="C5189" s="1" t="n">
        <v>45744</v>
      </c>
      <c r="D5189" t="inlineStr">
        <is>
          <t>SKÅNE LÄN</t>
        </is>
      </c>
      <c r="E5189" t="inlineStr">
        <is>
          <t>ÖSTRA GÖINGE</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58641-2023</t>
        </is>
      </c>
      <c r="B5190" s="1" t="n">
        <v>45251</v>
      </c>
      <c r="C5190" s="1" t="n">
        <v>45744</v>
      </c>
      <c r="D5190" t="inlineStr">
        <is>
          <t>SKÅNE LÄN</t>
        </is>
      </c>
      <c r="E5190" t="inlineStr">
        <is>
          <t>HÖRBY</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58814-2023</t>
        </is>
      </c>
      <c r="B5191" s="1" t="n">
        <v>45252</v>
      </c>
      <c r="C5191" s="1" t="n">
        <v>45744</v>
      </c>
      <c r="D5191" t="inlineStr">
        <is>
          <t>SKÅNE LÄN</t>
        </is>
      </c>
      <c r="E5191" t="inlineStr">
        <is>
          <t>ÄNGELHOLM</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59028-2023</t>
        </is>
      </c>
      <c r="B5192" s="1" t="n">
        <v>45252</v>
      </c>
      <c r="C5192" s="1" t="n">
        <v>45744</v>
      </c>
      <c r="D5192" t="inlineStr">
        <is>
          <t>SKÅNE LÄN</t>
        </is>
      </c>
      <c r="E5192" t="inlineStr">
        <is>
          <t>HÄSSLEHOLM</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59033-2023</t>
        </is>
      </c>
      <c r="B5193" s="1" t="n">
        <v>45252</v>
      </c>
      <c r="C5193" s="1" t="n">
        <v>45744</v>
      </c>
      <c r="D5193" t="inlineStr">
        <is>
          <t>SKÅNE LÄN</t>
        </is>
      </c>
      <c r="E5193" t="inlineStr">
        <is>
          <t>OSBY</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58906-2023</t>
        </is>
      </c>
      <c r="B5194" s="1" t="n">
        <v>45252</v>
      </c>
      <c r="C5194" s="1" t="n">
        <v>45744</v>
      </c>
      <c r="D5194" t="inlineStr">
        <is>
          <t>SKÅNE LÄN</t>
        </is>
      </c>
      <c r="E5194" t="inlineStr">
        <is>
          <t>HÄSSLEHOLM</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59059-2023</t>
        </is>
      </c>
      <c r="B5195" s="1" t="n">
        <v>45252</v>
      </c>
      <c r="C5195" s="1" t="n">
        <v>45744</v>
      </c>
      <c r="D5195" t="inlineStr">
        <is>
          <t>SKÅNE LÄN</t>
        </is>
      </c>
      <c r="E5195" t="inlineStr">
        <is>
          <t>HÄSSLEHOLM</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59073-2023</t>
        </is>
      </c>
      <c r="B5196" s="1" t="n">
        <v>45252</v>
      </c>
      <c r="C5196" s="1" t="n">
        <v>45744</v>
      </c>
      <c r="D5196" t="inlineStr">
        <is>
          <t>SKÅNE LÄN</t>
        </is>
      </c>
      <c r="E5196" t="inlineStr">
        <is>
          <t>ÖSTRA GÖINGE</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59328-2023</t>
        </is>
      </c>
      <c r="B5197" s="1" t="n">
        <v>45252</v>
      </c>
      <c r="C5197" s="1" t="n">
        <v>45744</v>
      </c>
      <c r="D5197" t="inlineStr">
        <is>
          <t>SKÅNE LÄN</t>
        </is>
      </c>
      <c r="E5197" t="inlineStr">
        <is>
          <t>ÖSTRA GÖINGE</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59197-2023</t>
        </is>
      </c>
      <c r="B5198" s="1" t="n">
        <v>45252</v>
      </c>
      <c r="C5198" s="1" t="n">
        <v>45744</v>
      </c>
      <c r="D5198" t="inlineStr">
        <is>
          <t>SKÅNE LÄN</t>
        </is>
      </c>
      <c r="E5198" t="inlineStr">
        <is>
          <t>ÖSTRA GÖINGE</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59308-2023</t>
        </is>
      </c>
      <c r="B5199" s="1" t="n">
        <v>45253</v>
      </c>
      <c r="C5199" s="1" t="n">
        <v>45744</v>
      </c>
      <c r="D5199" t="inlineStr">
        <is>
          <t>SKÅNE LÄN</t>
        </is>
      </c>
      <c r="E5199" t="inlineStr">
        <is>
          <t>HÖRBY</t>
        </is>
      </c>
      <c r="F5199" t="inlineStr">
        <is>
          <t>Sveaskog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59109-2023</t>
        </is>
      </c>
      <c r="B5200" s="1" t="n">
        <v>45253</v>
      </c>
      <c r="C5200" s="1" t="n">
        <v>45744</v>
      </c>
      <c r="D5200" t="inlineStr">
        <is>
          <t>SKÅNE LÄN</t>
        </is>
      </c>
      <c r="E5200" t="inlineStr">
        <is>
          <t>HÄSSLEHOLM</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59305-2023</t>
        </is>
      </c>
      <c r="B5201" s="1" t="n">
        <v>45253</v>
      </c>
      <c r="C5201" s="1" t="n">
        <v>45744</v>
      </c>
      <c r="D5201" t="inlineStr">
        <is>
          <t>SKÅNE LÄN</t>
        </is>
      </c>
      <c r="E5201" t="inlineStr">
        <is>
          <t>HÖRBY</t>
        </is>
      </c>
      <c r="F5201" t="inlineStr">
        <is>
          <t>Sveaskog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59302-2023</t>
        </is>
      </c>
      <c r="B5202" s="1" t="n">
        <v>45253</v>
      </c>
      <c r="C5202" s="1" t="n">
        <v>45744</v>
      </c>
      <c r="D5202" t="inlineStr">
        <is>
          <t>SKÅNE LÄN</t>
        </is>
      </c>
      <c r="E5202" t="inlineStr">
        <is>
          <t>KRISTIANSTAD</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59391-2023</t>
        </is>
      </c>
      <c r="B5203" s="1" t="n">
        <v>45253</v>
      </c>
      <c r="C5203" s="1" t="n">
        <v>45744</v>
      </c>
      <c r="D5203" t="inlineStr">
        <is>
          <t>SKÅNE LÄN</t>
        </is>
      </c>
      <c r="E5203" t="inlineStr">
        <is>
          <t>ÖSTRA GÖINGE</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59604-2023</t>
        </is>
      </c>
      <c r="B5204" s="1" t="n">
        <v>45253</v>
      </c>
      <c r="C5204" s="1" t="n">
        <v>45744</v>
      </c>
      <c r="D5204" t="inlineStr">
        <is>
          <t>SKÅNE LÄN</t>
        </is>
      </c>
      <c r="E5204" t="inlineStr">
        <is>
          <t>SJÖBO</t>
        </is>
      </c>
      <c r="G5204" t="n">
        <v>6.7</v>
      </c>
      <c r="H5204" t="n">
        <v>0</v>
      </c>
      <c r="I5204" t="n">
        <v>0</v>
      </c>
      <c r="J5204" t="n">
        <v>0</v>
      </c>
      <c r="K5204" t="n">
        <v>0</v>
      </c>
      <c r="L5204" t="n">
        <v>0</v>
      </c>
      <c r="M5204" t="n">
        <v>0</v>
      </c>
      <c r="N5204" t="n">
        <v>0</v>
      </c>
      <c r="O5204" t="n">
        <v>0</v>
      </c>
      <c r="P5204" t="n">
        <v>0</v>
      </c>
      <c r="Q5204" t="n">
        <v>0</v>
      </c>
      <c r="R5204" s="2" t="inlineStr"/>
    </row>
    <row r="5205" ht="15" customHeight="1">
      <c r="A5205" t="inlineStr">
        <is>
          <t>A 59431-2023</t>
        </is>
      </c>
      <c r="B5205" s="1" t="n">
        <v>45254</v>
      </c>
      <c r="C5205" s="1" t="n">
        <v>45744</v>
      </c>
      <c r="D5205" t="inlineStr">
        <is>
          <t>SKÅNE LÄN</t>
        </is>
      </c>
      <c r="E5205" t="inlineStr">
        <is>
          <t>HÄSSLEHOLM</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59445-2023</t>
        </is>
      </c>
      <c r="B5206" s="1" t="n">
        <v>45254</v>
      </c>
      <c r="C5206" s="1" t="n">
        <v>45744</v>
      </c>
      <c r="D5206" t="inlineStr">
        <is>
          <t>SKÅNE LÄN</t>
        </is>
      </c>
      <c r="E5206" t="inlineStr">
        <is>
          <t>HÖRBY</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59434-2023</t>
        </is>
      </c>
      <c r="B5207" s="1" t="n">
        <v>45254</v>
      </c>
      <c r="C5207" s="1" t="n">
        <v>45744</v>
      </c>
      <c r="D5207" t="inlineStr">
        <is>
          <t>SKÅNE LÄN</t>
        </is>
      </c>
      <c r="E5207" t="inlineStr">
        <is>
          <t>HÄSSLEHOLM</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59448-2023</t>
        </is>
      </c>
      <c r="B5208" s="1" t="n">
        <v>45254</v>
      </c>
      <c r="C5208" s="1" t="n">
        <v>45744</v>
      </c>
      <c r="D5208" t="inlineStr">
        <is>
          <t>SKÅNE LÄN</t>
        </is>
      </c>
      <c r="E5208" t="inlineStr">
        <is>
          <t>HÖRBY</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59597-2023</t>
        </is>
      </c>
      <c r="B5209" s="1" t="n">
        <v>45254</v>
      </c>
      <c r="C5209" s="1" t="n">
        <v>45744</v>
      </c>
      <c r="D5209" t="inlineStr">
        <is>
          <t>SKÅNE LÄN</t>
        </is>
      </c>
      <c r="E5209" t="inlineStr">
        <is>
          <t>KRISTIANSTAD</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59601-2023</t>
        </is>
      </c>
      <c r="B5210" s="1" t="n">
        <v>45254</v>
      </c>
      <c r="C5210" s="1" t="n">
        <v>45744</v>
      </c>
      <c r="D5210" t="inlineStr">
        <is>
          <t>SKÅNE LÄN</t>
        </is>
      </c>
      <c r="E5210" t="inlineStr">
        <is>
          <t>ÖSTRA GÖINGE</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59429-2023</t>
        </is>
      </c>
      <c r="B5211" s="1" t="n">
        <v>45254</v>
      </c>
      <c r="C5211" s="1" t="n">
        <v>45744</v>
      </c>
      <c r="D5211" t="inlineStr">
        <is>
          <t>SKÅNE LÄN</t>
        </is>
      </c>
      <c r="E5211" t="inlineStr">
        <is>
          <t>HÄSSLEHOLM</t>
        </is>
      </c>
      <c r="G5211" t="n">
        <v>0</v>
      </c>
      <c r="H5211" t="n">
        <v>0</v>
      </c>
      <c r="I5211" t="n">
        <v>0</v>
      </c>
      <c r="J5211" t="n">
        <v>0</v>
      </c>
      <c r="K5211" t="n">
        <v>0</v>
      </c>
      <c r="L5211" t="n">
        <v>0</v>
      </c>
      <c r="M5211" t="n">
        <v>0</v>
      </c>
      <c r="N5211" t="n">
        <v>0</v>
      </c>
      <c r="O5211" t="n">
        <v>0</v>
      </c>
      <c r="P5211" t="n">
        <v>0</v>
      </c>
      <c r="Q5211" t="n">
        <v>0</v>
      </c>
      <c r="R5211" s="2" t="inlineStr"/>
    </row>
    <row r="5212" ht="15" customHeight="1">
      <c r="A5212" t="inlineStr">
        <is>
          <t>A 59433-2023</t>
        </is>
      </c>
      <c r="B5212" s="1" t="n">
        <v>45254</v>
      </c>
      <c r="C5212" s="1" t="n">
        <v>45744</v>
      </c>
      <c r="D5212" t="inlineStr">
        <is>
          <t>SKÅNE LÄN</t>
        </is>
      </c>
      <c r="E5212" t="inlineStr">
        <is>
          <t>HÄSSLEHOLM</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59556-2023</t>
        </is>
      </c>
      <c r="B5213" s="1" t="n">
        <v>45254</v>
      </c>
      <c r="C5213" s="1" t="n">
        <v>45744</v>
      </c>
      <c r="D5213" t="inlineStr">
        <is>
          <t>SKÅNE LÄN</t>
        </is>
      </c>
      <c r="E5213" t="inlineStr">
        <is>
          <t>HÄSSLEHOLM</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59677-2023</t>
        </is>
      </c>
      <c r="B5214" s="1" t="n">
        <v>45255</v>
      </c>
      <c r="C5214" s="1" t="n">
        <v>45744</v>
      </c>
      <c r="D5214" t="inlineStr">
        <is>
          <t>SKÅNE LÄN</t>
        </is>
      </c>
      <c r="E5214" t="inlineStr">
        <is>
          <t>OSBY</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59678-2023</t>
        </is>
      </c>
      <c r="B5215" s="1" t="n">
        <v>45255</v>
      </c>
      <c r="C5215" s="1" t="n">
        <v>45744</v>
      </c>
      <c r="D5215" t="inlineStr">
        <is>
          <t>SKÅNE LÄN</t>
        </is>
      </c>
      <c r="E5215" t="inlineStr">
        <is>
          <t>OSBY</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59675-2023</t>
        </is>
      </c>
      <c r="B5216" s="1" t="n">
        <v>45255</v>
      </c>
      <c r="C5216" s="1" t="n">
        <v>45744</v>
      </c>
      <c r="D5216" t="inlineStr">
        <is>
          <t>SKÅNE LÄN</t>
        </is>
      </c>
      <c r="E5216" t="inlineStr">
        <is>
          <t>OSBY</t>
        </is>
      </c>
      <c r="G5216" t="n">
        <v>8.300000000000001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59679-2023</t>
        </is>
      </c>
      <c r="B5217" s="1" t="n">
        <v>45255</v>
      </c>
      <c r="C5217" s="1" t="n">
        <v>45744</v>
      </c>
      <c r="D5217" t="inlineStr">
        <is>
          <t>SKÅNE LÄN</t>
        </is>
      </c>
      <c r="E5217" t="inlineStr">
        <is>
          <t>OSBY</t>
        </is>
      </c>
      <c r="G5217" t="n">
        <v>15.6</v>
      </c>
      <c r="H5217" t="n">
        <v>0</v>
      </c>
      <c r="I5217" t="n">
        <v>0</v>
      </c>
      <c r="J5217" t="n">
        <v>0</v>
      </c>
      <c r="K5217" t="n">
        <v>0</v>
      </c>
      <c r="L5217" t="n">
        <v>0</v>
      </c>
      <c r="M5217" t="n">
        <v>0</v>
      </c>
      <c r="N5217" t="n">
        <v>0</v>
      </c>
      <c r="O5217" t="n">
        <v>0</v>
      </c>
      <c r="P5217" t="n">
        <v>0</v>
      </c>
      <c r="Q5217" t="n">
        <v>0</v>
      </c>
      <c r="R5217" s="2" t="inlineStr"/>
    </row>
    <row r="5218" ht="15" customHeight="1">
      <c r="A5218" t="inlineStr">
        <is>
          <t>A 59709-2023</t>
        </is>
      </c>
      <c r="B5218" s="1" t="n">
        <v>45256</v>
      </c>
      <c r="C5218" s="1" t="n">
        <v>45744</v>
      </c>
      <c r="D5218" t="inlineStr">
        <is>
          <t>SKÅNE LÄN</t>
        </is>
      </c>
      <c r="E5218" t="inlineStr">
        <is>
          <t>ÖSTRA GÖINGE</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59724-2023</t>
        </is>
      </c>
      <c r="B5219" s="1" t="n">
        <v>45257</v>
      </c>
      <c r="C5219" s="1" t="n">
        <v>45744</v>
      </c>
      <c r="D5219" t="inlineStr">
        <is>
          <t>SKÅNE LÄN</t>
        </is>
      </c>
      <c r="E5219" t="inlineStr">
        <is>
          <t>SJÖBO</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59824-2023</t>
        </is>
      </c>
      <c r="B5220" s="1" t="n">
        <v>45257</v>
      </c>
      <c r="C5220" s="1" t="n">
        <v>45744</v>
      </c>
      <c r="D5220" t="inlineStr">
        <is>
          <t>SKÅNE LÄN</t>
        </is>
      </c>
      <c r="E5220" t="inlineStr">
        <is>
          <t>ÖRKELLJUNGA</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59733-2023</t>
        </is>
      </c>
      <c r="B5221" s="1" t="n">
        <v>45257</v>
      </c>
      <c r="C5221" s="1" t="n">
        <v>45744</v>
      </c>
      <c r="D5221" t="inlineStr">
        <is>
          <t>SKÅNE LÄN</t>
        </is>
      </c>
      <c r="E5221" t="inlineStr">
        <is>
          <t>LUND</t>
        </is>
      </c>
      <c r="G5221" t="n">
        <v>8.9</v>
      </c>
      <c r="H5221" t="n">
        <v>0</v>
      </c>
      <c r="I5221" t="n">
        <v>0</v>
      </c>
      <c r="J5221" t="n">
        <v>0</v>
      </c>
      <c r="K5221" t="n">
        <v>0</v>
      </c>
      <c r="L5221" t="n">
        <v>0</v>
      </c>
      <c r="M5221" t="n">
        <v>0</v>
      </c>
      <c r="N5221" t="n">
        <v>0</v>
      </c>
      <c r="O5221" t="n">
        <v>0</v>
      </c>
      <c r="P5221" t="n">
        <v>0</v>
      </c>
      <c r="Q5221" t="n">
        <v>0</v>
      </c>
      <c r="R5221" s="2" t="inlineStr"/>
    </row>
    <row r="5222" ht="15" customHeight="1">
      <c r="A5222" t="inlineStr">
        <is>
          <t>A 60460-2023</t>
        </is>
      </c>
      <c r="B5222" s="1" t="n">
        <v>45258</v>
      </c>
      <c r="C5222" s="1" t="n">
        <v>45744</v>
      </c>
      <c r="D5222" t="inlineStr">
        <is>
          <t>SKÅNE LÄN</t>
        </is>
      </c>
      <c r="E5222" t="inlineStr">
        <is>
          <t>KRISTIANSTAD</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60457-2023</t>
        </is>
      </c>
      <c r="B5223" s="1" t="n">
        <v>45258</v>
      </c>
      <c r="C5223" s="1" t="n">
        <v>45744</v>
      </c>
      <c r="D5223" t="inlineStr">
        <is>
          <t>SKÅNE LÄN</t>
        </is>
      </c>
      <c r="E5223" t="inlineStr">
        <is>
          <t>KRISTIANSTAD</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60498-2023</t>
        </is>
      </c>
      <c r="B5224" s="1" t="n">
        <v>45259</v>
      </c>
      <c r="C5224" s="1" t="n">
        <v>45744</v>
      </c>
      <c r="D5224" t="inlineStr">
        <is>
          <t>SKÅNE LÄN</t>
        </is>
      </c>
      <c r="E5224" t="inlineStr">
        <is>
          <t>PERSTORP</t>
        </is>
      </c>
      <c r="F5224" t="inlineStr">
        <is>
          <t>Övriga Aktiebolag</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60511-2023</t>
        </is>
      </c>
      <c r="B5225" s="1" t="n">
        <v>45259</v>
      </c>
      <c r="C5225" s="1" t="n">
        <v>45744</v>
      </c>
      <c r="D5225" t="inlineStr">
        <is>
          <t>SKÅNE LÄN</t>
        </is>
      </c>
      <c r="E5225" t="inlineStr">
        <is>
          <t>PERSTORP</t>
        </is>
      </c>
      <c r="F5225" t="inlineStr">
        <is>
          <t>Övriga Aktiebolag</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60515-2023</t>
        </is>
      </c>
      <c r="B5226" s="1" t="n">
        <v>45259</v>
      </c>
      <c r="C5226" s="1" t="n">
        <v>45744</v>
      </c>
      <c r="D5226" t="inlineStr">
        <is>
          <t>SKÅNE LÄN</t>
        </is>
      </c>
      <c r="E5226" t="inlineStr">
        <is>
          <t>HÄSSLEHOLM</t>
        </is>
      </c>
      <c r="F5226" t="inlineStr">
        <is>
          <t>Övriga Aktiebolag</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60504-2023</t>
        </is>
      </c>
      <c r="B5227" s="1" t="n">
        <v>45259</v>
      </c>
      <c r="C5227" s="1" t="n">
        <v>45744</v>
      </c>
      <c r="D5227" t="inlineStr">
        <is>
          <t>SKÅNE LÄN</t>
        </is>
      </c>
      <c r="E5227" t="inlineStr">
        <is>
          <t>PERSTORP</t>
        </is>
      </c>
      <c r="F5227" t="inlineStr">
        <is>
          <t>Övriga Aktiebolag</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60527-2023</t>
        </is>
      </c>
      <c r="B5228" s="1" t="n">
        <v>45259</v>
      </c>
      <c r="C5228" s="1" t="n">
        <v>45744</v>
      </c>
      <c r="D5228" t="inlineStr">
        <is>
          <t>SKÅNE LÄN</t>
        </is>
      </c>
      <c r="E5228" t="inlineStr">
        <is>
          <t>KLIPPAN</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60501-2023</t>
        </is>
      </c>
      <c r="B5229" s="1" t="n">
        <v>45259</v>
      </c>
      <c r="C5229" s="1" t="n">
        <v>45744</v>
      </c>
      <c r="D5229" t="inlineStr">
        <is>
          <t>SKÅNE LÄN</t>
        </is>
      </c>
      <c r="E5229" t="inlineStr">
        <is>
          <t>PERSTORP</t>
        </is>
      </c>
      <c r="F5229" t="inlineStr">
        <is>
          <t>Övriga Aktiebolag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60506-2023</t>
        </is>
      </c>
      <c r="B5230" s="1" t="n">
        <v>45259</v>
      </c>
      <c r="C5230" s="1" t="n">
        <v>45744</v>
      </c>
      <c r="D5230" t="inlineStr">
        <is>
          <t>SKÅNE LÄN</t>
        </is>
      </c>
      <c r="E5230" t="inlineStr">
        <is>
          <t>PERSTORP</t>
        </is>
      </c>
      <c r="F5230" t="inlineStr">
        <is>
          <t>Övriga Aktiebolag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60371-2023</t>
        </is>
      </c>
      <c r="B5231" s="1" t="n">
        <v>45259</v>
      </c>
      <c r="C5231" s="1" t="n">
        <v>45744</v>
      </c>
      <c r="D5231" t="inlineStr">
        <is>
          <t>SKÅNE LÄN</t>
        </is>
      </c>
      <c r="E5231" t="inlineStr">
        <is>
          <t>SJÖBO</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60519-2023</t>
        </is>
      </c>
      <c r="B5232" s="1" t="n">
        <v>45259</v>
      </c>
      <c r="C5232" s="1" t="n">
        <v>45744</v>
      </c>
      <c r="D5232" t="inlineStr">
        <is>
          <t>SKÅNE LÄN</t>
        </is>
      </c>
      <c r="E5232" t="inlineStr">
        <is>
          <t>ÖSTRA GÖINGE</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60509-2023</t>
        </is>
      </c>
      <c r="B5233" s="1" t="n">
        <v>45259</v>
      </c>
      <c r="C5233" s="1" t="n">
        <v>45744</v>
      </c>
      <c r="D5233" t="inlineStr">
        <is>
          <t>SKÅNE LÄN</t>
        </is>
      </c>
      <c r="E5233" t="inlineStr">
        <is>
          <t>HÄSSLEHOLM</t>
        </is>
      </c>
      <c r="F5233" t="inlineStr">
        <is>
          <t>Övriga Aktiebolag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60561-2023</t>
        </is>
      </c>
      <c r="B5234" s="1" t="n">
        <v>45259</v>
      </c>
      <c r="C5234" s="1" t="n">
        <v>45744</v>
      </c>
      <c r="D5234" t="inlineStr">
        <is>
          <t>SKÅNE LÄN</t>
        </is>
      </c>
      <c r="E5234" t="inlineStr">
        <is>
          <t>HÄSSLEHOLM</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60620-2023</t>
        </is>
      </c>
      <c r="B5235" s="1" t="n">
        <v>45259</v>
      </c>
      <c r="C5235" s="1" t="n">
        <v>45744</v>
      </c>
      <c r="D5235" t="inlineStr">
        <is>
          <t>SKÅNE LÄN</t>
        </is>
      </c>
      <c r="E5235" t="inlineStr">
        <is>
          <t>TOMELILLA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60586-2023</t>
        </is>
      </c>
      <c r="B5236" s="1" t="n">
        <v>45259</v>
      </c>
      <c r="C5236" s="1" t="n">
        <v>45744</v>
      </c>
      <c r="D5236" t="inlineStr">
        <is>
          <t>SKÅNE LÄN</t>
        </is>
      </c>
      <c r="E5236" t="inlineStr">
        <is>
          <t>HÄSSLEHOLM</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60585-2023</t>
        </is>
      </c>
      <c r="B5237" s="1" t="n">
        <v>45259</v>
      </c>
      <c r="C5237" s="1" t="n">
        <v>45744</v>
      </c>
      <c r="D5237" t="inlineStr">
        <is>
          <t>SKÅNE LÄN</t>
        </is>
      </c>
      <c r="E5237" t="inlineStr">
        <is>
          <t>HÖRBY</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60623-2023</t>
        </is>
      </c>
      <c r="B5238" s="1" t="n">
        <v>45259</v>
      </c>
      <c r="C5238" s="1" t="n">
        <v>45744</v>
      </c>
      <c r="D5238" t="inlineStr">
        <is>
          <t>SKÅNE LÄN</t>
        </is>
      </c>
      <c r="E5238" t="inlineStr">
        <is>
          <t>TOMELILLA</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61018-2023</t>
        </is>
      </c>
      <c r="B5239" s="1" t="n">
        <v>45259</v>
      </c>
      <c r="C5239" s="1" t="n">
        <v>45744</v>
      </c>
      <c r="D5239" t="inlineStr">
        <is>
          <t>SKÅNE LÄN</t>
        </is>
      </c>
      <c r="E5239" t="inlineStr">
        <is>
          <t>OSBY</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61029-2023</t>
        </is>
      </c>
      <c r="B5240" s="1" t="n">
        <v>45259</v>
      </c>
      <c r="C5240" s="1" t="n">
        <v>45744</v>
      </c>
      <c r="D5240" t="inlineStr">
        <is>
          <t>SKÅNE LÄN</t>
        </is>
      </c>
      <c r="E5240" t="inlineStr">
        <is>
          <t>OSBY</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61024-2023</t>
        </is>
      </c>
      <c r="B5241" s="1" t="n">
        <v>45259</v>
      </c>
      <c r="C5241" s="1" t="n">
        <v>45744</v>
      </c>
      <c r="D5241" t="inlineStr">
        <is>
          <t>SKÅNE LÄN</t>
        </is>
      </c>
      <c r="E5241" t="inlineStr">
        <is>
          <t>OSBY</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60665-2023</t>
        </is>
      </c>
      <c r="B5242" s="1" t="n">
        <v>45260</v>
      </c>
      <c r="C5242" s="1" t="n">
        <v>45744</v>
      </c>
      <c r="D5242" t="inlineStr">
        <is>
          <t>SKÅNE LÄN</t>
        </is>
      </c>
      <c r="E5242" t="inlineStr">
        <is>
          <t>KLIPPAN</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60653-2023</t>
        </is>
      </c>
      <c r="B5243" s="1" t="n">
        <v>45260</v>
      </c>
      <c r="C5243" s="1" t="n">
        <v>45744</v>
      </c>
      <c r="D5243" t="inlineStr">
        <is>
          <t>SKÅNE LÄN</t>
        </is>
      </c>
      <c r="E5243" t="inlineStr">
        <is>
          <t>HÄSSLEHOLM</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60774-2023</t>
        </is>
      </c>
      <c r="B5244" s="1" t="n">
        <v>45260</v>
      </c>
      <c r="C5244" s="1" t="n">
        <v>45744</v>
      </c>
      <c r="D5244" t="inlineStr">
        <is>
          <t>SKÅNE LÄN</t>
        </is>
      </c>
      <c r="E5244" t="inlineStr">
        <is>
          <t>HÄSSLEHOLM</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60778-2023</t>
        </is>
      </c>
      <c r="B5245" s="1" t="n">
        <v>45260</v>
      </c>
      <c r="C5245" s="1" t="n">
        <v>45744</v>
      </c>
      <c r="D5245" t="inlineStr">
        <is>
          <t>SKÅNE LÄN</t>
        </is>
      </c>
      <c r="E5245" t="inlineStr">
        <is>
          <t>SJÖBO</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60809-2023</t>
        </is>
      </c>
      <c r="B5246" s="1" t="n">
        <v>45260</v>
      </c>
      <c r="C5246" s="1" t="n">
        <v>45744</v>
      </c>
      <c r="D5246" t="inlineStr">
        <is>
          <t>SKÅNE LÄN</t>
        </is>
      </c>
      <c r="E5246" t="inlineStr">
        <is>
          <t>TOMELILLA</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60813-2023</t>
        </is>
      </c>
      <c r="B5247" s="1" t="n">
        <v>45260</v>
      </c>
      <c r="C5247" s="1" t="n">
        <v>45744</v>
      </c>
      <c r="D5247" t="inlineStr">
        <is>
          <t>SKÅNE LÄN</t>
        </is>
      </c>
      <c r="E5247" t="inlineStr">
        <is>
          <t>TOMELILLA</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60791-2023</t>
        </is>
      </c>
      <c r="B5248" s="1" t="n">
        <v>45260</v>
      </c>
      <c r="C5248" s="1" t="n">
        <v>45744</v>
      </c>
      <c r="D5248" t="inlineStr">
        <is>
          <t>SKÅNE LÄN</t>
        </is>
      </c>
      <c r="E5248" t="inlineStr">
        <is>
          <t>KLIPPAN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60803-2023</t>
        </is>
      </c>
      <c r="B5249" s="1" t="n">
        <v>45260</v>
      </c>
      <c r="C5249" s="1" t="n">
        <v>45744</v>
      </c>
      <c r="D5249" t="inlineStr">
        <is>
          <t>SKÅNE LÄN</t>
        </is>
      </c>
      <c r="E5249" t="inlineStr">
        <is>
          <t>YSTAD</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60704-2023</t>
        </is>
      </c>
      <c r="B5250" s="1" t="n">
        <v>45260</v>
      </c>
      <c r="C5250" s="1" t="n">
        <v>45744</v>
      </c>
      <c r="D5250" t="inlineStr">
        <is>
          <t>SKÅNE LÄN</t>
        </is>
      </c>
      <c r="E5250" t="inlineStr">
        <is>
          <t>HÄSSLEHOLM</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60725-2023</t>
        </is>
      </c>
      <c r="B5251" s="1" t="n">
        <v>45260</v>
      </c>
      <c r="C5251" s="1" t="n">
        <v>45744</v>
      </c>
      <c r="D5251" t="inlineStr">
        <is>
          <t>SKÅNE LÄN</t>
        </is>
      </c>
      <c r="E5251" t="inlineStr">
        <is>
          <t>ÄNGELHOLM</t>
        </is>
      </c>
      <c r="G5251" t="n">
        <v>9</v>
      </c>
      <c r="H5251" t="n">
        <v>0</v>
      </c>
      <c r="I5251" t="n">
        <v>0</v>
      </c>
      <c r="J5251" t="n">
        <v>0</v>
      </c>
      <c r="K5251" t="n">
        <v>0</v>
      </c>
      <c r="L5251" t="n">
        <v>0</v>
      </c>
      <c r="M5251" t="n">
        <v>0</v>
      </c>
      <c r="N5251" t="n">
        <v>0</v>
      </c>
      <c r="O5251" t="n">
        <v>0</v>
      </c>
      <c r="P5251" t="n">
        <v>0</v>
      </c>
      <c r="Q5251" t="n">
        <v>0</v>
      </c>
      <c r="R5251" s="2" t="inlineStr"/>
    </row>
    <row r="5252" ht="15" customHeight="1">
      <c r="A5252" t="inlineStr">
        <is>
          <t>A 60783-2023</t>
        </is>
      </c>
      <c r="B5252" s="1" t="n">
        <v>45260</v>
      </c>
      <c r="C5252" s="1" t="n">
        <v>45744</v>
      </c>
      <c r="D5252" t="inlineStr">
        <is>
          <t>SKÅNE LÄN</t>
        </is>
      </c>
      <c r="E5252" t="inlineStr">
        <is>
          <t>KLIPPAN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60817-2023</t>
        </is>
      </c>
      <c r="B5253" s="1" t="n">
        <v>45260</v>
      </c>
      <c r="C5253" s="1" t="n">
        <v>45744</v>
      </c>
      <c r="D5253" t="inlineStr">
        <is>
          <t>SKÅNE LÄN</t>
        </is>
      </c>
      <c r="E5253" t="inlineStr">
        <is>
          <t>TOMELILLA</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60815-2023</t>
        </is>
      </c>
      <c r="B5254" s="1" t="n">
        <v>45260</v>
      </c>
      <c r="C5254" s="1" t="n">
        <v>45744</v>
      </c>
      <c r="D5254" t="inlineStr">
        <is>
          <t>SKÅNE LÄN</t>
        </is>
      </c>
      <c r="E5254" t="inlineStr">
        <is>
          <t>TOMELILLA</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61356-2023</t>
        </is>
      </c>
      <c r="B5255" s="1" t="n">
        <v>45260</v>
      </c>
      <c r="C5255" s="1" t="n">
        <v>45744</v>
      </c>
      <c r="D5255" t="inlineStr">
        <is>
          <t>SKÅNE LÄN</t>
        </is>
      </c>
      <c r="E5255" t="inlineStr">
        <is>
          <t>KRISTIANSTAD</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61402-2023</t>
        </is>
      </c>
      <c r="B5256" s="1" t="n">
        <v>45260</v>
      </c>
      <c r="C5256" s="1" t="n">
        <v>45744</v>
      </c>
      <c r="D5256" t="inlineStr">
        <is>
          <t>SKÅNE LÄN</t>
        </is>
      </c>
      <c r="E5256" t="inlineStr">
        <is>
          <t>KRISTIANSTAD</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60913-2023</t>
        </is>
      </c>
      <c r="B5257" s="1" t="n">
        <v>45261</v>
      </c>
      <c r="C5257" s="1" t="n">
        <v>45744</v>
      </c>
      <c r="D5257" t="inlineStr">
        <is>
          <t>SKÅNE LÄN</t>
        </is>
      </c>
      <c r="E5257" t="inlineStr">
        <is>
          <t>HÖRBY</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61014-2023</t>
        </is>
      </c>
      <c r="B5258" s="1" t="n">
        <v>45261</v>
      </c>
      <c r="C5258" s="1" t="n">
        <v>45744</v>
      </c>
      <c r="D5258" t="inlineStr">
        <is>
          <t>SKÅNE LÄN</t>
        </is>
      </c>
      <c r="E5258" t="inlineStr">
        <is>
          <t>SVALÖV</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60963-2023</t>
        </is>
      </c>
      <c r="B5259" s="1" t="n">
        <v>45261</v>
      </c>
      <c r="C5259" s="1" t="n">
        <v>45744</v>
      </c>
      <c r="D5259" t="inlineStr">
        <is>
          <t>SKÅNE LÄN</t>
        </is>
      </c>
      <c r="E5259" t="inlineStr">
        <is>
          <t>HÖRBY</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60995-2023</t>
        </is>
      </c>
      <c r="B5260" s="1" t="n">
        <v>45261</v>
      </c>
      <c r="C5260" s="1" t="n">
        <v>45744</v>
      </c>
      <c r="D5260" t="inlineStr">
        <is>
          <t>SKÅNE LÄN</t>
        </is>
      </c>
      <c r="E5260" t="inlineStr">
        <is>
          <t>ÖSTRA GÖINGE</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61011-2023</t>
        </is>
      </c>
      <c r="B5261" s="1" t="n">
        <v>45261</v>
      </c>
      <c r="C5261" s="1" t="n">
        <v>45744</v>
      </c>
      <c r="D5261" t="inlineStr">
        <is>
          <t>SKÅNE LÄN</t>
        </is>
      </c>
      <c r="E5261" t="inlineStr">
        <is>
          <t>HÖÖR</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61030-2023</t>
        </is>
      </c>
      <c r="B5262" s="1" t="n">
        <v>45261</v>
      </c>
      <c r="C5262" s="1" t="n">
        <v>45744</v>
      </c>
      <c r="D5262" t="inlineStr">
        <is>
          <t>SKÅNE LÄN</t>
        </is>
      </c>
      <c r="E5262" t="inlineStr">
        <is>
          <t>SVALÖV</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61041-2023</t>
        </is>
      </c>
      <c r="B5263" s="1" t="n">
        <v>45261</v>
      </c>
      <c r="C5263" s="1" t="n">
        <v>45744</v>
      </c>
      <c r="D5263" t="inlineStr">
        <is>
          <t>SKÅNE LÄN</t>
        </is>
      </c>
      <c r="E5263" t="inlineStr">
        <is>
          <t>HÄSSLEHOLM</t>
        </is>
      </c>
      <c r="G5263" t="n">
        <v>5.4</v>
      </c>
      <c r="H5263" t="n">
        <v>0</v>
      </c>
      <c r="I5263" t="n">
        <v>0</v>
      </c>
      <c r="J5263" t="n">
        <v>0</v>
      </c>
      <c r="K5263" t="n">
        <v>0</v>
      </c>
      <c r="L5263" t="n">
        <v>0</v>
      </c>
      <c r="M5263" t="n">
        <v>0</v>
      </c>
      <c r="N5263" t="n">
        <v>0</v>
      </c>
      <c r="O5263" t="n">
        <v>0</v>
      </c>
      <c r="P5263" t="n">
        <v>0</v>
      </c>
      <c r="Q5263" t="n">
        <v>0</v>
      </c>
      <c r="R5263" s="2" t="inlineStr"/>
    </row>
    <row r="5264" ht="15" customHeight="1">
      <c r="A5264" t="inlineStr">
        <is>
          <t>A 61180-2023</t>
        </is>
      </c>
      <c r="B5264" s="1" t="n">
        <v>45263</v>
      </c>
      <c r="C5264" s="1" t="n">
        <v>45744</v>
      </c>
      <c r="D5264" t="inlineStr">
        <is>
          <t>SKÅNE LÄN</t>
        </is>
      </c>
      <c r="E5264" t="inlineStr">
        <is>
          <t>ÄNGELHOLM</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61364-2023</t>
        </is>
      </c>
      <c r="B5265" s="1" t="n">
        <v>45264</v>
      </c>
      <c r="C5265" s="1" t="n">
        <v>45744</v>
      </c>
      <c r="D5265" t="inlineStr">
        <is>
          <t>SKÅNE LÄN</t>
        </is>
      </c>
      <c r="E5265" t="inlineStr">
        <is>
          <t>OSBY</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61407-2023</t>
        </is>
      </c>
      <c r="B5266" s="1" t="n">
        <v>45264</v>
      </c>
      <c r="C5266" s="1" t="n">
        <v>45744</v>
      </c>
      <c r="D5266" t="inlineStr">
        <is>
          <t>SKÅNE LÄN</t>
        </is>
      </c>
      <c r="E5266" t="inlineStr">
        <is>
          <t>HÄSSLEHOLM</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61271-2023</t>
        </is>
      </c>
      <c r="B5267" s="1" t="n">
        <v>45264</v>
      </c>
      <c r="C5267" s="1" t="n">
        <v>45744</v>
      </c>
      <c r="D5267" t="inlineStr">
        <is>
          <t>SKÅNE LÄN</t>
        </is>
      </c>
      <c r="E5267" t="inlineStr">
        <is>
          <t>HÄSSLEHOLM</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61373-2023</t>
        </is>
      </c>
      <c r="B5268" s="1" t="n">
        <v>45264</v>
      </c>
      <c r="C5268" s="1" t="n">
        <v>45744</v>
      </c>
      <c r="D5268" t="inlineStr">
        <is>
          <t>SKÅNE LÄN</t>
        </is>
      </c>
      <c r="E5268" t="inlineStr">
        <is>
          <t>SVALÖV</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61682-2023</t>
        </is>
      </c>
      <c r="B5269" s="1" t="n">
        <v>45264</v>
      </c>
      <c r="C5269" s="1" t="n">
        <v>45744</v>
      </c>
      <c r="D5269" t="inlineStr">
        <is>
          <t>SKÅNE LÄN</t>
        </is>
      </c>
      <c r="E5269" t="inlineStr">
        <is>
          <t>KLIPPAN</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61591-2023</t>
        </is>
      </c>
      <c r="B5270" s="1" t="n">
        <v>45265</v>
      </c>
      <c r="C5270" s="1" t="n">
        <v>45744</v>
      </c>
      <c r="D5270" t="inlineStr">
        <is>
          <t>SKÅNE LÄN</t>
        </is>
      </c>
      <c r="E5270" t="inlineStr">
        <is>
          <t>HÖRBY</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61595-2023</t>
        </is>
      </c>
      <c r="B5271" s="1" t="n">
        <v>45265</v>
      </c>
      <c r="C5271" s="1" t="n">
        <v>45744</v>
      </c>
      <c r="D5271" t="inlineStr">
        <is>
          <t>SKÅNE LÄN</t>
        </is>
      </c>
      <c r="E5271" t="inlineStr">
        <is>
          <t>HÖRBY</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61578-2023</t>
        </is>
      </c>
      <c r="B5272" s="1" t="n">
        <v>45265</v>
      </c>
      <c r="C5272" s="1" t="n">
        <v>45744</v>
      </c>
      <c r="D5272" t="inlineStr">
        <is>
          <t>SKÅNE LÄN</t>
        </is>
      </c>
      <c r="E5272" t="inlineStr">
        <is>
          <t>HÄSSLEHOLM</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61605-2023</t>
        </is>
      </c>
      <c r="B5273" s="1" t="n">
        <v>45265</v>
      </c>
      <c r="C5273" s="1" t="n">
        <v>45744</v>
      </c>
      <c r="D5273" t="inlineStr">
        <is>
          <t>SKÅNE LÄN</t>
        </is>
      </c>
      <c r="E5273" t="inlineStr">
        <is>
          <t>KRISTIANSTAD</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61655-2023</t>
        </is>
      </c>
      <c r="B5274" s="1" t="n">
        <v>45265</v>
      </c>
      <c r="C5274" s="1" t="n">
        <v>45744</v>
      </c>
      <c r="D5274" t="inlineStr">
        <is>
          <t>SKÅNE LÄN</t>
        </is>
      </c>
      <c r="E5274" t="inlineStr">
        <is>
          <t>HÄSSLEHOLM</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61550-2023</t>
        </is>
      </c>
      <c r="B5275" s="1" t="n">
        <v>45265</v>
      </c>
      <c r="C5275" s="1" t="n">
        <v>45744</v>
      </c>
      <c r="D5275" t="inlineStr">
        <is>
          <t>SKÅNE LÄN</t>
        </is>
      </c>
      <c r="E5275" t="inlineStr">
        <is>
          <t>KRISTIANSTAD</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61562-2023</t>
        </is>
      </c>
      <c r="B5276" s="1" t="n">
        <v>45265</v>
      </c>
      <c r="C5276" s="1" t="n">
        <v>45744</v>
      </c>
      <c r="D5276" t="inlineStr">
        <is>
          <t>SKÅNE LÄN</t>
        </is>
      </c>
      <c r="E5276" t="inlineStr">
        <is>
          <t>HÄSSLEHOLM</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61569-2023</t>
        </is>
      </c>
      <c r="B5277" s="1" t="n">
        <v>45265</v>
      </c>
      <c r="C5277" s="1" t="n">
        <v>45744</v>
      </c>
      <c r="D5277" t="inlineStr">
        <is>
          <t>SKÅNE LÄN</t>
        </is>
      </c>
      <c r="E5277" t="inlineStr">
        <is>
          <t>HÄSSLEHOLM</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61574-2023</t>
        </is>
      </c>
      <c r="B5278" s="1" t="n">
        <v>45265</v>
      </c>
      <c r="C5278" s="1" t="n">
        <v>45744</v>
      </c>
      <c r="D5278" t="inlineStr">
        <is>
          <t>SKÅNE LÄN</t>
        </is>
      </c>
      <c r="E5278" t="inlineStr">
        <is>
          <t>HÄSSLEHOLM</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61602-2023</t>
        </is>
      </c>
      <c r="B5279" s="1" t="n">
        <v>45265</v>
      </c>
      <c r="C5279" s="1" t="n">
        <v>45744</v>
      </c>
      <c r="D5279" t="inlineStr">
        <is>
          <t>SKÅNE LÄN</t>
        </is>
      </c>
      <c r="E5279" t="inlineStr">
        <is>
          <t>OSBY</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61702-2023</t>
        </is>
      </c>
      <c r="B5280" s="1" t="n">
        <v>45265</v>
      </c>
      <c r="C5280" s="1" t="n">
        <v>45744</v>
      </c>
      <c r="D5280" t="inlineStr">
        <is>
          <t>SKÅNE LÄN</t>
        </is>
      </c>
      <c r="E5280" t="inlineStr">
        <is>
          <t>PERSTORP</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61731-2023</t>
        </is>
      </c>
      <c r="B5281" s="1" t="n">
        <v>45265</v>
      </c>
      <c r="C5281" s="1" t="n">
        <v>45744</v>
      </c>
      <c r="D5281" t="inlineStr">
        <is>
          <t>SKÅNE LÄN</t>
        </is>
      </c>
      <c r="E5281" t="inlineStr">
        <is>
          <t>HÄSSLEHOLM</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61875-2023</t>
        </is>
      </c>
      <c r="B5282" s="1" t="n">
        <v>45265</v>
      </c>
      <c r="C5282" s="1" t="n">
        <v>45744</v>
      </c>
      <c r="D5282" t="inlineStr">
        <is>
          <t>SKÅNE LÄN</t>
        </is>
      </c>
      <c r="E5282" t="inlineStr">
        <is>
          <t>SJÖBO</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61859-2023</t>
        </is>
      </c>
      <c r="B5283" s="1" t="n">
        <v>45265</v>
      </c>
      <c r="C5283" s="1" t="n">
        <v>45744</v>
      </c>
      <c r="D5283" t="inlineStr">
        <is>
          <t>SKÅNE LÄN</t>
        </is>
      </c>
      <c r="E5283" t="inlineStr">
        <is>
          <t>PERSTORP</t>
        </is>
      </c>
      <c r="F5283" t="inlineStr">
        <is>
          <t>Övriga Aktiebolag</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61929-2023</t>
        </is>
      </c>
      <c r="B5284" s="1" t="n">
        <v>45266</v>
      </c>
      <c r="C5284" s="1" t="n">
        <v>45744</v>
      </c>
      <c r="D5284" t="inlineStr">
        <is>
          <t>SKÅNE LÄN</t>
        </is>
      </c>
      <c r="E5284" t="inlineStr">
        <is>
          <t>HÄSSLEHOLM</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61934-2023</t>
        </is>
      </c>
      <c r="B5285" s="1" t="n">
        <v>45266</v>
      </c>
      <c r="C5285" s="1" t="n">
        <v>45744</v>
      </c>
      <c r="D5285" t="inlineStr">
        <is>
          <t>SKÅNE LÄN</t>
        </is>
      </c>
      <c r="E5285" t="inlineStr">
        <is>
          <t>HÄSSLEHOLM</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62055-2023</t>
        </is>
      </c>
      <c r="B5286" s="1" t="n">
        <v>45266</v>
      </c>
      <c r="C5286" s="1" t="n">
        <v>45744</v>
      </c>
      <c r="D5286" t="inlineStr">
        <is>
          <t>SKÅNE LÄN</t>
        </is>
      </c>
      <c r="E5286" t="inlineStr">
        <is>
          <t>HÄSSLEHOLM</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61926-2023</t>
        </is>
      </c>
      <c r="B5287" s="1" t="n">
        <v>45266</v>
      </c>
      <c r="C5287" s="1" t="n">
        <v>45744</v>
      </c>
      <c r="D5287" t="inlineStr">
        <is>
          <t>SKÅNE LÄN</t>
        </is>
      </c>
      <c r="E5287" t="inlineStr">
        <is>
          <t>ÖSTRA GÖINGE</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61932-2023</t>
        </is>
      </c>
      <c r="B5288" s="1" t="n">
        <v>45266</v>
      </c>
      <c r="C5288" s="1" t="n">
        <v>45744</v>
      </c>
      <c r="D5288" t="inlineStr">
        <is>
          <t>SKÅNE LÄN</t>
        </is>
      </c>
      <c r="E5288" t="inlineStr">
        <is>
          <t>HÄSSLEHOLM</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62277-2023</t>
        </is>
      </c>
      <c r="B5289" s="1" t="n">
        <v>45266</v>
      </c>
      <c r="C5289" s="1" t="n">
        <v>45744</v>
      </c>
      <c r="D5289" t="inlineStr">
        <is>
          <t>SKÅNE LÄN</t>
        </is>
      </c>
      <c r="E5289" t="inlineStr">
        <is>
          <t>HÄSSLEHOLM</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62138-2023</t>
        </is>
      </c>
      <c r="B5290" s="1" t="n">
        <v>45267</v>
      </c>
      <c r="C5290" s="1" t="n">
        <v>45744</v>
      </c>
      <c r="D5290" t="inlineStr">
        <is>
          <t>SKÅNE LÄN</t>
        </is>
      </c>
      <c r="E5290" t="inlineStr">
        <is>
          <t>ÖSTRA GÖINGE</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62144-2023</t>
        </is>
      </c>
      <c r="B5291" s="1" t="n">
        <v>45267</v>
      </c>
      <c r="C5291" s="1" t="n">
        <v>45744</v>
      </c>
      <c r="D5291" t="inlineStr">
        <is>
          <t>SKÅNE LÄN</t>
        </is>
      </c>
      <c r="E5291" t="inlineStr">
        <is>
          <t>ÖSTRA GÖINGE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62149-2023</t>
        </is>
      </c>
      <c r="B5292" s="1" t="n">
        <v>45267</v>
      </c>
      <c r="C5292" s="1" t="n">
        <v>45744</v>
      </c>
      <c r="D5292" t="inlineStr">
        <is>
          <t>SKÅNE LÄN</t>
        </is>
      </c>
      <c r="E5292" t="inlineStr">
        <is>
          <t>OSBY</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62350-2023</t>
        </is>
      </c>
      <c r="B5293" s="1" t="n">
        <v>45267</v>
      </c>
      <c r="C5293" s="1" t="n">
        <v>45744</v>
      </c>
      <c r="D5293" t="inlineStr">
        <is>
          <t>SKÅNE LÄN</t>
        </is>
      </c>
      <c r="E5293" t="inlineStr">
        <is>
          <t>KRISTIANSTAD</t>
        </is>
      </c>
      <c r="F5293" t="inlineStr">
        <is>
          <t>Sveaskog</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62142-2023</t>
        </is>
      </c>
      <c r="B5294" s="1" t="n">
        <v>45267</v>
      </c>
      <c r="C5294" s="1" t="n">
        <v>45744</v>
      </c>
      <c r="D5294" t="inlineStr">
        <is>
          <t>SKÅNE LÄN</t>
        </is>
      </c>
      <c r="E5294" t="inlineStr">
        <is>
          <t>ÖSTRA GÖINGE</t>
        </is>
      </c>
      <c r="G5294" t="n">
        <v>8.1</v>
      </c>
      <c r="H5294" t="n">
        <v>0</v>
      </c>
      <c r="I5294" t="n">
        <v>0</v>
      </c>
      <c r="J5294" t="n">
        <v>0</v>
      </c>
      <c r="K5294" t="n">
        <v>0</v>
      </c>
      <c r="L5294" t="n">
        <v>0</v>
      </c>
      <c r="M5294" t="n">
        <v>0</v>
      </c>
      <c r="N5294" t="n">
        <v>0</v>
      </c>
      <c r="O5294" t="n">
        <v>0</v>
      </c>
      <c r="P5294" t="n">
        <v>0</v>
      </c>
      <c r="Q5294" t="n">
        <v>0</v>
      </c>
      <c r="R5294" s="2" t="inlineStr"/>
    </row>
    <row r="5295" ht="15" customHeight="1">
      <c r="A5295" t="inlineStr">
        <is>
          <t>A 62367-2023</t>
        </is>
      </c>
      <c r="B5295" s="1" t="n">
        <v>45267</v>
      </c>
      <c r="C5295" s="1" t="n">
        <v>45744</v>
      </c>
      <c r="D5295" t="inlineStr">
        <is>
          <t>SKÅNE LÄN</t>
        </is>
      </c>
      <c r="E5295" t="inlineStr">
        <is>
          <t>KRISTIANSTAD</t>
        </is>
      </c>
      <c r="F5295" t="inlineStr">
        <is>
          <t>Sveaskog</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62365-2023</t>
        </is>
      </c>
      <c r="B5296" s="1" t="n">
        <v>45267</v>
      </c>
      <c r="C5296" s="1" t="n">
        <v>45744</v>
      </c>
      <c r="D5296" t="inlineStr">
        <is>
          <t>SKÅNE LÄN</t>
        </is>
      </c>
      <c r="E5296" t="inlineStr">
        <is>
          <t>KRISTIANSTAD</t>
        </is>
      </c>
      <c r="F5296" t="inlineStr">
        <is>
          <t>Sveaskog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62473-2023</t>
        </is>
      </c>
      <c r="B5297" s="1" t="n">
        <v>45267</v>
      </c>
      <c r="C5297" s="1" t="n">
        <v>45744</v>
      </c>
      <c r="D5297" t="inlineStr">
        <is>
          <t>SKÅNE LÄN</t>
        </is>
      </c>
      <c r="E5297" t="inlineStr">
        <is>
          <t>KLIPPAN</t>
        </is>
      </c>
      <c r="F5297" t="inlineStr">
        <is>
          <t>Övriga Aktiebolag</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62425-2023</t>
        </is>
      </c>
      <c r="B5298" s="1" t="n">
        <v>45268</v>
      </c>
      <c r="C5298" s="1" t="n">
        <v>45744</v>
      </c>
      <c r="D5298" t="inlineStr">
        <is>
          <t>SKÅNE LÄN</t>
        </is>
      </c>
      <c r="E5298" t="inlineStr">
        <is>
          <t>OSBY</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62496-2023</t>
        </is>
      </c>
      <c r="B5299" s="1" t="n">
        <v>45268</v>
      </c>
      <c r="C5299" s="1" t="n">
        <v>45744</v>
      </c>
      <c r="D5299" t="inlineStr">
        <is>
          <t>SKÅNE LÄN</t>
        </is>
      </c>
      <c r="E5299" t="inlineStr">
        <is>
          <t>ESLÖV</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62546-2023</t>
        </is>
      </c>
      <c r="B5300" s="1" t="n">
        <v>45268</v>
      </c>
      <c r="C5300" s="1" t="n">
        <v>45744</v>
      </c>
      <c r="D5300" t="inlineStr">
        <is>
          <t>SKÅNE LÄN</t>
        </is>
      </c>
      <c r="E5300" t="inlineStr">
        <is>
          <t>ÖSTRA GÖINGE</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62617-2023</t>
        </is>
      </c>
      <c r="B5301" s="1" t="n">
        <v>45271</v>
      </c>
      <c r="C5301" s="1" t="n">
        <v>45744</v>
      </c>
      <c r="D5301" t="inlineStr">
        <is>
          <t>SKÅNE LÄN</t>
        </is>
      </c>
      <c r="E5301" t="inlineStr">
        <is>
          <t>ÖRKELLJUNGA</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62786-2023</t>
        </is>
      </c>
      <c r="B5302" s="1" t="n">
        <v>45271</v>
      </c>
      <c r="C5302" s="1" t="n">
        <v>45744</v>
      </c>
      <c r="D5302" t="inlineStr">
        <is>
          <t>SKÅNE LÄN</t>
        </is>
      </c>
      <c r="E5302" t="inlineStr">
        <is>
          <t>ÖSTRA GÖINGE</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62783-2023</t>
        </is>
      </c>
      <c r="B5303" s="1" t="n">
        <v>45271</v>
      </c>
      <c r="C5303" s="1" t="n">
        <v>45744</v>
      </c>
      <c r="D5303" t="inlineStr">
        <is>
          <t>SKÅNE LÄN</t>
        </is>
      </c>
      <c r="E5303" t="inlineStr">
        <is>
          <t>ÖSTRA GÖINGE</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62795-2023</t>
        </is>
      </c>
      <c r="B5304" s="1" t="n">
        <v>45271</v>
      </c>
      <c r="C5304" s="1" t="n">
        <v>45744</v>
      </c>
      <c r="D5304" t="inlineStr">
        <is>
          <t>SKÅNE LÄN</t>
        </is>
      </c>
      <c r="E5304" t="inlineStr">
        <is>
          <t>ÖSTRA GÖINGE</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62602-2023</t>
        </is>
      </c>
      <c r="B5305" s="1" t="n">
        <v>45271</v>
      </c>
      <c r="C5305" s="1" t="n">
        <v>45744</v>
      </c>
      <c r="D5305" t="inlineStr">
        <is>
          <t>SKÅNE LÄN</t>
        </is>
      </c>
      <c r="E5305" t="inlineStr">
        <is>
          <t>HÖÖR</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63029-2023</t>
        </is>
      </c>
      <c r="B5306" s="1" t="n">
        <v>45272</v>
      </c>
      <c r="C5306" s="1" t="n">
        <v>45744</v>
      </c>
      <c r="D5306" t="inlineStr">
        <is>
          <t>SKÅNE LÄN</t>
        </is>
      </c>
      <c r="E5306" t="inlineStr">
        <is>
          <t>ÖRKELLJUNGA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63139-2023</t>
        </is>
      </c>
      <c r="B5307" s="1" t="n">
        <v>45273</v>
      </c>
      <c r="C5307" s="1" t="n">
        <v>45744</v>
      </c>
      <c r="D5307" t="inlineStr">
        <is>
          <t>SKÅNE LÄN</t>
        </is>
      </c>
      <c r="E5307" t="inlineStr">
        <is>
          <t>HÖÖR</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63143-2023</t>
        </is>
      </c>
      <c r="B5308" s="1" t="n">
        <v>45273</v>
      </c>
      <c r="C5308" s="1" t="n">
        <v>45744</v>
      </c>
      <c r="D5308" t="inlineStr">
        <is>
          <t>SKÅNE LÄN</t>
        </is>
      </c>
      <c r="E5308" t="inlineStr">
        <is>
          <t>KRISTIANSTAD</t>
        </is>
      </c>
      <c r="F5308" t="inlineStr">
        <is>
          <t>Sveaskog</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63141-2023</t>
        </is>
      </c>
      <c r="B5309" s="1" t="n">
        <v>45273</v>
      </c>
      <c r="C5309" s="1" t="n">
        <v>45744</v>
      </c>
      <c r="D5309" t="inlineStr">
        <is>
          <t>SKÅNE LÄN</t>
        </is>
      </c>
      <c r="E5309" t="inlineStr">
        <is>
          <t>HÄSSLEHOLM</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63119-2023</t>
        </is>
      </c>
      <c r="B5310" s="1" t="n">
        <v>45273</v>
      </c>
      <c r="C5310" s="1" t="n">
        <v>45744</v>
      </c>
      <c r="D5310" t="inlineStr">
        <is>
          <t>SKÅNE LÄN</t>
        </is>
      </c>
      <c r="E5310" t="inlineStr">
        <is>
          <t>HÄSSLEHOLM</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63297-2023</t>
        </is>
      </c>
      <c r="B5311" s="1" t="n">
        <v>45274</v>
      </c>
      <c r="C5311" s="1" t="n">
        <v>45744</v>
      </c>
      <c r="D5311" t="inlineStr">
        <is>
          <t>SKÅNE LÄN</t>
        </is>
      </c>
      <c r="E5311" t="inlineStr">
        <is>
          <t>OSBY</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63268-2023</t>
        </is>
      </c>
      <c r="B5312" s="1" t="n">
        <v>45273</v>
      </c>
      <c r="C5312" s="1" t="n">
        <v>45744</v>
      </c>
      <c r="D5312" t="inlineStr">
        <is>
          <t>SKÅNE LÄN</t>
        </is>
      </c>
      <c r="E5312" t="inlineStr">
        <is>
          <t>HÖÖR</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63167-2023</t>
        </is>
      </c>
      <c r="B5313" s="1" t="n">
        <v>45273</v>
      </c>
      <c r="C5313" s="1" t="n">
        <v>45744</v>
      </c>
      <c r="D5313" t="inlineStr">
        <is>
          <t>SKÅNE LÄN</t>
        </is>
      </c>
      <c r="E5313" t="inlineStr">
        <is>
          <t>ÖSTRA GÖINGE</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63183-2023</t>
        </is>
      </c>
      <c r="B5314" s="1" t="n">
        <v>45273</v>
      </c>
      <c r="C5314" s="1" t="n">
        <v>45744</v>
      </c>
      <c r="D5314" t="inlineStr">
        <is>
          <t>SKÅNE LÄN</t>
        </is>
      </c>
      <c r="E5314" t="inlineStr">
        <is>
          <t>KRISTIANSTAD</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63267-2023</t>
        </is>
      </c>
      <c r="B5315" s="1" t="n">
        <v>45273</v>
      </c>
      <c r="C5315" s="1" t="n">
        <v>45744</v>
      </c>
      <c r="D5315" t="inlineStr">
        <is>
          <t>SKÅNE LÄN</t>
        </is>
      </c>
      <c r="E5315" t="inlineStr">
        <is>
          <t>HÖÖR</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63358-2023</t>
        </is>
      </c>
      <c r="B5316" s="1" t="n">
        <v>45273</v>
      </c>
      <c r="C5316" s="1" t="n">
        <v>45744</v>
      </c>
      <c r="D5316" t="inlineStr">
        <is>
          <t>SKÅNE LÄN</t>
        </is>
      </c>
      <c r="E5316" t="inlineStr">
        <is>
          <t>KRISTIANSTAD</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63464-2023</t>
        </is>
      </c>
      <c r="B5317" s="1" t="n">
        <v>45273</v>
      </c>
      <c r="C5317" s="1" t="n">
        <v>45744</v>
      </c>
      <c r="D5317" t="inlineStr">
        <is>
          <t>SKÅNE LÄN</t>
        </is>
      </c>
      <c r="E5317" t="inlineStr">
        <is>
          <t>SIMRISHAMN</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63456-2023</t>
        </is>
      </c>
      <c r="B5318" s="1" t="n">
        <v>45273</v>
      </c>
      <c r="C5318" s="1" t="n">
        <v>45744</v>
      </c>
      <c r="D5318" t="inlineStr">
        <is>
          <t>SKÅNE LÄN</t>
        </is>
      </c>
      <c r="E5318" t="inlineStr">
        <is>
          <t>SIMRISHAMN</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63436-2023</t>
        </is>
      </c>
      <c r="B5319" s="1" t="n">
        <v>45274</v>
      </c>
      <c r="C5319" s="1" t="n">
        <v>45744</v>
      </c>
      <c r="D5319" t="inlineStr">
        <is>
          <t>SKÅNE LÄN</t>
        </is>
      </c>
      <c r="E5319" t="inlineStr">
        <is>
          <t>ÖSTRA GÖINGE</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63440-2023</t>
        </is>
      </c>
      <c r="B5320" s="1" t="n">
        <v>45274</v>
      </c>
      <c r="C5320" s="1" t="n">
        <v>45744</v>
      </c>
      <c r="D5320" t="inlineStr">
        <is>
          <t>SKÅNE LÄN</t>
        </is>
      </c>
      <c r="E5320" t="inlineStr">
        <is>
          <t>ÖRKELLJUNGA</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63552-2023</t>
        </is>
      </c>
      <c r="B5321" s="1" t="n">
        <v>45274</v>
      </c>
      <c r="C5321" s="1" t="n">
        <v>45744</v>
      </c>
      <c r="D5321" t="inlineStr">
        <is>
          <t>SKÅNE LÄN</t>
        </is>
      </c>
      <c r="E5321" t="inlineStr">
        <is>
          <t>ÖSTRA GÖINGE</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63561-2023</t>
        </is>
      </c>
      <c r="B5322" s="1" t="n">
        <v>45274</v>
      </c>
      <c r="C5322" s="1" t="n">
        <v>45744</v>
      </c>
      <c r="D5322" t="inlineStr">
        <is>
          <t>SKÅNE LÄN</t>
        </is>
      </c>
      <c r="E5322" t="inlineStr">
        <is>
          <t>KRISTIANSTAD</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63610-2023</t>
        </is>
      </c>
      <c r="B5323" s="1" t="n">
        <v>45275</v>
      </c>
      <c r="C5323" s="1" t="n">
        <v>45744</v>
      </c>
      <c r="D5323" t="inlineStr">
        <is>
          <t>SKÅNE LÄN</t>
        </is>
      </c>
      <c r="E5323" t="inlineStr">
        <is>
          <t>HÄSSLEHOLM</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63634-2023</t>
        </is>
      </c>
      <c r="B5324" s="1" t="n">
        <v>45275</v>
      </c>
      <c r="C5324" s="1" t="n">
        <v>45744</v>
      </c>
      <c r="D5324" t="inlineStr">
        <is>
          <t>SKÅNE LÄN</t>
        </is>
      </c>
      <c r="E5324" t="inlineStr">
        <is>
          <t>ÖSTRA GÖINGE</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63611-2023</t>
        </is>
      </c>
      <c r="B5325" s="1" t="n">
        <v>45275</v>
      </c>
      <c r="C5325" s="1" t="n">
        <v>45744</v>
      </c>
      <c r="D5325" t="inlineStr">
        <is>
          <t>SKÅNE LÄN</t>
        </is>
      </c>
      <c r="E5325" t="inlineStr">
        <is>
          <t>HÖÖR</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63681-2023</t>
        </is>
      </c>
      <c r="B5326" s="1" t="n">
        <v>45275</v>
      </c>
      <c r="C5326" s="1" t="n">
        <v>45744</v>
      </c>
      <c r="D5326" t="inlineStr">
        <is>
          <t>SKÅNE LÄN</t>
        </is>
      </c>
      <c r="E5326" t="inlineStr">
        <is>
          <t>KRISTIANSTAD</t>
        </is>
      </c>
      <c r="F5326" t="inlineStr">
        <is>
          <t>Sveaskog</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63657-2023</t>
        </is>
      </c>
      <c r="B5327" s="1" t="n">
        <v>45275</v>
      </c>
      <c r="C5327" s="1" t="n">
        <v>45744</v>
      </c>
      <c r="D5327" t="inlineStr">
        <is>
          <t>SKÅNE LÄN</t>
        </is>
      </c>
      <c r="E5327" t="inlineStr">
        <is>
          <t>SJÖBO</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63680-2023</t>
        </is>
      </c>
      <c r="B5328" s="1" t="n">
        <v>45275</v>
      </c>
      <c r="C5328" s="1" t="n">
        <v>45744</v>
      </c>
      <c r="D5328" t="inlineStr">
        <is>
          <t>SKÅNE LÄN</t>
        </is>
      </c>
      <c r="E5328" t="inlineStr">
        <is>
          <t>KRISTIANSTAD</t>
        </is>
      </c>
      <c r="F5328" t="inlineStr">
        <is>
          <t>Sveaskog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63720-2023</t>
        </is>
      </c>
      <c r="B5329" s="1" t="n">
        <v>45275</v>
      </c>
      <c r="C5329" s="1" t="n">
        <v>45744</v>
      </c>
      <c r="D5329" t="inlineStr">
        <is>
          <t>SKÅNE LÄN</t>
        </is>
      </c>
      <c r="E5329" t="inlineStr">
        <is>
          <t>KLIPPAN</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63766-2023</t>
        </is>
      </c>
      <c r="B5330" s="1" t="n">
        <v>45278</v>
      </c>
      <c r="C5330" s="1" t="n">
        <v>45744</v>
      </c>
      <c r="D5330" t="inlineStr">
        <is>
          <t>SKÅNE LÄN</t>
        </is>
      </c>
      <c r="E5330" t="inlineStr">
        <is>
          <t>HÖÖR</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63780-2023</t>
        </is>
      </c>
      <c r="B5331" s="1" t="n">
        <v>45278</v>
      </c>
      <c r="C5331" s="1" t="n">
        <v>45744</v>
      </c>
      <c r="D5331" t="inlineStr">
        <is>
          <t>SKÅNE LÄN</t>
        </is>
      </c>
      <c r="E5331" t="inlineStr">
        <is>
          <t>ÖRKELLJUNGA</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63783-2023</t>
        </is>
      </c>
      <c r="B5332" s="1" t="n">
        <v>45278</v>
      </c>
      <c r="C5332" s="1" t="n">
        <v>45744</v>
      </c>
      <c r="D5332" t="inlineStr">
        <is>
          <t>SKÅNE LÄN</t>
        </is>
      </c>
      <c r="E5332" t="inlineStr">
        <is>
          <t>ÖRKELLJUNGA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63767-2023</t>
        </is>
      </c>
      <c r="B5333" s="1" t="n">
        <v>45278</v>
      </c>
      <c r="C5333" s="1" t="n">
        <v>45744</v>
      </c>
      <c r="D5333" t="inlineStr">
        <is>
          <t>SKÅNE LÄN</t>
        </is>
      </c>
      <c r="E5333" t="inlineStr">
        <is>
          <t>KRISTIANSTAD</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63942-2023</t>
        </is>
      </c>
      <c r="B5334" s="1" t="n">
        <v>45278</v>
      </c>
      <c r="C5334" s="1" t="n">
        <v>45744</v>
      </c>
      <c r="D5334" t="inlineStr">
        <is>
          <t>SKÅNE LÄN</t>
        </is>
      </c>
      <c r="E5334" t="inlineStr">
        <is>
          <t>KRISTIANSTAD</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63974-2023</t>
        </is>
      </c>
      <c r="B5335" s="1" t="n">
        <v>45278</v>
      </c>
      <c r="C5335" s="1" t="n">
        <v>45744</v>
      </c>
      <c r="D5335" t="inlineStr">
        <is>
          <t>SKÅNE LÄN</t>
        </is>
      </c>
      <c r="E5335" t="inlineStr">
        <is>
          <t>KRISTIANSTAD</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63891-2023</t>
        </is>
      </c>
      <c r="B5336" s="1" t="n">
        <v>45278</v>
      </c>
      <c r="C5336" s="1" t="n">
        <v>45744</v>
      </c>
      <c r="D5336" t="inlineStr">
        <is>
          <t>SKÅNE LÄN</t>
        </is>
      </c>
      <c r="E5336" t="inlineStr">
        <is>
          <t>ÖSTRA GÖINGE</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63931-2023</t>
        </is>
      </c>
      <c r="B5337" s="1" t="n">
        <v>45278</v>
      </c>
      <c r="C5337" s="1" t="n">
        <v>45744</v>
      </c>
      <c r="D5337" t="inlineStr">
        <is>
          <t>SKÅNE LÄN</t>
        </is>
      </c>
      <c r="E5337" t="inlineStr">
        <is>
          <t>KRISTIANSTAD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63856-2023</t>
        </is>
      </c>
      <c r="B5338" s="1" t="n">
        <v>45278</v>
      </c>
      <c r="C5338" s="1" t="n">
        <v>45744</v>
      </c>
      <c r="D5338" t="inlineStr">
        <is>
          <t>SKÅNE LÄN</t>
        </is>
      </c>
      <c r="E5338" t="inlineStr">
        <is>
          <t>KRISTIANSTAD</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63892-2023</t>
        </is>
      </c>
      <c r="B5339" s="1" t="n">
        <v>45278</v>
      </c>
      <c r="C5339" s="1" t="n">
        <v>45744</v>
      </c>
      <c r="D5339" t="inlineStr">
        <is>
          <t>SKÅNE LÄN</t>
        </is>
      </c>
      <c r="E5339" t="inlineStr">
        <is>
          <t>ÖSTRA GÖINGE</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63944-2023</t>
        </is>
      </c>
      <c r="B5340" s="1" t="n">
        <v>45278</v>
      </c>
      <c r="C5340" s="1" t="n">
        <v>45744</v>
      </c>
      <c r="D5340" t="inlineStr">
        <is>
          <t>SKÅNE LÄN</t>
        </is>
      </c>
      <c r="E5340" t="inlineStr">
        <is>
          <t>KRISTIANSTAD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64063-2023</t>
        </is>
      </c>
      <c r="B5341" s="1" t="n">
        <v>45279</v>
      </c>
      <c r="C5341" s="1" t="n">
        <v>45744</v>
      </c>
      <c r="D5341" t="inlineStr">
        <is>
          <t>SKÅNE LÄN</t>
        </is>
      </c>
      <c r="E5341" t="inlineStr">
        <is>
          <t>HÄSSLEHOLM</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64091-2023</t>
        </is>
      </c>
      <c r="B5342" s="1" t="n">
        <v>45279</v>
      </c>
      <c r="C5342" s="1" t="n">
        <v>45744</v>
      </c>
      <c r="D5342" t="inlineStr">
        <is>
          <t>SKÅNE LÄN</t>
        </is>
      </c>
      <c r="E5342" t="inlineStr">
        <is>
          <t>ÖRKELLJUNGA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64222-2023</t>
        </is>
      </c>
      <c r="B5343" s="1" t="n">
        <v>45279</v>
      </c>
      <c r="C5343" s="1" t="n">
        <v>45744</v>
      </c>
      <c r="D5343" t="inlineStr">
        <is>
          <t>SKÅNE LÄN</t>
        </is>
      </c>
      <c r="E5343" t="inlineStr">
        <is>
          <t>KLIPPAN</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64181-2023</t>
        </is>
      </c>
      <c r="B5344" s="1" t="n">
        <v>45279</v>
      </c>
      <c r="C5344" s="1" t="n">
        <v>45744</v>
      </c>
      <c r="D5344" t="inlineStr">
        <is>
          <t>SKÅNE LÄN</t>
        </is>
      </c>
      <c r="E5344" t="inlineStr">
        <is>
          <t>ÖSTRA GÖINGE</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64219-2023</t>
        </is>
      </c>
      <c r="B5345" s="1" t="n">
        <v>45279</v>
      </c>
      <c r="C5345" s="1" t="n">
        <v>45744</v>
      </c>
      <c r="D5345" t="inlineStr">
        <is>
          <t>SKÅNE LÄN</t>
        </is>
      </c>
      <c r="E5345" t="inlineStr">
        <is>
          <t>HÖRBY</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64224-2023</t>
        </is>
      </c>
      <c r="B5346" s="1" t="n">
        <v>45279</v>
      </c>
      <c r="C5346" s="1" t="n">
        <v>45744</v>
      </c>
      <c r="D5346" t="inlineStr">
        <is>
          <t>SKÅNE LÄN</t>
        </is>
      </c>
      <c r="E5346" t="inlineStr">
        <is>
          <t>KLIPPAN</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64290-2023</t>
        </is>
      </c>
      <c r="B5347" s="1" t="n">
        <v>45280</v>
      </c>
      <c r="C5347" s="1" t="n">
        <v>45744</v>
      </c>
      <c r="D5347" t="inlineStr">
        <is>
          <t>SKÅNE LÄN</t>
        </is>
      </c>
      <c r="E5347" t="inlineStr">
        <is>
          <t>KRISTIANSTAD</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64289-2023</t>
        </is>
      </c>
      <c r="B5348" s="1" t="n">
        <v>45280</v>
      </c>
      <c r="C5348" s="1" t="n">
        <v>45744</v>
      </c>
      <c r="D5348" t="inlineStr">
        <is>
          <t>SKÅNE LÄN</t>
        </is>
      </c>
      <c r="E5348" t="inlineStr">
        <is>
          <t>KRISTIANSTAD</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64626-2023</t>
        </is>
      </c>
      <c r="B5349" s="1" t="n">
        <v>45281</v>
      </c>
      <c r="C5349" s="1" t="n">
        <v>45744</v>
      </c>
      <c r="D5349" t="inlineStr">
        <is>
          <t>SKÅNE LÄN</t>
        </is>
      </c>
      <c r="E5349" t="inlineStr">
        <is>
          <t>KRISTIANSTAD</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64728-2023</t>
        </is>
      </c>
      <c r="B5350" s="1" t="n">
        <v>45281</v>
      </c>
      <c r="C5350" s="1" t="n">
        <v>45744</v>
      </c>
      <c r="D5350" t="inlineStr">
        <is>
          <t>SKÅNE LÄN</t>
        </is>
      </c>
      <c r="E5350" t="inlineStr">
        <is>
          <t>ÄNGELHOLM</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64835-2023</t>
        </is>
      </c>
      <c r="B5351" s="1" t="n">
        <v>45282</v>
      </c>
      <c r="C5351" s="1" t="n">
        <v>45744</v>
      </c>
      <c r="D5351" t="inlineStr">
        <is>
          <t>SKÅNE LÄN</t>
        </is>
      </c>
      <c r="E5351" t="inlineStr">
        <is>
          <t>KRISTIANSTAD</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64765-2023</t>
        </is>
      </c>
      <c r="B5352" s="1" t="n">
        <v>45282</v>
      </c>
      <c r="C5352" s="1" t="n">
        <v>45744</v>
      </c>
      <c r="D5352" t="inlineStr">
        <is>
          <t>SKÅNE LÄN</t>
        </is>
      </c>
      <c r="E5352" t="inlineStr">
        <is>
          <t>HÄSSLEHOLM</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64842-2023</t>
        </is>
      </c>
      <c r="B5353" s="1" t="n">
        <v>45282</v>
      </c>
      <c r="C5353" s="1" t="n">
        <v>45744</v>
      </c>
      <c r="D5353" t="inlineStr">
        <is>
          <t>SKÅNE LÄN</t>
        </is>
      </c>
      <c r="E5353" t="inlineStr">
        <is>
          <t>KRISTIANSTAD</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64884-2023</t>
        </is>
      </c>
      <c r="B5354" s="1" t="n">
        <v>45282</v>
      </c>
      <c r="C5354" s="1" t="n">
        <v>45744</v>
      </c>
      <c r="D5354" t="inlineStr">
        <is>
          <t>SKÅNE LÄN</t>
        </is>
      </c>
      <c r="E5354" t="inlineStr">
        <is>
          <t>HÄSSLEHOLM</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64890-2023</t>
        </is>
      </c>
      <c r="B5355" s="1" t="n">
        <v>45282</v>
      </c>
      <c r="C5355" s="1" t="n">
        <v>45744</v>
      </c>
      <c r="D5355" t="inlineStr">
        <is>
          <t>SKÅNE LÄN</t>
        </is>
      </c>
      <c r="E5355" t="inlineStr">
        <is>
          <t>TOMELILLA</t>
        </is>
      </c>
      <c r="F5355" t="inlineStr">
        <is>
          <t>Kyrkan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64883-2023</t>
        </is>
      </c>
      <c r="B5356" s="1" t="n">
        <v>45282</v>
      </c>
      <c r="C5356" s="1" t="n">
        <v>45744</v>
      </c>
      <c r="D5356" t="inlineStr">
        <is>
          <t>SKÅNE LÄN</t>
        </is>
      </c>
      <c r="E5356" t="inlineStr">
        <is>
          <t>HÄSSLEHOLM</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64844-2023</t>
        </is>
      </c>
      <c r="B5357" s="1" t="n">
        <v>45282</v>
      </c>
      <c r="C5357" s="1" t="n">
        <v>45744</v>
      </c>
      <c r="D5357" t="inlineStr">
        <is>
          <t>SKÅNE LÄN</t>
        </is>
      </c>
      <c r="E5357" t="inlineStr">
        <is>
          <t>KRISTIANSTAD</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64897-2023</t>
        </is>
      </c>
      <c r="B5358" s="1" t="n">
        <v>45282</v>
      </c>
      <c r="C5358" s="1" t="n">
        <v>45744</v>
      </c>
      <c r="D5358" t="inlineStr">
        <is>
          <t>SKÅNE LÄN</t>
        </is>
      </c>
      <c r="E5358" t="inlineStr">
        <is>
          <t>OSBY</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64905-2023</t>
        </is>
      </c>
      <c r="B5359" s="1" t="n">
        <v>45282</v>
      </c>
      <c r="C5359" s="1" t="n">
        <v>45744</v>
      </c>
      <c r="D5359" t="inlineStr">
        <is>
          <t>SKÅNE LÄN</t>
        </is>
      </c>
      <c r="E5359" t="inlineStr">
        <is>
          <t>SJÖBO</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65018-2023</t>
        </is>
      </c>
      <c r="B5360" s="1" t="n">
        <v>45287</v>
      </c>
      <c r="C5360" s="1" t="n">
        <v>45744</v>
      </c>
      <c r="D5360" t="inlineStr">
        <is>
          <t>SKÅNE LÄN</t>
        </is>
      </c>
      <c r="E5360" t="inlineStr">
        <is>
          <t>KÄVLINGE</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65073-2023</t>
        </is>
      </c>
      <c r="B5361" s="1" t="n">
        <v>45287</v>
      </c>
      <c r="C5361" s="1" t="n">
        <v>45744</v>
      </c>
      <c r="D5361" t="inlineStr">
        <is>
          <t>SKÅNE LÄN</t>
        </is>
      </c>
      <c r="E5361" t="inlineStr">
        <is>
          <t>HÖRBY</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65142-2023</t>
        </is>
      </c>
      <c r="B5362" s="1" t="n">
        <v>45288</v>
      </c>
      <c r="C5362" s="1" t="n">
        <v>45744</v>
      </c>
      <c r="D5362" t="inlineStr">
        <is>
          <t>SKÅNE LÄN</t>
        </is>
      </c>
      <c r="E5362" t="inlineStr">
        <is>
          <t>HÖRBY</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60-2024</t>
        </is>
      </c>
      <c r="B5363" s="1" t="n">
        <v>45293</v>
      </c>
      <c r="C5363" s="1" t="n">
        <v>45744</v>
      </c>
      <c r="D5363" t="inlineStr">
        <is>
          <t>SKÅNE LÄN</t>
        </is>
      </c>
      <c r="E5363" t="inlineStr">
        <is>
          <t>ÄNGELHOLM</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146-2024</t>
        </is>
      </c>
      <c r="B5364" s="1" t="n">
        <v>45294</v>
      </c>
      <c r="C5364" s="1" t="n">
        <v>45744</v>
      </c>
      <c r="D5364" t="inlineStr">
        <is>
          <t>SKÅNE LÄN</t>
        </is>
      </c>
      <c r="E5364" t="inlineStr">
        <is>
          <t>HÄSSLEHOLM</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195-2024</t>
        </is>
      </c>
      <c r="B5365" s="1" t="n">
        <v>45294</v>
      </c>
      <c r="C5365" s="1" t="n">
        <v>45744</v>
      </c>
      <c r="D5365" t="inlineStr">
        <is>
          <t>SKÅNE LÄN</t>
        </is>
      </c>
      <c r="E5365" t="inlineStr">
        <is>
          <t>OSBY</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257-2024</t>
        </is>
      </c>
      <c r="B5366" s="1" t="n">
        <v>45294</v>
      </c>
      <c r="C5366" s="1" t="n">
        <v>45744</v>
      </c>
      <c r="D5366" t="inlineStr">
        <is>
          <t>SKÅNE LÄN</t>
        </is>
      </c>
      <c r="E5366" t="inlineStr">
        <is>
          <t>HÄSSLEHOLM</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259-2024</t>
        </is>
      </c>
      <c r="B5367" s="1" t="n">
        <v>45294</v>
      </c>
      <c r="C5367" s="1" t="n">
        <v>45744</v>
      </c>
      <c r="D5367" t="inlineStr">
        <is>
          <t>SKÅNE LÄN</t>
        </is>
      </c>
      <c r="E5367" t="inlineStr">
        <is>
          <t>HÄSSLEHOLM</t>
        </is>
      </c>
      <c r="G5367" t="n">
        <v>8.6</v>
      </c>
      <c r="H5367" t="n">
        <v>0</v>
      </c>
      <c r="I5367" t="n">
        <v>0</v>
      </c>
      <c r="J5367" t="n">
        <v>0</v>
      </c>
      <c r="K5367" t="n">
        <v>0</v>
      </c>
      <c r="L5367" t="n">
        <v>0</v>
      </c>
      <c r="M5367" t="n">
        <v>0</v>
      </c>
      <c r="N5367" t="n">
        <v>0</v>
      </c>
      <c r="O5367" t="n">
        <v>0</v>
      </c>
      <c r="P5367" t="n">
        <v>0</v>
      </c>
      <c r="Q5367" t="n">
        <v>0</v>
      </c>
      <c r="R5367" s="2" t="inlineStr"/>
    </row>
    <row r="5368" ht="15" customHeight="1">
      <c r="A5368" t="inlineStr">
        <is>
          <t>A 260-2024</t>
        </is>
      </c>
      <c r="B5368" s="1" t="n">
        <v>45294</v>
      </c>
      <c r="C5368" s="1" t="n">
        <v>45744</v>
      </c>
      <c r="D5368" t="inlineStr">
        <is>
          <t>SKÅNE LÄN</t>
        </is>
      </c>
      <c r="E5368" t="inlineStr">
        <is>
          <t>HÄSSLEHOLM</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325-2024</t>
        </is>
      </c>
      <c r="B5369" s="1" t="n">
        <v>45295</v>
      </c>
      <c r="C5369" s="1" t="n">
        <v>45744</v>
      </c>
      <c r="D5369" t="inlineStr">
        <is>
          <t>SKÅNE LÄN</t>
        </is>
      </c>
      <c r="E5369" t="inlineStr">
        <is>
          <t>BJUV</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335-2024</t>
        </is>
      </c>
      <c r="B5370" s="1" t="n">
        <v>45295</v>
      </c>
      <c r="C5370" s="1" t="n">
        <v>45744</v>
      </c>
      <c r="D5370" t="inlineStr">
        <is>
          <t>SKÅNE LÄN</t>
        </is>
      </c>
      <c r="E5370" t="inlineStr">
        <is>
          <t>BJUV</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444-2024</t>
        </is>
      </c>
      <c r="B5371" s="1" t="n">
        <v>45296</v>
      </c>
      <c r="C5371" s="1" t="n">
        <v>45744</v>
      </c>
      <c r="D5371" t="inlineStr">
        <is>
          <t>SKÅNE LÄN</t>
        </is>
      </c>
      <c r="E5371" t="inlineStr">
        <is>
          <t>HÄSSLEHOLM</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513-2024</t>
        </is>
      </c>
      <c r="B5372" s="1" t="n">
        <v>45299</v>
      </c>
      <c r="C5372" s="1" t="n">
        <v>45744</v>
      </c>
      <c r="D5372" t="inlineStr">
        <is>
          <t>SKÅNE LÄN</t>
        </is>
      </c>
      <c r="E5372" t="inlineStr">
        <is>
          <t>ÖRKELLJUNGA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607-2024</t>
        </is>
      </c>
      <c r="B5373" s="1" t="n">
        <v>45299</v>
      </c>
      <c r="C5373" s="1" t="n">
        <v>45744</v>
      </c>
      <c r="D5373" t="inlineStr">
        <is>
          <t>SKÅNE LÄN</t>
        </is>
      </c>
      <c r="E5373" t="inlineStr">
        <is>
          <t>ÄNGELHOLM</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566-2024</t>
        </is>
      </c>
      <c r="B5374" s="1" t="n">
        <v>45299</v>
      </c>
      <c r="C5374" s="1" t="n">
        <v>45744</v>
      </c>
      <c r="D5374" t="inlineStr">
        <is>
          <t>SKÅNE LÄN</t>
        </is>
      </c>
      <c r="E5374" t="inlineStr">
        <is>
          <t>TOMELILLA</t>
        </is>
      </c>
      <c r="F5374" t="inlineStr">
        <is>
          <t>Övriga Aktiebolag</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578-2024</t>
        </is>
      </c>
      <c r="B5375" s="1" t="n">
        <v>45299</v>
      </c>
      <c r="C5375" s="1" t="n">
        <v>45744</v>
      </c>
      <c r="D5375" t="inlineStr">
        <is>
          <t>SKÅNE LÄN</t>
        </is>
      </c>
      <c r="E5375" t="inlineStr">
        <is>
          <t>TOMELILLA</t>
        </is>
      </c>
      <c r="F5375" t="inlineStr">
        <is>
          <t>Övriga Aktiebolag</t>
        </is>
      </c>
      <c r="G5375" t="n">
        <v>67.40000000000001</v>
      </c>
      <c r="H5375" t="n">
        <v>0</v>
      </c>
      <c r="I5375" t="n">
        <v>0</v>
      </c>
      <c r="J5375" t="n">
        <v>0</v>
      </c>
      <c r="K5375" t="n">
        <v>0</v>
      </c>
      <c r="L5375" t="n">
        <v>0</v>
      </c>
      <c r="M5375" t="n">
        <v>0</v>
      </c>
      <c r="N5375" t="n">
        <v>0</v>
      </c>
      <c r="O5375" t="n">
        <v>0</v>
      </c>
      <c r="P5375" t="n">
        <v>0</v>
      </c>
      <c r="Q5375" t="n">
        <v>0</v>
      </c>
      <c r="R5375" s="2" t="inlineStr"/>
    </row>
    <row r="5376" ht="15" customHeight="1">
      <c r="A5376" t="inlineStr">
        <is>
          <t>A 576-2024</t>
        </is>
      </c>
      <c r="B5376" s="1" t="n">
        <v>45299</v>
      </c>
      <c r="C5376" s="1" t="n">
        <v>45744</v>
      </c>
      <c r="D5376" t="inlineStr">
        <is>
          <t>SKÅNE LÄN</t>
        </is>
      </c>
      <c r="E5376" t="inlineStr">
        <is>
          <t>BROMÖLLA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524-2024</t>
        </is>
      </c>
      <c r="B5377" s="1" t="n">
        <v>45299</v>
      </c>
      <c r="C5377" s="1" t="n">
        <v>45744</v>
      </c>
      <c r="D5377" t="inlineStr">
        <is>
          <t>SKÅNE LÄN</t>
        </is>
      </c>
      <c r="E5377" t="inlineStr">
        <is>
          <t>HÄSSLEHOLM</t>
        </is>
      </c>
      <c r="G5377" t="n">
        <v>29.4</v>
      </c>
      <c r="H5377" t="n">
        <v>0</v>
      </c>
      <c r="I5377" t="n">
        <v>0</v>
      </c>
      <c r="J5377" t="n">
        <v>0</v>
      </c>
      <c r="K5377" t="n">
        <v>0</v>
      </c>
      <c r="L5377" t="n">
        <v>0</v>
      </c>
      <c r="M5377" t="n">
        <v>0</v>
      </c>
      <c r="N5377" t="n">
        <v>0</v>
      </c>
      <c r="O5377" t="n">
        <v>0</v>
      </c>
      <c r="P5377" t="n">
        <v>0</v>
      </c>
      <c r="Q5377" t="n">
        <v>0</v>
      </c>
      <c r="R5377" s="2" t="inlineStr"/>
    </row>
    <row r="5378" ht="15" customHeight="1">
      <c r="A5378" t="inlineStr">
        <is>
          <t>A 666-2024</t>
        </is>
      </c>
      <c r="B5378" s="1" t="n">
        <v>45300</v>
      </c>
      <c r="C5378" s="1" t="n">
        <v>45744</v>
      </c>
      <c r="D5378" t="inlineStr">
        <is>
          <t>SKÅNE LÄN</t>
        </is>
      </c>
      <c r="E5378" t="inlineStr">
        <is>
          <t>HÖRBY</t>
        </is>
      </c>
      <c r="F5378" t="inlineStr">
        <is>
          <t>Sveaskog</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677-2024</t>
        </is>
      </c>
      <c r="B5379" s="1" t="n">
        <v>45300</v>
      </c>
      <c r="C5379" s="1" t="n">
        <v>45744</v>
      </c>
      <c r="D5379" t="inlineStr">
        <is>
          <t>SKÅNE LÄN</t>
        </is>
      </c>
      <c r="E5379" t="inlineStr">
        <is>
          <t>HÄSSLEHOLM</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843-2024</t>
        </is>
      </c>
      <c r="B5380" s="1" t="n">
        <v>45300</v>
      </c>
      <c r="C5380" s="1" t="n">
        <v>45744</v>
      </c>
      <c r="D5380" t="inlineStr">
        <is>
          <t>SKÅNE LÄN</t>
        </is>
      </c>
      <c r="E5380" t="inlineStr">
        <is>
          <t>SKURUP</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721-2024</t>
        </is>
      </c>
      <c r="B5381" s="1" t="n">
        <v>45300</v>
      </c>
      <c r="C5381" s="1" t="n">
        <v>45744</v>
      </c>
      <c r="D5381" t="inlineStr">
        <is>
          <t>SKÅNE LÄN</t>
        </is>
      </c>
      <c r="E5381" t="inlineStr">
        <is>
          <t>KRISTIANSTAD</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729-2024</t>
        </is>
      </c>
      <c r="B5382" s="1" t="n">
        <v>45300</v>
      </c>
      <c r="C5382" s="1" t="n">
        <v>45744</v>
      </c>
      <c r="D5382" t="inlineStr">
        <is>
          <t>SKÅNE LÄN</t>
        </is>
      </c>
      <c r="E5382" t="inlineStr">
        <is>
          <t>ÄNGELHOLM</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745-2024</t>
        </is>
      </c>
      <c r="B5383" s="1" t="n">
        <v>45300</v>
      </c>
      <c r="C5383" s="1" t="n">
        <v>45744</v>
      </c>
      <c r="D5383" t="inlineStr">
        <is>
          <t>SKÅNE LÄN</t>
        </is>
      </c>
      <c r="E5383" t="inlineStr">
        <is>
          <t>BROMÖLLA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799-2024</t>
        </is>
      </c>
      <c r="B5384" s="1" t="n">
        <v>45300</v>
      </c>
      <c r="C5384" s="1" t="n">
        <v>45744</v>
      </c>
      <c r="D5384" t="inlineStr">
        <is>
          <t>SKÅNE LÄN</t>
        </is>
      </c>
      <c r="E5384" t="inlineStr">
        <is>
          <t>HÖRBY</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776-2024</t>
        </is>
      </c>
      <c r="B5385" s="1" t="n">
        <v>45300</v>
      </c>
      <c r="C5385" s="1" t="n">
        <v>45744</v>
      </c>
      <c r="D5385" t="inlineStr">
        <is>
          <t>SKÅNE LÄN</t>
        </is>
      </c>
      <c r="E5385" t="inlineStr">
        <is>
          <t>ÖSTRA GÖINGE</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788-2024</t>
        </is>
      </c>
      <c r="B5386" s="1" t="n">
        <v>45300</v>
      </c>
      <c r="C5386" s="1" t="n">
        <v>45744</v>
      </c>
      <c r="D5386" t="inlineStr">
        <is>
          <t>SKÅNE LÄN</t>
        </is>
      </c>
      <c r="E5386" t="inlineStr">
        <is>
          <t>HÖRBY</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823-2024</t>
        </is>
      </c>
      <c r="B5387" s="1" t="n">
        <v>45300</v>
      </c>
      <c r="C5387" s="1" t="n">
        <v>45744</v>
      </c>
      <c r="D5387" t="inlineStr">
        <is>
          <t>SKÅNE LÄN</t>
        </is>
      </c>
      <c r="E5387" t="inlineStr">
        <is>
          <t>TOMELILLA</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844-2024</t>
        </is>
      </c>
      <c r="B5388" s="1" t="n">
        <v>45300</v>
      </c>
      <c r="C5388" s="1" t="n">
        <v>45744</v>
      </c>
      <c r="D5388" t="inlineStr">
        <is>
          <t>SKÅNE LÄN</t>
        </is>
      </c>
      <c r="E5388" t="inlineStr">
        <is>
          <t>SKURUP</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678-2024</t>
        </is>
      </c>
      <c r="B5389" s="1" t="n">
        <v>45300</v>
      </c>
      <c r="C5389" s="1" t="n">
        <v>45744</v>
      </c>
      <c r="D5389" t="inlineStr">
        <is>
          <t>SKÅNE LÄN</t>
        </is>
      </c>
      <c r="E5389" t="inlineStr">
        <is>
          <t>LUND</t>
        </is>
      </c>
      <c r="F5389" t="inlineStr">
        <is>
          <t>Kommuner</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738-2024</t>
        </is>
      </c>
      <c r="B5390" s="1" t="n">
        <v>45300</v>
      </c>
      <c r="C5390" s="1" t="n">
        <v>45744</v>
      </c>
      <c r="D5390" t="inlineStr">
        <is>
          <t>SKÅNE LÄN</t>
        </is>
      </c>
      <c r="E5390" t="inlineStr">
        <is>
          <t>ÖRKELLJUNGA</t>
        </is>
      </c>
      <c r="G5390" t="n">
        <v>6.6</v>
      </c>
      <c r="H5390" t="n">
        <v>0</v>
      </c>
      <c r="I5390" t="n">
        <v>0</v>
      </c>
      <c r="J5390" t="n">
        <v>0</v>
      </c>
      <c r="K5390" t="n">
        <v>0</v>
      </c>
      <c r="L5390" t="n">
        <v>0</v>
      </c>
      <c r="M5390" t="n">
        <v>0</v>
      </c>
      <c r="N5390" t="n">
        <v>0</v>
      </c>
      <c r="O5390" t="n">
        <v>0</v>
      </c>
      <c r="P5390" t="n">
        <v>0</v>
      </c>
      <c r="Q5390" t="n">
        <v>0</v>
      </c>
      <c r="R5390" s="2" t="inlineStr"/>
    </row>
    <row r="5391" ht="15" customHeight="1">
      <c r="A5391" t="inlineStr">
        <is>
          <t>A 789-2024</t>
        </is>
      </c>
      <c r="B5391" s="1" t="n">
        <v>45300</v>
      </c>
      <c r="C5391" s="1" t="n">
        <v>45744</v>
      </c>
      <c r="D5391" t="inlineStr">
        <is>
          <t>SKÅNE LÄN</t>
        </is>
      </c>
      <c r="E5391" t="inlineStr">
        <is>
          <t>BROMÖLLA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826-2024</t>
        </is>
      </c>
      <c r="B5392" s="1" t="n">
        <v>45300</v>
      </c>
      <c r="C5392" s="1" t="n">
        <v>45744</v>
      </c>
      <c r="D5392" t="inlineStr">
        <is>
          <t>SKÅNE LÄN</t>
        </is>
      </c>
      <c r="E5392" t="inlineStr">
        <is>
          <t>KRISTIANSTAD</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818-2024</t>
        </is>
      </c>
      <c r="B5393" s="1" t="n">
        <v>45300</v>
      </c>
      <c r="C5393" s="1" t="n">
        <v>45744</v>
      </c>
      <c r="D5393" t="inlineStr">
        <is>
          <t>SKÅNE LÄN</t>
        </is>
      </c>
      <c r="E5393" t="inlineStr">
        <is>
          <t>BROMÖLLA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814-2024</t>
        </is>
      </c>
      <c r="B5394" s="1" t="n">
        <v>45300</v>
      </c>
      <c r="C5394" s="1" t="n">
        <v>45744</v>
      </c>
      <c r="D5394" t="inlineStr">
        <is>
          <t>SKÅNE LÄN</t>
        </is>
      </c>
      <c r="E5394" t="inlineStr">
        <is>
          <t>BROMÖLLA</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806-2024</t>
        </is>
      </c>
      <c r="B5395" s="1" t="n">
        <v>45300</v>
      </c>
      <c r="C5395" s="1" t="n">
        <v>45744</v>
      </c>
      <c r="D5395" t="inlineStr">
        <is>
          <t>SKÅNE LÄN</t>
        </is>
      </c>
      <c r="E5395" t="inlineStr">
        <is>
          <t>HÖRBY</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742-2024</t>
        </is>
      </c>
      <c r="B5396" s="1" t="n">
        <v>45300</v>
      </c>
      <c r="C5396" s="1" t="n">
        <v>45744</v>
      </c>
      <c r="D5396" t="inlineStr">
        <is>
          <t>SKÅNE LÄN</t>
        </is>
      </c>
      <c r="E5396" t="inlineStr">
        <is>
          <t>BROMÖLLA</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743-2024</t>
        </is>
      </c>
      <c r="B5397" s="1" t="n">
        <v>45300</v>
      </c>
      <c r="C5397" s="1" t="n">
        <v>45744</v>
      </c>
      <c r="D5397" t="inlineStr">
        <is>
          <t>SKÅNE LÄN</t>
        </is>
      </c>
      <c r="E5397" t="inlineStr">
        <is>
          <t>TOMELILLA</t>
        </is>
      </c>
      <c r="F5397" t="inlineStr">
        <is>
          <t>Övriga Aktiebolag</t>
        </is>
      </c>
      <c r="G5397" t="n">
        <v>11.1</v>
      </c>
      <c r="H5397" t="n">
        <v>0</v>
      </c>
      <c r="I5397" t="n">
        <v>0</v>
      </c>
      <c r="J5397" t="n">
        <v>0</v>
      </c>
      <c r="K5397" t="n">
        <v>0</v>
      </c>
      <c r="L5397" t="n">
        <v>0</v>
      </c>
      <c r="M5397" t="n">
        <v>0</v>
      </c>
      <c r="N5397" t="n">
        <v>0</v>
      </c>
      <c r="O5397" t="n">
        <v>0</v>
      </c>
      <c r="P5397" t="n">
        <v>0</v>
      </c>
      <c r="Q5397" t="n">
        <v>0</v>
      </c>
      <c r="R5397" s="2" t="inlineStr"/>
    </row>
    <row r="5398" ht="15" customHeight="1">
      <c r="A5398" t="inlineStr">
        <is>
          <t>A 885-2024</t>
        </is>
      </c>
      <c r="B5398" s="1" t="n">
        <v>45301</v>
      </c>
      <c r="C5398" s="1" t="n">
        <v>45744</v>
      </c>
      <c r="D5398" t="inlineStr">
        <is>
          <t>SKÅNE LÄN</t>
        </is>
      </c>
      <c r="E5398" t="inlineStr">
        <is>
          <t>KRISTIANSTAD</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973-2024</t>
        </is>
      </c>
      <c r="B5399" s="1" t="n">
        <v>45301</v>
      </c>
      <c r="C5399" s="1" t="n">
        <v>45744</v>
      </c>
      <c r="D5399" t="inlineStr">
        <is>
          <t>SKÅNE LÄN</t>
        </is>
      </c>
      <c r="E5399" t="inlineStr">
        <is>
          <t>ÖSTRA GÖINGE</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903-2024</t>
        </is>
      </c>
      <c r="B5400" s="1" t="n">
        <v>45301</v>
      </c>
      <c r="C5400" s="1" t="n">
        <v>45744</v>
      </c>
      <c r="D5400" t="inlineStr">
        <is>
          <t>SKÅNE LÄN</t>
        </is>
      </c>
      <c r="E5400" t="inlineStr">
        <is>
          <t>KRISTIANSTAD</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1035-2024</t>
        </is>
      </c>
      <c r="B5401" s="1" t="n">
        <v>45301</v>
      </c>
      <c r="C5401" s="1" t="n">
        <v>45744</v>
      </c>
      <c r="D5401" t="inlineStr">
        <is>
          <t>SKÅNE LÄN</t>
        </is>
      </c>
      <c r="E5401" t="inlineStr">
        <is>
          <t>SJÖBO</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1034-2024</t>
        </is>
      </c>
      <c r="B5402" s="1" t="n">
        <v>45301</v>
      </c>
      <c r="C5402" s="1" t="n">
        <v>45744</v>
      </c>
      <c r="D5402" t="inlineStr">
        <is>
          <t>SKÅNE LÄN</t>
        </is>
      </c>
      <c r="E5402" t="inlineStr">
        <is>
          <t>SJÖBO</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1052-2024</t>
        </is>
      </c>
      <c r="B5403" s="1" t="n">
        <v>45302</v>
      </c>
      <c r="C5403" s="1" t="n">
        <v>45744</v>
      </c>
      <c r="D5403" t="inlineStr">
        <is>
          <t>SKÅNE LÄN</t>
        </is>
      </c>
      <c r="E5403" t="inlineStr">
        <is>
          <t>OSBY</t>
        </is>
      </c>
      <c r="G5403" t="n">
        <v>8.199999999999999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1095-2024</t>
        </is>
      </c>
      <c r="B5404" s="1" t="n">
        <v>45301</v>
      </c>
      <c r="C5404" s="1" t="n">
        <v>45744</v>
      </c>
      <c r="D5404" t="inlineStr">
        <is>
          <t>SKÅNE LÄN</t>
        </is>
      </c>
      <c r="E5404" t="inlineStr">
        <is>
          <t>ÖSTRA GÖINGE</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1051-2024</t>
        </is>
      </c>
      <c r="B5405" s="1" t="n">
        <v>45301</v>
      </c>
      <c r="C5405" s="1" t="n">
        <v>45744</v>
      </c>
      <c r="D5405" t="inlineStr">
        <is>
          <t>SKÅNE LÄN</t>
        </is>
      </c>
      <c r="E5405" t="inlineStr">
        <is>
          <t>OSBY</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1167-2024</t>
        </is>
      </c>
      <c r="B5406" s="1" t="n">
        <v>45302</v>
      </c>
      <c r="C5406" s="1" t="n">
        <v>45744</v>
      </c>
      <c r="D5406" t="inlineStr">
        <is>
          <t>SKÅNE LÄN</t>
        </is>
      </c>
      <c r="E5406" t="inlineStr">
        <is>
          <t>PERSTORP</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1197-2024</t>
        </is>
      </c>
      <c r="B5407" s="1" t="n">
        <v>45302</v>
      </c>
      <c r="C5407" s="1" t="n">
        <v>45744</v>
      </c>
      <c r="D5407" t="inlineStr">
        <is>
          <t>SKÅNE LÄN</t>
        </is>
      </c>
      <c r="E5407" t="inlineStr">
        <is>
          <t>HÄSSLEHOLM</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1166-2024</t>
        </is>
      </c>
      <c r="B5408" s="1" t="n">
        <v>45302</v>
      </c>
      <c r="C5408" s="1" t="n">
        <v>45744</v>
      </c>
      <c r="D5408" t="inlineStr">
        <is>
          <t>SKÅNE LÄN</t>
        </is>
      </c>
      <c r="E5408" t="inlineStr">
        <is>
          <t>PERSTORP</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1120-2024</t>
        </is>
      </c>
      <c r="B5409" s="1" t="n">
        <v>45302</v>
      </c>
      <c r="C5409" s="1" t="n">
        <v>45744</v>
      </c>
      <c r="D5409" t="inlineStr">
        <is>
          <t>SKÅNE LÄN</t>
        </is>
      </c>
      <c r="E5409" t="inlineStr">
        <is>
          <t>HÄSSLEHOLM</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1124-2024</t>
        </is>
      </c>
      <c r="B5410" s="1" t="n">
        <v>45302</v>
      </c>
      <c r="C5410" s="1" t="n">
        <v>45744</v>
      </c>
      <c r="D5410" t="inlineStr">
        <is>
          <t>SKÅNE LÄN</t>
        </is>
      </c>
      <c r="E5410" t="inlineStr">
        <is>
          <t>HÄSSLEHOLM</t>
        </is>
      </c>
      <c r="F5410" t="inlineStr">
        <is>
          <t>Kommuner</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1119-2024</t>
        </is>
      </c>
      <c r="B5411" s="1" t="n">
        <v>45302</v>
      </c>
      <c r="C5411" s="1" t="n">
        <v>45744</v>
      </c>
      <c r="D5411" t="inlineStr">
        <is>
          <t>SKÅNE LÄN</t>
        </is>
      </c>
      <c r="E5411" t="inlineStr">
        <is>
          <t>HÄSSLEHOLM</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1199-2024</t>
        </is>
      </c>
      <c r="B5412" s="1" t="n">
        <v>45302</v>
      </c>
      <c r="C5412" s="1" t="n">
        <v>45744</v>
      </c>
      <c r="D5412" t="inlineStr">
        <is>
          <t>SKÅNE LÄN</t>
        </is>
      </c>
      <c r="E5412" t="inlineStr">
        <is>
          <t>TOMELILLA</t>
        </is>
      </c>
      <c r="F5412" t="inlineStr">
        <is>
          <t>Övriga Aktiebolag</t>
        </is>
      </c>
      <c r="G5412" t="n">
        <v>16.1</v>
      </c>
      <c r="H5412" t="n">
        <v>0</v>
      </c>
      <c r="I5412" t="n">
        <v>0</v>
      </c>
      <c r="J5412" t="n">
        <v>0</v>
      </c>
      <c r="K5412" t="n">
        <v>0</v>
      </c>
      <c r="L5412" t="n">
        <v>0</v>
      </c>
      <c r="M5412" t="n">
        <v>0</v>
      </c>
      <c r="N5412" t="n">
        <v>0</v>
      </c>
      <c r="O5412" t="n">
        <v>0</v>
      </c>
      <c r="P5412" t="n">
        <v>0</v>
      </c>
      <c r="Q5412" t="n">
        <v>0</v>
      </c>
      <c r="R5412" s="2" t="inlineStr"/>
    </row>
    <row r="5413" ht="15" customHeight="1">
      <c r="A5413" t="inlineStr">
        <is>
          <t>A 1164-2024</t>
        </is>
      </c>
      <c r="B5413" s="1" t="n">
        <v>45302</v>
      </c>
      <c r="C5413" s="1" t="n">
        <v>45744</v>
      </c>
      <c r="D5413" t="inlineStr">
        <is>
          <t>SKÅNE LÄN</t>
        </is>
      </c>
      <c r="E5413" t="inlineStr">
        <is>
          <t>PERSTORP</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1289-2024</t>
        </is>
      </c>
      <c r="B5414" s="1" t="n">
        <v>45303</v>
      </c>
      <c r="C5414" s="1" t="n">
        <v>45744</v>
      </c>
      <c r="D5414" t="inlineStr">
        <is>
          <t>SKÅNE LÄN</t>
        </is>
      </c>
      <c r="E5414" t="inlineStr">
        <is>
          <t>HÄSSLEHOLM</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1292-2024</t>
        </is>
      </c>
      <c r="B5415" s="1" t="n">
        <v>45303</v>
      </c>
      <c r="C5415" s="1" t="n">
        <v>45744</v>
      </c>
      <c r="D5415" t="inlineStr">
        <is>
          <t>SKÅNE LÄN</t>
        </is>
      </c>
      <c r="E5415" t="inlineStr">
        <is>
          <t>KRISTIANSTAD</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1421-2024</t>
        </is>
      </c>
      <c r="B5416" s="1" t="n">
        <v>45303</v>
      </c>
      <c r="C5416" s="1" t="n">
        <v>45744</v>
      </c>
      <c r="D5416" t="inlineStr">
        <is>
          <t>SKÅNE LÄN</t>
        </is>
      </c>
      <c r="E5416" t="inlineStr">
        <is>
          <t>KRISTIANSTAD</t>
        </is>
      </c>
      <c r="F5416" t="inlineStr">
        <is>
          <t>Övriga Aktiebolag</t>
        </is>
      </c>
      <c r="G5416" t="n">
        <v>19.7</v>
      </c>
      <c r="H5416" t="n">
        <v>0</v>
      </c>
      <c r="I5416" t="n">
        <v>0</v>
      </c>
      <c r="J5416" t="n">
        <v>0</v>
      </c>
      <c r="K5416" t="n">
        <v>0</v>
      </c>
      <c r="L5416" t="n">
        <v>0</v>
      </c>
      <c r="M5416" t="n">
        <v>0</v>
      </c>
      <c r="N5416" t="n">
        <v>0</v>
      </c>
      <c r="O5416" t="n">
        <v>0</v>
      </c>
      <c r="P5416" t="n">
        <v>0</v>
      </c>
      <c r="Q5416" t="n">
        <v>0</v>
      </c>
      <c r="R5416" s="2" t="inlineStr"/>
    </row>
    <row r="5417" ht="15" customHeight="1">
      <c r="A5417" t="inlineStr">
        <is>
          <t>A 1407-2024</t>
        </is>
      </c>
      <c r="B5417" s="1" t="n">
        <v>45303</v>
      </c>
      <c r="C5417" s="1" t="n">
        <v>45744</v>
      </c>
      <c r="D5417" t="inlineStr">
        <is>
          <t>SKÅNE LÄN</t>
        </is>
      </c>
      <c r="E5417" t="inlineStr">
        <is>
          <t>HÖRBY</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1411-2024</t>
        </is>
      </c>
      <c r="B5418" s="1" t="n">
        <v>45303</v>
      </c>
      <c r="C5418" s="1" t="n">
        <v>45744</v>
      </c>
      <c r="D5418" t="inlineStr">
        <is>
          <t>SKÅNE LÄN</t>
        </is>
      </c>
      <c r="E5418" t="inlineStr">
        <is>
          <t>KRISTIANSTAD</t>
        </is>
      </c>
      <c r="F5418" t="inlineStr">
        <is>
          <t>Övriga Aktiebolag</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1299-2024</t>
        </is>
      </c>
      <c r="B5419" s="1" t="n">
        <v>45303</v>
      </c>
      <c r="C5419" s="1" t="n">
        <v>45744</v>
      </c>
      <c r="D5419" t="inlineStr">
        <is>
          <t>SKÅNE LÄN</t>
        </is>
      </c>
      <c r="E5419" t="inlineStr">
        <is>
          <t>ÄNGELHOLM</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1420-2024</t>
        </is>
      </c>
      <c r="B5420" s="1" t="n">
        <v>45303</v>
      </c>
      <c r="C5420" s="1" t="n">
        <v>45744</v>
      </c>
      <c r="D5420" t="inlineStr">
        <is>
          <t>SKÅNE LÄN</t>
        </is>
      </c>
      <c r="E5420" t="inlineStr">
        <is>
          <t>KRISTIANSTAD</t>
        </is>
      </c>
      <c r="F5420" t="inlineStr">
        <is>
          <t>Övriga Aktiebolag</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1493-2024</t>
        </is>
      </c>
      <c r="B5421" s="1" t="n">
        <v>45305</v>
      </c>
      <c r="C5421" s="1" t="n">
        <v>45744</v>
      </c>
      <c r="D5421" t="inlineStr">
        <is>
          <t>SKÅNE LÄN</t>
        </is>
      </c>
      <c r="E5421" t="inlineStr">
        <is>
          <t>ÖRKELLJUNGA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1492-2024</t>
        </is>
      </c>
      <c r="B5422" s="1" t="n">
        <v>45305</v>
      </c>
      <c r="C5422" s="1" t="n">
        <v>45744</v>
      </c>
      <c r="D5422" t="inlineStr">
        <is>
          <t>SKÅNE LÄN</t>
        </is>
      </c>
      <c r="E5422" t="inlineStr">
        <is>
          <t>ÖRKELLJUNGA</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1531-2024</t>
        </is>
      </c>
      <c r="B5423" s="1" t="n">
        <v>45306</v>
      </c>
      <c r="C5423" s="1" t="n">
        <v>45744</v>
      </c>
      <c r="D5423" t="inlineStr">
        <is>
          <t>SKÅNE LÄN</t>
        </is>
      </c>
      <c r="E5423" t="inlineStr">
        <is>
          <t>KRISTIANSTAD</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1543-2024</t>
        </is>
      </c>
      <c r="B5424" s="1" t="n">
        <v>45306</v>
      </c>
      <c r="C5424" s="1" t="n">
        <v>45744</v>
      </c>
      <c r="D5424" t="inlineStr">
        <is>
          <t>SKÅNE LÄN</t>
        </is>
      </c>
      <c r="E5424" t="inlineStr">
        <is>
          <t>HÄSSLEHOLM</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1538-2024</t>
        </is>
      </c>
      <c r="B5425" s="1" t="n">
        <v>45306</v>
      </c>
      <c r="C5425" s="1" t="n">
        <v>45744</v>
      </c>
      <c r="D5425" t="inlineStr">
        <is>
          <t>SKÅNE LÄN</t>
        </is>
      </c>
      <c r="E5425" t="inlineStr">
        <is>
          <t>HÄSSLEHOLM</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1566-2024</t>
        </is>
      </c>
      <c r="B5426" s="1" t="n">
        <v>45306</v>
      </c>
      <c r="C5426" s="1" t="n">
        <v>45744</v>
      </c>
      <c r="D5426" t="inlineStr">
        <is>
          <t>SKÅNE LÄN</t>
        </is>
      </c>
      <c r="E5426" t="inlineStr">
        <is>
          <t>BROMÖLLA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1521-2024</t>
        </is>
      </c>
      <c r="B5427" s="1" t="n">
        <v>45306</v>
      </c>
      <c r="C5427" s="1" t="n">
        <v>45744</v>
      </c>
      <c r="D5427" t="inlineStr">
        <is>
          <t>SKÅNE LÄN</t>
        </is>
      </c>
      <c r="E5427" t="inlineStr">
        <is>
          <t>HÄSSLEHOLM</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1574-2024</t>
        </is>
      </c>
      <c r="B5428" s="1" t="n">
        <v>45306</v>
      </c>
      <c r="C5428" s="1" t="n">
        <v>45744</v>
      </c>
      <c r="D5428" t="inlineStr">
        <is>
          <t>SKÅNE LÄN</t>
        </is>
      </c>
      <c r="E5428" t="inlineStr">
        <is>
          <t>ESLÖV</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1667-2024</t>
        </is>
      </c>
      <c r="B5429" s="1" t="n">
        <v>45306</v>
      </c>
      <c r="C5429" s="1" t="n">
        <v>45744</v>
      </c>
      <c r="D5429" t="inlineStr">
        <is>
          <t>SKÅNE LÄN</t>
        </is>
      </c>
      <c r="E5429" t="inlineStr">
        <is>
          <t>KRISTIANSTAD</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1592-2024</t>
        </is>
      </c>
      <c r="B5430" s="1" t="n">
        <v>45306</v>
      </c>
      <c r="C5430" s="1" t="n">
        <v>45744</v>
      </c>
      <c r="D5430" t="inlineStr">
        <is>
          <t>SKÅNE LÄN</t>
        </is>
      </c>
      <c r="E5430" t="inlineStr">
        <is>
          <t>SVALÖV</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1668-2024</t>
        </is>
      </c>
      <c r="B5431" s="1" t="n">
        <v>45306</v>
      </c>
      <c r="C5431" s="1" t="n">
        <v>45744</v>
      </c>
      <c r="D5431" t="inlineStr">
        <is>
          <t>SKÅNE LÄN</t>
        </is>
      </c>
      <c r="E5431" t="inlineStr">
        <is>
          <t>KRISTIANSTAD</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1736-2024</t>
        </is>
      </c>
      <c r="B5432" s="1" t="n">
        <v>45307</v>
      </c>
      <c r="C5432" s="1" t="n">
        <v>45744</v>
      </c>
      <c r="D5432" t="inlineStr">
        <is>
          <t>SKÅNE LÄN</t>
        </is>
      </c>
      <c r="E5432" t="inlineStr">
        <is>
          <t>KRISTIANSTAD</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1744-2024</t>
        </is>
      </c>
      <c r="B5433" s="1" t="n">
        <v>45307</v>
      </c>
      <c r="C5433" s="1" t="n">
        <v>45744</v>
      </c>
      <c r="D5433" t="inlineStr">
        <is>
          <t>SKÅNE LÄN</t>
        </is>
      </c>
      <c r="E5433" t="inlineStr">
        <is>
          <t>KRISTIANSTAD</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1784-2024</t>
        </is>
      </c>
      <c r="B5434" s="1" t="n">
        <v>45307</v>
      </c>
      <c r="C5434" s="1" t="n">
        <v>45744</v>
      </c>
      <c r="D5434" t="inlineStr">
        <is>
          <t>SKÅNE LÄN</t>
        </is>
      </c>
      <c r="E5434" t="inlineStr">
        <is>
          <t>BÅSTAD</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1833-2024</t>
        </is>
      </c>
      <c r="B5435" s="1" t="n">
        <v>45307</v>
      </c>
      <c r="C5435" s="1" t="n">
        <v>45744</v>
      </c>
      <c r="D5435" t="inlineStr">
        <is>
          <t>SKÅNE LÄN</t>
        </is>
      </c>
      <c r="E5435" t="inlineStr">
        <is>
          <t>KRISTIANSTAD</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1837-2024</t>
        </is>
      </c>
      <c r="B5436" s="1" t="n">
        <v>45307</v>
      </c>
      <c r="C5436" s="1" t="n">
        <v>45744</v>
      </c>
      <c r="D5436" t="inlineStr">
        <is>
          <t>SKÅNE LÄN</t>
        </is>
      </c>
      <c r="E5436" t="inlineStr">
        <is>
          <t>ÖSTRA GÖINGE</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1871-2024</t>
        </is>
      </c>
      <c r="B5437" s="1" t="n">
        <v>45307</v>
      </c>
      <c r="C5437" s="1" t="n">
        <v>45744</v>
      </c>
      <c r="D5437" t="inlineStr">
        <is>
          <t>SKÅNE LÄN</t>
        </is>
      </c>
      <c r="E5437" t="inlineStr">
        <is>
          <t>KRISTIANSTAD</t>
        </is>
      </c>
      <c r="F5437" t="inlineStr">
        <is>
          <t>Övriga Aktiebolag</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1733-2024</t>
        </is>
      </c>
      <c r="B5438" s="1" t="n">
        <v>45307</v>
      </c>
      <c r="C5438" s="1" t="n">
        <v>45744</v>
      </c>
      <c r="D5438" t="inlineStr">
        <is>
          <t>SKÅNE LÄN</t>
        </is>
      </c>
      <c r="E5438" t="inlineStr">
        <is>
          <t>KRISTIANSTAD</t>
        </is>
      </c>
      <c r="G5438" t="n">
        <v>7</v>
      </c>
      <c r="H5438" t="n">
        <v>0</v>
      </c>
      <c r="I5438" t="n">
        <v>0</v>
      </c>
      <c r="J5438" t="n">
        <v>0</v>
      </c>
      <c r="K5438" t="n">
        <v>0</v>
      </c>
      <c r="L5438" t="n">
        <v>0</v>
      </c>
      <c r="M5438" t="n">
        <v>0</v>
      </c>
      <c r="N5438" t="n">
        <v>0</v>
      </c>
      <c r="O5438" t="n">
        <v>0</v>
      </c>
      <c r="P5438" t="n">
        <v>0</v>
      </c>
      <c r="Q5438" t="n">
        <v>0</v>
      </c>
      <c r="R5438" s="2" t="inlineStr"/>
    </row>
    <row r="5439" ht="15" customHeight="1">
      <c r="A5439" t="inlineStr">
        <is>
          <t>A 1832-2024</t>
        </is>
      </c>
      <c r="B5439" s="1" t="n">
        <v>45307</v>
      </c>
      <c r="C5439" s="1" t="n">
        <v>45744</v>
      </c>
      <c r="D5439" t="inlineStr">
        <is>
          <t>SKÅNE LÄN</t>
        </is>
      </c>
      <c r="E5439" t="inlineStr">
        <is>
          <t>ÄNGELHOLM</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1836-2024</t>
        </is>
      </c>
      <c r="B5440" s="1" t="n">
        <v>45307</v>
      </c>
      <c r="C5440" s="1" t="n">
        <v>45744</v>
      </c>
      <c r="D5440" t="inlineStr">
        <is>
          <t>SKÅNE LÄN</t>
        </is>
      </c>
      <c r="E5440" t="inlineStr">
        <is>
          <t>KRISTIANSTAD</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1872-2024</t>
        </is>
      </c>
      <c r="B5441" s="1" t="n">
        <v>45307</v>
      </c>
      <c r="C5441" s="1" t="n">
        <v>45744</v>
      </c>
      <c r="D5441" t="inlineStr">
        <is>
          <t>SKÅNE LÄN</t>
        </is>
      </c>
      <c r="E5441" t="inlineStr">
        <is>
          <t>KRISTIANSTAD</t>
        </is>
      </c>
      <c r="F5441" t="inlineStr">
        <is>
          <t>Övriga Aktiebolag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1932-2024</t>
        </is>
      </c>
      <c r="B5442" s="1" t="n">
        <v>45308</v>
      </c>
      <c r="C5442" s="1" t="n">
        <v>45744</v>
      </c>
      <c r="D5442" t="inlineStr">
        <is>
          <t>SKÅNE LÄN</t>
        </is>
      </c>
      <c r="E5442" t="inlineStr">
        <is>
          <t>ÄNGELHOLM</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1935-2024</t>
        </is>
      </c>
      <c r="B5443" s="1" t="n">
        <v>45308</v>
      </c>
      <c r="C5443" s="1" t="n">
        <v>45744</v>
      </c>
      <c r="D5443" t="inlineStr">
        <is>
          <t>SKÅNE LÄN</t>
        </is>
      </c>
      <c r="E5443" t="inlineStr">
        <is>
          <t>ÖRKELLJUNGA</t>
        </is>
      </c>
      <c r="G5443" t="n">
        <v>0.2</v>
      </c>
      <c r="H5443" t="n">
        <v>0</v>
      </c>
      <c r="I5443" t="n">
        <v>0</v>
      </c>
      <c r="J5443" t="n">
        <v>0</v>
      </c>
      <c r="K5443" t="n">
        <v>0</v>
      </c>
      <c r="L5443" t="n">
        <v>0</v>
      </c>
      <c r="M5443" t="n">
        <v>0</v>
      </c>
      <c r="N5443" t="n">
        <v>0</v>
      </c>
      <c r="O5443" t="n">
        <v>0</v>
      </c>
      <c r="P5443" t="n">
        <v>0</v>
      </c>
      <c r="Q5443" t="n">
        <v>0</v>
      </c>
      <c r="R5443" s="2" t="inlineStr"/>
    </row>
    <row r="5444" ht="15" customHeight="1">
      <c r="A5444" t="inlineStr">
        <is>
          <t>A 2187-2024</t>
        </is>
      </c>
      <c r="B5444" s="1" t="n">
        <v>45309</v>
      </c>
      <c r="C5444" s="1" t="n">
        <v>45744</v>
      </c>
      <c r="D5444" t="inlineStr">
        <is>
          <t>SKÅNE LÄN</t>
        </is>
      </c>
      <c r="E5444" t="inlineStr">
        <is>
          <t>KRISTIANSTAD</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2181-2024</t>
        </is>
      </c>
      <c r="B5445" s="1" t="n">
        <v>45309</v>
      </c>
      <c r="C5445" s="1" t="n">
        <v>45744</v>
      </c>
      <c r="D5445" t="inlineStr">
        <is>
          <t>SKÅNE LÄN</t>
        </is>
      </c>
      <c r="E5445" t="inlineStr">
        <is>
          <t>HÄSSLEHOLM</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2189-2024</t>
        </is>
      </c>
      <c r="B5446" s="1" t="n">
        <v>45309</v>
      </c>
      <c r="C5446" s="1" t="n">
        <v>45744</v>
      </c>
      <c r="D5446" t="inlineStr">
        <is>
          <t>SKÅNE LÄN</t>
        </is>
      </c>
      <c r="E5446" t="inlineStr">
        <is>
          <t>ÅSTORP</t>
        </is>
      </c>
      <c r="G5446" t="n">
        <v>10</v>
      </c>
      <c r="H5446" t="n">
        <v>0</v>
      </c>
      <c r="I5446" t="n">
        <v>0</v>
      </c>
      <c r="J5446" t="n">
        <v>0</v>
      </c>
      <c r="K5446" t="n">
        <v>0</v>
      </c>
      <c r="L5446" t="n">
        <v>0</v>
      </c>
      <c r="M5446" t="n">
        <v>0</v>
      </c>
      <c r="N5446" t="n">
        <v>0</v>
      </c>
      <c r="O5446" t="n">
        <v>0</v>
      </c>
      <c r="P5446" t="n">
        <v>0</v>
      </c>
      <c r="Q5446" t="n">
        <v>0</v>
      </c>
      <c r="R5446" s="2" t="inlineStr"/>
    </row>
    <row r="5447" ht="15" customHeight="1">
      <c r="A5447" t="inlineStr">
        <is>
          <t>A 2111-2024</t>
        </is>
      </c>
      <c r="B5447" s="1" t="n">
        <v>45309</v>
      </c>
      <c r="C5447" s="1" t="n">
        <v>45744</v>
      </c>
      <c r="D5447" t="inlineStr">
        <is>
          <t>SKÅNE LÄN</t>
        </is>
      </c>
      <c r="E5447" t="inlineStr">
        <is>
          <t>OSBY</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2139-2024</t>
        </is>
      </c>
      <c r="B5448" s="1" t="n">
        <v>45309</v>
      </c>
      <c r="C5448" s="1" t="n">
        <v>45744</v>
      </c>
      <c r="D5448" t="inlineStr">
        <is>
          <t>SKÅNE LÄN</t>
        </is>
      </c>
      <c r="E5448" t="inlineStr">
        <is>
          <t>SVALÖV</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2098-2024</t>
        </is>
      </c>
      <c r="B5449" s="1" t="n">
        <v>45309</v>
      </c>
      <c r="C5449" s="1" t="n">
        <v>45744</v>
      </c>
      <c r="D5449" t="inlineStr">
        <is>
          <t>SKÅNE LÄN</t>
        </is>
      </c>
      <c r="E5449" t="inlineStr">
        <is>
          <t>HÄSSLEHOLM</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2280-2024</t>
        </is>
      </c>
      <c r="B5450" s="1" t="n">
        <v>45310</v>
      </c>
      <c r="C5450" s="1" t="n">
        <v>45744</v>
      </c>
      <c r="D5450" t="inlineStr">
        <is>
          <t>SKÅNE LÄN</t>
        </is>
      </c>
      <c r="E5450" t="inlineStr">
        <is>
          <t>KLIPPAN</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2290-2024</t>
        </is>
      </c>
      <c r="B5451" s="1" t="n">
        <v>45310</v>
      </c>
      <c r="C5451" s="1" t="n">
        <v>45744</v>
      </c>
      <c r="D5451" t="inlineStr">
        <is>
          <t>SKÅNE LÄN</t>
        </is>
      </c>
      <c r="E5451" t="inlineStr">
        <is>
          <t>HÄSSLEHOLM</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2302-2024</t>
        </is>
      </c>
      <c r="B5452" s="1" t="n">
        <v>45310</v>
      </c>
      <c r="C5452" s="1" t="n">
        <v>45744</v>
      </c>
      <c r="D5452" t="inlineStr">
        <is>
          <t>SKÅNE LÄN</t>
        </is>
      </c>
      <c r="E5452" t="inlineStr">
        <is>
          <t>OSBY</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2364-2024</t>
        </is>
      </c>
      <c r="B5453" s="1" t="n">
        <v>45310</v>
      </c>
      <c r="C5453" s="1" t="n">
        <v>45744</v>
      </c>
      <c r="D5453" t="inlineStr">
        <is>
          <t>SKÅNE LÄN</t>
        </is>
      </c>
      <c r="E5453" t="inlineStr">
        <is>
          <t>ÖSTRA GÖINGE</t>
        </is>
      </c>
      <c r="G5453" t="n">
        <v>7.7</v>
      </c>
      <c r="H5453" t="n">
        <v>0</v>
      </c>
      <c r="I5453" t="n">
        <v>0</v>
      </c>
      <c r="J5453" t="n">
        <v>0</v>
      </c>
      <c r="K5453" t="n">
        <v>0</v>
      </c>
      <c r="L5453" t="n">
        <v>0</v>
      </c>
      <c r="M5453" t="n">
        <v>0</v>
      </c>
      <c r="N5453" t="n">
        <v>0</v>
      </c>
      <c r="O5453" t="n">
        <v>0</v>
      </c>
      <c r="P5453" t="n">
        <v>0</v>
      </c>
      <c r="Q5453" t="n">
        <v>0</v>
      </c>
      <c r="R5453" s="2" t="inlineStr"/>
    </row>
    <row r="5454" ht="15" customHeight="1">
      <c r="A5454" t="inlineStr">
        <is>
          <t>A 2366-2024</t>
        </is>
      </c>
      <c r="B5454" s="1" t="n">
        <v>45310</v>
      </c>
      <c r="C5454" s="1" t="n">
        <v>45744</v>
      </c>
      <c r="D5454" t="inlineStr">
        <is>
          <t>SKÅNE LÄN</t>
        </is>
      </c>
      <c r="E5454" t="inlineStr">
        <is>
          <t>ÖSTRA GÖINGE</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2316-2024</t>
        </is>
      </c>
      <c r="B5455" s="1" t="n">
        <v>45310</v>
      </c>
      <c r="C5455" s="1" t="n">
        <v>45744</v>
      </c>
      <c r="D5455" t="inlineStr">
        <is>
          <t>SKÅNE LÄN</t>
        </is>
      </c>
      <c r="E5455" t="inlineStr">
        <is>
          <t>KRISTIANSTAD</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2437-2024</t>
        </is>
      </c>
      <c r="B5456" s="1" t="n">
        <v>45311</v>
      </c>
      <c r="C5456" s="1" t="n">
        <v>45744</v>
      </c>
      <c r="D5456" t="inlineStr">
        <is>
          <t>SKÅNE LÄN</t>
        </is>
      </c>
      <c r="E5456" t="inlineStr">
        <is>
          <t>KRISTIANSTAD</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2459-2024</t>
        </is>
      </c>
      <c r="B5457" s="1" t="n">
        <v>45312</v>
      </c>
      <c r="C5457" s="1" t="n">
        <v>45744</v>
      </c>
      <c r="D5457" t="inlineStr">
        <is>
          <t>SKÅNE LÄN</t>
        </is>
      </c>
      <c r="E5457" t="inlineStr">
        <is>
          <t>KRISTIANSTAD</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2479-2024</t>
        </is>
      </c>
      <c r="B5458" s="1" t="n">
        <v>45313</v>
      </c>
      <c r="C5458" s="1" t="n">
        <v>45744</v>
      </c>
      <c r="D5458" t="inlineStr">
        <is>
          <t>SKÅNE LÄN</t>
        </is>
      </c>
      <c r="E5458" t="inlineStr">
        <is>
          <t>HÄSSLEHOLM</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2567-2024</t>
        </is>
      </c>
      <c r="B5459" s="1" t="n">
        <v>45313</v>
      </c>
      <c r="C5459" s="1" t="n">
        <v>45744</v>
      </c>
      <c r="D5459" t="inlineStr">
        <is>
          <t>SKÅNE LÄN</t>
        </is>
      </c>
      <c r="E5459" t="inlineStr">
        <is>
          <t>HÄSSLEHOLM</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2575-2024</t>
        </is>
      </c>
      <c r="B5460" s="1" t="n">
        <v>45313</v>
      </c>
      <c r="C5460" s="1" t="n">
        <v>45744</v>
      </c>
      <c r="D5460" t="inlineStr">
        <is>
          <t>SKÅNE LÄN</t>
        </is>
      </c>
      <c r="E5460" t="inlineStr">
        <is>
          <t>ÄNGELHOLM</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2596-2024</t>
        </is>
      </c>
      <c r="B5461" s="1" t="n">
        <v>45313</v>
      </c>
      <c r="C5461" s="1" t="n">
        <v>45744</v>
      </c>
      <c r="D5461" t="inlineStr">
        <is>
          <t>SKÅNE LÄN</t>
        </is>
      </c>
      <c r="E5461" t="inlineStr">
        <is>
          <t>HÄSSLEHOLM</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2490-2024</t>
        </is>
      </c>
      <c r="B5462" s="1" t="n">
        <v>45313</v>
      </c>
      <c r="C5462" s="1" t="n">
        <v>45744</v>
      </c>
      <c r="D5462" t="inlineStr">
        <is>
          <t>SKÅNE LÄN</t>
        </is>
      </c>
      <c r="E5462" t="inlineStr">
        <is>
          <t>HÄSSLEHOLM</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2514-2024</t>
        </is>
      </c>
      <c r="B5463" s="1" t="n">
        <v>45313</v>
      </c>
      <c r="C5463" s="1" t="n">
        <v>45744</v>
      </c>
      <c r="D5463" t="inlineStr">
        <is>
          <t>SKÅNE LÄN</t>
        </is>
      </c>
      <c r="E5463" t="inlineStr">
        <is>
          <t>KRISTIANSTAD</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2597-2024</t>
        </is>
      </c>
      <c r="B5464" s="1" t="n">
        <v>45313</v>
      </c>
      <c r="C5464" s="1" t="n">
        <v>45744</v>
      </c>
      <c r="D5464" t="inlineStr">
        <is>
          <t>SKÅNE LÄN</t>
        </is>
      </c>
      <c r="E5464" t="inlineStr">
        <is>
          <t>HÄSSLEHOLM</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2593-2024</t>
        </is>
      </c>
      <c r="B5465" s="1" t="n">
        <v>45313</v>
      </c>
      <c r="C5465" s="1" t="n">
        <v>45744</v>
      </c>
      <c r="D5465" t="inlineStr">
        <is>
          <t>SKÅNE LÄN</t>
        </is>
      </c>
      <c r="E5465" t="inlineStr">
        <is>
          <t>HELSINGBORG</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2589-2024</t>
        </is>
      </c>
      <c r="B5466" s="1" t="n">
        <v>45313</v>
      </c>
      <c r="C5466" s="1" t="n">
        <v>45744</v>
      </c>
      <c r="D5466" t="inlineStr">
        <is>
          <t>SKÅNE LÄN</t>
        </is>
      </c>
      <c r="E5466" t="inlineStr">
        <is>
          <t>HÄSSLEHOLM</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2595-2024</t>
        </is>
      </c>
      <c r="B5467" s="1" t="n">
        <v>45313</v>
      </c>
      <c r="C5467" s="1" t="n">
        <v>45744</v>
      </c>
      <c r="D5467" t="inlineStr">
        <is>
          <t>SKÅNE LÄN</t>
        </is>
      </c>
      <c r="E5467" t="inlineStr">
        <is>
          <t>HÄSSLEHOLM</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2548-2024</t>
        </is>
      </c>
      <c r="B5468" s="1" t="n">
        <v>45313</v>
      </c>
      <c r="C5468" s="1" t="n">
        <v>45744</v>
      </c>
      <c r="D5468" t="inlineStr">
        <is>
          <t>SKÅNE LÄN</t>
        </is>
      </c>
      <c r="E5468" t="inlineStr">
        <is>
          <t>TOMELILLA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2537-2024</t>
        </is>
      </c>
      <c r="B5469" s="1" t="n">
        <v>45313</v>
      </c>
      <c r="C5469" s="1" t="n">
        <v>45744</v>
      </c>
      <c r="D5469" t="inlineStr">
        <is>
          <t>SKÅNE LÄN</t>
        </is>
      </c>
      <c r="E5469" t="inlineStr">
        <is>
          <t>SJÖBO</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2684-2024</t>
        </is>
      </c>
      <c r="B5470" s="1" t="n">
        <v>45314</v>
      </c>
      <c r="C5470" s="1" t="n">
        <v>45744</v>
      </c>
      <c r="D5470" t="inlineStr">
        <is>
          <t>SKÅNE LÄN</t>
        </is>
      </c>
      <c r="E5470" t="inlineStr">
        <is>
          <t>PERSTORP</t>
        </is>
      </c>
      <c r="F5470" t="inlineStr">
        <is>
          <t>Övriga Aktiebolag</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2688-2024</t>
        </is>
      </c>
      <c r="B5471" s="1" t="n">
        <v>45314</v>
      </c>
      <c r="C5471" s="1" t="n">
        <v>45744</v>
      </c>
      <c r="D5471" t="inlineStr">
        <is>
          <t>SKÅNE LÄN</t>
        </is>
      </c>
      <c r="E5471" t="inlineStr">
        <is>
          <t>HÄSSLEHOLM</t>
        </is>
      </c>
      <c r="F5471" t="inlineStr">
        <is>
          <t>Övriga Aktiebolag</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2742-2024</t>
        </is>
      </c>
      <c r="B5472" s="1" t="n">
        <v>45314</v>
      </c>
      <c r="C5472" s="1" t="n">
        <v>45744</v>
      </c>
      <c r="D5472" t="inlineStr">
        <is>
          <t>SKÅNE LÄN</t>
        </is>
      </c>
      <c r="E5472" t="inlineStr">
        <is>
          <t>ESLÖV</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2635-2024</t>
        </is>
      </c>
      <c r="B5473" s="1" t="n">
        <v>45314</v>
      </c>
      <c r="C5473" s="1" t="n">
        <v>45744</v>
      </c>
      <c r="D5473" t="inlineStr">
        <is>
          <t>SKÅNE LÄN</t>
        </is>
      </c>
      <c r="E5473" t="inlineStr">
        <is>
          <t>OSBY</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2681-2024</t>
        </is>
      </c>
      <c r="B5474" s="1" t="n">
        <v>45314</v>
      </c>
      <c r="C5474" s="1" t="n">
        <v>45744</v>
      </c>
      <c r="D5474" t="inlineStr">
        <is>
          <t>SKÅNE LÄN</t>
        </is>
      </c>
      <c r="E5474" t="inlineStr">
        <is>
          <t>HÄSSLEHOLM</t>
        </is>
      </c>
      <c r="F5474" t="inlineStr">
        <is>
          <t>Övriga Aktiebolag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2674-2024</t>
        </is>
      </c>
      <c r="B5475" s="1" t="n">
        <v>45314</v>
      </c>
      <c r="C5475" s="1" t="n">
        <v>45744</v>
      </c>
      <c r="D5475" t="inlineStr">
        <is>
          <t>SKÅNE LÄN</t>
        </is>
      </c>
      <c r="E5475" t="inlineStr">
        <is>
          <t>KRISTIANSTAD</t>
        </is>
      </c>
      <c r="F5475" t="inlineStr">
        <is>
          <t>Övriga Aktiebolag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2712-2024</t>
        </is>
      </c>
      <c r="B5476" s="1" t="n">
        <v>45314</v>
      </c>
      <c r="C5476" s="1" t="n">
        <v>45744</v>
      </c>
      <c r="D5476" t="inlineStr">
        <is>
          <t>SKÅNE LÄN</t>
        </is>
      </c>
      <c r="E5476" t="inlineStr">
        <is>
          <t>HÄSSLEHOLM</t>
        </is>
      </c>
      <c r="G5476" t="n">
        <v>11.3</v>
      </c>
      <c r="H5476" t="n">
        <v>0</v>
      </c>
      <c r="I5476" t="n">
        <v>0</v>
      </c>
      <c r="J5476" t="n">
        <v>0</v>
      </c>
      <c r="K5476" t="n">
        <v>0</v>
      </c>
      <c r="L5476" t="n">
        <v>0</v>
      </c>
      <c r="M5476" t="n">
        <v>0</v>
      </c>
      <c r="N5476" t="n">
        <v>0</v>
      </c>
      <c r="O5476" t="n">
        <v>0</v>
      </c>
      <c r="P5476" t="n">
        <v>0</v>
      </c>
      <c r="Q5476" t="n">
        <v>0</v>
      </c>
      <c r="R5476" s="2" t="inlineStr"/>
    </row>
    <row r="5477" ht="15" customHeight="1">
      <c r="A5477" t="inlineStr">
        <is>
          <t>A 2748-2024</t>
        </is>
      </c>
      <c r="B5477" s="1" t="n">
        <v>45314</v>
      </c>
      <c r="C5477" s="1" t="n">
        <v>45744</v>
      </c>
      <c r="D5477" t="inlineStr">
        <is>
          <t>SKÅNE LÄN</t>
        </is>
      </c>
      <c r="E5477" t="inlineStr">
        <is>
          <t>KLIPPAN</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2891-2024</t>
        </is>
      </c>
      <c r="B5478" s="1" t="n">
        <v>45315</v>
      </c>
      <c r="C5478" s="1" t="n">
        <v>45744</v>
      </c>
      <c r="D5478" t="inlineStr">
        <is>
          <t>SKÅNE LÄN</t>
        </is>
      </c>
      <c r="E5478" t="inlineStr">
        <is>
          <t>KRISTIANSTAD</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2934-2024</t>
        </is>
      </c>
      <c r="B5479" s="1" t="n">
        <v>45315</v>
      </c>
      <c r="C5479" s="1" t="n">
        <v>45744</v>
      </c>
      <c r="D5479" t="inlineStr">
        <is>
          <t>SKÅNE LÄN</t>
        </is>
      </c>
      <c r="E5479" t="inlineStr">
        <is>
          <t>OSBY</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2981-2024</t>
        </is>
      </c>
      <c r="B5480" s="1" t="n">
        <v>45315</v>
      </c>
      <c r="C5480" s="1" t="n">
        <v>45744</v>
      </c>
      <c r="D5480" t="inlineStr">
        <is>
          <t>SKÅNE LÄN</t>
        </is>
      </c>
      <c r="E5480" t="inlineStr">
        <is>
          <t>HÖRBY</t>
        </is>
      </c>
      <c r="F5480" t="inlineStr">
        <is>
          <t>Kyrkan</t>
        </is>
      </c>
      <c r="G5480" t="n">
        <v>6.4</v>
      </c>
      <c r="H5480" t="n">
        <v>0</v>
      </c>
      <c r="I5480" t="n">
        <v>0</v>
      </c>
      <c r="J5480" t="n">
        <v>0</v>
      </c>
      <c r="K5480" t="n">
        <v>0</v>
      </c>
      <c r="L5480" t="n">
        <v>0</v>
      </c>
      <c r="M5480" t="n">
        <v>0</v>
      </c>
      <c r="N5480" t="n">
        <v>0</v>
      </c>
      <c r="O5480" t="n">
        <v>0</v>
      </c>
      <c r="P5480" t="n">
        <v>0</v>
      </c>
      <c r="Q5480" t="n">
        <v>0</v>
      </c>
      <c r="R5480" s="2" t="inlineStr"/>
    </row>
    <row r="5481" ht="15" customHeight="1">
      <c r="A5481" t="inlineStr">
        <is>
          <t>A 2979-2024</t>
        </is>
      </c>
      <c r="B5481" s="1" t="n">
        <v>45315</v>
      </c>
      <c r="C5481" s="1" t="n">
        <v>45744</v>
      </c>
      <c r="D5481" t="inlineStr">
        <is>
          <t>SKÅNE LÄN</t>
        </is>
      </c>
      <c r="E5481" t="inlineStr">
        <is>
          <t>HÖRBY</t>
        </is>
      </c>
      <c r="F5481" t="inlineStr">
        <is>
          <t>Kyrkan</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2980-2024</t>
        </is>
      </c>
      <c r="B5482" s="1" t="n">
        <v>45315</v>
      </c>
      <c r="C5482" s="1" t="n">
        <v>45744</v>
      </c>
      <c r="D5482" t="inlineStr">
        <is>
          <t>SKÅNE LÄN</t>
        </is>
      </c>
      <c r="E5482" t="inlineStr">
        <is>
          <t>HÖRBY</t>
        </is>
      </c>
      <c r="F5482" t="inlineStr">
        <is>
          <t>Kyrkan</t>
        </is>
      </c>
      <c r="G5482" t="n">
        <v>8.6</v>
      </c>
      <c r="H5482" t="n">
        <v>0</v>
      </c>
      <c r="I5482" t="n">
        <v>0</v>
      </c>
      <c r="J5482" t="n">
        <v>0</v>
      </c>
      <c r="K5482" t="n">
        <v>0</v>
      </c>
      <c r="L5482" t="n">
        <v>0</v>
      </c>
      <c r="M5482" t="n">
        <v>0</v>
      </c>
      <c r="N5482" t="n">
        <v>0</v>
      </c>
      <c r="O5482" t="n">
        <v>0</v>
      </c>
      <c r="P5482" t="n">
        <v>0</v>
      </c>
      <c r="Q5482" t="n">
        <v>0</v>
      </c>
      <c r="R5482" s="2" t="inlineStr"/>
    </row>
    <row r="5483" ht="15" customHeight="1">
      <c r="A5483" t="inlineStr">
        <is>
          <t>A 2974-2024</t>
        </is>
      </c>
      <c r="B5483" s="1" t="n">
        <v>45315</v>
      </c>
      <c r="C5483" s="1" t="n">
        <v>45744</v>
      </c>
      <c r="D5483" t="inlineStr">
        <is>
          <t>SKÅNE LÄN</t>
        </is>
      </c>
      <c r="E5483" t="inlineStr">
        <is>
          <t>KRISTIANSTAD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2950-2024</t>
        </is>
      </c>
      <c r="B5484" s="1" t="n">
        <v>45315</v>
      </c>
      <c r="C5484" s="1" t="n">
        <v>45744</v>
      </c>
      <c r="D5484" t="inlineStr">
        <is>
          <t>SKÅNE LÄN</t>
        </is>
      </c>
      <c r="E5484" t="inlineStr">
        <is>
          <t>HÖÖR</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2933-2024</t>
        </is>
      </c>
      <c r="B5485" s="1" t="n">
        <v>45315</v>
      </c>
      <c r="C5485" s="1" t="n">
        <v>45744</v>
      </c>
      <c r="D5485" t="inlineStr">
        <is>
          <t>SKÅNE LÄN</t>
        </is>
      </c>
      <c r="E5485" t="inlineStr">
        <is>
          <t>OSBY</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2935-2024</t>
        </is>
      </c>
      <c r="B5486" s="1" t="n">
        <v>45315</v>
      </c>
      <c r="C5486" s="1" t="n">
        <v>45744</v>
      </c>
      <c r="D5486" t="inlineStr">
        <is>
          <t>SKÅNE LÄN</t>
        </is>
      </c>
      <c r="E5486" t="inlineStr">
        <is>
          <t>HÖÖR</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2881-2024</t>
        </is>
      </c>
      <c r="B5487" s="1" t="n">
        <v>45315</v>
      </c>
      <c r="C5487" s="1" t="n">
        <v>45744</v>
      </c>
      <c r="D5487" t="inlineStr">
        <is>
          <t>SKÅNE LÄN</t>
        </is>
      </c>
      <c r="E5487" t="inlineStr">
        <is>
          <t>KRISTIANSTAD</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3040-2024</t>
        </is>
      </c>
      <c r="B5488" s="1" t="n">
        <v>45316</v>
      </c>
      <c r="C5488" s="1" t="n">
        <v>45744</v>
      </c>
      <c r="D5488" t="inlineStr">
        <is>
          <t>SKÅNE LÄN</t>
        </is>
      </c>
      <c r="E5488" t="inlineStr">
        <is>
          <t>HÖRBY</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3160-2024</t>
        </is>
      </c>
      <c r="B5489" s="1" t="n">
        <v>45316</v>
      </c>
      <c r="C5489" s="1" t="n">
        <v>45744</v>
      </c>
      <c r="D5489" t="inlineStr">
        <is>
          <t>SKÅNE LÄN</t>
        </is>
      </c>
      <c r="E5489" t="inlineStr">
        <is>
          <t>HÖÖR</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3172-2024</t>
        </is>
      </c>
      <c r="B5490" s="1" t="n">
        <v>45316</v>
      </c>
      <c r="C5490" s="1" t="n">
        <v>45744</v>
      </c>
      <c r="D5490" t="inlineStr">
        <is>
          <t>SKÅNE LÄN</t>
        </is>
      </c>
      <c r="E5490" t="inlineStr">
        <is>
          <t>ÖSTRA GÖINGE</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3289-2024</t>
        </is>
      </c>
      <c r="B5491" s="1" t="n">
        <v>45316</v>
      </c>
      <c r="C5491" s="1" t="n">
        <v>45744</v>
      </c>
      <c r="D5491" t="inlineStr">
        <is>
          <t>SKÅNE LÄN</t>
        </is>
      </c>
      <c r="E5491" t="inlineStr">
        <is>
          <t>ÖSTRA GÖINGE</t>
        </is>
      </c>
      <c r="F5491" t="inlineStr">
        <is>
          <t>Sveaskog</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3346-2024</t>
        </is>
      </c>
      <c r="B5492" s="1" t="n">
        <v>45317</v>
      </c>
      <c r="C5492" s="1" t="n">
        <v>45744</v>
      </c>
      <c r="D5492" t="inlineStr">
        <is>
          <t>SKÅNE LÄN</t>
        </is>
      </c>
      <c r="E5492" t="inlineStr">
        <is>
          <t>HÖRBY</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3367-2024</t>
        </is>
      </c>
      <c r="B5493" s="1" t="n">
        <v>45317</v>
      </c>
      <c r="C5493" s="1" t="n">
        <v>45744</v>
      </c>
      <c r="D5493" t="inlineStr">
        <is>
          <t>SKÅNE LÄN</t>
        </is>
      </c>
      <c r="E5493" t="inlineStr">
        <is>
          <t>SIMRISHAMN</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3340-2024</t>
        </is>
      </c>
      <c r="B5494" s="1" t="n">
        <v>45317</v>
      </c>
      <c r="C5494" s="1" t="n">
        <v>45744</v>
      </c>
      <c r="D5494" t="inlineStr">
        <is>
          <t>SKÅNE LÄN</t>
        </is>
      </c>
      <c r="E5494" t="inlineStr">
        <is>
          <t>HÖRBY</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3344-2024</t>
        </is>
      </c>
      <c r="B5495" s="1" t="n">
        <v>45317</v>
      </c>
      <c r="C5495" s="1" t="n">
        <v>45744</v>
      </c>
      <c r="D5495" t="inlineStr">
        <is>
          <t>SKÅNE LÄN</t>
        </is>
      </c>
      <c r="E5495" t="inlineStr">
        <is>
          <t>HÖRBY</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3394-2024</t>
        </is>
      </c>
      <c r="B5496" s="1" t="n">
        <v>45318</v>
      </c>
      <c r="C5496" s="1" t="n">
        <v>45744</v>
      </c>
      <c r="D5496" t="inlineStr">
        <is>
          <t>SKÅNE LÄN</t>
        </is>
      </c>
      <c r="E5496" t="inlineStr">
        <is>
          <t>SIMRISHAMN</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3398-2024</t>
        </is>
      </c>
      <c r="B5497" s="1" t="n">
        <v>45318</v>
      </c>
      <c r="C5497" s="1" t="n">
        <v>45744</v>
      </c>
      <c r="D5497" t="inlineStr">
        <is>
          <t>SKÅNE LÄN</t>
        </is>
      </c>
      <c r="E5497" t="inlineStr">
        <is>
          <t>SIMRISHAMN</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3402-2024</t>
        </is>
      </c>
      <c r="B5498" s="1" t="n">
        <v>45318</v>
      </c>
      <c r="C5498" s="1" t="n">
        <v>45744</v>
      </c>
      <c r="D5498" t="inlineStr">
        <is>
          <t>SKÅNE LÄN</t>
        </is>
      </c>
      <c r="E5498" t="inlineStr">
        <is>
          <t>SIMRISHAMN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3406-2024</t>
        </is>
      </c>
      <c r="B5499" s="1" t="n">
        <v>45318</v>
      </c>
      <c r="C5499" s="1" t="n">
        <v>45744</v>
      </c>
      <c r="D5499" t="inlineStr">
        <is>
          <t>SKÅNE LÄN</t>
        </is>
      </c>
      <c r="E5499" t="inlineStr">
        <is>
          <t>SIMRISHAMN</t>
        </is>
      </c>
      <c r="G5499" t="n">
        <v>10.5</v>
      </c>
      <c r="H5499" t="n">
        <v>0</v>
      </c>
      <c r="I5499" t="n">
        <v>0</v>
      </c>
      <c r="J5499" t="n">
        <v>0</v>
      </c>
      <c r="K5499" t="n">
        <v>0</v>
      </c>
      <c r="L5499" t="n">
        <v>0</v>
      </c>
      <c r="M5499" t="n">
        <v>0</v>
      </c>
      <c r="N5499" t="n">
        <v>0</v>
      </c>
      <c r="O5499" t="n">
        <v>0</v>
      </c>
      <c r="P5499" t="n">
        <v>0</v>
      </c>
      <c r="Q5499" t="n">
        <v>0</v>
      </c>
      <c r="R5499" s="2" t="inlineStr"/>
    </row>
    <row r="5500" ht="15" customHeight="1">
      <c r="A5500" t="inlineStr">
        <is>
          <t>A 3395-2024</t>
        </is>
      </c>
      <c r="B5500" s="1" t="n">
        <v>45318</v>
      </c>
      <c r="C5500" s="1" t="n">
        <v>45744</v>
      </c>
      <c r="D5500" t="inlineStr">
        <is>
          <t>SKÅNE LÄN</t>
        </is>
      </c>
      <c r="E5500" t="inlineStr">
        <is>
          <t>SIMRISHAMN</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3407-2024</t>
        </is>
      </c>
      <c r="B5501" s="1" t="n">
        <v>45318</v>
      </c>
      <c r="C5501" s="1" t="n">
        <v>45744</v>
      </c>
      <c r="D5501" t="inlineStr">
        <is>
          <t>SKÅNE LÄN</t>
        </is>
      </c>
      <c r="E5501" t="inlineStr">
        <is>
          <t>HÖÖR</t>
        </is>
      </c>
      <c r="G5501" t="n">
        <v>6.5</v>
      </c>
      <c r="H5501" t="n">
        <v>0</v>
      </c>
      <c r="I5501" t="n">
        <v>0</v>
      </c>
      <c r="J5501" t="n">
        <v>0</v>
      </c>
      <c r="K5501" t="n">
        <v>0</v>
      </c>
      <c r="L5501" t="n">
        <v>0</v>
      </c>
      <c r="M5501" t="n">
        <v>0</v>
      </c>
      <c r="N5501" t="n">
        <v>0</v>
      </c>
      <c r="O5501" t="n">
        <v>0</v>
      </c>
      <c r="P5501" t="n">
        <v>0</v>
      </c>
      <c r="Q5501" t="n">
        <v>0</v>
      </c>
      <c r="R5501" s="2" t="inlineStr"/>
    </row>
    <row r="5502" ht="15" customHeight="1">
      <c r="A5502" t="inlineStr">
        <is>
          <t>A 3392-2024</t>
        </is>
      </c>
      <c r="B5502" s="1" t="n">
        <v>45318</v>
      </c>
      <c r="C5502" s="1" t="n">
        <v>45744</v>
      </c>
      <c r="D5502" t="inlineStr">
        <is>
          <t>SKÅNE LÄN</t>
        </is>
      </c>
      <c r="E5502" t="inlineStr">
        <is>
          <t>SIMRISHAMN</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3396-2024</t>
        </is>
      </c>
      <c r="B5503" s="1" t="n">
        <v>45318</v>
      </c>
      <c r="C5503" s="1" t="n">
        <v>45744</v>
      </c>
      <c r="D5503" t="inlineStr">
        <is>
          <t>SKÅNE LÄN</t>
        </is>
      </c>
      <c r="E5503" t="inlineStr">
        <is>
          <t>SIMRISHAMN</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3400-2024</t>
        </is>
      </c>
      <c r="B5504" s="1" t="n">
        <v>45318</v>
      </c>
      <c r="C5504" s="1" t="n">
        <v>45744</v>
      </c>
      <c r="D5504" t="inlineStr">
        <is>
          <t>SKÅNE LÄN</t>
        </is>
      </c>
      <c r="E5504" t="inlineStr">
        <is>
          <t>SIMRISHAMN</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3404-2024</t>
        </is>
      </c>
      <c r="B5505" s="1" t="n">
        <v>45318</v>
      </c>
      <c r="C5505" s="1" t="n">
        <v>45744</v>
      </c>
      <c r="D5505" t="inlineStr">
        <is>
          <t>SKÅNE LÄN</t>
        </is>
      </c>
      <c r="E5505" t="inlineStr">
        <is>
          <t>SIMRISHAMN</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3393-2024</t>
        </is>
      </c>
      <c r="B5506" s="1" t="n">
        <v>45318</v>
      </c>
      <c r="C5506" s="1" t="n">
        <v>45744</v>
      </c>
      <c r="D5506" t="inlineStr">
        <is>
          <t>SKÅNE LÄN</t>
        </is>
      </c>
      <c r="E5506" t="inlineStr">
        <is>
          <t>SIMRISHAMN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3397-2024</t>
        </is>
      </c>
      <c r="B5507" s="1" t="n">
        <v>45318</v>
      </c>
      <c r="C5507" s="1" t="n">
        <v>45744</v>
      </c>
      <c r="D5507" t="inlineStr">
        <is>
          <t>SKÅNE LÄN</t>
        </is>
      </c>
      <c r="E5507" t="inlineStr">
        <is>
          <t>SIMRISHAMN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3405-2024</t>
        </is>
      </c>
      <c r="B5508" s="1" t="n">
        <v>45318</v>
      </c>
      <c r="C5508" s="1" t="n">
        <v>45744</v>
      </c>
      <c r="D5508" t="inlineStr">
        <is>
          <t>SKÅNE LÄN</t>
        </is>
      </c>
      <c r="E5508" t="inlineStr">
        <is>
          <t>SIMRISHAMN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3447-2024</t>
        </is>
      </c>
      <c r="B5509" s="1" t="n">
        <v>45320</v>
      </c>
      <c r="C5509" s="1" t="n">
        <v>45744</v>
      </c>
      <c r="D5509" t="inlineStr">
        <is>
          <t>SKÅNE LÄN</t>
        </is>
      </c>
      <c r="E5509" t="inlineStr">
        <is>
          <t>ÖSTRA GÖINGE</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3459-2024</t>
        </is>
      </c>
      <c r="B5510" s="1" t="n">
        <v>45320</v>
      </c>
      <c r="C5510" s="1" t="n">
        <v>45744</v>
      </c>
      <c r="D5510" t="inlineStr">
        <is>
          <t>SKÅNE LÄN</t>
        </is>
      </c>
      <c r="E5510" t="inlineStr">
        <is>
          <t>OSBY</t>
        </is>
      </c>
      <c r="F5510" t="inlineStr">
        <is>
          <t>Kyrkan</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3507-2024</t>
        </is>
      </c>
      <c r="B5511" s="1" t="n">
        <v>45320</v>
      </c>
      <c r="C5511" s="1" t="n">
        <v>45744</v>
      </c>
      <c r="D5511" t="inlineStr">
        <is>
          <t>SKÅNE LÄN</t>
        </is>
      </c>
      <c r="E5511" t="inlineStr">
        <is>
          <t>HÄSSLEHOLM</t>
        </is>
      </c>
      <c r="G5511" t="n">
        <v>6.4</v>
      </c>
      <c r="H5511" t="n">
        <v>0</v>
      </c>
      <c r="I5511" t="n">
        <v>0</v>
      </c>
      <c r="J5511" t="n">
        <v>0</v>
      </c>
      <c r="K5511" t="n">
        <v>0</v>
      </c>
      <c r="L5511" t="n">
        <v>0</v>
      </c>
      <c r="M5511" t="n">
        <v>0</v>
      </c>
      <c r="N5511" t="n">
        <v>0</v>
      </c>
      <c r="O5511" t="n">
        <v>0</v>
      </c>
      <c r="P5511" t="n">
        <v>0</v>
      </c>
      <c r="Q5511" t="n">
        <v>0</v>
      </c>
      <c r="R5511" s="2" t="inlineStr"/>
    </row>
    <row r="5512" ht="15" customHeight="1">
      <c r="A5512" t="inlineStr">
        <is>
          <t>A 3516-2024</t>
        </is>
      </c>
      <c r="B5512" s="1" t="n">
        <v>45320</v>
      </c>
      <c r="C5512" s="1" t="n">
        <v>45744</v>
      </c>
      <c r="D5512" t="inlineStr">
        <is>
          <t>SKÅNE LÄN</t>
        </is>
      </c>
      <c r="E5512" t="inlineStr">
        <is>
          <t>SIMRISHAMN</t>
        </is>
      </c>
      <c r="F5512" t="inlineStr">
        <is>
          <t>Övriga Aktiebolag</t>
        </is>
      </c>
      <c r="G5512" t="n">
        <v>10.7</v>
      </c>
      <c r="H5512" t="n">
        <v>0</v>
      </c>
      <c r="I5512" t="n">
        <v>0</v>
      </c>
      <c r="J5512" t="n">
        <v>0</v>
      </c>
      <c r="K5512" t="n">
        <v>0</v>
      </c>
      <c r="L5512" t="n">
        <v>0</v>
      </c>
      <c r="M5512" t="n">
        <v>0</v>
      </c>
      <c r="N5512" t="n">
        <v>0</v>
      </c>
      <c r="O5512" t="n">
        <v>0</v>
      </c>
      <c r="P5512" t="n">
        <v>0</v>
      </c>
      <c r="Q5512" t="n">
        <v>0</v>
      </c>
      <c r="R5512" s="2" t="inlineStr"/>
    </row>
    <row r="5513" ht="15" customHeight="1">
      <c r="A5513" t="inlineStr">
        <is>
          <t>A 3529-2024</t>
        </is>
      </c>
      <c r="B5513" s="1" t="n">
        <v>45320</v>
      </c>
      <c r="C5513" s="1" t="n">
        <v>45744</v>
      </c>
      <c r="D5513" t="inlineStr">
        <is>
          <t>SKÅNE LÄN</t>
        </is>
      </c>
      <c r="E5513" t="inlineStr">
        <is>
          <t>TOMELILLA</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3480-2024</t>
        </is>
      </c>
      <c r="B5514" s="1" t="n">
        <v>45320</v>
      </c>
      <c r="C5514" s="1" t="n">
        <v>45744</v>
      </c>
      <c r="D5514" t="inlineStr">
        <is>
          <t>SKÅNE LÄN</t>
        </is>
      </c>
      <c r="E5514" t="inlineStr">
        <is>
          <t>HÄSSLEHOLM</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3489-2024</t>
        </is>
      </c>
      <c r="B5515" s="1" t="n">
        <v>45320</v>
      </c>
      <c r="C5515" s="1" t="n">
        <v>45744</v>
      </c>
      <c r="D5515" t="inlineStr">
        <is>
          <t>SKÅNE LÄN</t>
        </is>
      </c>
      <c r="E5515" t="inlineStr">
        <is>
          <t>KLIPPAN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3500-2024</t>
        </is>
      </c>
      <c r="B5516" s="1" t="n">
        <v>45320</v>
      </c>
      <c r="C5516" s="1" t="n">
        <v>45744</v>
      </c>
      <c r="D5516" t="inlineStr">
        <is>
          <t>SKÅNE LÄN</t>
        </is>
      </c>
      <c r="E5516" t="inlineStr">
        <is>
          <t>HÄSSLEHOLM</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3433-2024</t>
        </is>
      </c>
      <c r="B5517" s="1" t="n">
        <v>45320</v>
      </c>
      <c r="C5517" s="1" t="n">
        <v>45744</v>
      </c>
      <c r="D5517" t="inlineStr">
        <is>
          <t>SKÅNE LÄN</t>
        </is>
      </c>
      <c r="E5517" t="inlineStr">
        <is>
          <t>SIMRISHAMN</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3498-2024</t>
        </is>
      </c>
      <c r="B5518" s="1" t="n">
        <v>45320</v>
      </c>
      <c r="C5518" s="1" t="n">
        <v>45744</v>
      </c>
      <c r="D5518" t="inlineStr">
        <is>
          <t>SKÅNE LÄN</t>
        </is>
      </c>
      <c r="E5518" t="inlineStr">
        <is>
          <t>KLIPPAN</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3603-2024</t>
        </is>
      </c>
      <c r="B5519" s="1" t="n">
        <v>45320</v>
      </c>
      <c r="C5519" s="1" t="n">
        <v>45744</v>
      </c>
      <c r="D5519" t="inlineStr">
        <is>
          <t>SKÅNE LÄN</t>
        </is>
      </c>
      <c r="E5519" t="inlineStr">
        <is>
          <t>SIMRISHAMN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3602-2024</t>
        </is>
      </c>
      <c r="B5520" s="1" t="n">
        <v>45320</v>
      </c>
      <c r="C5520" s="1" t="n">
        <v>45744</v>
      </c>
      <c r="D5520" t="inlineStr">
        <is>
          <t>SKÅNE LÄN</t>
        </is>
      </c>
      <c r="E5520" t="inlineStr">
        <is>
          <t>SIMRISHAMN</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3604-2024</t>
        </is>
      </c>
      <c r="B5521" s="1" t="n">
        <v>45320</v>
      </c>
      <c r="C5521" s="1" t="n">
        <v>45744</v>
      </c>
      <c r="D5521" t="inlineStr">
        <is>
          <t>SKÅNE LÄN</t>
        </is>
      </c>
      <c r="E5521" t="inlineStr">
        <is>
          <t>SIMRISHAMN</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3650-2024</t>
        </is>
      </c>
      <c r="B5522" s="1" t="n">
        <v>45321</v>
      </c>
      <c r="C5522" s="1" t="n">
        <v>45744</v>
      </c>
      <c r="D5522" t="inlineStr">
        <is>
          <t>SKÅNE LÄN</t>
        </is>
      </c>
      <c r="E5522" t="inlineStr">
        <is>
          <t>HÄSSLEHOLM</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3723-2024</t>
        </is>
      </c>
      <c r="B5523" s="1" t="n">
        <v>45321</v>
      </c>
      <c r="C5523" s="1" t="n">
        <v>45744</v>
      </c>
      <c r="D5523" t="inlineStr">
        <is>
          <t>SKÅNE LÄN</t>
        </is>
      </c>
      <c r="E5523" t="inlineStr">
        <is>
          <t>HÄSSLEHOLM</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3769-2024</t>
        </is>
      </c>
      <c r="B5524" s="1" t="n">
        <v>45321</v>
      </c>
      <c r="C5524" s="1" t="n">
        <v>45744</v>
      </c>
      <c r="D5524" t="inlineStr">
        <is>
          <t>SKÅNE LÄN</t>
        </is>
      </c>
      <c r="E5524" t="inlineStr">
        <is>
          <t>KRISTIANSTAD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3663-2024</t>
        </is>
      </c>
      <c r="B5525" s="1" t="n">
        <v>45321</v>
      </c>
      <c r="C5525" s="1" t="n">
        <v>45744</v>
      </c>
      <c r="D5525" t="inlineStr">
        <is>
          <t>SKÅNE LÄN</t>
        </is>
      </c>
      <c r="E5525" t="inlineStr">
        <is>
          <t>HÄSSLEHOLM</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3699-2024</t>
        </is>
      </c>
      <c r="B5526" s="1" t="n">
        <v>45321</v>
      </c>
      <c r="C5526" s="1" t="n">
        <v>45744</v>
      </c>
      <c r="D5526" t="inlineStr">
        <is>
          <t>SKÅNE LÄN</t>
        </is>
      </c>
      <c r="E5526" t="inlineStr">
        <is>
          <t>HÄSSLEHOLM</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3746-2024</t>
        </is>
      </c>
      <c r="B5527" s="1" t="n">
        <v>45321</v>
      </c>
      <c r="C5527" s="1" t="n">
        <v>45744</v>
      </c>
      <c r="D5527" t="inlineStr">
        <is>
          <t>SKÅNE LÄN</t>
        </is>
      </c>
      <c r="E5527" t="inlineStr">
        <is>
          <t>HÄSSLEHOLM</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3782-2024</t>
        </is>
      </c>
      <c r="B5528" s="1" t="n">
        <v>45321</v>
      </c>
      <c r="C5528" s="1" t="n">
        <v>45744</v>
      </c>
      <c r="D5528" t="inlineStr">
        <is>
          <t>SKÅNE LÄN</t>
        </is>
      </c>
      <c r="E5528" t="inlineStr">
        <is>
          <t>ÖSTRA GÖINGE</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3726-2024</t>
        </is>
      </c>
      <c r="B5529" s="1" t="n">
        <v>45321</v>
      </c>
      <c r="C5529" s="1" t="n">
        <v>45744</v>
      </c>
      <c r="D5529" t="inlineStr">
        <is>
          <t>SKÅNE LÄN</t>
        </is>
      </c>
      <c r="E5529" t="inlineStr">
        <is>
          <t>HÄSSLEHOLM</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3783-2024</t>
        </is>
      </c>
      <c r="B5530" s="1" t="n">
        <v>45321</v>
      </c>
      <c r="C5530" s="1" t="n">
        <v>45744</v>
      </c>
      <c r="D5530" t="inlineStr">
        <is>
          <t>SKÅNE LÄN</t>
        </is>
      </c>
      <c r="E5530" t="inlineStr">
        <is>
          <t>ÖSTRA GÖINGE</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3796-2024</t>
        </is>
      </c>
      <c r="B5531" s="1" t="n">
        <v>45321</v>
      </c>
      <c r="C5531" s="1" t="n">
        <v>45744</v>
      </c>
      <c r="D5531" t="inlineStr">
        <is>
          <t>SKÅNE LÄN</t>
        </is>
      </c>
      <c r="E5531" t="inlineStr">
        <is>
          <t>KRISTIANSTAD</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3815-2024</t>
        </is>
      </c>
      <c r="B5532" s="1" t="n">
        <v>45321</v>
      </c>
      <c r="C5532" s="1" t="n">
        <v>45744</v>
      </c>
      <c r="D5532" t="inlineStr">
        <is>
          <t>SKÅNE LÄN</t>
        </is>
      </c>
      <c r="E5532" t="inlineStr">
        <is>
          <t>KLIPPAN</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3831-2024</t>
        </is>
      </c>
      <c r="B5533" s="1" t="n">
        <v>45321</v>
      </c>
      <c r="C5533" s="1" t="n">
        <v>45744</v>
      </c>
      <c r="D5533" t="inlineStr">
        <is>
          <t>SKÅNE LÄN</t>
        </is>
      </c>
      <c r="E5533" t="inlineStr">
        <is>
          <t>OSBY</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3781-2024</t>
        </is>
      </c>
      <c r="B5534" s="1" t="n">
        <v>45321</v>
      </c>
      <c r="C5534" s="1" t="n">
        <v>45744</v>
      </c>
      <c r="D5534" t="inlineStr">
        <is>
          <t>SKÅNE LÄN</t>
        </is>
      </c>
      <c r="E5534" t="inlineStr">
        <is>
          <t>ÖSTRA GÖINGE</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3806-2024</t>
        </is>
      </c>
      <c r="B5535" s="1" t="n">
        <v>45321</v>
      </c>
      <c r="C5535" s="1" t="n">
        <v>45744</v>
      </c>
      <c r="D5535" t="inlineStr">
        <is>
          <t>SKÅNE LÄN</t>
        </is>
      </c>
      <c r="E5535" t="inlineStr">
        <is>
          <t>ÖSTRA GÖINGE</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3814-2024</t>
        </is>
      </c>
      <c r="B5536" s="1" t="n">
        <v>45321</v>
      </c>
      <c r="C5536" s="1" t="n">
        <v>45744</v>
      </c>
      <c r="D5536" t="inlineStr">
        <is>
          <t>SKÅNE LÄN</t>
        </is>
      </c>
      <c r="E5536" t="inlineStr">
        <is>
          <t>KLIPPAN</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3805-2024</t>
        </is>
      </c>
      <c r="B5537" s="1" t="n">
        <v>45321</v>
      </c>
      <c r="C5537" s="1" t="n">
        <v>45744</v>
      </c>
      <c r="D5537" t="inlineStr">
        <is>
          <t>SKÅNE LÄN</t>
        </is>
      </c>
      <c r="E5537" t="inlineStr">
        <is>
          <t>ÖSTRA GÖINGE</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3812-2024</t>
        </is>
      </c>
      <c r="B5538" s="1" t="n">
        <v>45321</v>
      </c>
      <c r="C5538" s="1" t="n">
        <v>45744</v>
      </c>
      <c r="D5538" t="inlineStr">
        <is>
          <t>SKÅNE LÄN</t>
        </is>
      </c>
      <c r="E5538" t="inlineStr">
        <is>
          <t>ÖRKELLJUNGA</t>
        </is>
      </c>
      <c r="G5538" t="n">
        <v>6.7</v>
      </c>
      <c r="H5538" t="n">
        <v>0</v>
      </c>
      <c r="I5538" t="n">
        <v>0</v>
      </c>
      <c r="J5538" t="n">
        <v>0</v>
      </c>
      <c r="K5538" t="n">
        <v>0</v>
      </c>
      <c r="L5538" t="n">
        <v>0</v>
      </c>
      <c r="M5538" t="n">
        <v>0</v>
      </c>
      <c r="N5538" t="n">
        <v>0</v>
      </c>
      <c r="O5538" t="n">
        <v>0</v>
      </c>
      <c r="P5538" t="n">
        <v>0</v>
      </c>
      <c r="Q5538" t="n">
        <v>0</v>
      </c>
      <c r="R5538" s="2" t="inlineStr"/>
    </row>
    <row r="5539" ht="15" customHeight="1">
      <c r="A5539" t="inlineStr">
        <is>
          <t>A 3816-2024</t>
        </is>
      </c>
      <c r="B5539" s="1" t="n">
        <v>45321</v>
      </c>
      <c r="C5539" s="1" t="n">
        <v>45744</v>
      </c>
      <c r="D5539" t="inlineStr">
        <is>
          <t>SKÅNE LÄN</t>
        </is>
      </c>
      <c r="E5539" t="inlineStr">
        <is>
          <t>KLIPPAN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3886-2024</t>
        </is>
      </c>
      <c r="B5540" s="1" t="n">
        <v>45322</v>
      </c>
      <c r="C5540" s="1" t="n">
        <v>45744</v>
      </c>
      <c r="D5540" t="inlineStr">
        <is>
          <t>SKÅNE LÄN</t>
        </is>
      </c>
      <c r="E5540" t="inlineStr">
        <is>
          <t>HÄSSLEHOLM</t>
        </is>
      </c>
      <c r="G5540" t="n">
        <v>9.199999999999999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3890-2024</t>
        </is>
      </c>
      <c r="B5541" s="1" t="n">
        <v>45322</v>
      </c>
      <c r="C5541" s="1" t="n">
        <v>45744</v>
      </c>
      <c r="D5541" t="inlineStr">
        <is>
          <t>SKÅNE LÄN</t>
        </is>
      </c>
      <c r="E5541" t="inlineStr">
        <is>
          <t>HÄSSLEHOLM</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3955-2024</t>
        </is>
      </c>
      <c r="B5542" s="1" t="n">
        <v>45322</v>
      </c>
      <c r="C5542" s="1" t="n">
        <v>45744</v>
      </c>
      <c r="D5542" t="inlineStr">
        <is>
          <t>SKÅNE LÄN</t>
        </is>
      </c>
      <c r="E5542" t="inlineStr">
        <is>
          <t>KRISTIANSTAD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3889-2024</t>
        </is>
      </c>
      <c r="B5543" s="1" t="n">
        <v>45322</v>
      </c>
      <c r="C5543" s="1" t="n">
        <v>45744</v>
      </c>
      <c r="D5543" t="inlineStr">
        <is>
          <t>SKÅNE LÄN</t>
        </is>
      </c>
      <c r="E5543" t="inlineStr">
        <is>
          <t>HÄSSLEHOLM</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3888-2024</t>
        </is>
      </c>
      <c r="B5544" s="1" t="n">
        <v>45322</v>
      </c>
      <c r="C5544" s="1" t="n">
        <v>45744</v>
      </c>
      <c r="D5544" t="inlineStr">
        <is>
          <t>SKÅNE LÄN</t>
        </is>
      </c>
      <c r="E5544" t="inlineStr">
        <is>
          <t>HÄSSLEHOLM</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3924-2024</t>
        </is>
      </c>
      <c r="B5545" s="1" t="n">
        <v>45322</v>
      </c>
      <c r="C5545" s="1" t="n">
        <v>45744</v>
      </c>
      <c r="D5545" t="inlineStr">
        <is>
          <t>SKÅNE LÄN</t>
        </is>
      </c>
      <c r="E5545" t="inlineStr">
        <is>
          <t>HÖÖR</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3940-2024</t>
        </is>
      </c>
      <c r="B5546" s="1" t="n">
        <v>45322</v>
      </c>
      <c r="C5546" s="1" t="n">
        <v>45744</v>
      </c>
      <c r="D5546" t="inlineStr">
        <is>
          <t>SKÅNE LÄN</t>
        </is>
      </c>
      <c r="E5546" t="inlineStr">
        <is>
          <t>HÖÖR</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3917-2024</t>
        </is>
      </c>
      <c r="B5547" s="1" t="n">
        <v>45322</v>
      </c>
      <c r="C5547" s="1" t="n">
        <v>45744</v>
      </c>
      <c r="D5547" t="inlineStr">
        <is>
          <t>SKÅNE LÄN</t>
        </is>
      </c>
      <c r="E5547" t="inlineStr">
        <is>
          <t>OSBY</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4018-2024</t>
        </is>
      </c>
      <c r="B5548" s="1" t="n">
        <v>45323</v>
      </c>
      <c r="C5548" s="1" t="n">
        <v>45744</v>
      </c>
      <c r="D5548" t="inlineStr">
        <is>
          <t>SKÅNE LÄN</t>
        </is>
      </c>
      <c r="E5548" t="inlineStr">
        <is>
          <t>TOMELILLA</t>
        </is>
      </c>
      <c r="F5548" t="inlineStr">
        <is>
          <t>Övriga Aktiebolag</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4119-2024</t>
        </is>
      </c>
      <c r="B5549" s="1" t="n">
        <v>45323</v>
      </c>
      <c r="C5549" s="1" t="n">
        <v>45744</v>
      </c>
      <c r="D5549" t="inlineStr">
        <is>
          <t>SKÅNE LÄN</t>
        </is>
      </c>
      <c r="E5549" t="inlineStr">
        <is>
          <t>HÄSSLEHOLM</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4009-2024</t>
        </is>
      </c>
      <c r="B5550" s="1" t="n">
        <v>45323</v>
      </c>
      <c r="C5550" s="1" t="n">
        <v>45744</v>
      </c>
      <c r="D5550" t="inlineStr">
        <is>
          <t>SKÅNE LÄN</t>
        </is>
      </c>
      <c r="E5550" t="inlineStr">
        <is>
          <t>HÄSSLEHOLM</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4011-2024</t>
        </is>
      </c>
      <c r="B5551" s="1" t="n">
        <v>45323</v>
      </c>
      <c r="C5551" s="1" t="n">
        <v>45744</v>
      </c>
      <c r="D5551" t="inlineStr">
        <is>
          <t>SKÅNE LÄN</t>
        </is>
      </c>
      <c r="E5551" t="inlineStr">
        <is>
          <t>OSBY</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4023-2024</t>
        </is>
      </c>
      <c r="B5552" s="1" t="n">
        <v>45323</v>
      </c>
      <c r="C5552" s="1" t="n">
        <v>45744</v>
      </c>
      <c r="D5552" t="inlineStr">
        <is>
          <t>SKÅNE LÄN</t>
        </is>
      </c>
      <c r="E5552" t="inlineStr">
        <is>
          <t>TOMELILLA</t>
        </is>
      </c>
      <c r="F5552" t="inlineStr">
        <is>
          <t>Övriga Aktiebolag</t>
        </is>
      </c>
      <c r="G5552" t="n">
        <v>15.2</v>
      </c>
      <c r="H5552" t="n">
        <v>0</v>
      </c>
      <c r="I5552" t="n">
        <v>0</v>
      </c>
      <c r="J5552" t="n">
        <v>0</v>
      </c>
      <c r="K5552" t="n">
        <v>0</v>
      </c>
      <c r="L5552" t="n">
        <v>0</v>
      </c>
      <c r="M5552" t="n">
        <v>0</v>
      </c>
      <c r="N5552" t="n">
        <v>0</v>
      </c>
      <c r="O5552" t="n">
        <v>0</v>
      </c>
      <c r="P5552" t="n">
        <v>0</v>
      </c>
      <c r="Q5552" t="n">
        <v>0</v>
      </c>
      <c r="R5552" s="2" t="inlineStr"/>
    </row>
    <row r="5553" ht="15" customHeight="1">
      <c r="A5553" t="inlineStr">
        <is>
          <t>A 4080-2024</t>
        </is>
      </c>
      <c r="B5553" s="1" t="n">
        <v>45323</v>
      </c>
      <c r="C5553" s="1" t="n">
        <v>45744</v>
      </c>
      <c r="D5553" t="inlineStr">
        <is>
          <t>SKÅNE LÄN</t>
        </is>
      </c>
      <c r="E5553" t="inlineStr">
        <is>
          <t>KRISTIANSTAD</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4088-2024</t>
        </is>
      </c>
      <c r="B5554" s="1" t="n">
        <v>45323</v>
      </c>
      <c r="C5554" s="1" t="n">
        <v>45744</v>
      </c>
      <c r="D5554" t="inlineStr">
        <is>
          <t>SKÅNE LÄN</t>
        </is>
      </c>
      <c r="E5554" t="inlineStr">
        <is>
          <t>ÄNGELHOLM</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4120-2024</t>
        </is>
      </c>
      <c r="B5555" s="1" t="n">
        <v>45323</v>
      </c>
      <c r="C5555" s="1" t="n">
        <v>45744</v>
      </c>
      <c r="D5555" t="inlineStr">
        <is>
          <t>SKÅNE LÄN</t>
        </is>
      </c>
      <c r="E5555" t="inlineStr">
        <is>
          <t>HÖÖR</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4089-2024</t>
        </is>
      </c>
      <c r="B5556" s="1" t="n">
        <v>45323</v>
      </c>
      <c r="C5556" s="1" t="n">
        <v>45744</v>
      </c>
      <c r="D5556" t="inlineStr">
        <is>
          <t>SKÅNE LÄN</t>
        </is>
      </c>
      <c r="E5556" t="inlineStr">
        <is>
          <t>ÄNGELHOLM</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4162-2024</t>
        </is>
      </c>
      <c r="B5557" s="1" t="n">
        <v>45323</v>
      </c>
      <c r="C5557" s="1" t="n">
        <v>45744</v>
      </c>
      <c r="D5557" t="inlineStr">
        <is>
          <t>SKÅNE LÄN</t>
        </is>
      </c>
      <c r="E5557" t="inlineStr">
        <is>
          <t>PERSTORP</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4188-2024</t>
        </is>
      </c>
      <c r="B5558" s="1" t="n">
        <v>45324</v>
      </c>
      <c r="C5558" s="1" t="n">
        <v>45744</v>
      </c>
      <c r="D5558" t="inlineStr">
        <is>
          <t>SKÅNE LÄN</t>
        </is>
      </c>
      <c r="E5558" t="inlineStr">
        <is>
          <t>TOMELILLA</t>
        </is>
      </c>
      <c r="F5558" t="inlineStr">
        <is>
          <t>Övriga Aktiebolag</t>
        </is>
      </c>
      <c r="G5558" t="n">
        <v>9.6</v>
      </c>
      <c r="H5558" t="n">
        <v>0</v>
      </c>
      <c r="I5558" t="n">
        <v>0</v>
      </c>
      <c r="J5558" t="n">
        <v>0</v>
      </c>
      <c r="K5558" t="n">
        <v>0</v>
      </c>
      <c r="L5558" t="n">
        <v>0</v>
      </c>
      <c r="M5558" t="n">
        <v>0</v>
      </c>
      <c r="N5558" t="n">
        <v>0</v>
      </c>
      <c r="O5558" t="n">
        <v>0</v>
      </c>
      <c r="P5558" t="n">
        <v>0</v>
      </c>
      <c r="Q5558" t="n">
        <v>0</v>
      </c>
      <c r="R5558" s="2" t="inlineStr"/>
    </row>
    <row r="5559" ht="15" customHeight="1">
      <c r="A5559" t="inlineStr">
        <is>
          <t>A 4193-2024</t>
        </is>
      </c>
      <c r="B5559" s="1" t="n">
        <v>45324</v>
      </c>
      <c r="C5559" s="1" t="n">
        <v>45744</v>
      </c>
      <c r="D5559" t="inlineStr">
        <is>
          <t>SKÅNE LÄN</t>
        </is>
      </c>
      <c r="E5559" t="inlineStr">
        <is>
          <t>SIMRISHAMN</t>
        </is>
      </c>
      <c r="F5559" t="inlineStr">
        <is>
          <t>Övriga Aktiebolag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4191-2024</t>
        </is>
      </c>
      <c r="B5560" s="1" t="n">
        <v>45324</v>
      </c>
      <c r="C5560" s="1" t="n">
        <v>45744</v>
      </c>
      <c r="D5560" t="inlineStr">
        <is>
          <t>SKÅNE LÄN</t>
        </is>
      </c>
      <c r="E5560" t="inlineStr">
        <is>
          <t>TOMELILLA</t>
        </is>
      </c>
      <c r="F5560" t="inlineStr">
        <is>
          <t>Övriga Aktiebolag</t>
        </is>
      </c>
      <c r="G5560" t="n">
        <v>6.1</v>
      </c>
      <c r="H5560" t="n">
        <v>0</v>
      </c>
      <c r="I5560" t="n">
        <v>0</v>
      </c>
      <c r="J5560" t="n">
        <v>0</v>
      </c>
      <c r="K5560" t="n">
        <v>0</v>
      </c>
      <c r="L5560" t="n">
        <v>0</v>
      </c>
      <c r="M5560" t="n">
        <v>0</v>
      </c>
      <c r="N5560" t="n">
        <v>0</v>
      </c>
      <c r="O5560" t="n">
        <v>0</v>
      </c>
      <c r="P5560" t="n">
        <v>0</v>
      </c>
      <c r="Q5560" t="n">
        <v>0</v>
      </c>
      <c r="R5560" s="2" t="inlineStr"/>
    </row>
    <row r="5561" ht="15" customHeight="1">
      <c r="A5561" t="inlineStr">
        <is>
          <t>A 4319-2024</t>
        </is>
      </c>
      <c r="B5561" s="1" t="n">
        <v>45324</v>
      </c>
      <c r="C5561" s="1" t="n">
        <v>45744</v>
      </c>
      <c r="D5561" t="inlineStr">
        <is>
          <t>SKÅNE LÄN</t>
        </is>
      </c>
      <c r="E5561" t="inlineStr">
        <is>
          <t>KLIPPAN</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4312-2024</t>
        </is>
      </c>
      <c r="B5562" s="1" t="n">
        <v>45324</v>
      </c>
      <c r="C5562" s="1" t="n">
        <v>45744</v>
      </c>
      <c r="D5562" t="inlineStr">
        <is>
          <t>SKÅNE LÄN</t>
        </is>
      </c>
      <c r="E5562" t="inlineStr">
        <is>
          <t>SVEDALA</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4324-2024</t>
        </is>
      </c>
      <c r="B5563" s="1" t="n">
        <v>45324</v>
      </c>
      <c r="C5563" s="1" t="n">
        <v>45744</v>
      </c>
      <c r="D5563" t="inlineStr">
        <is>
          <t>SKÅNE LÄN</t>
        </is>
      </c>
      <c r="E5563" t="inlineStr">
        <is>
          <t>KLIPPAN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4293-2024</t>
        </is>
      </c>
      <c r="B5564" s="1" t="n">
        <v>45324</v>
      </c>
      <c r="C5564" s="1" t="n">
        <v>45744</v>
      </c>
      <c r="D5564" t="inlineStr">
        <is>
          <t>SKÅNE LÄN</t>
        </is>
      </c>
      <c r="E5564" t="inlineStr">
        <is>
          <t>KRISTIANSTAD</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4301-2024</t>
        </is>
      </c>
      <c r="B5565" s="1" t="n">
        <v>45324</v>
      </c>
      <c r="C5565" s="1" t="n">
        <v>45744</v>
      </c>
      <c r="D5565" t="inlineStr">
        <is>
          <t>SKÅNE LÄN</t>
        </is>
      </c>
      <c r="E5565" t="inlineStr">
        <is>
          <t>KLIPPAN</t>
        </is>
      </c>
      <c r="F5565" t="inlineStr">
        <is>
          <t>Övriga Aktiebolag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4321-2024</t>
        </is>
      </c>
      <c r="B5566" s="1" t="n">
        <v>45324</v>
      </c>
      <c r="C5566" s="1" t="n">
        <v>45744</v>
      </c>
      <c r="D5566" t="inlineStr">
        <is>
          <t>SKÅNE LÄN</t>
        </is>
      </c>
      <c r="E5566" t="inlineStr">
        <is>
          <t>KLIPPAN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4323-2024</t>
        </is>
      </c>
      <c r="B5567" s="1" t="n">
        <v>45324</v>
      </c>
      <c r="C5567" s="1" t="n">
        <v>45744</v>
      </c>
      <c r="D5567" t="inlineStr">
        <is>
          <t>SKÅNE LÄN</t>
        </is>
      </c>
      <c r="E5567" t="inlineStr">
        <is>
          <t>KLIPPAN</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4358-2024</t>
        </is>
      </c>
      <c r="B5568" s="1" t="n">
        <v>45325</v>
      </c>
      <c r="C5568" s="1" t="n">
        <v>45744</v>
      </c>
      <c r="D5568" t="inlineStr">
        <is>
          <t>SKÅNE LÄN</t>
        </is>
      </c>
      <c r="E5568" t="inlineStr">
        <is>
          <t>HÖÖR</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4356-2024</t>
        </is>
      </c>
      <c r="B5569" s="1" t="n">
        <v>45325</v>
      </c>
      <c r="C5569" s="1" t="n">
        <v>45744</v>
      </c>
      <c r="D5569" t="inlineStr">
        <is>
          <t>SKÅNE LÄN</t>
        </is>
      </c>
      <c r="E5569" t="inlineStr">
        <is>
          <t>HÄSSLEHOLM</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4370-2024</t>
        </is>
      </c>
      <c r="B5570" s="1" t="n">
        <v>45326</v>
      </c>
      <c r="C5570" s="1" t="n">
        <v>45744</v>
      </c>
      <c r="D5570" t="inlineStr">
        <is>
          <t>SKÅNE LÄN</t>
        </is>
      </c>
      <c r="E5570" t="inlineStr">
        <is>
          <t>KRISTIANSTAD</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4386-2024</t>
        </is>
      </c>
      <c r="B5571" s="1" t="n">
        <v>45327</v>
      </c>
      <c r="C5571" s="1" t="n">
        <v>45744</v>
      </c>
      <c r="D5571" t="inlineStr">
        <is>
          <t>SKÅNE LÄN</t>
        </is>
      </c>
      <c r="E5571" t="inlineStr">
        <is>
          <t>ÖSTRA GÖINGE</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4452-2024</t>
        </is>
      </c>
      <c r="B5572" s="1" t="n">
        <v>45327</v>
      </c>
      <c r="C5572" s="1" t="n">
        <v>45744</v>
      </c>
      <c r="D5572" t="inlineStr">
        <is>
          <t>SKÅNE LÄN</t>
        </is>
      </c>
      <c r="E5572" t="inlineStr">
        <is>
          <t>KRISTIANSTAD</t>
        </is>
      </c>
      <c r="F5572" t="inlineStr">
        <is>
          <t>Övriga Aktiebolag</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4383-2024</t>
        </is>
      </c>
      <c r="B5573" s="1" t="n">
        <v>45327</v>
      </c>
      <c r="C5573" s="1" t="n">
        <v>45744</v>
      </c>
      <c r="D5573" t="inlineStr">
        <is>
          <t>SKÅNE LÄN</t>
        </is>
      </c>
      <c r="E5573" t="inlineStr">
        <is>
          <t>ÖSTRA GÖINGE</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4472-2024</t>
        </is>
      </c>
      <c r="B5574" s="1" t="n">
        <v>45327</v>
      </c>
      <c r="C5574" s="1" t="n">
        <v>45744</v>
      </c>
      <c r="D5574" t="inlineStr">
        <is>
          <t>SKÅNE LÄN</t>
        </is>
      </c>
      <c r="E5574" t="inlineStr">
        <is>
          <t>SJÖBO</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4481-2024</t>
        </is>
      </c>
      <c r="B5575" s="1" t="n">
        <v>45327</v>
      </c>
      <c r="C5575" s="1" t="n">
        <v>45744</v>
      </c>
      <c r="D5575" t="inlineStr">
        <is>
          <t>SKÅNE LÄN</t>
        </is>
      </c>
      <c r="E5575" t="inlineStr">
        <is>
          <t>BÅSTAD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4475-2024</t>
        </is>
      </c>
      <c r="B5576" s="1" t="n">
        <v>45327</v>
      </c>
      <c r="C5576" s="1" t="n">
        <v>45744</v>
      </c>
      <c r="D5576" t="inlineStr">
        <is>
          <t>SKÅNE LÄN</t>
        </is>
      </c>
      <c r="E5576" t="inlineStr">
        <is>
          <t>OSBY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4487-2024</t>
        </is>
      </c>
      <c r="B5577" s="1" t="n">
        <v>45327</v>
      </c>
      <c r="C5577" s="1" t="n">
        <v>45744</v>
      </c>
      <c r="D5577" t="inlineStr">
        <is>
          <t>SKÅNE LÄN</t>
        </is>
      </c>
      <c r="E5577" t="inlineStr">
        <is>
          <t>BÅSTAD</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4493-2024</t>
        </is>
      </c>
      <c r="B5578" s="1" t="n">
        <v>45327</v>
      </c>
      <c r="C5578" s="1" t="n">
        <v>45744</v>
      </c>
      <c r="D5578" t="inlineStr">
        <is>
          <t>SKÅNE LÄN</t>
        </is>
      </c>
      <c r="E5578" t="inlineStr">
        <is>
          <t>BÅSTAD</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4501-2024</t>
        </is>
      </c>
      <c r="B5579" s="1" t="n">
        <v>45327</v>
      </c>
      <c r="C5579" s="1" t="n">
        <v>45744</v>
      </c>
      <c r="D5579" t="inlineStr">
        <is>
          <t>SKÅNE LÄN</t>
        </is>
      </c>
      <c r="E5579" t="inlineStr">
        <is>
          <t>HÖÖR</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4513-2024</t>
        </is>
      </c>
      <c r="B5580" s="1" t="n">
        <v>45327</v>
      </c>
      <c r="C5580" s="1" t="n">
        <v>45744</v>
      </c>
      <c r="D5580" t="inlineStr">
        <is>
          <t>SKÅNE LÄN</t>
        </is>
      </c>
      <c r="E5580" t="inlineStr">
        <is>
          <t>HÄSSLEHOLM</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4512-2024</t>
        </is>
      </c>
      <c r="B5581" s="1" t="n">
        <v>45327</v>
      </c>
      <c r="C5581" s="1" t="n">
        <v>45744</v>
      </c>
      <c r="D5581" t="inlineStr">
        <is>
          <t>SKÅNE LÄN</t>
        </is>
      </c>
      <c r="E5581" t="inlineStr">
        <is>
          <t>HÄSSLEHOLM</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4516-2024</t>
        </is>
      </c>
      <c r="B5582" s="1" t="n">
        <v>45327</v>
      </c>
      <c r="C5582" s="1" t="n">
        <v>45744</v>
      </c>
      <c r="D5582" t="inlineStr">
        <is>
          <t>SKÅNE LÄN</t>
        </is>
      </c>
      <c r="E5582" t="inlineStr">
        <is>
          <t>HÄSSLEHOLM</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4478-2024</t>
        </is>
      </c>
      <c r="B5583" s="1" t="n">
        <v>45327</v>
      </c>
      <c r="C5583" s="1" t="n">
        <v>45744</v>
      </c>
      <c r="D5583" t="inlineStr">
        <is>
          <t>SKÅNE LÄN</t>
        </is>
      </c>
      <c r="E5583" t="inlineStr">
        <is>
          <t>TOMELILLA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4486-2024</t>
        </is>
      </c>
      <c r="B5584" s="1" t="n">
        <v>45327</v>
      </c>
      <c r="C5584" s="1" t="n">
        <v>45744</v>
      </c>
      <c r="D5584" t="inlineStr">
        <is>
          <t>SKÅNE LÄN</t>
        </is>
      </c>
      <c r="E5584" t="inlineStr">
        <is>
          <t>BÅSTAD</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4577-2024</t>
        </is>
      </c>
      <c r="B5585" s="1" t="n">
        <v>45327</v>
      </c>
      <c r="C5585" s="1" t="n">
        <v>45744</v>
      </c>
      <c r="D5585" t="inlineStr">
        <is>
          <t>SKÅNE LÄN</t>
        </is>
      </c>
      <c r="E5585" t="inlineStr">
        <is>
          <t>OSBY</t>
        </is>
      </c>
      <c r="F5585" t="inlineStr">
        <is>
          <t>Sveaskog</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4578-2024</t>
        </is>
      </c>
      <c r="B5586" s="1" t="n">
        <v>45327</v>
      </c>
      <c r="C5586" s="1" t="n">
        <v>45744</v>
      </c>
      <c r="D5586" t="inlineStr">
        <is>
          <t>SKÅNE LÄN</t>
        </is>
      </c>
      <c r="E5586" t="inlineStr">
        <is>
          <t>OSBY</t>
        </is>
      </c>
      <c r="F5586" t="inlineStr">
        <is>
          <t>Sveaskog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4615-2024</t>
        </is>
      </c>
      <c r="B5587" s="1" t="n">
        <v>45328</v>
      </c>
      <c r="C5587" s="1" t="n">
        <v>45744</v>
      </c>
      <c r="D5587" t="inlineStr">
        <is>
          <t>SKÅNE LÄN</t>
        </is>
      </c>
      <c r="E5587" t="inlineStr">
        <is>
          <t>KRISTIANSTAD</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4604-2024</t>
        </is>
      </c>
      <c r="B5588" s="1" t="n">
        <v>45328</v>
      </c>
      <c r="C5588" s="1" t="n">
        <v>45744</v>
      </c>
      <c r="D5588" t="inlineStr">
        <is>
          <t>SKÅNE LÄN</t>
        </is>
      </c>
      <c r="E5588" t="inlineStr">
        <is>
          <t>HÄSSLEHOLM</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4605-2024</t>
        </is>
      </c>
      <c r="B5589" s="1" t="n">
        <v>45328</v>
      </c>
      <c r="C5589" s="1" t="n">
        <v>45744</v>
      </c>
      <c r="D5589" t="inlineStr">
        <is>
          <t>SKÅNE LÄN</t>
        </is>
      </c>
      <c r="E5589" t="inlineStr">
        <is>
          <t>HÄSSLEHOLM</t>
        </is>
      </c>
      <c r="F5589" t="inlineStr">
        <is>
          <t>Övriga Aktiebolag</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4626-2024</t>
        </is>
      </c>
      <c r="B5590" s="1" t="n">
        <v>45328</v>
      </c>
      <c r="C5590" s="1" t="n">
        <v>45744</v>
      </c>
      <c r="D5590" t="inlineStr">
        <is>
          <t>SKÅNE LÄN</t>
        </is>
      </c>
      <c r="E5590" t="inlineStr">
        <is>
          <t>HÄSSLEHOLM</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4668-2024</t>
        </is>
      </c>
      <c r="B5591" s="1" t="n">
        <v>45328</v>
      </c>
      <c r="C5591" s="1" t="n">
        <v>45744</v>
      </c>
      <c r="D5591" t="inlineStr">
        <is>
          <t>SKÅNE LÄN</t>
        </is>
      </c>
      <c r="E5591" t="inlineStr">
        <is>
          <t>SIMRISHAMN</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4649-2024</t>
        </is>
      </c>
      <c r="B5592" s="1" t="n">
        <v>45328</v>
      </c>
      <c r="C5592" s="1" t="n">
        <v>45744</v>
      </c>
      <c r="D5592" t="inlineStr">
        <is>
          <t>SKÅNE LÄN</t>
        </is>
      </c>
      <c r="E5592" t="inlineStr">
        <is>
          <t>TOMELILLA</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4602-2024</t>
        </is>
      </c>
      <c r="B5593" s="1" t="n">
        <v>45328</v>
      </c>
      <c r="C5593" s="1" t="n">
        <v>45744</v>
      </c>
      <c r="D5593" t="inlineStr">
        <is>
          <t>SKÅNE LÄN</t>
        </is>
      </c>
      <c r="E5593" t="inlineStr">
        <is>
          <t>HÄSSLEHOLM</t>
        </is>
      </c>
      <c r="F5593" t="inlineStr">
        <is>
          <t>Övriga Aktiebolag</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4610-2024</t>
        </is>
      </c>
      <c r="B5594" s="1" t="n">
        <v>45328</v>
      </c>
      <c r="C5594" s="1" t="n">
        <v>45744</v>
      </c>
      <c r="D5594" t="inlineStr">
        <is>
          <t>SKÅNE LÄN</t>
        </is>
      </c>
      <c r="E5594" t="inlineStr">
        <is>
          <t>KRISTIANSTAD</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4623-2024</t>
        </is>
      </c>
      <c r="B5595" s="1" t="n">
        <v>45328</v>
      </c>
      <c r="C5595" s="1" t="n">
        <v>45744</v>
      </c>
      <c r="D5595" t="inlineStr">
        <is>
          <t>SKÅNE LÄN</t>
        </is>
      </c>
      <c r="E5595" t="inlineStr">
        <is>
          <t>KLIPPAN</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4631-2024</t>
        </is>
      </c>
      <c r="B5596" s="1" t="n">
        <v>45328</v>
      </c>
      <c r="C5596" s="1" t="n">
        <v>45744</v>
      </c>
      <c r="D5596" t="inlineStr">
        <is>
          <t>SKÅNE LÄN</t>
        </is>
      </c>
      <c r="E5596" t="inlineStr">
        <is>
          <t>HÖRBY</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4651-2024</t>
        </is>
      </c>
      <c r="B5597" s="1" t="n">
        <v>45328</v>
      </c>
      <c r="C5597" s="1" t="n">
        <v>45744</v>
      </c>
      <c r="D5597" t="inlineStr">
        <is>
          <t>SKÅNE LÄN</t>
        </is>
      </c>
      <c r="E5597" t="inlineStr">
        <is>
          <t>TOMELILLA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4673-2024</t>
        </is>
      </c>
      <c r="B5598" s="1" t="n">
        <v>45328</v>
      </c>
      <c r="C5598" s="1" t="n">
        <v>45744</v>
      </c>
      <c r="D5598" t="inlineStr">
        <is>
          <t>SKÅNE LÄN</t>
        </is>
      </c>
      <c r="E5598" t="inlineStr">
        <is>
          <t>SIMRISHAMN</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4718-2024</t>
        </is>
      </c>
      <c r="B5599" s="1" t="n">
        <v>45328</v>
      </c>
      <c r="C5599" s="1" t="n">
        <v>45744</v>
      </c>
      <c r="D5599" t="inlineStr">
        <is>
          <t>SKÅNE LÄN</t>
        </is>
      </c>
      <c r="E5599" t="inlineStr">
        <is>
          <t>HÖRBY</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4750-2024</t>
        </is>
      </c>
      <c r="B5600" s="1" t="n">
        <v>45328</v>
      </c>
      <c r="C5600" s="1" t="n">
        <v>45744</v>
      </c>
      <c r="D5600" t="inlineStr">
        <is>
          <t>SKÅNE LÄN</t>
        </is>
      </c>
      <c r="E5600" t="inlineStr">
        <is>
          <t>HÄSSLEHOLM</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4751-2024</t>
        </is>
      </c>
      <c r="B5601" s="1" t="n">
        <v>45328</v>
      </c>
      <c r="C5601" s="1" t="n">
        <v>45744</v>
      </c>
      <c r="D5601" t="inlineStr">
        <is>
          <t>SKÅNE LÄN</t>
        </is>
      </c>
      <c r="E5601" t="inlineStr">
        <is>
          <t>ÄNGELHOLM</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4755-2024</t>
        </is>
      </c>
      <c r="B5602" s="1" t="n">
        <v>45328</v>
      </c>
      <c r="C5602" s="1" t="n">
        <v>45744</v>
      </c>
      <c r="D5602" t="inlineStr">
        <is>
          <t>SKÅNE LÄN</t>
        </is>
      </c>
      <c r="E5602" t="inlineStr">
        <is>
          <t>ÄNGELHOLM</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4848-2024</t>
        </is>
      </c>
      <c r="B5603" s="1" t="n">
        <v>45329</v>
      </c>
      <c r="C5603" s="1" t="n">
        <v>45744</v>
      </c>
      <c r="D5603" t="inlineStr">
        <is>
          <t>SKÅNE LÄN</t>
        </is>
      </c>
      <c r="E5603" t="inlineStr">
        <is>
          <t>SIMRISHAMN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4882-2024</t>
        </is>
      </c>
      <c r="B5604" s="1" t="n">
        <v>45329</v>
      </c>
      <c r="C5604" s="1" t="n">
        <v>45744</v>
      </c>
      <c r="D5604" t="inlineStr">
        <is>
          <t>SKÅNE LÄN</t>
        </is>
      </c>
      <c r="E5604" t="inlineStr">
        <is>
          <t>HÄSSLEHOLM</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4876-2024</t>
        </is>
      </c>
      <c r="B5605" s="1" t="n">
        <v>45329</v>
      </c>
      <c r="C5605" s="1" t="n">
        <v>45744</v>
      </c>
      <c r="D5605" t="inlineStr">
        <is>
          <t>SKÅNE LÄN</t>
        </is>
      </c>
      <c r="E5605" t="inlineStr">
        <is>
          <t>HÄSSLEHOLM</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4895-2024</t>
        </is>
      </c>
      <c r="B5606" s="1" t="n">
        <v>45329</v>
      </c>
      <c r="C5606" s="1" t="n">
        <v>45744</v>
      </c>
      <c r="D5606" t="inlineStr">
        <is>
          <t>SKÅNE LÄN</t>
        </is>
      </c>
      <c r="E5606" t="inlineStr">
        <is>
          <t>HÄSSLEHOLM</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4916-2024</t>
        </is>
      </c>
      <c r="B5607" s="1" t="n">
        <v>45329</v>
      </c>
      <c r="C5607" s="1" t="n">
        <v>45744</v>
      </c>
      <c r="D5607" t="inlineStr">
        <is>
          <t>SKÅNE LÄN</t>
        </is>
      </c>
      <c r="E5607" t="inlineStr">
        <is>
          <t>HÄSSLEHOLM</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4970-2024</t>
        </is>
      </c>
      <c r="B5608" s="1" t="n">
        <v>45329</v>
      </c>
      <c r="C5608" s="1" t="n">
        <v>45744</v>
      </c>
      <c r="D5608" t="inlineStr">
        <is>
          <t>SKÅNE LÄN</t>
        </is>
      </c>
      <c r="E5608" t="inlineStr">
        <is>
          <t>HÖRBY</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4974-2024</t>
        </is>
      </c>
      <c r="B5609" s="1" t="n">
        <v>45329</v>
      </c>
      <c r="C5609" s="1" t="n">
        <v>45744</v>
      </c>
      <c r="D5609" t="inlineStr">
        <is>
          <t>SKÅNE LÄN</t>
        </is>
      </c>
      <c r="E5609" t="inlineStr">
        <is>
          <t>HÖÖR</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5016-2024</t>
        </is>
      </c>
      <c r="B5610" s="1" t="n">
        <v>45329</v>
      </c>
      <c r="C5610" s="1" t="n">
        <v>45744</v>
      </c>
      <c r="D5610" t="inlineStr">
        <is>
          <t>SKÅNE LÄN</t>
        </is>
      </c>
      <c r="E5610" t="inlineStr">
        <is>
          <t>HÄSSLEHOLM</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5020-2024</t>
        </is>
      </c>
      <c r="B5611" s="1" t="n">
        <v>45329</v>
      </c>
      <c r="C5611" s="1" t="n">
        <v>45744</v>
      </c>
      <c r="D5611" t="inlineStr">
        <is>
          <t>SKÅNE LÄN</t>
        </is>
      </c>
      <c r="E5611" t="inlineStr">
        <is>
          <t>SIMRISHAMN</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5028-2024</t>
        </is>
      </c>
      <c r="B5612" s="1" t="n">
        <v>45329</v>
      </c>
      <c r="C5612" s="1" t="n">
        <v>45744</v>
      </c>
      <c r="D5612" t="inlineStr">
        <is>
          <t>SKÅNE LÄN</t>
        </is>
      </c>
      <c r="E5612" t="inlineStr">
        <is>
          <t>SIMRISHAMN</t>
        </is>
      </c>
      <c r="F5612" t="inlineStr">
        <is>
          <t>Övriga Aktiebolag</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4969-2024</t>
        </is>
      </c>
      <c r="B5613" s="1" t="n">
        <v>45329</v>
      </c>
      <c r="C5613" s="1" t="n">
        <v>45744</v>
      </c>
      <c r="D5613" t="inlineStr">
        <is>
          <t>SKÅNE LÄN</t>
        </is>
      </c>
      <c r="E5613" t="inlineStr">
        <is>
          <t>HÖRBY</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5017-2024</t>
        </is>
      </c>
      <c r="B5614" s="1" t="n">
        <v>45329</v>
      </c>
      <c r="C5614" s="1" t="n">
        <v>45744</v>
      </c>
      <c r="D5614" t="inlineStr">
        <is>
          <t>SKÅNE LÄN</t>
        </is>
      </c>
      <c r="E5614" t="inlineStr">
        <is>
          <t>KRISTIANSTAD</t>
        </is>
      </c>
      <c r="F5614" t="inlineStr">
        <is>
          <t>Övriga Aktiebolag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4894-2024</t>
        </is>
      </c>
      <c r="B5615" s="1" t="n">
        <v>45329</v>
      </c>
      <c r="C5615" s="1" t="n">
        <v>45744</v>
      </c>
      <c r="D5615" t="inlineStr">
        <is>
          <t>SKÅNE LÄN</t>
        </is>
      </c>
      <c r="E5615" t="inlineStr">
        <is>
          <t>HÄSSLEHOLM</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5015-2024</t>
        </is>
      </c>
      <c r="B5616" s="1" t="n">
        <v>45329</v>
      </c>
      <c r="C5616" s="1" t="n">
        <v>45744</v>
      </c>
      <c r="D5616" t="inlineStr">
        <is>
          <t>SKÅNE LÄN</t>
        </is>
      </c>
      <c r="E5616" t="inlineStr">
        <is>
          <t>HÄSSLEHOLM</t>
        </is>
      </c>
      <c r="F5616" t="inlineStr">
        <is>
          <t>Övriga Aktiebolag</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5027-2024</t>
        </is>
      </c>
      <c r="B5617" s="1" t="n">
        <v>45329</v>
      </c>
      <c r="C5617" s="1" t="n">
        <v>45744</v>
      </c>
      <c r="D5617" t="inlineStr">
        <is>
          <t>SKÅNE LÄN</t>
        </is>
      </c>
      <c r="E5617" t="inlineStr">
        <is>
          <t>TOMELILLA</t>
        </is>
      </c>
      <c r="F5617" t="inlineStr">
        <is>
          <t>Övriga Aktiebolag</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5021-2024</t>
        </is>
      </c>
      <c r="B5618" s="1" t="n">
        <v>45329</v>
      </c>
      <c r="C5618" s="1" t="n">
        <v>45744</v>
      </c>
      <c r="D5618" t="inlineStr">
        <is>
          <t>SKÅNE LÄN</t>
        </is>
      </c>
      <c r="E5618" t="inlineStr">
        <is>
          <t>SIMRISHAMN</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5184-2024</t>
        </is>
      </c>
      <c r="B5619" s="1" t="n">
        <v>45330</v>
      </c>
      <c r="C5619" s="1" t="n">
        <v>45744</v>
      </c>
      <c r="D5619" t="inlineStr">
        <is>
          <t>SKÅNE LÄN</t>
        </is>
      </c>
      <c r="E5619" t="inlineStr">
        <is>
          <t>SVALÖV</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5141-2024</t>
        </is>
      </c>
      <c r="B5620" s="1" t="n">
        <v>45330</v>
      </c>
      <c r="C5620" s="1" t="n">
        <v>45744</v>
      </c>
      <c r="D5620" t="inlineStr">
        <is>
          <t>SKÅNE LÄN</t>
        </is>
      </c>
      <c r="E5620" t="inlineStr">
        <is>
          <t>KLIPPAN</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5190-2024</t>
        </is>
      </c>
      <c r="B5621" s="1" t="n">
        <v>45330</v>
      </c>
      <c r="C5621" s="1" t="n">
        <v>45744</v>
      </c>
      <c r="D5621" t="inlineStr">
        <is>
          <t>SKÅNE LÄN</t>
        </is>
      </c>
      <c r="E5621" t="inlineStr">
        <is>
          <t>SVALÖV</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5163-2024</t>
        </is>
      </c>
      <c r="B5622" s="1" t="n">
        <v>45330</v>
      </c>
      <c r="C5622" s="1" t="n">
        <v>45744</v>
      </c>
      <c r="D5622" t="inlineStr">
        <is>
          <t>SKÅNE LÄN</t>
        </is>
      </c>
      <c r="E5622" t="inlineStr">
        <is>
          <t>HÖRBY</t>
        </is>
      </c>
      <c r="F5622" t="inlineStr">
        <is>
          <t>Kyrkan</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5167-2024</t>
        </is>
      </c>
      <c r="B5623" s="1" t="n">
        <v>45330</v>
      </c>
      <c r="C5623" s="1" t="n">
        <v>45744</v>
      </c>
      <c r="D5623" t="inlineStr">
        <is>
          <t>SKÅNE LÄN</t>
        </is>
      </c>
      <c r="E5623" t="inlineStr">
        <is>
          <t>SVALÖV</t>
        </is>
      </c>
      <c r="G5623" t="n">
        <v>6.5</v>
      </c>
      <c r="H5623" t="n">
        <v>0</v>
      </c>
      <c r="I5623" t="n">
        <v>0</v>
      </c>
      <c r="J5623" t="n">
        <v>0</v>
      </c>
      <c r="K5623" t="n">
        <v>0</v>
      </c>
      <c r="L5623" t="n">
        <v>0</v>
      </c>
      <c r="M5623" t="n">
        <v>0</v>
      </c>
      <c r="N5623" t="n">
        <v>0</v>
      </c>
      <c r="O5623" t="n">
        <v>0</v>
      </c>
      <c r="P5623" t="n">
        <v>0</v>
      </c>
      <c r="Q5623" t="n">
        <v>0</v>
      </c>
      <c r="R5623" s="2" t="inlineStr"/>
    </row>
    <row r="5624" ht="15" customHeight="1">
      <c r="A5624" t="inlineStr">
        <is>
          <t>A 5224-2024</t>
        </is>
      </c>
      <c r="B5624" s="1" t="n">
        <v>45330</v>
      </c>
      <c r="C5624" s="1" t="n">
        <v>45744</v>
      </c>
      <c r="D5624" t="inlineStr">
        <is>
          <t>SKÅNE LÄN</t>
        </is>
      </c>
      <c r="E5624" t="inlineStr">
        <is>
          <t>SIMRISHAMN</t>
        </is>
      </c>
      <c r="F5624" t="inlineStr">
        <is>
          <t>Övriga Aktiebolag</t>
        </is>
      </c>
      <c r="G5624" t="n">
        <v>18.4</v>
      </c>
      <c r="H5624" t="n">
        <v>0</v>
      </c>
      <c r="I5624" t="n">
        <v>0</v>
      </c>
      <c r="J5624" t="n">
        <v>0</v>
      </c>
      <c r="K5624" t="n">
        <v>0</v>
      </c>
      <c r="L5624" t="n">
        <v>0</v>
      </c>
      <c r="M5624" t="n">
        <v>0</v>
      </c>
      <c r="N5624" t="n">
        <v>0</v>
      </c>
      <c r="O5624" t="n">
        <v>0</v>
      </c>
      <c r="P5624" t="n">
        <v>0</v>
      </c>
      <c r="Q5624" t="n">
        <v>0</v>
      </c>
      <c r="R5624" s="2" t="inlineStr"/>
    </row>
    <row r="5625" ht="15" customHeight="1">
      <c r="A5625" t="inlineStr">
        <is>
          <t>A 5173-2024</t>
        </is>
      </c>
      <c r="B5625" s="1" t="n">
        <v>45330</v>
      </c>
      <c r="C5625" s="1" t="n">
        <v>45744</v>
      </c>
      <c r="D5625" t="inlineStr">
        <is>
          <t>SKÅNE LÄN</t>
        </is>
      </c>
      <c r="E5625" t="inlineStr">
        <is>
          <t>ÖSTRA GÖINGE</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5177-2024</t>
        </is>
      </c>
      <c r="B5626" s="1" t="n">
        <v>45330</v>
      </c>
      <c r="C5626" s="1" t="n">
        <v>45744</v>
      </c>
      <c r="D5626" t="inlineStr">
        <is>
          <t>SKÅNE LÄN</t>
        </is>
      </c>
      <c r="E5626" t="inlineStr">
        <is>
          <t>ÖSTRA GÖINGE</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5226-2024</t>
        </is>
      </c>
      <c r="B5627" s="1" t="n">
        <v>45330</v>
      </c>
      <c r="C5627" s="1" t="n">
        <v>45744</v>
      </c>
      <c r="D5627" t="inlineStr">
        <is>
          <t>SKÅNE LÄN</t>
        </is>
      </c>
      <c r="E5627" t="inlineStr">
        <is>
          <t>HÄSSLEHOLM</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5308-2024</t>
        </is>
      </c>
      <c r="B5628" s="1" t="n">
        <v>45331</v>
      </c>
      <c r="C5628" s="1" t="n">
        <v>45744</v>
      </c>
      <c r="D5628" t="inlineStr">
        <is>
          <t>SKÅNE LÄN</t>
        </is>
      </c>
      <c r="E5628" t="inlineStr">
        <is>
          <t>KRISTIANSTAD</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5395-2024</t>
        </is>
      </c>
      <c r="B5629" s="1" t="n">
        <v>45331</v>
      </c>
      <c r="C5629" s="1" t="n">
        <v>45744</v>
      </c>
      <c r="D5629" t="inlineStr">
        <is>
          <t>SKÅNE LÄN</t>
        </is>
      </c>
      <c r="E5629" t="inlineStr">
        <is>
          <t>HÄSSLEHOLM</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5374-2024</t>
        </is>
      </c>
      <c r="B5630" s="1" t="n">
        <v>45331</v>
      </c>
      <c r="C5630" s="1" t="n">
        <v>45744</v>
      </c>
      <c r="D5630" t="inlineStr">
        <is>
          <t>SKÅNE LÄN</t>
        </is>
      </c>
      <c r="E5630" t="inlineStr">
        <is>
          <t>ÖSTRA GÖINGE</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5400-2024</t>
        </is>
      </c>
      <c r="B5631" s="1" t="n">
        <v>45331</v>
      </c>
      <c r="C5631" s="1" t="n">
        <v>45744</v>
      </c>
      <c r="D5631" t="inlineStr">
        <is>
          <t>SKÅNE LÄN</t>
        </is>
      </c>
      <c r="E5631" t="inlineStr">
        <is>
          <t>KRISTIANSTAD</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5307-2024</t>
        </is>
      </c>
      <c r="B5632" s="1" t="n">
        <v>45331</v>
      </c>
      <c r="C5632" s="1" t="n">
        <v>45744</v>
      </c>
      <c r="D5632" t="inlineStr">
        <is>
          <t>SKÅNE LÄN</t>
        </is>
      </c>
      <c r="E5632" t="inlineStr">
        <is>
          <t>HÄSSLEHOLM</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5426-2024</t>
        </is>
      </c>
      <c r="B5633" s="1" t="n">
        <v>45331</v>
      </c>
      <c r="C5633" s="1" t="n">
        <v>45744</v>
      </c>
      <c r="D5633" t="inlineStr">
        <is>
          <t>SKÅNE LÄN</t>
        </is>
      </c>
      <c r="E5633" t="inlineStr">
        <is>
          <t>ÖSTRA GÖINGE</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5460-2024</t>
        </is>
      </c>
      <c r="B5634" s="1" t="n">
        <v>45332</v>
      </c>
      <c r="C5634" s="1" t="n">
        <v>45744</v>
      </c>
      <c r="D5634" t="inlineStr">
        <is>
          <t>SKÅNE LÄN</t>
        </is>
      </c>
      <c r="E5634" t="inlineStr">
        <is>
          <t>OSBY</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5488-2024</t>
        </is>
      </c>
      <c r="B5635" s="1" t="n">
        <v>45334</v>
      </c>
      <c r="C5635" s="1" t="n">
        <v>45744</v>
      </c>
      <c r="D5635" t="inlineStr">
        <is>
          <t>SKÅNE LÄN</t>
        </is>
      </c>
      <c r="E5635" t="inlineStr">
        <is>
          <t>SIMRISHAMN</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5536-2024</t>
        </is>
      </c>
      <c r="B5636" s="1" t="n">
        <v>45334</v>
      </c>
      <c r="C5636" s="1" t="n">
        <v>45744</v>
      </c>
      <c r="D5636" t="inlineStr">
        <is>
          <t>SKÅNE LÄN</t>
        </is>
      </c>
      <c r="E5636" t="inlineStr">
        <is>
          <t>TOMELILLA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5544-2024</t>
        </is>
      </c>
      <c r="B5637" s="1" t="n">
        <v>45334</v>
      </c>
      <c r="C5637" s="1" t="n">
        <v>45744</v>
      </c>
      <c r="D5637" t="inlineStr">
        <is>
          <t>SKÅNE LÄN</t>
        </is>
      </c>
      <c r="E5637" t="inlineStr">
        <is>
          <t>TOMELILLA</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5504-2024</t>
        </is>
      </c>
      <c r="B5638" s="1" t="n">
        <v>45334</v>
      </c>
      <c r="C5638" s="1" t="n">
        <v>45744</v>
      </c>
      <c r="D5638" t="inlineStr">
        <is>
          <t>SKÅNE LÄN</t>
        </is>
      </c>
      <c r="E5638" t="inlineStr">
        <is>
          <t>OSBY</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5622-2024</t>
        </is>
      </c>
      <c r="B5639" s="1" t="n">
        <v>45334</v>
      </c>
      <c r="C5639" s="1" t="n">
        <v>45744</v>
      </c>
      <c r="D5639" t="inlineStr">
        <is>
          <t>SKÅNE LÄN</t>
        </is>
      </c>
      <c r="E5639" t="inlineStr">
        <is>
          <t>KRISTIANSTAD</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5564-2024</t>
        </is>
      </c>
      <c r="B5640" s="1" t="n">
        <v>45334</v>
      </c>
      <c r="C5640" s="1" t="n">
        <v>45744</v>
      </c>
      <c r="D5640" t="inlineStr">
        <is>
          <t>SKÅNE LÄN</t>
        </is>
      </c>
      <c r="E5640" t="inlineStr">
        <is>
          <t>KRISTIANSTAD</t>
        </is>
      </c>
      <c r="F5640" t="inlineStr">
        <is>
          <t>Sveaskog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5595-2024</t>
        </is>
      </c>
      <c r="B5641" s="1" t="n">
        <v>45334</v>
      </c>
      <c r="C5641" s="1" t="n">
        <v>45744</v>
      </c>
      <c r="D5641" t="inlineStr">
        <is>
          <t>SKÅNE LÄN</t>
        </is>
      </c>
      <c r="E5641" t="inlineStr">
        <is>
          <t>KRISTIANSTAD</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5565-2024</t>
        </is>
      </c>
      <c r="B5642" s="1" t="n">
        <v>45334</v>
      </c>
      <c r="C5642" s="1" t="n">
        <v>45744</v>
      </c>
      <c r="D5642" t="inlineStr">
        <is>
          <t>SKÅNE LÄN</t>
        </is>
      </c>
      <c r="E5642" t="inlineStr">
        <is>
          <t>TOMELILLA</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5569-2024</t>
        </is>
      </c>
      <c r="B5643" s="1" t="n">
        <v>45334</v>
      </c>
      <c r="C5643" s="1" t="n">
        <v>45744</v>
      </c>
      <c r="D5643" t="inlineStr">
        <is>
          <t>SKÅNE LÄN</t>
        </is>
      </c>
      <c r="E5643" t="inlineStr">
        <is>
          <t>TOMELILLA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5709-2024</t>
        </is>
      </c>
      <c r="B5644" s="1" t="n">
        <v>45334</v>
      </c>
      <c r="C5644" s="1" t="n">
        <v>45744</v>
      </c>
      <c r="D5644" t="inlineStr">
        <is>
          <t>SKÅNE LÄN</t>
        </is>
      </c>
      <c r="E5644" t="inlineStr">
        <is>
          <t>TOMELILLA</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5619-2024</t>
        </is>
      </c>
      <c r="B5645" s="1" t="n">
        <v>45334</v>
      </c>
      <c r="C5645" s="1" t="n">
        <v>45744</v>
      </c>
      <c r="D5645" t="inlineStr">
        <is>
          <t>SKÅNE LÄN</t>
        </is>
      </c>
      <c r="E5645" t="inlineStr">
        <is>
          <t>HÖRBY</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5623-2024</t>
        </is>
      </c>
      <c r="B5646" s="1" t="n">
        <v>45334</v>
      </c>
      <c r="C5646" s="1" t="n">
        <v>45744</v>
      </c>
      <c r="D5646" t="inlineStr">
        <is>
          <t>SKÅNE LÄN</t>
        </is>
      </c>
      <c r="E5646" t="inlineStr">
        <is>
          <t>KRISTIANSTAD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5718-2024</t>
        </is>
      </c>
      <c r="B5647" s="1" t="n">
        <v>45334</v>
      </c>
      <c r="C5647" s="1" t="n">
        <v>45744</v>
      </c>
      <c r="D5647" t="inlineStr">
        <is>
          <t>SKÅNE LÄN</t>
        </is>
      </c>
      <c r="E5647" t="inlineStr">
        <is>
          <t>SVALÖV</t>
        </is>
      </c>
      <c r="G5647" t="n">
        <v>5.8</v>
      </c>
      <c r="H5647" t="n">
        <v>0</v>
      </c>
      <c r="I5647" t="n">
        <v>0</v>
      </c>
      <c r="J5647" t="n">
        <v>0</v>
      </c>
      <c r="K5647" t="n">
        <v>0</v>
      </c>
      <c r="L5647" t="n">
        <v>0</v>
      </c>
      <c r="M5647" t="n">
        <v>0</v>
      </c>
      <c r="N5647" t="n">
        <v>0</v>
      </c>
      <c r="O5647" t="n">
        <v>0</v>
      </c>
      <c r="P5647" t="n">
        <v>0</v>
      </c>
      <c r="Q5647" t="n">
        <v>0</v>
      </c>
      <c r="R5647" s="2" t="inlineStr"/>
    </row>
    <row r="5648" ht="15" customHeight="1">
      <c r="A5648" t="inlineStr">
        <is>
          <t>A 5780-2024</t>
        </is>
      </c>
      <c r="B5648" s="1" t="n">
        <v>45335</v>
      </c>
      <c r="C5648" s="1" t="n">
        <v>45744</v>
      </c>
      <c r="D5648" t="inlineStr">
        <is>
          <t>SKÅNE LÄN</t>
        </is>
      </c>
      <c r="E5648" t="inlineStr">
        <is>
          <t>HÄSSLEHOLM</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5792-2024</t>
        </is>
      </c>
      <c r="B5649" s="1" t="n">
        <v>45335</v>
      </c>
      <c r="C5649" s="1" t="n">
        <v>45744</v>
      </c>
      <c r="D5649" t="inlineStr">
        <is>
          <t>SKÅNE LÄN</t>
        </is>
      </c>
      <c r="E5649" t="inlineStr">
        <is>
          <t>HELSINGBORG</t>
        </is>
      </c>
      <c r="G5649" t="n">
        <v>6.6</v>
      </c>
      <c r="H5649" t="n">
        <v>0</v>
      </c>
      <c r="I5649" t="n">
        <v>0</v>
      </c>
      <c r="J5649" t="n">
        <v>0</v>
      </c>
      <c r="K5649" t="n">
        <v>0</v>
      </c>
      <c r="L5649" t="n">
        <v>0</v>
      </c>
      <c r="M5649" t="n">
        <v>0</v>
      </c>
      <c r="N5649" t="n">
        <v>0</v>
      </c>
      <c r="O5649" t="n">
        <v>0</v>
      </c>
      <c r="P5649" t="n">
        <v>0</v>
      </c>
      <c r="Q5649" t="n">
        <v>0</v>
      </c>
      <c r="R5649" s="2" t="inlineStr"/>
    </row>
    <row r="5650" ht="15" customHeight="1">
      <c r="A5650" t="inlineStr">
        <is>
          <t>A 5852-2024</t>
        </is>
      </c>
      <c r="B5650" s="1" t="n">
        <v>45335</v>
      </c>
      <c r="C5650" s="1" t="n">
        <v>45744</v>
      </c>
      <c r="D5650" t="inlineStr">
        <is>
          <t>SKÅNE LÄN</t>
        </is>
      </c>
      <c r="E5650" t="inlineStr">
        <is>
          <t>HÄSSLEHOLM</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5906-2024</t>
        </is>
      </c>
      <c r="B5651" s="1" t="n">
        <v>45335</v>
      </c>
      <c r="C5651" s="1" t="n">
        <v>45744</v>
      </c>
      <c r="D5651" t="inlineStr">
        <is>
          <t>SKÅNE LÄN</t>
        </is>
      </c>
      <c r="E5651" t="inlineStr">
        <is>
          <t>KRISTIANSTAD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5907-2024</t>
        </is>
      </c>
      <c r="B5652" s="1" t="n">
        <v>45335</v>
      </c>
      <c r="C5652" s="1" t="n">
        <v>45744</v>
      </c>
      <c r="D5652" t="inlineStr">
        <is>
          <t>SKÅNE LÄN</t>
        </is>
      </c>
      <c r="E5652" t="inlineStr">
        <is>
          <t>KRISTIANSTAD</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5951-2024</t>
        </is>
      </c>
      <c r="B5653" s="1" t="n">
        <v>45335</v>
      </c>
      <c r="C5653" s="1" t="n">
        <v>45744</v>
      </c>
      <c r="D5653" t="inlineStr">
        <is>
          <t>SKÅNE LÄN</t>
        </is>
      </c>
      <c r="E5653" t="inlineStr">
        <is>
          <t>KRISTIANSTAD</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5980-2024</t>
        </is>
      </c>
      <c r="B5654" s="1" t="n">
        <v>45335</v>
      </c>
      <c r="C5654" s="1" t="n">
        <v>45744</v>
      </c>
      <c r="D5654" t="inlineStr">
        <is>
          <t>SKÅNE LÄN</t>
        </is>
      </c>
      <c r="E5654" t="inlineStr">
        <is>
          <t>HÄSSLEHOLM</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5950-2024</t>
        </is>
      </c>
      <c r="B5655" s="1" t="n">
        <v>45335</v>
      </c>
      <c r="C5655" s="1" t="n">
        <v>45744</v>
      </c>
      <c r="D5655" t="inlineStr">
        <is>
          <t>SKÅNE LÄN</t>
        </is>
      </c>
      <c r="E5655" t="inlineStr">
        <is>
          <t>KRISTIANSTAD</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5958-2024</t>
        </is>
      </c>
      <c r="B5656" s="1" t="n">
        <v>45336</v>
      </c>
      <c r="C5656" s="1" t="n">
        <v>45744</v>
      </c>
      <c r="D5656" t="inlineStr">
        <is>
          <t>SKÅNE LÄN</t>
        </is>
      </c>
      <c r="E5656" t="inlineStr">
        <is>
          <t>KRISTIANSTAD</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6006-2024</t>
        </is>
      </c>
      <c r="B5657" s="1" t="n">
        <v>45336</v>
      </c>
      <c r="C5657" s="1" t="n">
        <v>45744</v>
      </c>
      <c r="D5657" t="inlineStr">
        <is>
          <t>SKÅNE LÄN</t>
        </is>
      </c>
      <c r="E5657" t="inlineStr">
        <is>
          <t>SIMRISHAMN</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5981-2024</t>
        </is>
      </c>
      <c r="B5658" s="1" t="n">
        <v>45336</v>
      </c>
      <c r="C5658" s="1" t="n">
        <v>45744</v>
      </c>
      <c r="D5658" t="inlineStr">
        <is>
          <t>SKÅNE LÄN</t>
        </is>
      </c>
      <c r="E5658" t="inlineStr">
        <is>
          <t>KRISTIANSTAD</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5956-2024</t>
        </is>
      </c>
      <c r="B5659" s="1" t="n">
        <v>45336</v>
      </c>
      <c r="C5659" s="1" t="n">
        <v>45744</v>
      </c>
      <c r="D5659" t="inlineStr">
        <is>
          <t>SKÅNE LÄN</t>
        </is>
      </c>
      <c r="E5659" t="inlineStr">
        <is>
          <t>TOMELILLA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5991-2024</t>
        </is>
      </c>
      <c r="B5660" s="1" t="n">
        <v>45336</v>
      </c>
      <c r="C5660" s="1" t="n">
        <v>45744</v>
      </c>
      <c r="D5660" t="inlineStr">
        <is>
          <t>SKÅNE LÄN</t>
        </is>
      </c>
      <c r="E5660" t="inlineStr">
        <is>
          <t>SJÖBO</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6045-2024</t>
        </is>
      </c>
      <c r="B5661" s="1" t="n">
        <v>45336</v>
      </c>
      <c r="C5661" s="1" t="n">
        <v>45744</v>
      </c>
      <c r="D5661" t="inlineStr">
        <is>
          <t>SKÅNE LÄN</t>
        </is>
      </c>
      <c r="E5661" t="inlineStr">
        <is>
          <t>SIMRISHAMN</t>
        </is>
      </c>
      <c r="F5661" t="inlineStr">
        <is>
          <t>Övriga Aktiebolag</t>
        </is>
      </c>
      <c r="G5661" t="n">
        <v>15.4</v>
      </c>
      <c r="H5661" t="n">
        <v>0</v>
      </c>
      <c r="I5661" t="n">
        <v>0</v>
      </c>
      <c r="J5661" t="n">
        <v>0</v>
      </c>
      <c r="K5661" t="n">
        <v>0</v>
      </c>
      <c r="L5661" t="n">
        <v>0</v>
      </c>
      <c r="M5661" t="n">
        <v>0</v>
      </c>
      <c r="N5661" t="n">
        <v>0</v>
      </c>
      <c r="O5661" t="n">
        <v>0</v>
      </c>
      <c r="P5661" t="n">
        <v>0</v>
      </c>
      <c r="Q5661" t="n">
        <v>0</v>
      </c>
      <c r="R5661" s="2" t="inlineStr"/>
    </row>
    <row r="5662" ht="15" customHeight="1">
      <c r="A5662" t="inlineStr">
        <is>
          <t>A 6124-2024</t>
        </is>
      </c>
      <c r="B5662" s="1" t="n">
        <v>45337</v>
      </c>
      <c r="C5662" s="1" t="n">
        <v>45744</v>
      </c>
      <c r="D5662" t="inlineStr">
        <is>
          <t>SKÅNE LÄN</t>
        </is>
      </c>
      <c r="E5662" t="inlineStr">
        <is>
          <t>ÖRKELLJUNGA</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6241-2024</t>
        </is>
      </c>
      <c r="B5663" s="1" t="n">
        <v>45337</v>
      </c>
      <c r="C5663" s="1" t="n">
        <v>45744</v>
      </c>
      <c r="D5663" t="inlineStr">
        <is>
          <t>SKÅNE LÄN</t>
        </is>
      </c>
      <c r="E5663" t="inlineStr">
        <is>
          <t>KRISTIANSTAD</t>
        </is>
      </c>
      <c r="F5663" t="inlineStr">
        <is>
          <t>Övriga Aktiebolag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6152-2024</t>
        </is>
      </c>
      <c r="B5664" s="1" t="n">
        <v>45337</v>
      </c>
      <c r="C5664" s="1" t="n">
        <v>45744</v>
      </c>
      <c r="D5664" t="inlineStr">
        <is>
          <t>SKÅNE LÄN</t>
        </is>
      </c>
      <c r="E5664" t="inlineStr">
        <is>
          <t>ÖSTRA GÖINGE</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6192-2024</t>
        </is>
      </c>
      <c r="B5665" s="1" t="n">
        <v>45337</v>
      </c>
      <c r="C5665" s="1" t="n">
        <v>45744</v>
      </c>
      <c r="D5665" t="inlineStr">
        <is>
          <t>SKÅNE LÄN</t>
        </is>
      </c>
      <c r="E5665" t="inlineStr">
        <is>
          <t>HÄSSLEHOLM</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6250-2024</t>
        </is>
      </c>
      <c r="B5666" s="1" t="n">
        <v>45337</v>
      </c>
      <c r="C5666" s="1" t="n">
        <v>45744</v>
      </c>
      <c r="D5666" t="inlineStr">
        <is>
          <t>SKÅNE LÄN</t>
        </is>
      </c>
      <c r="E5666" t="inlineStr">
        <is>
          <t>KRISTIANSTAD</t>
        </is>
      </c>
      <c r="F5666" t="inlineStr">
        <is>
          <t>Övriga Aktiebolag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6154-2024</t>
        </is>
      </c>
      <c r="B5667" s="1" t="n">
        <v>45337</v>
      </c>
      <c r="C5667" s="1" t="n">
        <v>45744</v>
      </c>
      <c r="D5667" t="inlineStr">
        <is>
          <t>SKÅNE LÄN</t>
        </is>
      </c>
      <c r="E5667" t="inlineStr">
        <is>
          <t>ÖSTRA GÖINGE</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6137-2024</t>
        </is>
      </c>
      <c r="B5668" s="1" t="n">
        <v>45337</v>
      </c>
      <c r="C5668" s="1" t="n">
        <v>45744</v>
      </c>
      <c r="D5668" t="inlineStr">
        <is>
          <t>SKÅNE LÄN</t>
        </is>
      </c>
      <c r="E5668" t="inlineStr">
        <is>
          <t>ÖRKELLJUNGA</t>
        </is>
      </c>
      <c r="G5668" t="n">
        <v>11.7</v>
      </c>
      <c r="H5668" t="n">
        <v>0</v>
      </c>
      <c r="I5668" t="n">
        <v>0</v>
      </c>
      <c r="J5668" t="n">
        <v>0</v>
      </c>
      <c r="K5668" t="n">
        <v>0</v>
      </c>
      <c r="L5668" t="n">
        <v>0</v>
      </c>
      <c r="M5668" t="n">
        <v>0</v>
      </c>
      <c r="N5668" t="n">
        <v>0</v>
      </c>
      <c r="O5668" t="n">
        <v>0</v>
      </c>
      <c r="P5668" t="n">
        <v>0</v>
      </c>
      <c r="Q5668" t="n">
        <v>0</v>
      </c>
      <c r="R5668" s="2" t="inlineStr"/>
    </row>
    <row r="5669" ht="15" customHeight="1">
      <c r="A5669" t="inlineStr">
        <is>
          <t>A 6253-2024</t>
        </is>
      </c>
      <c r="B5669" s="1" t="n">
        <v>45337</v>
      </c>
      <c r="C5669" s="1" t="n">
        <v>45744</v>
      </c>
      <c r="D5669" t="inlineStr">
        <is>
          <t>SKÅNE LÄN</t>
        </is>
      </c>
      <c r="E5669" t="inlineStr">
        <is>
          <t>KRISTIANSTAD</t>
        </is>
      </c>
      <c r="F5669" t="inlineStr">
        <is>
          <t>Övriga Aktiebolag</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6261-2024</t>
        </is>
      </c>
      <c r="B5670" s="1" t="n">
        <v>45337</v>
      </c>
      <c r="C5670" s="1" t="n">
        <v>45744</v>
      </c>
      <c r="D5670" t="inlineStr">
        <is>
          <t>SKÅNE LÄN</t>
        </is>
      </c>
      <c r="E5670" t="inlineStr">
        <is>
          <t>TOMELILLA</t>
        </is>
      </c>
      <c r="G5670" t="n">
        <v>12.6</v>
      </c>
      <c r="H5670" t="n">
        <v>0</v>
      </c>
      <c r="I5670" t="n">
        <v>0</v>
      </c>
      <c r="J5670" t="n">
        <v>0</v>
      </c>
      <c r="K5670" t="n">
        <v>0</v>
      </c>
      <c r="L5670" t="n">
        <v>0</v>
      </c>
      <c r="M5670" t="n">
        <v>0</v>
      </c>
      <c r="N5670" t="n">
        <v>0</v>
      </c>
      <c r="O5670" t="n">
        <v>0</v>
      </c>
      <c r="P5670" t="n">
        <v>0</v>
      </c>
      <c r="Q5670" t="n">
        <v>0</v>
      </c>
      <c r="R5670" s="2" t="inlineStr"/>
    </row>
    <row r="5671" ht="15" customHeight="1">
      <c r="A5671" t="inlineStr">
        <is>
          <t>A 6262-2024</t>
        </is>
      </c>
      <c r="B5671" s="1" t="n">
        <v>45337</v>
      </c>
      <c r="C5671" s="1" t="n">
        <v>45744</v>
      </c>
      <c r="D5671" t="inlineStr">
        <is>
          <t>SKÅNE LÄN</t>
        </is>
      </c>
      <c r="E5671" t="inlineStr">
        <is>
          <t>TOMELILLA</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6259-2024</t>
        </is>
      </c>
      <c r="B5672" s="1" t="n">
        <v>45337</v>
      </c>
      <c r="C5672" s="1" t="n">
        <v>45744</v>
      </c>
      <c r="D5672" t="inlineStr">
        <is>
          <t>SKÅNE LÄN</t>
        </is>
      </c>
      <c r="E5672" t="inlineStr">
        <is>
          <t>TOMELILLA</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6307-2024</t>
        </is>
      </c>
      <c r="B5673" s="1" t="n">
        <v>45338</v>
      </c>
      <c r="C5673" s="1" t="n">
        <v>45744</v>
      </c>
      <c r="D5673" t="inlineStr">
        <is>
          <t>SKÅNE LÄN</t>
        </is>
      </c>
      <c r="E5673" t="inlineStr">
        <is>
          <t>KRISTIANSTAD</t>
        </is>
      </c>
      <c r="F5673" t="inlineStr">
        <is>
          <t>Övriga Aktiebolag</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6293-2024</t>
        </is>
      </c>
      <c r="B5674" s="1" t="n">
        <v>45338</v>
      </c>
      <c r="C5674" s="1" t="n">
        <v>45744</v>
      </c>
      <c r="D5674" t="inlineStr">
        <is>
          <t>SKÅNE LÄN</t>
        </is>
      </c>
      <c r="E5674" t="inlineStr">
        <is>
          <t>KRISTIANSTAD</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6347-2024</t>
        </is>
      </c>
      <c r="B5675" s="1" t="n">
        <v>45338</v>
      </c>
      <c r="C5675" s="1" t="n">
        <v>45744</v>
      </c>
      <c r="D5675" t="inlineStr">
        <is>
          <t>SKÅNE LÄN</t>
        </is>
      </c>
      <c r="E5675" t="inlineStr">
        <is>
          <t>KRISTIANSTAD</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6349-2024</t>
        </is>
      </c>
      <c r="B5676" s="1" t="n">
        <v>45338</v>
      </c>
      <c r="C5676" s="1" t="n">
        <v>45744</v>
      </c>
      <c r="D5676" t="inlineStr">
        <is>
          <t>SKÅNE LÄN</t>
        </is>
      </c>
      <c r="E5676" t="inlineStr">
        <is>
          <t>KRISTIANSTAD</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6357-2024</t>
        </is>
      </c>
      <c r="B5677" s="1" t="n">
        <v>45338</v>
      </c>
      <c r="C5677" s="1" t="n">
        <v>45744</v>
      </c>
      <c r="D5677" t="inlineStr">
        <is>
          <t>SKÅNE LÄN</t>
        </is>
      </c>
      <c r="E5677" t="inlineStr">
        <is>
          <t>TOMELILLA</t>
        </is>
      </c>
      <c r="F5677" t="inlineStr">
        <is>
          <t>Kyrkan</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6446-2024</t>
        </is>
      </c>
      <c r="B5678" s="1" t="n">
        <v>45338</v>
      </c>
      <c r="C5678" s="1" t="n">
        <v>45744</v>
      </c>
      <c r="D5678" t="inlineStr">
        <is>
          <t>SKÅNE LÄN</t>
        </is>
      </c>
      <c r="E5678" t="inlineStr">
        <is>
          <t>ÄNGELHOLM</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6316-2024</t>
        </is>
      </c>
      <c r="B5679" s="1" t="n">
        <v>45338</v>
      </c>
      <c r="C5679" s="1" t="n">
        <v>45744</v>
      </c>
      <c r="D5679" t="inlineStr">
        <is>
          <t>SKÅNE LÄN</t>
        </is>
      </c>
      <c r="E5679" t="inlineStr">
        <is>
          <t>TOMELILLA</t>
        </is>
      </c>
      <c r="F5679" t="inlineStr">
        <is>
          <t>Övriga Aktiebolag</t>
        </is>
      </c>
      <c r="G5679" t="n">
        <v>28.6</v>
      </c>
      <c r="H5679" t="n">
        <v>0</v>
      </c>
      <c r="I5679" t="n">
        <v>0</v>
      </c>
      <c r="J5679" t="n">
        <v>0</v>
      </c>
      <c r="K5679" t="n">
        <v>0</v>
      </c>
      <c r="L5679" t="n">
        <v>0</v>
      </c>
      <c r="M5679" t="n">
        <v>0</v>
      </c>
      <c r="N5679" t="n">
        <v>0</v>
      </c>
      <c r="O5679" t="n">
        <v>0</v>
      </c>
      <c r="P5679" t="n">
        <v>0</v>
      </c>
      <c r="Q5679" t="n">
        <v>0</v>
      </c>
      <c r="R5679" s="2" t="inlineStr"/>
    </row>
    <row r="5680" ht="15" customHeight="1">
      <c r="A5680" t="inlineStr">
        <is>
          <t>A 6348-2024</t>
        </is>
      </c>
      <c r="B5680" s="1" t="n">
        <v>45338</v>
      </c>
      <c r="C5680" s="1" t="n">
        <v>45744</v>
      </c>
      <c r="D5680" t="inlineStr">
        <is>
          <t>SKÅNE LÄN</t>
        </is>
      </c>
      <c r="E5680" t="inlineStr">
        <is>
          <t>KRISTIANSTAD</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6356-2024</t>
        </is>
      </c>
      <c r="B5681" s="1" t="n">
        <v>45338</v>
      </c>
      <c r="C5681" s="1" t="n">
        <v>45744</v>
      </c>
      <c r="D5681" t="inlineStr">
        <is>
          <t>SKÅNE LÄN</t>
        </is>
      </c>
      <c r="E5681" t="inlineStr">
        <is>
          <t>ÄNGELHOLM</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6440-2024</t>
        </is>
      </c>
      <c r="B5682" s="1" t="n">
        <v>45338</v>
      </c>
      <c r="C5682" s="1" t="n">
        <v>45744</v>
      </c>
      <c r="D5682" t="inlineStr">
        <is>
          <t>SKÅNE LÄN</t>
        </is>
      </c>
      <c r="E5682" t="inlineStr">
        <is>
          <t>HÖÖR</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8186-2024</t>
        </is>
      </c>
      <c r="B5683" s="1" t="n">
        <v>45338</v>
      </c>
      <c r="C5683" s="1" t="n">
        <v>45744</v>
      </c>
      <c r="D5683" t="inlineStr">
        <is>
          <t>SKÅNE LÄN</t>
        </is>
      </c>
      <c r="E5683" t="inlineStr">
        <is>
          <t>TOMELILLA</t>
        </is>
      </c>
      <c r="F5683" t="inlineStr">
        <is>
          <t>Kyrkan</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8190-2024</t>
        </is>
      </c>
      <c r="B5684" s="1" t="n">
        <v>45338</v>
      </c>
      <c r="C5684" s="1" t="n">
        <v>45744</v>
      </c>
      <c r="D5684" t="inlineStr">
        <is>
          <t>SKÅNE LÄN</t>
        </is>
      </c>
      <c r="E5684" t="inlineStr">
        <is>
          <t>TOMELILLA</t>
        </is>
      </c>
      <c r="F5684" t="inlineStr">
        <is>
          <t>Kyrkan</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6465-2024</t>
        </is>
      </c>
      <c r="B5685" s="1" t="n">
        <v>45338</v>
      </c>
      <c r="C5685" s="1" t="n">
        <v>45744</v>
      </c>
      <c r="D5685" t="inlineStr">
        <is>
          <t>SKÅNE LÄN</t>
        </is>
      </c>
      <c r="E5685" t="inlineStr">
        <is>
          <t>OSBY</t>
        </is>
      </c>
      <c r="F5685" t="inlineStr">
        <is>
          <t>Sveaskog</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6447-2024</t>
        </is>
      </c>
      <c r="B5686" s="1" t="n">
        <v>45338</v>
      </c>
      <c r="C5686" s="1" t="n">
        <v>45744</v>
      </c>
      <c r="D5686" t="inlineStr">
        <is>
          <t>SKÅNE LÄN</t>
        </is>
      </c>
      <c r="E5686" t="inlineStr">
        <is>
          <t>ÄNGELHOLM</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6451-2024</t>
        </is>
      </c>
      <c r="B5687" s="1" t="n">
        <v>45338</v>
      </c>
      <c r="C5687" s="1" t="n">
        <v>45744</v>
      </c>
      <c r="D5687" t="inlineStr">
        <is>
          <t>SKÅNE LÄN</t>
        </is>
      </c>
      <c r="E5687" t="inlineStr">
        <is>
          <t>KRISTIANSTAD</t>
        </is>
      </c>
      <c r="G5687" t="n">
        <v>15.8</v>
      </c>
      <c r="H5687" t="n">
        <v>0</v>
      </c>
      <c r="I5687" t="n">
        <v>0</v>
      </c>
      <c r="J5687" t="n">
        <v>0</v>
      </c>
      <c r="K5687" t="n">
        <v>0</v>
      </c>
      <c r="L5687" t="n">
        <v>0</v>
      </c>
      <c r="M5687" t="n">
        <v>0</v>
      </c>
      <c r="N5687" t="n">
        <v>0</v>
      </c>
      <c r="O5687" t="n">
        <v>0</v>
      </c>
      <c r="P5687" t="n">
        <v>0</v>
      </c>
      <c r="Q5687" t="n">
        <v>0</v>
      </c>
      <c r="R5687" s="2" t="inlineStr"/>
    </row>
    <row r="5688" ht="15" customHeight="1">
      <c r="A5688" t="inlineStr">
        <is>
          <t>A 8187-2024</t>
        </is>
      </c>
      <c r="B5688" s="1" t="n">
        <v>45338</v>
      </c>
      <c r="C5688" s="1" t="n">
        <v>45744</v>
      </c>
      <c r="D5688" t="inlineStr">
        <is>
          <t>SKÅNE LÄN</t>
        </is>
      </c>
      <c r="E5688" t="inlineStr">
        <is>
          <t>TOMELILLA</t>
        </is>
      </c>
      <c r="F5688" t="inlineStr">
        <is>
          <t>Kyrkan</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8192-2024</t>
        </is>
      </c>
      <c r="B5689" s="1" t="n">
        <v>45338</v>
      </c>
      <c r="C5689" s="1" t="n">
        <v>45744</v>
      </c>
      <c r="D5689" t="inlineStr">
        <is>
          <t>SKÅNE LÄN</t>
        </is>
      </c>
      <c r="E5689" t="inlineStr">
        <is>
          <t>TOMELILLA</t>
        </is>
      </c>
      <c r="F5689" t="inlineStr">
        <is>
          <t>Kyrkan</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8189-2024</t>
        </is>
      </c>
      <c r="B5690" s="1" t="n">
        <v>45338</v>
      </c>
      <c r="C5690" s="1" t="n">
        <v>45744</v>
      </c>
      <c r="D5690" t="inlineStr">
        <is>
          <t>SKÅNE LÄN</t>
        </is>
      </c>
      <c r="E5690" t="inlineStr">
        <is>
          <t>TOMELILLA</t>
        </is>
      </c>
      <c r="F5690" t="inlineStr">
        <is>
          <t>Kyrkan</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6534-2024</t>
        </is>
      </c>
      <c r="B5691" s="1" t="n">
        <v>45341</v>
      </c>
      <c r="C5691" s="1" t="n">
        <v>45744</v>
      </c>
      <c r="D5691" t="inlineStr">
        <is>
          <t>SKÅNE LÄN</t>
        </is>
      </c>
      <c r="E5691" t="inlineStr">
        <is>
          <t>HÖRBY</t>
        </is>
      </c>
      <c r="F5691" t="inlineStr">
        <is>
          <t>Sveaskog</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6515-2024</t>
        </is>
      </c>
      <c r="B5692" s="1" t="n">
        <v>45341</v>
      </c>
      <c r="C5692" s="1" t="n">
        <v>45744</v>
      </c>
      <c r="D5692" t="inlineStr">
        <is>
          <t>SKÅNE LÄN</t>
        </is>
      </c>
      <c r="E5692" t="inlineStr">
        <is>
          <t>KRISTIANSTAD</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6533-2024</t>
        </is>
      </c>
      <c r="B5693" s="1" t="n">
        <v>45341</v>
      </c>
      <c r="C5693" s="1" t="n">
        <v>45744</v>
      </c>
      <c r="D5693" t="inlineStr">
        <is>
          <t>SKÅNE LÄN</t>
        </is>
      </c>
      <c r="E5693" t="inlineStr">
        <is>
          <t>HÖRBY</t>
        </is>
      </c>
      <c r="F5693" t="inlineStr">
        <is>
          <t>Sveaskog</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6531-2024</t>
        </is>
      </c>
      <c r="B5694" s="1" t="n">
        <v>45341</v>
      </c>
      <c r="C5694" s="1" t="n">
        <v>45744</v>
      </c>
      <c r="D5694" t="inlineStr">
        <is>
          <t>SKÅNE LÄN</t>
        </is>
      </c>
      <c r="E5694" t="inlineStr">
        <is>
          <t>HÖRBY</t>
        </is>
      </c>
      <c r="F5694" t="inlineStr">
        <is>
          <t>Sveaskog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6605-2024</t>
        </is>
      </c>
      <c r="B5695" s="1" t="n">
        <v>45341</v>
      </c>
      <c r="C5695" s="1" t="n">
        <v>45744</v>
      </c>
      <c r="D5695" t="inlineStr">
        <is>
          <t>SKÅNE LÄN</t>
        </is>
      </c>
      <c r="E5695" t="inlineStr">
        <is>
          <t>OSBY</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6612-2024</t>
        </is>
      </c>
      <c r="B5696" s="1" t="n">
        <v>45341</v>
      </c>
      <c r="C5696" s="1" t="n">
        <v>45744</v>
      </c>
      <c r="D5696" t="inlineStr">
        <is>
          <t>SKÅNE LÄN</t>
        </is>
      </c>
      <c r="E5696" t="inlineStr">
        <is>
          <t>HÄSSLEHOLM</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6615-2024</t>
        </is>
      </c>
      <c r="B5697" s="1" t="n">
        <v>45341</v>
      </c>
      <c r="C5697" s="1" t="n">
        <v>45744</v>
      </c>
      <c r="D5697" t="inlineStr">
        <is>
          <t>SKÅNE LÄN</t>
        </is>
      </c>
      <c r="E5697" t="inlineStr">
        <is>
          <t>KLIPPAN</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6619-2024</t>
        </is>
      </c>
      <c r="B5698" s="1" t="n">
        <v>45341</v>
      </c>
      <c r="C5698" s="1" t="n">
        <v>45744</v>
      </c>
      <c r="D5698" t="inlineStr">
        <is>
          <t>SKÅNE LÄN</t>
        </is>
      </c>
      <c r="E5698" t="inlineStr">
        <is>
          <t>HÄSSLEHOLM</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6618-2024</t>
        </is>
      </c>
      <c r="B5699" s="1" t="n">
        <v>45341</v>
      </c>
      <c r="C5699" s="1" t="n">
        <v>45744</v>
      </c>
      <c r="D5699" t="inlineStr">
        <is>
          <t>SKÅNE LÄN</t>
        </is>
      </c>
      <c r="E5699" t="inlineStr">
        <is>
          <t>HÄSSLEHOLM</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6622-2024</t>
        </is>
      </c>
      <c r="B5700" s="1" t="n">
        <v>45341</v>
      </c>
      <c r="C5700" s="1" t="n">
        <v>45744</v>
      </c>
      <c r="D5700" t="inlineStr">
        <is>
          <t>SKÅNE LÄN</t>
        </is>
      </c>
      <c r="E5700" t="inlineStr">
        <is>
          <t>KLIPPAN</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6645-2024</t>
        </is>
      </c>
      <c r="B5701" s="1" t="n">
        <v>45341</v>
      </c>
      <c r="C5701" s="1" t="n">
        <v>45744</v>
      </c>
      <c r="D5701" t="inlineStr">
        <is>
          <t>SKÅNE LÄN</t>
        </is>
      </c>
      <c r="E5701" t="inlineStr">
        <is>
          <t>HÄSSLEHOLM</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6719-2024</t>
        </is>
      </c>
      <c r="B5702" s="1" t="n">
        <v>45342</v>
      </c>
      <c r="C5702" s="1" t="n">
        <v>45744</v>
      </c>
      <c r="D5702" t="inlineStr">
        <is>
          <t>SKÅNE LÄN</t>
        </is>
      </c>
      <c r="E5702" t="inlineStr">
        <is>
          <t>KRISTIANSTAD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6760-2024</t>
        </is>
      </c>
      <c r="B5703" s="1" t="n">
        <v>45342</v>
      </c>
      <c r="C5703" s="1" t="n">
        <v>45744</v>
      </c>
      <c r="D5703" t="inlineStr">
        <is>
          <t>SKÅNE LÄN</t>
        </is>
      </c>
      <c r="E5703" t="inlineStr">
        <is>
          <t>HÖÖR</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6796-2024</t>
        </is>
      </c>
      <c r="B5704" s="1" t="n">
        <v>45342</v>
      </c>
      <c r="C5704" s="1" t="n">
        <v>45744</v>
      </c>
      <c r="D5704" t="inlineStr">
        <is>
          <t>SKÅNE LÄN</t>
        </is>
      </c>
      <c r="E5704" t="inlineStr">
        <is>
          <t>ÖRKELLJUNGA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6814-2024</t>
        </is>
      </c>
      <c r="B5705" s="1" t="n">
        <v>45342</v>
      </c>
      <c r="C5705" s="1" t="n">
        <v>45744</v>
      </c>
      <c r="D5705" t="inlineStr">
        <is>
          <t>SKÅNE LÄN</t>
        </is>
      </c>
      <c r="E5705" t="inlineStr">
        <is>
          <t>KRISTIANSTAD</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6722-2024</t>
        </is>
      </c>
      <c r="B5706" s="1" t="n">
        <v>45342</v>
      </c>
      <c r="C5706" s="1" t="n">
        <v>45744</v>
      </c>
      <c r="D5706" t="inlineStr">
        <is>
          <t>SKÅNE LÄN</t>
        </is>
      </c>
      <c r="E5706" t="inlineStr">
        <is>
          <t>PERSTORP</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6876-2024</t>
        </is>
      </c>
      <c r="B5707" s="1" t="n">
        <v>45342</v>
      </c>
      <c r="C5707" s="1" t="n">
        <v>45744</v>
      </c>
      <c r="D5707" t="inlineStr">
        <is>
          <t>SKÅNE LÄN</t>
        </is>
      </c>
      <c r="E5707" t="inlineStr">
        <is>
          <t>OSBY</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6875-2024</t>
        </is>
      </c>
      <c r="B5708" s="1" t="n">
        <v>45342</v>
      </c>
      <c r="C5708" s="1" t="n">
        <v>45744</v>
      </c>
      <c r="D5708" t="inlineStr">
        <is>
          <t>SKÅNE LÄN</t>
        </is>
      </c>
      <c r="E5708" t="inlineStr">
        <is>
          <t>OSBY</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6874-2024</t>
        </is>
      </c>
      <c r="B5709" s="1" t="n">
        <v>45342</v>
      </c>
      <c r="C5709" s="1" t="n">
        <v>45744</v>
      </c>
      <c r="D5709" t="inlineStr">
        <is>
          <t>SKÅNE LÄN</t>
        </is>
      </c>
      <c r="E5709" t="inlineStr">
        <is>
          <t>OSBY</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6886-2024</t>
        </is>
      </c>
      <c r="B5710" s="1" t="n">
        <v>45342</v>
      </c>
      <c r="C5710" s="1" t="n">
        <v>45744</v>
      </c>
      <c r="D5710" t="inlineStr">
        <is>
          <t>SKÅNE LÄN</t>
        </is>
      </c>
      <c r="E5710" t="inlineStr">
        <is>
          <t>HÖRBY</t>
        </is>
      </c>
      <c r="F5710" t="inlineStr">
        <is>
          <t>Sveaskog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6921-2024</t>
        </is>
      </c>
      <c r="B5711" s="1" t="n">
        <v>45343</v>
      </c>
      <c r="C5711" s="1" t="n">
        <v>45744</v>
      </c>
      <c r="D5711" t="inlineStr">
        <is>
          <t>SKÅNE LÄN</t>
        </is>
      </c>
      <c r="E5711" t="inlineStr">
        <is>
          <t>HÄSSLEHOLM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6941-2024</t>
        </is>
      </c>
      <c r="B5712" s="1" t="n">
        <v>45343</v>
      </c>
      <c r="C5712" s="1" t="n">
        <v>45744</v>
      </c>
      <c r="D5712" t="inlineStr">
        <is>
          <t>SKÅNE LÄN</t>
        </is>
      </c>
      <c r="E5712" t="inlineStr">
        <is>
          <t>HÖÖR</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6944-2024</t>
        </is>
      </c>
      <c r="B5713" s="1" t="n">
        <v>45343</v>
      </c>
      <c r="C5713" s="1" t="n">
        <v>45744</v>
      </c>
      <c r="D5713" t="inlineStr">
        <is>
          <t>SKÅNE LÄN</t>
        </is>
      </c>
      <c r="E5713" t="inlineStr">
        <is>
          <t>HÖÖR</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7016-2024</t>
        </is>
      </c>
      <c r="B5714" s="1" t="n">
        <v>45343</v>
      </c>
      <c r="C5714" s="1" t="n">
        <v>45744</v>
      </c>
      <c r="D5714" t="inlineStr">
        <is>
          <t>SKÅNE LÄN</t>
        </is>
      </c>
      <c r="E5714" t="inlineStr">
        <is>
          <t>KRISTIANSTAD</t>
        </is>
      </c>
      <c r="F5714" t="inlineStr">
        <is>
          <t>Sveaskog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7018-2024</t>
        </is>
      </c>
      <c r="B5715" s="1" t="n">
        <v>45343</v>
      </c>
      <c r="C5715" s="1" t="n">
        <v>45744</v>
      </c>
      <c r="D5715" t="inlineStr">
        <is>
          <t>SKÅNE LÄN</t>
        </is>
      </c>
      <c r="E5715" t="inlineStr">
        <is>
          <t>KRISTIANSTAD</t>
        </is>
      </c>
      <c r="F5715" t="inlineStr">
        <is>
          <t>Sveaskog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7043-2024</t>
        </is>
      </c>
      <c r="B5716" s="1" t="n">
        <v>45343</v>
      </c>
      <c r="C5716" s="1" t="n">
        <v>45744</v>
      </c>
      <c r="D5716" t="inlineStr">
        <is>
          <t>SKÅNE LÄN</t>
        </is>
      </c>
      <c r="E5716" t="inlineStr">
        <is>
          <t>KRISTIANSTAD</t>
        </is>
      </c>
      <c r="F5716" t="inlineStr">
        <is>
          <t>Sveaskog</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7047-2024</t>
        </is>
      </c>
      <c r="B5717" s="1" t="n">
        <v>45343</v>
      </c>
      <c r="C5717" s="1" t="n">
        <v>45744</v>
      </c>
      <c r="D5717" t="inlineStr">
        <is>
          <t>SKÅNE LÄN</t>
        </is>
      </c>
      <c r="E5717" t="inlineStr">
        <is>
          <t>OSBY</t>
        </is>
      </c>
      <c r="F5717" t="inlineStr">
        <is>
          <t>Sveaskog</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6955-2024</t>
        </is>
      </c>
      <c r="B5718" s="1" t="n">
        <v>45343</v>
      </c>
      <c r="C5718" s="1" t="n">
        <v>45744</v>
      </c>
      <c r="D5718" t="inlineStr">
        <is>
          <t>SKÅNE LÄN</t>
        </is>
      </c>
      <c r="E5718" t="inlineStr">
        <is>
          <t>KRISTIANSTAD</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7046-2024</t>
        </is>
      </c>
      <c r="B5719" s="1" t="n">
        <v>45343</v>
      </c>
      <c r="C5719" s="1" t="n">
        <v>45744</v>
      </c>
      <c r="D5719" t="inlineStr">
        <is>
          <t>SKÅNE LÄN</t>
        </is>
      </c>
      <c r="E5719" t="inlineStr">
        <is>
          <t>OSBY</t>
        </is>
      </c>
      <c r="F5719" t="inlineStr">
        <is>
          <t>Sveaskog</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7055-2024</t>
        </is>
      </c>
      <c r="B5720" s="1" t="n">
        <v>45343</v>
      </c>
      <c r="C5720" s="1" t="n">
        <v>45744</v>
      </c>
      <c r="D5720" t="inlineStr">
        <is>
          <t>SKÅNE LÄN</t>
        </is>
      </c>
      <c r="E5720" t="inlineStr">
        <is>
          <t>KRISTIANSTAD</t>
        </is>
      </c>
      <c r="F5720" t="inlineStr">
        <is>
          <t>Sveaskog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7075-2024</t>
        </is>
      </c>
      <c r="B5721" s="1" t="n">
        <v>45343</v>
      </c>
      <c r="C5721" s="1" t="n">
        <v>45744</v>
      </c>
      <c r="D5721" t="inlineStr">
        <is>
          <t>SKÅNE LÄN</t>
        </is>
      </c>
      <c r="E5721" t="inlineStr">
        <is>
          <t>KRISTIANSTAD</t>
        </is>
      </c>
      <c r="F5721" t="inlineStr">
        <is>
          <t>Sveaskog</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7056-2024</t>
        </is>
      </c>
      <c r="B5722" s="1" t="n">
        <v>45343</v>
      </c>
      <c r="C5722" s="1" t="n">
        <v>45744</v>
      </c>
      <c r="D5722" t="inlineStr">
        <is>
          <t>SKÅNE LÄN</t>
        </is>
      </c>
      <c r="E5722" t="inlineStr">
        <is>
          <t>KRISTIANSTAD</t>
        </is>
      </c>
      <c r="F5722" t="inlineStr">
        <is>
          <t>Sveaskog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7072-2024</t>
        </is>
      </c>
      <c r="B5723" s="1" t="n">
        <v>45343</v>
      </c>
      <c r="C5723" s="1" t="n">
        <v>45744</v>
      </c>
      <c r="D5723" t="inlineStr">
        <is>
          <t>SKÅNE LÄN</t>
        </is>
      </c>
      <c r="E5723" t="inlineStr">
        <is>
          <t>SIMRISHAMN</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7076-2024</t>
        </is>
      </c>
      <c r="B5724" s="1" t="n">
        <v>45343</v>
      </c>
      <c r="C5724" s="1" t="n">
        <v>45744</v>
      </c>
      <c r="D5724" t="inlineStr">
        <is>
          <t>SKÅNE LÄN</t>
        </is>
      </c>
      <c r="E5724" t="inlineStr">
        <is>
          <t>KRISTIANSTAD</t>
        </is>
      </c>
      <c r="F5724" t="inlineStr">
        <is>
          <t>Sveaskog</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7054-2024</t>
        </is>
      </c>
      <c r="B5725" s="1" t="n">
        <v>45343</v>
      </c>
      <c r="C5725" s="1" t="n">
        <v>45744</v>
      </c>
      <c r="D5725" t="inlineStr">
        <is>
          <t>SKÅNE LÄN</t>
        </is>
      </c>
      <c r="E5725" t="inlineStr">
        <is>
          <t>KRISTIANSTAD</t>
        </is>
      </c>
      <c r="F5725" t="inlineStr">
        <is>
          <t>Sveaskog</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7078-2024</t>
        </is>
      </c>
      <c r="B5726" s="1" t="n">
        <v>45343</v>
      </c>
      <c r="C5726" s="1" t="n">
        <v>45744</v>
      </c>
      <c r="D5726" t="inlineStr">
        <is>
          <t>SKÅNE LÄN</t>
        </is>
      </c>
      <c r="E5726" t="inlineStr">
        <is>
          <t>KRISTIANSTAD</t>
        </is>
      </c>
      <c r="F5726" t="inlineStr">
        <is>
          <t>Sveaskog</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7083-2024</t>
        </is>
      </c>
      <c r="B5727" s="1" t="n">
        <v>45343</v>
      </c>
      <c r="C5727" s="1" t="n">
        <v>45744</v>
      </c>
      <c r="D5727" t="inlineStr">
        <is>
          <t>SKÅNE LÄN</t>
        </is>
      </c>
      <c r="E5727" t="inlineStr">
        <is>
          <t>SIMRISHAMN</t>
        </is>
      </c>
      <c r="F5727" t="inlineStr">
        <is>
          <t>Övriga Aktiebolag</t>
        </is>
      </c>
      <c r="G5727" t="n">
        <v>10.6</v>
      </c>
      <c r="H5727" t="n">
        <v>0</v>
      </c>
      <c r="I5727" t="n">
        <v>0</v>
      </c>
      <c r="J5727" t="n">
        <v>0</v>
      </c>
      <c r="K5727" t="n">
        <v>0</v>
      </c>
      <c r="L5727" t="n">
        <v>0</v>
      </c>
      <c r="M5727" t="n">
        <v>0</v>
      </c>
      <c r="N5727" t="n">
        <v>0</v>
      </c>
      <c r="O5727" t="n">
        <v>0</v>
      </c>
      <c r="P5727" t="n">
        <v>0</v>
      </c>
      <c r="Q5727" t="n">
        <v>0</v>
      </c>
      <c r="R5727" s="2" t="inlineStr"/>
    </row>
    <row r="5728" ht="15" customHeight="1">
      <c r="A5728" t="inlineStr">
        <is>
          <t>A 8750-2024</t>
        </is>
      </c>
      <c r="B5728" s="1" t="n">
        <v>45343</v>
      </c>
      <c r="C5728" s="1" t="n">
        <v>45744</v>
      </c>
      <c r="D5728" t="inlineStr">
        <is>
          <t>SKÅNE LÄN</t>
        </is>
      </c>
      <c r="E5728" t="inlineStr">
        <is>
          <t>KRISTIANSTAD</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7021-2024</t>
        </is>
      </c>
      <c r="B5729" s="1" t="n">
        <v>45343</v>
      </c>
      <c r="C5729" s="1" t="n">
        <v>45744</v>
      </c>
      <c r="D5729" t="inlineStr">
        <is>
          <t>SKÅNE LÄN</t>
        </is>
      </c>
      <c r="E5729" t="inlineStr">
        <is>
          <t>KRISTIANSTAD</t>
        </is>
      </c>
      <c r="F5729" t="inlineStr">
        <is>
          <t>Sveaskog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7303-2024</t>
        </is>
      </c>
      <c r="B5730" s="1" t="n">
        <v>45344</v>
      </c>
      <c r="C5730" s="1" t="n">
        <v>45744</v>
      </c>
      <c r="D5730" t="inlineStr">
        <is>
          <t>SKÅNE LÄN</t>
        </is>
      </c>
      <c r="E5730" t="inlineStr">
        <is>
          <t>OSBY</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7453-2024</t>
        </is>
      </c>
      <c r="B5731" s="1" t="n">
        <v>45345</v>
      </c>
      <c r="C5731" s="1" t="n">
        <v>45744</v>
      </c>
      <c r="D5731" t="inlineStr">
        <is>
          <t>SKÅNE LÄN</t>
        </is>
      </c>
      <c r="E5731" t="inlineStr">
        <is>
          <t>OSBY</t>
        </is>
      </c>
      <c r="F5731" t="inlineStr">
        <is>
          <t>Sveaskog</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7562-2024</t>
        </is>
      </c>
      <c r="B5732" s="1" t="n">
        <v>45345</v>
      </c>
      <c r="C5732" s="1" t="n">
        <v>45744</v>
      </c>
      <c r="D5732" t="inlineStr">
        <is>
          <t>SKÅNE LÄN</t>
        </is>
      </c>
      <c r="E5732" t="inlineStr">
        <is>
          <t>KRISTIANSTAD</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7455-2024</t>
        </is>
      </c>
      <c r="B5733" s="1" t="n">
        <v>45345</v>
      </c>
      <c r="C5733" s="1" t="n">
        <v>45744</v>
      </c>
      <c r="D5733" t="inlineStr">
        <is>
          <t>SKÅNE LÄN</t>
        </is>
      </c>
      <c r="E5733" t="inlineStr">
        <is>
          <t>OSBY</t>
        </is>
      </c>
      <c r="F5733" t="inlineStr">
        <is>
          <t>Sveaskog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7355-2024</t>
        </is>
      </c>
      <c r="B5734" s="1" t="n">
        <v>45345</v>
      </c>
      <c r="C5734" s="1" t="n">
        <v>45744</v>
      </c>
      <c r="D5734" t="inlineStr">
        <is>
          <t>SKÅNE LÄN</t>
        </is>
      </c>
      <c r="E5734" t="inlineStr">
        <is>
          <t>HÖÖR</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7351-2024</t>
        </is>
      </c>
      <c r="B5735" s="1" t="n">
        <v>45345</v>
      </c>
      <c r="C5735" s="1" t="n">
        <v>45744</v>
      </c>
      <c r="D5735" t="inlineStr">
        <is>
          <t>SKÅNE LÄN</t>
        </is>
      </c>
      <c r="E5735" t="inlineStr">
        <is>
          <t>HÄSSLEHOLM</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7454-2024</t>
        </is>
      </c>
      <c r="B5736" s="1" t="n">
        <v>45345</v>
      </c>
      <c r="C5736" s="1" t="n">
        <v>45744</v>
      </c>
      <c r="D5736" t="inlineStr">
        <is>
          <t>SKÅNE LÄN</t>
        </is>
      </c>
      <c r="E5736" t="inlineStr">
        <is>
          <t>OSBY</t>
        </is>
      </c>
      <c r="F5736" t="inlineStr">
        <is>
          <t>Sveaskog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7345-2024</t>
        </is>
      </c>
      <c r="B5737" s="1" t="n">
        <v>45345</v>
      </c>
      <c r="C5737" s="1" t="n">
        <v>45744</v>
      </c>
      <c r="D5737" t="inlineStr">
        <is>
          <t>SKÅNE LÄN</t>
        </is>
      </c>
      <c r="E5737" t="inlineStr">
        <is>
          <t>HÄSSLEHOLM</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7337-2024</t>
        </is>
      </c>
      <c r="B5738" s="1" t="n">
        <v>45345</v>
      </c>
      <c r="C5738" s="1" t="n">
        <v>45744</v>
      </c>
      <c r="D5738" t="inlineStr">
        <is>
          <t>SKÅNE LÄN</t>
        </is>
      </c>
      <c r="E5738" t="inlineStr">
        <is>
          <t>ÄNGELHOLM</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7542-2024</t>
        </is>
      </c>
      <c r="B5739" s="1" t="n">
        <v>45348</v>
      </c>
      <c r="C5739" s="1" t="n">
        <v>45744</v>
      </c>
      <c r="D5739" t="inlineStr">
        <is>
          <t>SKÅNE LÄN</t>
        </is>
      </c>
      <c r="E5739" t="inlineStr">
        <is>
          <t>SVALÖV</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7511-2024</t>
        </is>
      </c>
      <c r="B5740" s="1" t="n">
        <v>45348</v>
      </c>
      <c r="C5740" s="1" t="n">
        <v>45744</v>
      </c>
      <c r="D5740" t="inlineStr">
        <is>
          <t>SKÅNE LÄN</t>
        </is>
      </c>
      <c r="E5740" t="inlineStr">
        <is>
          <t>HÄSSLEHOLM</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7570-2024</t>
        </is>
      </c>
      <c r="B5741" s="1" t="n">
        <v>45348</v>
      </c>
      <c r="C5741" s="1" t="n">
        <v>45744</v>
      </c>
      <c r="D5741" t="inlineStr">
        <is>
          <t>SKÅNE LÄN</t>
        </is>
      </c>
      <c r="E5741" t="inlineStr">
        <is>
          <t>SIMRISHAMN</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7652-2024</t>
        </is>
      </c>
      <c r="B5742" s="1" t="n">
        <v>45348</v>
      </c>
      <c r="C5742" s="1" t="n">
        <v>45744</v>
      </c>
      <c r="D5742" t="inlineStr">
        <is>
          <t>SKÅNE LÄN</t>
        </is>
      </c>
      <c r="E5742" t="inlineStr">
        <is>
          <t>HÄSSLEHOLM</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7653-2024</t>
        </is>
      </c>
      <c r="B5743" s="1" t="n">
        <v>45348</v>
      </c>
      <c r="C5743" s="1" t="n">
        <v>45744</v>
      </c>
      <c r="D5743" t="inlineStr">
        <is>
          <t>SKÅNE LÄN</t>
        </is>
      </c>
      <c r="E5743" t="inlineStr">
        <is>
          <t>HÄSSLEHOLM</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7584-2024</t>
        </is>
      </c>
      <c r="B5744" s="1" t="n">
        <v>45348</v>
      </c>
      <c r="C5744" s="1" t="n">
        <v>45744</v>
      </c>
      <c r="D5744" t="inlineStr">
        <is>
          <t>SKÅNE LÄN</t>
        </is>
      </c>
      <c r="E5744" t="inlineStr">
        <is>
          <t>SIMRISHAMN</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7604-2024</t>
        </is>
      </c>
      <c r="B5745" s="1" t="n">
        <v>45348</v>
      </c>
      <c r="C5745" s="1" t="n">
        <v>45744</v>
      </c>
      <c r="D5745" t="inlineStr">
        <is>
          <t>SKÅNE LÄN</t>
        </is>
      </c>
      <c r="E5745" t="inlineStr">
        <is>
          <t>HÄSSLEHOLM</t>
        </is>
      </c>
      <c r="G5745" t="n">
        <v>11.1</v>
      </c>
      <c r="H5745" t="n">
        <v>0</v>
      </c>
      <c r="I5745" t="n">
        <v>0</v>
      </c>
      <c r="J5745" t="n">
        <v>0</v>
      </c>
      <c r="K5745" t="n">
        <v>0</v>
      </c>
      <c r="L5745" t="n">
        <v>0</v>
      </c>
      <c r="M5745" t="n">
        <v>0</v>
      </c>
      <c r="N5745" t="n">
        <v>0</v>
      </c>
      <c r="O5745" t="n">
        <v>0</v>
      </c>
      <c r="P5745" t="n">
        <v>0</v>
      </c>
      <c r="Q5745" t="n">
        <v>0</v>
      </c>
      <c r="R5745" s="2" t="inlineStr"/>
    </row>
    <row r="5746" ht="15" customHeight="1">
      <c r="A5746" t="inlineStr">
        <is>
          <t>A 7681-2024</t>
        </is>
      </c>
      <c r="B5746" s="1" t="n">
        <v>45348</v>
      </c>
      <c r="C5746" s="1" t="n">
        <v>45744</v>
      </c>
      <c r="D5746" t="inlineStr">
        <is>
          <t>SKÅNE LÄN</t>
        </is>
      </c>
      <c r="E5746" t="inlineStr">
        <is>
          <t>OSBY</t>
        </is>
      </c>
      <c r="F5746" t="inlineStr">
        <is>
          <t>Sveaskog</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7865-2024</t>
        </is>
      </c>
      <c r="B5747" s="1" t="n">
        <v>45348</v>
      </c>
      <c r="C5747" s="1" t="n">
        <v>45744</v>
      </c>
      <c r="D5747" t="inlineStr">
        <is>
          <t>SKÅNE LÄN</t>
        </is>
      </c>
      <c r="E5747" t="inlineStr">
        <is>
          <t>HÄSSLEHOLM</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7682-2024</t>
        </is>
      </c>
      <c r="B5748" s="1" t="n">
        <v>45348</v>
      </c>
      <c r="C5748" s="1" t="n">
        <v>45744</v>
      </c>
      <c r="D5748" t="inlineStr">
        <is>
          <t>SKÅNE LÄN</t>
        </is>
      </c>
      <c r="E5748" t="inlineStr">
        <is>
          <t>OSBY</t>
        </is>
      </c>
      <c r="F5748" t="inlineStr">
        <is>
          <t>Sveaskog</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7707-2024</t>
        </is>
      </c>
      <c r="B5749" s="1" t="n">
        <v>45349</v>
      </c>
      <c r="C5749" s="1" t="n">
        <v>45744</v>
      </c>
      <c r="D5749" t="inlineStr">
        <is>
          <t>SKÅNE LÄN</t>
        </is>
      </c>
      <c r="E5749" t="inlineStr">
        <is>
          <t>ÖRKELLJUNGA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7716-2024</t>
        </is>
      </c>
      <c r="B5750" s="1" t="n">
        <v>45349</v>
      </c>
      <c r="C5750" s="1" t="n">
        <v>45744</v>
      </c>
      <c r="D5750" t="inlineStr">
        <is>
          <t>SKÅNE LÄN</t>
        </is>
      </c>
      <c r="E5750" t="inlineStr">
        <is>
          <t>SIMRISHAMN</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7708-2024</t>
        </is>
      </c>
      <c r="B5751" s="1" t="n">
        <v>45349</v>
      </c>
      <c r="C5751" s="1" t="n">
        <v>45744</v>
      </c>
      <c r="D5751" t="inlineStr">
        <is>
          <t>SKÅNE LÄN</t>
        </is>
      </c>
      <c r="E5751" t="inlineStr">
        <is>
          <t>ÖRKELLJUNGA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7739-2024</t>
        </is>
      </c>
      <c r="B5752" s="1" t="n">
        <v>45349</v>
      </c>
      <c r="C5752" s="1" t="n">
        <v>45744</v>
      </c>
      <c r="D5752" t="inlineStr">
        <is>
          <t>SKÅNE LÄN</t>
        </is>
      </c>
      <c r="E5752" t="inlineStr">
        <is>
          <t>ÖSTRA GÖINGE</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7746-2024</t>
        </is>
      </c>
      <c r="B5753" s="1" t="n">
        <v>45349</v>
      </c>
      <c r="C5753" s="1" t="n">
        <v>45744</v>
      </c>
      <c r="D5753" t="inlineStr">
        <is>
          <t>SKÅNE LÄN</t>
        </is>
      </c>
      <c r="E5753" t="inlineStr">
        <is>
          <t>KLIPPAN</t>
        </is>
      </c>
      <c r="F5753" t="inlineStr">
        <is>
          <t>Övriga Aktiebolag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7818-2024</t>
        </is>
      </c>
      <c r="B5754" s="1" t="n">
        <v>45349</v>
      </c>
      <c r="C5754" s="1" t="n">
        <v>45744</v>
      </c>
      <c r="D5754" t="inlineStr">
        <is>
          <t>SKÅNE LÄN</t>
        </is>
      </c>
      <c r="E5754" t="inlineStr">
        <is>
          <t>HÄSSLEHOLM</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7955-2024</t>
        </is>
      </c>
      <c r="B5755" s="1" t="n">
        <v>45350</v>
      </c>
      <c r="C5755" s="1" t="n">
        <v>45744</v>
      </c>
      <c r="D5755" t="inlineStr">
        <is>
          <t>SKÅNE LÄN</t>
        </is>
      </c>
      <c r="E5755" t="inlineStr">
        <is>
          <t>TOMELILLA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7890-2024</t>
        </is>
      </c>
      <c r="B5756" s="1" t="n">
        <v>45350</v>
      </c>
      <c r="C5756" s="1" t="n">
        <v>45744</v>
      </c>
      <c r="D5756" t="inlineStr">
        <is>
          <t>SKÅNE LÄN</t>
        </is>
      </c>
      <c r="E5756" t="inlineStr">
        <is>
          <t>HÄSSLEHOLM</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8174-2024</t>
        </is>
      </c>
      <c r="B5757" s="1" t="n">
        <v>45350</v>
      </c>
      <c r="C5757" s="1" t="n">
        <v>45744</v>
      </c>
      <c r="D5757" t="inlineStr">
        <is>
          <t>SKÅNE LÄN</t>
        </is>
      </c>
      <c r="E5757" t="inlineStr">
        <is>
          <t>KRISTIANSTAD</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8048-2024</t>
        </is>
      </c>
      <c r="B5758" s="1" t="n">
        <v>45351</v>
      </c>
      <c r="C5758" s="1" t="n">
        <v>45744</v>
      </c>
      <c r="D5758" t="inlineStr">
        <is>
          <t>SKÅNE LÄN</t>
        </is>
      </c>
      <c r="E5758" t="inlineStr">
        <is>
          <t>SIMRISHAMN</t>
        </is>
      </c>
      <c r="F5758" t="inlineStr">
        <is>
          <t>Övriga Aktiebolag</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8216-2024</t>
        </is>
      </c>
      <c r="B5759" s="1" t="n">
        <v>45351</v>
      </c>
      <c r="C5759" s="1" t="n">
        <v>45744</v>
      </c>
      <c r="D5759" t="inlineStr">
        <is>
          <t>SKÅNE LÄN</t>
        </is>
      </c>
      <c r="E5759" t="inlineStr">
        <is>
          <t>OSBY</t>
        </is>
      </c>
      <c r="F5759" t="inlineStr">
        <is>
          <t>Sveaskog</t>
        </is>
      </c>
      <c r="G5759" t="n">
        <v>9.699999999999999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8160-2024</t>
        </is>
      </c>
      <c r="B5760" s="1" t="n">
        <v>45351</v>
      </c>
      <c r="C5760" s="1" t="n">
        <v>45744</v>
      </c>
      <c r="D5760" t="inlineStr">
        <is>
          <t>SKÅNE LÄN</t>
        </is>
      </c>
      <c r="E5760" t="inlineStr">
        <is>
          <t>HÄSSLEHOLM</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8225-2024</t>
        </is>
      </c>
      <c r="B5761" s="1" t="n">
        <v>45351</v>
      </c>
      <c r="C5761" s="1" t="n">
        <v>45744</v>
      </c>
      <c r="D5761" t="inlineStr">
        <is>
          <t>SKÅNE LÄN</t>
        </is>
      </c>
      <c r="E5761" t="inlineStr">
        <is>
          <t>OSBY</t>
        </is>
      </c>
      <c r="F5761" t="inlineStr">
        <is>
          <t>Sveaskog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8269-2024</t>
        </is>
      </c>
      <c r="B5762" s="1" t="n">
        <v>45352</v>
      </c>
      <c r="C5762" s="1" t="n">
        <v>45744</v>
      </c>
      <c r="D5762" t="inlineStr">
        <is>
          <t>SKÅNE LÄN</t>
        </is>
      </c>
      <c r="E5762" t="inlineStr">
        <is>
          <t>OSBY</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8290-2024</t>
        </is>
      </c>
      <c r="B5763" s="1" t="n">
        <v>45352</v>
      </c>
      <c r="C5763" s="1" t="n">
        <v>45744</v>
      </c>
      <c r="D5763" t="inlineStr">
        <is>
          <t>SKÅNE LÄN</t>
        </is>
      </c>
      <c r="E5763" t="inlineStr">
        <is>
          <t>KRISTIANSTAD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8404-2024</t>
        </is>
      </c>
      <c r="B5764" s="1" t="n">
        <v>45352</v>
      </c>
      <c r="C5764" s="1" t="n">
        <v>45744</v>
      </c>
      <c r="D5764" t="inlineStr">
        <is>
          <t>SKÅNE LÄN</t>
        </is>
      </c>
      <c r="E5764" t="inlineStr">
        <is>
          <t>OSBY</t>
        </is>
      </c>
      <c r="F5764" t="inlineStr">
        <is>
          <t>Sveaskog</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8370-2024</t>
        </is>
      </c>
      <c r="B5765" s="1" t="n">
        <v>45352</v>
      </c>
      <c r="C5765" s="1" t="n">
        <v>45744</v>
      </c>
      <c r="D5765" t="inlineStr">
        <is>
          <t>SKÅNE LÄN</t>
        </is>
      </c>
      <c r="E5765" t="inlineStr">
        <is>
          <t>OSBY</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8440-2024</t>
        </is>
      </c>
      <c r="B5766" s="1" t="n">
        <v>45353</v>
      </c>
      <c r="C5766" s="1" t="n">
        <v>45744</v>
      </c>
      <c r="D5766" t="inlineStr">
        <is>
          <t>SKÅNE LÄN</t>
        </is>
      </c>
      <c r="E5766" t="inlineStr">
        <is>
          <t>OSBY</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8438-2024</t>
        </is>
      </c>
      <c r="B5767" s="1" t="n">
        <v>45353</v>
      </c>
      <c r="C5767" s="1" t="n">
        <v>45744</v>
      </c>
      <c r="D5767" t="inlineStr">
        <is>
          <t>SKÅNE LÄN</t>
        </is>
      </c>
      <c r="E5767" t="inlineStr">
        <is>
          <t>OSBY</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8439-2024</t>
        </is>
      </c>
      <c r="B5768" s="1" t="n">
        <v>45353</v>
      </c>
      <c r="C5768" s="1" t="n">
        <v>45744</v>
      </c>
      <c r="D5768" t="inlineStr">
        <is>
          <t>SKÅNE LÄN</t>
        </is>
      </c>
      <c r="E5768" t="inlineStr">
        <is>
          <t>OSBY</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8433-2024</t>
        </is>
      </c>
      <c r="B5769" s="1" t="n">
        <v>45353</v>
      </c>
      <c r="C5769" s="1" t="n">
        <v>45744</v>
      </c>
      <c r="D5769" t="inlineStr">
        <is>
          <t>SKÅNE LÄN</t>
        </is>
      </c>
      <c r="E5769" t="inlineStr">
        <is>
          <t>HÄSSLEHOLM</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8441-2024</t>
        </is>
      </c>
      <c r="B5770" s="1" t="n">
        <v>45353</v>
      </c>
      <c r="C5770" s="1" t="n">
        <v>45744</v>
      </c>
      <c r="D5770" t="inlineStr">
        <is>
          <t>SKÅNE LÄN</t>
        </is>
      </c>
      <c r="E5770" t="inlineStr">
        <is>
          <t>ÖSTRA GÖINGE</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8455-2024</t>
        </is>
      </c>
      <c r="B5771" s="1" t="n">
        <v>45354</v>
      </c>
      <c r="C5771" s="1" t="n">
        <v>45744</v>
      </c>
      <c r="D5771" t="inlineStr">
        <is>
          <t>SKÅNE LÄN</t>
        </is>
      </c>
      <c r="E5771" t="inlineStr">
        <is>
          <t>TOMELILLA</t>
        </is>
      </c>
      <c r="F5771" t="inlineStr">
        <is>
          <t>Övriga Aktiebolag</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8627-2024</t>
        </is>
      </c>
      <c r="B5772" s="1" t="n">
        <v>45355</v>
      </c>
      <c r="C5772" s="1" t="n">
        <v>45744</v>
      </c>
      <c r="D5772" t="inlineStr">
        <is>
          <t>SKÅNE LÄN</t>
        </is>
      </c>
      <c r="E5772" t="inlineStr">
        <is>
          <t>OSBY</t>
        </is>
      </c>
      <c r="F5772" t="inlineStr">
        <is>
          <t>Sveaskog</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8631-2024</t>
        </is>
      </c>
      <c r="B5773" s="1" t="n">
        <v>45355</v>
      </c>
      <c r="C5773" s="1" t="n">
        <v>45744</v>
      </c>
      <c r="D5773" t="inlineStr">
        <is>
          <t>SKÅNE LÄN</t>
        </is>
      </c>
      <c r="E5773" t="inlineStr">
        <is>
          <t>OSBY</t>
        </is>
      </c>
      <c r="F5773" t="inlineStr">
        <is>
          <t>Sveaskog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8512-2024</t>
        </is>
      </c>
      <c r="B5774" s="1" t="n">
        <v>45355</v>
      </c>
      <c r="C5774" s="1" t="n">
        <v>45744</v>
      </c>
      <c r="D5774" t="inlineStr">
        <is>
          <t>SKÅNE LÄN</t>
        </is>
      </c>
      <c r="E5774" t="inlineStr">
        <is>
          <t>KRISTIANSTAD</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8534-2024</t>
        </is>
      </c>
      <c r="B5775" s="1" t="n">
        <v>45355</v>
      </c>
      <c r="C5775" s="1" t="n">
        <v>45744</v>
      </c>
      <c r="D5775" t="inlineStr">
        <is>
          <t>SKÅNE LÄN</t>
        </is>
      </c>
      <c r="E5775" t="inlineStr">
        <is>
          <t>SIMRISHAMN</t>
        </is>
      </c>
      <c r="F5775" t="inlineStr">
        <is>
          <t>Övriga Aktiebolag</t>
        </is>
      </c>
      <c r="G5775" t="n">
        <v>12.2</v>
      </c>
      <c r="H5775" t="n">
        <v>0</v>
      </c>
      <c r="I5775" t="n">
        <v>0</v>
      </c>
      <c r="J5775" t="n">
        <v>0</v>
      </c>
      <c r="K5775" t="n">
        <v>0</v>
      </c>
      <c r="L5775" t="n">
        <v>0</v>
      </c>
      <c r="M5775" t="n">
        <v>0</v>
      </c>
      <c r="N5775" t="n">
        <v>0</v>
      </c>
      <c r="O5775" t="n">
        <v>0</v>
      </c>
      <c r="P5775" t="n">
        <v>0</v>
      </c>
      <c r="Q5775" t="n">
        <v>0</v>
      </c>
      <c r="R5775" s="2" t="inlineStr"/>
    </row>
    <row r="5776" ht="15" customHeight="1">
      <c r="A5776" t="inlineStr">
        <is>
          <t>A 8629-2024</t>
        </is>
      </c>
      <c r="B5776" s="1" t="n">
        <v>45355</v>
      </c>
      <c r="C5776" s="1" t="n">
        <v>45744</v>
      </c>
      <c r="D5776" t="inlineStr">
        <is>
          <t>SKÅNE LÄN</t>
        </is>
      </c>
      <c r="E5776" t="inlineStr">
        <is>
          <t>OSBY</t>
        </is>
      </c>
      <c r="F5776" t="inlineStr">
        <is>
          <t>Sveaskog</t>
        </is>
      </c>
      <c r="G5776" t="n">
        <v>5.7</v>
      </c>
      <c r="H5776" t="n">
        <v>0</v>
      </c>
      <c r="I5776" t="n">
        <v>0</v>
      </c>
      <c r="J5776" t="n">
        <v>0</v>
      </c>
      <c r="K5776" t="n">
        <v>0</v>
      </c>
      <c r="L5776" t="n">
        <v>0</v>
      </c>
      <c r="M5776" t="n">
        <v>0</v>
      </c>
      <c r="N5776" t="n">
        <v>0</v>
      </c>
      <c r="O5776" t="n">
        <v>0</v>
      </c>
      <c r="P5776" t="n">
        <v>0</v>
      </c>
      <c r="Q5776" t="n">
        <v>0</v>
      </c>
      <c r="R5776" s="2" t="inlineStr"/>
    </row>
    <row r="5777" ht="15" customHeight="1">
      <c r="A5777" t="inlineStr">
        <is>
          <t>A 8633-2024</t>
        </is>
      </c>
      <c r="B5777" s="1" t="n">
        <v>45355</v>
      </c>
      <c r="C5777" s="1" t="n">
        <v>45744</v>
      </c>
      <c r="D5777" t="inlineStr">
        <is>
          <t>SKÅNE LÄN</t>
        </is>
      </c>
      <c r="E5777" t="inlineStr">
        <is>
          <t>OSBY</t>
        </is>
      </c>
      <c r="F5777" t="inlineStr">
        <is>
          <t>Sveaskog</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8524-2024</t>
        </is>
      </c>
      <c r="B5778" s="1" t="n">
        <v>45355</v>
      </c>
      <c r="C5778" s="1" t="n">
        <v>45744</v>
      </c>
      <c r="D5778" t="inlineStr">
        <is>
          <t>SKÅNE LÄN</t>
        </is>
      </c>
      <c r="E5778" t="inlineStr">
        <is>
          <t>HÄSSLEHOLM</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8537-2024</t>
        </is>
      </c>
      <c r="B5779" s="1" t="n">
        <v>45355</v>
      </c>
      <c r="C5779" s="1" t="n">
        <v>45744</v>
      </c>
      <c r="D5779" t="inlineStr">
        <is>
          <t>SKÅNE LÄN</t>
        </is>
      </c>
      <c r="E5779" t="inlineStr">
        <is>
          <t>KLIPPAN</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8630-2024</t>
        </is>
      </c>
      <c r="B5780" s="1" t="n">
        <v>45355</v>
      </c>
      <c r="C5780" s="1" t="n">
        <v>45744</v>
      </c>
      <c r="D5780" t="inlineStr">
        <is>
          <t>SKÅNE LÄN</t>
        </is>
      </c>
      <c r="E5780" t="inlineStr">
        <is>
          <t>OSBY</t>
        </is>
      </c>
      <c r="F5780" t="inlineStr">
        <is>
          <t>Sveaskog</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8628-2024</t>
        </is>
      </c>
      <c r="B5781" s="1" t="n">
        <v>45355</v>
      </c>
      <c r="C5781" s="1" t="n">
        <v>45744</v>
      </c>
      <c r="D5781" t="inlineStr">
        <is>
          <t>SKÅNE LÄN</t>
        </is>
      </c>
      <c r="E5781" t="inlineStr">
        <is>
          <t>OSBY</t>
        </is>
      </c>
      <c r="F5781" t="inlineStr">
        <is>
          <t>Sveaskog</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8701-2024</t>
        </is>
      </c>
      <c r="B5782" s="1" t="n">
        <v>45356</v>
      </c>
      <c r="C5782" s="1" t="n">
        <v>45744</v>
      </c>
      <c r="D5782" t="inlineStr">
        <is>
          <t>SKÅNE LÄN</t>
        </is>
      </c>
      <c r="E5782" t="inlineStr">
        <is>
          <t>PERSTORP</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8704-2024</t>
        </is>
      </c>
      <c r="B5783" s="1" t="n">
        <v>45356</v>
      </c>
      <c r="C5783" s="1" t="n">
        <v>45744</v>
      </c>
      <c r="D5783" t="inlineStr">
        <is>
          <t>SKÅNE LÄN</t>
        </is>
      </c>
      <c r="E5783" t="inlineStr">
        <is>
          <t>PERSTORP</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8752-2024</t>
        </is>
      </c>
      <c r="B5784" s="1" t="n">
        <v>45356</v>
      </c>
      <c r="C5784" s="1" t="n">
        <v>45744</v>
      </c>
      <c r="D5784" t="inlineStr">
        <is>
          <t>SKÅNE LÄN</t>
        </is>
      </c>
      <c r="E5784" t="inlineStr">
        <is>
          <t>HÄSSLEHOLM</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8741-2024</t>
        </is>
      </c>
      <c r="B5785" s="1" t="n">
        <v>45356</v>
      </c>
      <c r="C5785" s="1" t="n">
        <v>45744</v>
      </c>
      <c r="D5785" t="inlineStr">
        <is>
          <t>SKÅNE LÄN</t>
        </is>
      </c>
      <c r="E5785" t="inlineStr">
        <is>
          <t>PERSTORP</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8749-2024</t>
        </is>
      </c>
      <c r="B5786" s="1" t="n">
        <v>45356</v>
      </c>
      <c r="C5786" s="1" t="n">
        <v>45744</v>
      </c>
      <c r="D5786" t="inlineStr">
        <is>
          <t>SKÅNE LÄN</t>
        </is>
      </c>
      <c r="E5786" t="inlineStr">
        <is>
          <t>HÄSSLEHOLM</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8755-2024</t>
        </is>
      </c>
      <c r="B5787" s="1" t="n">
        <v>45356</v>
      </c>
      <c r="C5787" s="1" t="n">
        <v>45744</v>
      </c>
      <c r="D5787" t="inlineStr">
        <is>
          <t>SKÅNE LÄN</t>
        </is>
      </c>
      <c r="E5787" t="inlineStr">
        <is>
          <t>HÄSSLEHOLM</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8759-2024</t>
        </is>
      </c>
      <c r="B5788" s="1" t="n">
        <v>45356</v>
      </c>
      <c r="C5788" s="1" t="n">
        <v>45744</v>
      </c>
      <c r="D5788" t="inlineStr">
        <is>
          <t>SKÅNE LÄN</t>
        </is>
      </c>
      <c r="E5788" t="inlineStr">
        <is>
          <t>HÄSSLEHOLM</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8838-2024</t>
        </is>
      </c>
      <c r="B5789" s="1" t="n">
        <v>45356</v>
      </c>
      <c r="C5789" s="1" t="n">
        <v>45744</v>
      </c>
      <c r="D5789" t="inlineStr">
        <is>
          <t>SKÅNE LÄN</t>
        </is>
      </c>
      <c r="E5789" t="inlineStr">
        <is>
          <t>OSBY</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8842-2024</t>
        </is>
      </c>
      <c r="B5790" s="1" t="n">
        <v>45356</v>
      </c>
      <c r="C5790" s="1" t="n">
        <v>45744</v>
      </c>
      <c r="D5790" t="inlineStr">
        <is>
          <t>SKÅNE LÄN</t>
        </is>
      </c>
      <c r="E5790" t="inlineStr">
        <is>
          <t>OSBY</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8708-2024</t>
        </is>
      </c>
      <c r="B5791" s="1" t="n">
        <v>45356</v>
      </c>
      <c r="C5791" s="1" t="n">
        <v>45744</v>
      </c>
      <c r="D5791" t="inlineStr">
        <is>
          <t>SKÅNE LÄN</t>
        </is>
      </c>
      <c r="E5791" t="inlineStr">
        <is>
          <t>ÖSTRA GÖINGE</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8713-2024</t>
        </is>
      </c>
      <c r="B5792" s="1" t="n">
        <v>45356</v>
      </c>
      <c r="C5792" s="1" t="n">
        <v>45744</v>
      </c>
      <c r="D5792" t="inlineStr">
        <is>
          <t>SKÅNE LÄN</t>
        </is>
      </c>
      <c r="E5792" t="inlineStr">
        <is>
          <t>KLIPPAN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8876-2024</t>
        </is>
      </c>
      <c r="B5793" s="1" t="n">
        <v>45357</v>
      </c>
      <c r="C5793" s="1" t="n">
        <v>45744</v>
      </c>
      <c r="D5793" t="inlineStr">
        <is>
          <t>SKÅNE LÄN</t>
        </is>
      </c>
      <c r="E5793" t="inlineStr">
        <is>
          <t>KRISTIANSTAD</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8760-2024</t>
        </is>
      </c>
      <c r="B5794" s="1" t="n">
        <v>45356</v>
      </c>
      <c r="C5794" s="1" t="n">
        <v>45744</v>
      </c>
      <c r="D5794" t="inlineStr">
        <is>
          <t>SKÅNE LÄN</t>
        </is>
      </c>
      <c r="E5794" t="inlineStr">
        <is>
          <t>HÄSSLEHOLM</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8841-2024</t>
        </is>
      </c>
      <c r="B5795" s="1" t="n">
        <v>45356</v>
      </c>
      <c r="C5795" s="1" t="n">
        <v>45744</v>
      </c>
      <c r="D5795" t="inlineStr">
        <is>
          <t>SKÅNE LÄN</t>
        </is>
      </c>
      <c r="E5795" t="inlineStr">
        <is>
          <t>OSBY</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8989-2024</t>
        </is>
      </c>
      <c r="B5796" s="1" t="n">
        <v>45356</v>
      </c>
      <c r="C5796" s="1" t="n">
        <v>45744</v>
      </c>
      <c r="D5796" t="inlineStr">
        <is>
          <t>SKÅNE LÄN</t>
        </is>
      </c>
      <c r="E5796" t="inlineStr">
        <is>
          <t>OSBY</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8994-2024</t>
        </is>
      </c>
      <c r="B5797" s="1" t="n">
        <v>45356</v>
      </c>
      <c r="C5797" s="1" t="n">
        <v>45744</v>
      </c>
      <c r="D5797" t="inlineStr">
        <is>
          <t>SKÅNE LÄN</t>
        </is>
      </c>
      <c r="E5797" t="inlineStr">
        <is>
          <t>OSBY</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9002-2024</t>
        </is>
      </c>
      <c r="B5798" s="1" t="n">
        <v>45357</v>
      </c>
      <c r="C5798" s="1" t="n">
        <v>45744</v>
      </c>
      <c r="D5798" t="inlineStr">
        <is>
          <t>SKÅNE LÄN</t>
        </is>
      </c>
      <c r="E5798" t="inlineStr">
        <is>
          <t>KRISTIANSTAD</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9020-2024</t>
        </is>
      </c>
      <c r="B5799" s="1" t="n">
        <v>45357</v>
      </c>
      <c r="C5799" s="1" t="n">
        <v>45744</v>
      </c>
      <c r="D5799" t="inlineStr">
        <is>
          <t>SKÅNE LÄN</t>
        </is>
      </c>
      <c r="E5799" t="inlineStr">
        <is>
          <t>KRISTIANSTAD</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8965-2024</t>
        </is>
      </c>
      <c r="B5800" s="1" t="n">
        <v>45357</v>
      </c>
      <c r="C5800" s="1" t="n">
        <v>45744</v>
      </c>
      <c r="D5800" t="inlineStr">
        <is>
          <t>SKÅNE LÄN</t>
        </is>
      </c>
      <c r="E5800" t="inlineStr">
        <is>
          <t>OSBY</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8997-2024</t>
        </is>
      </c>
      <c r="B5801" s="1" t="n">
        <v>45357</v>
      </c>
      <c r="C5801" s="1" t="n">
        <v>45744</v>
      </c>
      <c r="D5801" t="inlineStr">
        <is>
          <t>SKÅNE LÄN</t>
        </is>
      </c>
      <c r="E5801" t="inlineStr">
        <is>
          <t>KRISTIANSTAD</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8967-2024</t>
        </is>
      </c>
      <c r="B5802" s="1" t="n">
        <v>45357</v>
      </c>
      <c r="C5802" s="1" t="n">
        <v>45744</v>
      </c>
      <c r="D5802" t="inlineStr">
        <is>
          <t>SKÅNE LÄN</t>
        </is>
      </c>
      <c r="E5802" t="inlineStr">
        <is>
          <t>TOMELILLA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9006-2024</t>
        </is>
      </c>
      <c r="B5803" s="1" t="n">
        <v>45357</v>
      </c>
      <c r="C5803" s="1" t="n">
        <v>45744</v>
      </c>
      <c r="D5803" t="inlineStr">
        <is>
          <t>SKÅNE LÄN</t>
        </is>
      </c>
      <c r="E5803" t="inlineStr">
        <is>
          <t>BROMÖLLA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9018-2024</t>
        </is>
      </c>
      <c r="B5804" s="1" t="n">
        <v>45357</v>
      </c>
      <c r="C5804" s="1" t="n">
        <v>45744</v>
      </c>
      <c r="D5804" t="inlineStr">
        <is>
          <t>SKÅNE LÄN</t>
        </is>
      </c>
      <c r="E5804" t="inlineStr">
        <is>
          <t>KRISTIANSTAD</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9164-2024</t>
        </is>
      </c>
      <c r="B5805" s="1" t="n">
        <v>45358</v>
      </c>
      <c r="C5805" s="1" t="n">
        <v>45744</v>
      </c>
      <c r="D5805" t="inlineStr">
        <is>
          <t>SKÅNE LÄN</t>
        </is>
      </c>
      <c r="E5805" t="inlineStr">
        <is>
          <t>PERSTORP</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9143-2024</t>
        </is>
      </c>
      <c r="B5806" s="1" t="n">
        <v>45358</v>
      </c>
      <c r="C5806" s="1" t="n">
        <v>45744</v>
      </c>
      <c r="D5806" t="inlineStr">
        <is>
          <t>SKÅNE LÄN</t>
        </is>
      </c>
      <c r="E5806" t="inlineStr">
        <is>
          <t>PERSTORP</t>
        </is>
      </c>
      <c r="G5806" t="n">
        <v>7.1</v>
      </c>
      <c r="H5806" t="n">
        <v>0</v>
      </c>
      <c r="I5806" t="n">
        <v>0</v>
      </c>
      <c r="J5806" t="n">
        <v>0</v>
      </c>
      <c r="K5806" t="n">
        <v>0</v>
      </c>
      <c r="L5806" t="n">
        <v>0</v>
      </c>
      <c r="M5806" t="n">
        <v>0</v>
      </c>
      <c r="N5806" t="n">
        <v>0</v>
      </c>
      <c r="O5806" t="n">
        <v>0</v>
      </c>
      <c r="P5806" t="n">
        <v>0</v>
      </c>
      <c r="Q5806" t="n">
        <v>0</v>
      </c>
      <c r="R5806" s="2" t="inlineStr"/>
    </row>
    <row r="5807" ht="15" customHeight="1">
      <c r="A5807" t="inlineStr">
        <is>
          <t>A 9278-2024</t>
        </is>
      </c>
      <c r="B5807" s="1" t="n">
        <v>45358</v>
      </c>
      <c r="C5807" s="1" t="n">
        <v>45744</v>
      </c>
      <c r="D5807" t="inlineStr">
        <is>
          <t>SKÅNE LÄN</t>
        </is>
      </c>
      <c r="E5807" t="inlineStr">
        <is>
          <t>SIMRISHAMN</t>
        </is>
      </c>
      <c r="F5807" t="inlineStr">
        <is>
          <t>Övriga Aktiebolag</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9284-2024</t>
        </is>
      </c>
      <c r="B5808" s="1" t="n">
        <v>45358</v>
      </c>
      <c r="C5808" s="1" t="n">
        <v>45744</v>
      </c>
      <c r="D5808" t="inlineStr">
        <is>
          <t>SKÅNE LÄN</t>
        </is>
      </c>
      <c r="E5808" t="inlineStr">
        <is>
          <t>SIMRISHAMN</t>
        </is>
      </c>
      <c r="F5808" t="inlineStr">
        <is>
          <t>Övriga Aktiebolag</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9288-2024</t>
        </is>
      </c>
      <c r="B5809" s="1" t="n">
        <v>45358</v>
      </c>
      <c r="C5809" s="1" t="n">
        <v>45744</v>
      </c>
      <c r="D5809" t="inlineStr">
        <is>
          <t>SKÅNE LÄN</t>
        </is>
      </c>
      <c r="E5809" t="inlineStr">
        <is>
          <t>SIMRISHAMN</t>
        </is>
      </c>
      <c r="F5809" t="inlineStr">
        <is>
          <t>Övriga Aktiebolag</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9362-2024</t>
        </is>
      </c>
      <c r="B5810" s="1" t="n">
        <v>45359</v>
      </c>
      <c r="C5810" s="1" t="n">
        <v>45744</v>
      </c>
      <c r="D5810" t="inlineStr">
        <is>
          <t>SKÅNE LÄN</t>
        </is>
      </c>
      <c r="E5810" t="inlineStr">
        <is>
          <t>ÖSTRA GÖINGE</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9392-2024</t>
        </is>
      </c>
      <c r="B5811" s="1" t="n">
        <v>45359</v>
      </c>
      <c r="C5811" s="1" t="n">
        <v>45744</v>
      </c>
      <c r="D5811" t="inlineStr">
        <is>
          <t>SKÅNE LÄN</t>
        </is>
      </c>
      <c r="E5811" t="inlineStr">
        <is>
          <t>HÖÖR</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9595-2024</t>
        </is>
      </c>
      <c r="B5812" s="1" t="n">
        <v>45360</v>
      </c>
      <c r="C5812" s="1" t="n">
        <v>45744</v>
      </c>
      <c r="D5812" t="inlineStr">
        <is>
          <t>SKÅNE LÄN</t>
        </is>
      </c>
      <c r="E5812" t="inlineStr">
        <is>
          <t>OSBY</t>
        </is>
      </c>
      <c r="F5812" t="inlineStr">
        <is>
          <t>Sveaskog</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9594-2024</t>
        </is>
      </c>
      <c r="B5813" s="1" t="n">
        <v>45360</v>
      </c>
      <c r="C5813" s="1" t="n">
        <v>45744</v>
      </c>
      <c r="D5813" t="inlineStr">
        <is>
          <t>SKÅNE LÄN</t>
        </is>
      </c>
      <c r="E5813" t="inlineStr">
        <is>
          <t>OSBY</t>
        </is>
      </c>
      <c r="F5813" t="inlineStr">
        <is>
          <t>Sveaskog</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9651-2024</t>
        </is>
      </c>
      <c r="B5814" s="1" t="n">
        <v>45360</v>
      </c>
      <c r="C5814" s="1" t="n">
        <v>45744</v>
      </c>
      <c r="D5814" t="inlineStr">
        <is>
          <t>SKÅNE LÄN</t>
        </is>
      </c>
      <c r="E5814" t="inlineStr">
        <is>
          <t>OSBY</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9731-2024</t>
        </is>
      </c>
      <c r="B5815" s="1" t="n">
        <v>45362</v>
      </c>
      <c r="C5815" s="1" t="n">
        <v>45744</v>
      </c>
      <c r="D5815" t="inlineStr">
        <is>
          <t>SKÅNE LÄN</t>
        </is>
      </c>
      <c r="E5815" t="inlineStr">
        <is>
          <t>PERSTORP</t>
        </is>
      </c>
      <c r="G5815" t="n">
        <v>11.1</v>
      </c>
      <c r="H5815" t="n">
        <v>0</v>
      </c>
      <c r="I5815" t="n">
        <v>0</v>
      </c>
      <c r="J5815" t="n">
        <v>0</v>
      </c>
      <c r="K5815" t="n">
        <v>0</v>
      </c>
      <c r="L5815" t="n">
        <v>0</v>
      </c>
      <c r="M5815" t="n">
        <v>0</v>
      </c>
      <c r="N5815" t="n">
        <v>0</v>
      </c>
      <c r="O5815" t="n">
        <v>0</v>
      </c>
      <c r="P5815" t="n">
        <v>0</v>
      </c>
      <c r="Q5815" t="n">
        <v>0</v>
      </c>
      <c r="R5815" s="2" t="inlineStr"/>
    </row>
    <row r="5816" ht="15" customHeight="1">
      <c r="A5816" t="inlineStr">
        <is>
          <t>A 9748-2024</t>
        </is>
      </c>
      <c r="B5816" s="1" t="n">
        <v>45362</v>
      </c>
      <c r="C5816" s="1" t="n">
        <v>45744</v>
      </c>
      <c r="D5816" t="inlineStr">
        <is>
          <t>SKÅNE LÄN</t>
        </is>
      </c>
      <c r="E5816" t="inlineStr">
        <is>
          <t>ÖRKELLJUNGA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9738-2024</t>
        </is>
      </c>
      <c r="B5817" s="1" t="n">
        <v>45362</v>
      </c>
      <c r="C5817" s="1" t="n">
        <v>45744</v>
      </c>
      <c r="D5817" t="inlineStr">
        <is>
          <t>SKÅNE LÄN</t>
        </is>
      </c>
      <c r="E5817" t="inlineStr">
        <is>
          <t>PERSTORP</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9685-2024</t>
        </is>
      </c>
      <c r="B5818" s="1" t="n">
        <v>45362</v>
      </c>
      <c r="C5818" s="1" t="n">
        <v>45744</v>
      </c>
      <c r="D5818" t="inlineStr">
        <is>
          <t>SKÅNE LÄN</t>
        </is>
      </c>
      <c r="E5818" t="inlineStr">
        <is>
          <t>KRISTIANSTAD</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9709-2024</t>
        </is>
      </c>
      <c r="B5819" s="1" t="n">
        <v>45362</v>
      </c>
      <c r="C5819" s="1" t="n">
        <v>45744</v>
      </c>
      <c r="D5819" t="inlineStr">
        <is>
          <t>SKÅNE LÄN</t>
        </is>
      </c>
      <c r="E5819" t="inlineStr">
        <is>
          <t>ÖSTRA GÖINGE</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9726-2024</t>
        </is>
      </c>
      <c r="B5820" s="1" t="n">
        <v>45362</v>
      </c>
      <c r="C5820" s="1" t="n">
        <v>45744</v>
      </c>
      <c r="D5820" t="inlineStr">
        <is>
          <t>SKÅNE LÄN</t>
        </is>
      </c>
      <c r="E5820" t="inlineStr">
        <is>
          <t>OSBY</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9747-2024</t>
        </is>
      </c>
      <c r="B5821" s="1" t="n">
        <v>45362</v>
      </c>
      <c r="C5821" s="1" t="n">
        <v>45744</v>
      </c>
      <c r="D5821" t="inlineStr">
        <is>
          <t>SKÅNE LÄN</t>
        </is>
      </c>
      <c r="E5821" t="inlineStr">
        <is>
          <t>HÄSSLEHOLM</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9769-2024</t>
        </is>
      </c>
      <c r="B5822" s="1" t="n">
        <v>45362</v>
      </c>
      <c r="C5822" s="1" t="n">
        <v>45744</v>
      </c>
      <c r="D5822" t="inlineStr">
        <is>
          <t>SKÅNE LÄN</t>
        </is>
      </c>
      <c r="E5822" t="inlineStr">
        <is>
          <t>ÖSTRA GÖINGE</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9773-2024</t>
        </is>
      </c>
      <c r="B5823" s="1" t="n">
        <v>45362</v>
      </c>
      <c r="C5823" s="1" t="n">
        <v>45744</v>
      </c>
      <c r="D5823" t="inlineStr">
        <is>
          <t>SKÅNE LÄN</t>
        </is>
      </c>
      <c r="E5823" t="inlineStr">
        <is>
          <t>ÖRKELLJUNGA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9802-2024</t>
        </is>
      </c>
      <c r="B5824" s="1" t="n">
        <v>45362</v>
      </c>
      <c r="C5824" s="1" t="n">
        <v>45744</v>
      </c>
      <c r="D5824" t="inlineStr">
        <is>
          <t>SKÅNE LÄN</t>
        </is>
      </c>
      <c r="E5824" t="inlineStr">
        <is>
          <t>OSBY</t>
        </is>
      </c>
      <c r="F5824" t="inlineStr">
        <is>
          <t>Sveaskog</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9806-2024</t>
        </is>
      </c>
      <c r="B5825" s="1" t="n">
        <v>45362</v>
      </c>
      <c r="C5825" s="1" t="n">
        <v>45744</v>
      </c>
      <c r="D5825" t="inlineStr">
        <is>
          <t>SKÅNE LÄN</t>
        </is>
      </c>
      <c r="E5825" t="inlineStr">
        <is>
          <t>OSBY</t>
        </is>
      </c>
      <c r="F5825" t="inlineStr">
        <is>
          <t>Sveaskog</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9842-2024</t>
        </is>
      </c>
      <c r="B5826" s="1" t="n">
        <v>45362</v>
      </c>
      <c r="C5826" s="1" t="n">
        <v>45744</v>
      </c>
      <c r="D5826" t="inlineStr">
        <is>
          <t>SKÅNE LÄN</t>
        </is>
      </c>
      <c r="E5826" t="inlineStr">
        <is>
          <t>BROMÖLLA</t>
        </is>
      </c>
      <c r="F5826" t="inlineStr">
        <is>
          <t>Kyrkan</t>
        </is>
      </c>
      <c r="G5826" t="n">
        <v>10.2</v>
      </c>
      <c r="H5826" t="n">
        <v>0</v>
      </c>
      <c r="I5826" t="n">
        <v>0</v>
      </c>
      <c r="J5826" t="n">
        <v>0</v>
      </c>
      <c r="K5826" t="n">
        <v>0</v>
      </c>
      <c r="L5826" t="n">
        <v>0</v>
      </c>
      <c r="M5826" t="n">
        <v>0</v>
      </c>
      <c r="N5826" t="n">
        <v>0</v>
      </c>
      <c r="O5826" t="n">
        <v>0</v>
      </c>
      <c r="P5826" t="n">
        <v>0</v>
      </c>
      <c r="Q5826" t="n">
        <v>0</v>
      </c>
      <c r="R5826" s="2" t="inlineStr"/>
    </row>
    <row r="5827" ht="15" customHeight="1">
      <c r="A5827" t="inlineStr">
        <is>
          <t>A 9804-2024</t>
        </is>
      </c>
      <c r="B5827" s="1" t="n">
        <v>45362</v>
      </c>
      <c r="C5827" s="1" t="n">
        <v>45744</v>
      </c>
      <c r="D5827" t="inlineStr">
        <is>
          <t>SKÅNE LÄN</t>
        </is>
      </c>
      <c r="E5827" t="inlineStr">
        <is>
          <t>OSBY</t>
        </is>
      </c>
      <c r="F5827" t="inlineStr">
        <is>
          <t>Sveaskog</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9803-2024</t>
        </is>
      </c>
      <c r="B5828" s="1" t="n">
        <v>45362</v>
      </c>
      <c r="C5828" s="1" t="n">
        <v>45744</v>
      </c>
      <c r="D5828" t="inlineStr">
        <is>
          <t>SKÅNE LÄN</t>
        </is>
      </c>
      <c r="E5828" t="inlineStr">
        <is>
          <t>OSBY</t>
        </is>
      </c>
      <c r="F5828" t="inlineStr">
        <is>
          <t>Sveaskog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9801-2024</t>
        </is>
      </c>
      <c r="B5829" s="1" t="n">
        <v>45362</v>
      </c>
      <c r="C5829" s="1" t="n">
        <v>45744</v>
      </c>
      <c r="D5829" t="inlineStr">
        <is>
          <t>SKÅNE LÄN</t>
        </is>
      </c>
      <c r="E5829" t="inlineStr">
        <is>
          <t>OSBY</t>
        </is>
      </c>
      <c r="F5829" t="inlineStr">
        <is>
          <t>Sveaskog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9805-2024</t>
        </is>
      </c>
      <c r="B5830" s="1" t="n">
        <v>45362</v>
      </c>
      <c r="C5830" s="1" t="n">
        <v>45744</v>
      </c>
      <c r="D5830" t="inlineStr">
        <is>
          <t>SKÅNE LÄN</t>
        </is>
      </c>
      <c r="E5830" t="inlineStr">
        <is>
          <t>OSBY</t>
        </is>
      </c>
      <c r="F5830" t="inlineStr">
        <is>
          <t>Sveaskog</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9878-2024</t>
        </is>
      </c>
      <c r="B5831" s="1" t="n">
        <v>45363</v>
      </c>
      <c r="C5831" s="1" t="n">
        <v>45744</v>
      </c>
      <c r="D5831" t="inlineStr">
        <is>
          <t>SKÅNE LÄN</t>
        </is>
      </c>
      <c r="E5831" t="inlineStr">
        <is>
          <t>KRISTIANSTAD</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9938-2024</t>
        </is>
      </c>
      <c r="B5832" s="1" t="n">
        <v>45363</v>
      </c>
      <c r="C5832" s="1" t="n">
        <v>45744</v>
      </c>
      <c r="D5832" t="inlineStr">
        <is>
          <t>SKÅNE LÄN</t>
        </is>
      </c>
      <c r="E5832" t="inlineStr">
        <is>
          <t>HÄSSLEHOLM</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10020-2024</t>
        </is>
      </c>
      <c r="B5833" s="1" t="n">
        <v>45364</v>
      </c>
      <c r="C5833" s="1" t="n">
        <v>45744</v>
      </c>
      <c r="D5833" t="inlineStr">
        <is>
          <t>SKÅNE LÄN</t>
        </is>
      </c>
      <c r="E5833" t="inlineStr">
        <is>
          <t>HÄSSLEHOLM</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10028-2024</t>
        </is>
      </c>
      <c r="B5834" s="1" t="n">
        <v>45364</v>
      </c>
      <c r="C5834" s="1" t="n">
        <v>45744</v>
      </c>
      <c r="D5834" t="inlineStr">
        <is>
          <t>SKÅNE LÄN</t>
        </is>
      </c>
      <c r="E5834" t="inlineStr">
        <is>
          <t>HÄSSLEHOLM</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9981-2024</t>
        </is>
      </c>
      <c r="B5835" s="1" t="n">
        <v>45363</v>
      </c>
      <c r="C5835" s="1" t="n">
        <v>45744</v>
      </c>
      <c r="D5835" t="inlineStr">
        <is>
          <t>SKÅNE LÄN</t>
        </is>
      </c>
      <c r="E5835" t="inlineStr">
        <is>
          <t>PERSTORP</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9974-2024</t>
        </is>
      </c>
      <c r="B5836" s="1" t="n">
        <v>45363</v>
      </c>
      <c r="C5836" s="1" t="n">
        <v>45744</v>
      </c>
      <c r="D5836" t="inlineStr">
        <is>
          <t>SKÅNE LÄN</t>
        </is>
      </c>
      <c r="E5836" t="inlineStr">
        <is>
          <t>HÖRBY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10062-2024</t>
        </is>
      </c>
      <c r="B5837" s="1" t="n">
        <v>45364</v>
      </c>
      <c r="C5837" s="1" t="n">
        <v>45744</v>
      </c>
      <c r="D5837" t="inlineStr">
        <is>
          <t>SKÅNE LÄN</t>
        </is>
      </c>
      <c r="E5837" t="inlineStr">
        <is>
          <t>KRISTIANSTAD</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10115-2024</t>
        </is>
      </c>
      <c r="B5838" s="1" t="n">
        <v>45364</v>
      </c>
      <c r="C5838" s="1" t="n">
        <v>45744</v>
      </c>
      <c r="D5838" t="inlineStr">
        <is>
          <t>SKÅNE LÄN</t>
        </is>
      </c>
      <c r="E5838" t="inlineStr">
        <is>
          <t>HÄSSLEHOLM</t>
        </is>
      </c>
      <c r="G5838" t="n">
        <v>7</v>
      </c>
      <c r="H5838" t="n">
        <v>0</v>
      </c>
      <c r="I5838" t="n">
        <v>0</v>
      </c>
      <c r="J5838" t="n">
        <v>0</v>
      </c>
      <c r="K5838" t="n">
        <v>0</v>
      </c>
      <c r="L5838" t="n">
        <v>0</v>
      </c>
      <c r="M5838" t="n">
        <v>0</v>
      </c>
      <c r="N5838" t="n">
        <v>0</v>
      </c>
      <c r="O5838" t="n">
        <v>0</v>
      </c>
      <c r="P5838" t="n">
        <v>0</v>
      </c>
      <c r="Q5838" t="n">
        <v>0</v>
      </c>
      <c r="R5838" s="2" t="inlineStr"/>
    </row>
    <row r="5839" ht="15" customHeight="1">
      <c r="A5839" t="inlineStr">
        <is>
          <t>A 10060-2024</t>
        </is>
      </c>
      <c r="B5839" s="1" t="n">
        <v>45364</v>
      </c>
      <c r="C5839" s="1" t="n">
        <v>45744</v>
      </c>
      <c r="D5839" t="inlineStr">
        <is>
          <t>SKÅNE LÄN</t>
        </is>
      </c>
      <c r="E5839" t="inlineStr">
        <is>
          <t>OSBY</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10139-2024</t>
        </is>
      </c>
      <c r="B5840" s="1" t="n">
        <v>45364</v>
      </c>
      <c r="C5840" s="1" t="n">
        <v>45744</v>
      </c>
      <c r="D5840" t="inlineStr">
        <is>
          <t>SKÅNE LÄN</t>
        </is>
      </c>
      <c r="E5840" t="inlineStr">
        <is>
          <t>SJÖBO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10172-2024</t>
        </is>
      </c>
      <c r="B5841" s="1" t="n">
        <v>45364</v>
      </c>
      <c r="C5841" s="1" t="n">
        <v>45744</v>
      </c>
      <c r="D5841" t="inlineStr">
        <is>
          <t>SKÅNE LÄN</t>
        </is>
      </c>
      <c r="E5841" t="inlineStr">
        <is>
          <t>YSTAD</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10288-2024</t>
        </is>
      </c>
      <c r="B5842" s="1" t="n">
        <v>45365</v>
      </c>
      <c r="C5842" s="1" t="n">
        <v>45744</v>
      </c>
      <c r="D5842" t="inlineStr">
        <is>
          <t>SKÅNE LÄN</t>
        </is>
      </c>
      <c r="E5842" t="inlineStr">
        <is>
          <t>TOMELILLA</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10275-2024</t>
        </is>
      </c>
      <c r="B5843" s="1" t="n">
        <v>45365</v>
      </c>
      <c r="C5843" s="1" t="n">
        <v>45744</v>
      </c>
      <c r="D5843" t="inlineStr">
        <is>
          <t>SKÅNE LÄN</t>
        </is>
      </c>
      <c r="E5843" t="inlineStr">
        <is>
          <t>BROMÖLLA</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10374-2024</t>
        </is>
      </c>
      <c r="B5844" s="1" t="n">
        <v>45365</v>
      </c>
      <c r="C5844" s="1" t="n">
        <v>45744</v>
      </c>
      <c r="D5844" t="inlineStr">
        <is>
          <t>SKÅNE LÄN</t>
        </is>
      </c>
      <c r="E5844" t="inlineStr">
        <is>
          <t>ÖRKELLJUNGA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10402-2024</t>
        </is>
      </c>
      <c r="B5845" s="1" t="n">
        <v>45365</v>
      </c>
      <c r="C5845" s="1" t="n">
        <v>45744</v>
      </c>
      <c r="D5845" t="inlineStr">
        <is>
          <t>SKÅNE LÄN</t>
        </is>
      </c>
      <c r="E5845" t="inlineStr">
        <is>
          <t>OSBY</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10400-2024</t>
        </is>
      </c>
      <c r="B5846" s="1" t="n">
        <v>45365</v>
      </c>
      <c r="C5846" s="1" t="n">
        <v>45744</v>
      </c>
      <c r="D5846" t="inlineStr">
        <is>
          <t>SKÅNE LÄN</t>
        </is>
      </c>
      <c r="E5846" t="inlineStr">
        <is>
          <t>OSBY</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10379-2024</t>
        </is>
      </c>
      <c r="B5847" s="1" t="n">
        <v>45365</v>
      </c>
      <c r="C5847" s="1" t="n">
        <v>45744</v>
      </c>
      <c r="D5847" t="inlineStr">
        <is>
          <t>SKÅNE LÄN</t>
        </is>
      </c>
      <c r="E5847" t="inlineStr">
        <is>
          <t>ÖRKELLJUNGA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10409-2024</t>
        </is>
      </c>
      <c r="B5848" s="1" t="n">
        <v>45365</v>
      </c>
      <c r="C5848" s="1" t="n">
        <v>45744</v>
      </c>
      <c r="D5848" t="inlineStr">
        <is>
          <t>SKÅNE LÄN</t>
        </is>
      </c>
      <c r="E5848" t="inlineStr">
        <is>
          <t>HÄSSLEHOLM</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10464-2024</t>
        </is>
      </c>
      <c r="B5849" s="1" t="n">
        <v>45366</v>
      </c>
      <c r="C5849" s="1" t="n">
        <v>45744</v>
      </c>
      <c r="D5849" t="inlineStr">
        <is>
          <t>SKÅNE LÄN</t>
        </is>
      </c>
      <c r="E5849" t="inlineStr">
        <is>
          <t>KRISTIANSTAD</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10463-2024</t>
        </is>
      </c>
      <c r="B5850" s="1" t="n">
        <v>45366</v>
      </c>
      <c r="C5850" s="1" t="n">
        <v>45744</v>
      </c>
      <c r="D5850" t="inlineStr">
        <is>
          <t>SKÅNE LÄN</t>
        </is>
      </c>
      <c r="E5850" t="inlineStr">
        <is>
          <t>KRISTIANSTAD</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10571-2024</t>
        </is>
      </c>
      <c r="B5851" s="1" t="n">
        <v>45366</v>
      </c>
      <c r="C5851" s="1" t="n">
        <v>45744</v>
      </c>
      <c r="D5851" t="inlineStr">
        <is>
          <t>SKÅNE LÄN</t>
        </is>
      </c>
      <c r="E5851" t="inlineStr">
        <is>
          <t>ÅSTORP</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10599-2024</t>
        </is>
      </c>
      <c r="B5852" s="1" t="n">
        <v>45366</v>
      </c>
      <c r="C5852" s="1" t="n">
        <v>45744</v>
      </c>
      <c r="D5852" t="inlineStr">
        <is>
          <t>SKÅNE LÄN</t>
        </is>
      </c>
      <c r="E5852" t="inlineStr">
        <is>
          <t>OSBY</t>
        </is>
      </c>
      <c r="F5852" t="inlineStr">
        <is>
          <t>Sveaskog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10711-2024</t>
        </is>
      </c>
      <c r="B5853" s="1" t="n">
        <v>45369</v>
      </c>
      <c r="C5853" s="1" t="n">
        <v>45744</v>
      </c>
      <c r="D5853" t="inlineStr">
        <is>
          <t>SKÅNE LÄN</t>
        </is>
      </c>
      <c r="E5853" t="inlineStr">
        <is>
          <t>OSBY</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10775-2024</t>
        </is>
      </c>
      <c r="B5854" s="1" t="n">
        <v>45369</v>
      </c>
      <c r="C5854" s="1" t="n">
        <v>45744</v>
      </c>
      <c r="D5854" t="inlineStr">
        <is>
          <t>SKÅNE LÄN</t>
        </is>
      </c>
      <c r="E5854" t="inlineStr">
        <is>
          <t>OSBY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10716-2024</t>
        </is>
      </c>
      <c r="B5855" s="1" t="n">
        <v>45369</v>
      </c>
      <c r="C5855" s="1" t="n">
        <v>45744</v>
      </c>
      <c r="D5855" t="inlineStr">
        <is>
          <t>SKÅNE LÄN</t>
        </is>
      </c>
      <c r="E5855" t="inlineStr">
        <is>
          <t>ESLÖV</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10742-2024</t>
        </is>
      </c>
      <c r="B5856" s="1" t="n">
        <v>45369</v>
      </c>
      <c r="C5856" s="1" t="n">
        <v>45744</v>
      </c>
      <c r="D5856" t="inlineStr">
        <is>
          <t>SKÅNE LÄN</t>
        </is>
      </c>
      <c r="E5856" t="inlineStr">
        <is>
          <t>PERSTORP</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10714-2024</t>
        </is>
      </c>
      <c r="B5857" s="1" t="n">
        <v>45369</v>
      </c>
      <c r="C5857" s="1" t="n">
        <v>45744</v>
      </c>
      <c r="D5857" t="inlineStr">
        <is>
          <t>SKÅNE LÄN</t>
        </is>
      </c>
      <c r="E5857" t="inlineStr">
        <is>
          <t>OSBY</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10802-2024</t>
        </is>
      </c>
      <c r="B5858" s="1" t="n">
        <v>45369</v>
      </c>
      <c r="C5858" s="1" t="n">
        <v>45744</v>
      </c>
      <c r="D5858" t="inlineStr">
        <is>
          <t>SKÅNE LÄN</t>
        </is>
      </c>
      <c r="E5858" t="inlineStr">
        <is>
          <t>HÄSSLEHOLM</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10967-2024</t>
        </is>
      </c>
      <c r="B5859" s="1" t="n">
        <v>45370</v>
      </c>
      <c r="C5859" s="1" t="n">
        <v>45744</v>
      </c>
      <c r="D5859" t="inlineStr">
        <is>
          <t>SKÅNE LÄN</t>
        </is>
      </c>
      <c r="E5859" t="inlineStr">
        <is>
          <t>OSBY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10928-2024</t>
        </is>
      </c>
      <c r="B5860" s="1" t="n">
        <v>45370</v>
      </c>
      <c r="C5860" s="1" t="n">
        <v>45744</v>
      </c>
      <c r="D5860" t="inlineStr">
        <is>
          <t>SKÅNE LÄN</t>
        </is>
      </c>
      <c r="E5860" t="inlineStr">
        <is>
          <t>HÄSSLEHOLM</t>
        </is>
      </c>
      <c r="F5860" t="inlineStr">
        <is>
          <t>Övriga Aktiebolag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10936-2024</t>
        </is>
      </c>
      <c r="B5861" s="1" t="n">
        <v>45370</v>
      </c>
      <c r="C5861" s="1" t="n">
        <v>45744</v>
      </c>
      <c r="D5861" t="inlineStr">
        <is>
          <t>SKÅNE LÄN</t>
        </is>
      </c>
      <c r="E5861" t="inlineStr">
        <is>
          <t>PERSTORP</t>
        </is>
      </c>
      <c r="F5861" t="inlineStr">
        <is>
          <t>Övriga Aktiebolag</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10940-2024</t>
        </is>
      </c>
      <c r="B5862" s="1" t="n">
        <v>45370</v>
      </c>
      <c r="C5862" s="1" t="n">
        <v>45744</v>
      </c>
      <c r="D5862" t="inlineStr">
        <is>
          <t>SKÅNE LÄN</t>
        </is>
      </c>
      <c r="E5862" t="inlineStr">
        <is>
          <t>ESLÖV</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10944-2024</t>
        </is>
      </c>
      <c r="B5863" s="1" t="n">
        <v>45370</v>
      </c>
      <c r="C5863" s="1" t="n">
        <v>45744</v>
      </c>
      <c r="D5863" t="inlineStr">
        <is>
          <t>SKÅNE LÄN</t>
        </is>
      </c>
      <c r="E5863" t="inlineStr">
        <is>
          <t>HÄSSLEHOLM</t>
        </is>
      </c>
      <c r="F5863" t="inlineStr">
        <is>
          <t>Övriga Aktiebolag</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10941-2024</t>
        </is>
      </c>
      <c r="B5864" s="1" t="n">
        <v>45370</v>
      </c>
      <c r="C5864" s="1" t="n">
        <v>45744</v>
      </c>
      <c r="D5864" t="inlineStr">
        <is>
          <t>SKÅNE LÄN</t>
        </is>
      </c>
      <c r="E5864" t="inlineStr">
        <is>
          <t>PERSTORP</t>
        </is>
      </c>
      <c r="F5864" t="inlineStr">
        <is>
          <t>Övriga Aktiebolag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10965-2024</t>
        </is>
      </c>
      <c r="B5865" s="1" t="n">
        <v>45370</v>
      </c>
      <c r="C5865" s="1" t="n">
        <v>45744</v>
      </c>
      <c r="D5865" t="inlineStr">
        <is>
          <t>SKÅNE LÄN</t>
        </is>
      </c>
      <c r="E5865" t="inlineStr">
        <is>
          <t>BROMÖLLA</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11010-2024</t>
        </is>
      </c>
      <c r="B5866" s="1" t="n">
        <v>45370</v>
      </c>
      <c r="C5866" s="1" t="n">
        <v>45744</v>
      </c>
      <c r="D5866" t="inlineStr">
        <is>
          <t>SKÅNE LÄN</t>
        </is>
      </c>
      <c r="E5866" t="inlineStr">
        <is>
          <t>KRISTIANSTAD</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11047-2024</t>
        </is>
      </c>
      <c r="B5867" s="1" t="n">
        <v>45370</v>
      </c>
      <c r="C5867" s="1" t="n">
        <v>45744</v>
      </c>
      <c r="D5867" t="inlineStr">
        <is>
          <t>SKÅNE LÄN</t>
        </is>
      </c>
      <c r="E5867" t="inlineStr">
        <is>
          <t>KRISTIANSTAD</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11037-2024</t>
        </is>
      </c>
      <c r="B5868" s="1" t="n">
        <v>45370</v>
      </c>
      <c r="C5868" s="1" t="n">
        <v>45744</v>
      </c>
      <c r="D5868" t="inlineStr">
        <is>
          <t>SKÅNE LÄN</t>
        </is>
      </c>
      <c r="E5868" t="inlineStr">
        <is>
          <t>KRISTIANSTAD</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11012-2024</t>
        </is>
      </c>
      <c r="B5869" s="1" t="n">
        <v>45370</v>
      </c>
      <c r="C5869" s="1" t="n">
        <v>45744</v>
      </c>
      <c r="D5869" t="inlineStr">
        <is>
          <t>SKÅNE LÄN</t>
        </is>
      </c>
      <c r="E5869" t="inlineStr">
        <is>
          <t>KRISTIANSTAD</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11016-2024</t>
        </is>
      </c>
      <c r="B5870" s="1" t="n">
        <v>45370</v>
      </c>
      <c r="C5870" s="1" t="n">
        <v>45744</v>
      </c>
      <c r="D5870" t="inlineStr">
        <is>
          <t>SKÅNE LÄN</t>
        </is>
      </c>
      <c r="E5870" t="inlineStr">
        <is>
          <t>LUND</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11146-2024</t>
        </is>
      </c>
      <c r="B5871" s="1" t="n">
        <v>45371</v>
      </c>
      <c r="C5871" s="1" t="n">
        <v>45744</v>
      </c>
      <c r="D5871" t="inlineStr">
        <is>
          <t>SKÅNE LÄN</t>
        </is>
      </c>
      <c r="E5871" t="inlineStr">
        <is>
          <t>OSBY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11162-2024</t>
        </is>
      </c>
      <c r="B5872" s="1" t="n">
        <v>45371</v>
      </c>
      <c r="C5872" s="1" t="n">
        <v>45744</v>
      </c>
      <c r="D5872" t="inlineStr">
        <is>
          <t>SKÅNE LÄN</t>
        </is>
      </c>
      <c r="E5872" t="inlineStr">
        <is>
          <t>OSBY</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11234-2024</t>
        </is>
      </c>
      <c r="B5873" s="1" t="n">
        <v>45371</v>
      </c>
      <c r="C5873" s="1" t="n">
        <v>45744</v>
      </c>
      <c r="D5873" t="inlineStr">
        <is>
          <t>SKÅNE LÄN</t>
        </is>
      </c>
      <c r="E5873" t="inlineStr">
        <is>
          <t>KRISTIANSTAD</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11221-2024</t>
        </is>
      </c>
      <c r="B5874" s="1" t="n">
        <v>45371</v>
      </c>
      <c r="C5874" s="1" t="n">
        <v>45744</v>
      </c>
      <c r="D5874" t="inlineStr">
        <is>
          <t>SKÅNE LÄN</t>
        </is>
      </c>
      <c r="E5874" t="inlineStr">
        <is>
          <t>ESLÖV</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11152-2024</t>
        </is>
      </c>
      <c r="B5875" s="1" t="n">
        <v>45371</v>
      </c>
      <c r="C5875" s="1" t="n">
        <v>45744</v>
      </c>
      <c r="D5875" t="inlineStr">
        <is>
          <t>SKÅNE LÄN</t>
        </is>
      </c>
      <c r="E5875" t="inlineStr">
        <is>
          <t>SIMRISHAMN</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11220-2024</t>
        </is>
      </c>
      <c r="B5876" s="1" t="n">
        <v>45371</v>
      </c>
      <c r="C5876" s="1" t="n">
        <v>45744</v>
      </c>
      <c r="D5876" t="inlineStr">
        <is>
          <t>SKÅNE LÄN</t>
        </is>
      </c>
      <c r="E5876" t="inlineStr">
        <is>
          <t>ÄNGELHOLM</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11379-2024</t>
        </is>
      </c>
      <c r="B5877" s="1" t="n">
        <v>45372</v>
      </c>
      <c r="C5877" s="1" t="n">
        <v>45744</v>
      </c>
      <c r="D5877" t="inlineStr">
        <is>
          <t>SKÅNE LÄN</t>
        </is>
      </c>
      <c r="E5877" t="inlineStr">
        <is>
          <t>HÖÖR</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11500-2024</t>
        </is>
      </c>
      <c r="B5878" s="1" t="n">
        <v>45372</v>
      </c>
      <c r="C5878" s="1" t="n">
        <v>45744</v>
      </c>
      <c r="D5878" t="inlineStr">
        <is>
          <t>SKÅNE LÄN</t>
        </is>
      </c>
      <c r="E5878" t="inlineStr">
        <is>
          <t>SJÖBO</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11517-2024</t>
        </is>
      </c>
      <c r="B5879" s="1" t="n">
        <v>45372</v>
      </c>
      <c r="C5879" s="1" t="n">
        <v>45744</v>
      </c>
      <c r="D5879" t="inlineStr">
        <is>
          <t>SKÅNE LÄN</t>
        </is>
      </c>
      <c r="E5879" t="inlineStr">
        <is>
          <t>BÅSTAD</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11557-2024</t>
        </is>
      </c>
      <c r="B5880" s="1" t="n">
        <v>45373</v>
      </c>
      <c r="C5880" s="1" t="n">
        <v>45744</v>
      </c>
      <c r="D5880" t="inlineStr">
        <is>
          <t>SKÅNE LÄN</t>
        </is>
      </c>
      <c r="E5880" t="inlineStr">
        <is>
          <t>OSBY</t>
        </is>
      </c>
      <c r="F5880" t="inlineStr">
        <is>
          <t>Sveaskog</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11633-2024</t>
        </is>
      </c>
      <c r="B5881" s="1" t="n">
        <v>45373</v>
      </c>
      <c r="C5881" s="1" t="n">
        <v>45744</v>
      </c>
      <c r="D5881" t="inlineStr">
        <is>
          <t>SKÅNE LÄN</t>
        </is>
      </c>
      <c r="E5881" t="inlineStr">
        <is>
          <t>SVALÖV</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11673-2024</t>
        </is>
      </c>
      <c r="B5882" s="1" t="n">
        <v>45373</v>
      </c>
      <c r="C5882" s="1" t="n">
        <v>45744</v>
      </c>
      <c r="D5882" t="inlineStr">
        <is>
          <t>SKÅNE LÄN</t>
        </is>
      </c>
      <c r="E5882" t="inlineStr">
        <is>
          <t>KLIPPAN</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11720-2024</t>
        </is>
      </c>
      <c r="B5883" s="1" t="n">
        <v>45373</v>
      </c>
      <c r="C5883" s="1" t="n">
        <v>45744</v>
      </c>
      <c r="D5883" t="inlineStr">
        <is>
          <t>SKÅNE LÄN</t>
        </is>
      </c>
      <c r="E5883" t="inlineStr">
        <is>
          <t>PERSTORP</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11672-2024</t>
        </is>
      </c>
      <c r="B5884" s="1" t="n">
        <v>45373</v>
      </c>
      <c r="C5884" s="1" t="n">
        <v>45744</v>
      </c>
      <c r="D5884" t="inlineStr">
        <is>
          <t>SKÅNE LÄN</t>
        </is>
      </c>
      <c r="E5884" t="inlineStr">
        <is>
          <t>SVALÖV</t>
        </is>
      </c>
      <c r="G5884" t="n">
        <v>13.9</v>
      </c>
      <c r="H5884" t="n">
        <v>0</v>
      </c>
      <c r="I5884" t="n">
        <v>0</v>
      </c>
      <c r="J5884" t="n">
        <v>0</v>
      </c>
      <c r="K5884" t="n">
        <v>0</v>
      </c>
      <c r="L5884" t="n">
        <v>0</v>
      </c>
      <c r="M5884" t="n">
        <v>0</v>
      </c>
      <c r="N5884" t="n">
        <v>0</v>
      </c>
      <c r="O5884" t="n">
        <v>0</v>
      </c>
      <c r="P5884" t="n">
        <v>0</v>
      </c>
      <c r="Q5884" t="n">
        <v>0</v>
      </c>
      <c r="R5884" s="2" t="inlineStr"/>
    </row>
    <row r="5885" ht="15" customHeight="1">
      <c r="A5885" t="inlineStr">
        <is>
          <t>A 11726-2024</t>
        </is>
      </c>
      <c r="B5885" s="1" t="n">
        <v>45373</v>
      </c>
      <c r="C5885" s="1" t="n">
        <v>45744</v>
      </c>
      <c r="D5885" t="inlineStr">
        <is>
          <t>SKÅNE LÄN</t>
        </is>
      </c>
      <c r="E5885" t="inlineStr">
        <is>
          <t>LUND</t>
        </is>
      </c>
      <c r="G5885" t="n">
        <v>6.6</v>
      </c>
      <c r="H5885" t="n">
        <v>0</v>
      </c>
      <c r="I5885" t="n">
        <v>0</v>
      </c>
      <c r="J5885" t="n">
        <v>0</v>
      </c>
      <c r="K5885" t="n">
        <v>0</v>
      </c>
      <c r="L5885" t="n">
        <v>0</v>
      </c>
      <c r="M5885" t="n">
        <v>0</v>
      </c>
      <c r="N5885" t="n">
        <v>0</v>
      </c>
      <c r="O5885" t="n">
        <v>0</v>
      </c>
      <c r="P5885" t="n">
        <v>0</v>
      </c>
      <c r="Q5885" t="n">
        <v>0</v>
      </c>
      <c r="R5885" s="2" t="inlineStr"/>
    </row>
    <row r="5886" ht="15" customHeight="1">
      <c r="A5886" t="inlineStr">
        <is>
          <t>A 11631-2024</t>
        </is>
      </c>
      <c r="B5886" s="1" t="n">
        <v>45373</v>
      </c>
      <c r="C5886" s="1" t="n">
        <v>45744</v>
      </c>
      <c r="D5886" t="inlineStr">
        <is>
          <t>SKÅNE LÄN</t>
        </is>
      </c>
      <c r="E5886" t="inlineStr">
        <is>
          <t>ÖSTRA GÖINGE</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11727-2024</t>
        </is>
      </c>
      <c r="B5887" s="1" t="n">
        <v>45373</v>
      </c>
      <c r="C5887" s="1" t="n">
        <v>45744</v>
      </c>
      <c r="D5887" t="inlineStr">
        <is>
          <t>SKÅNE LÄN</t>
        </is>
      </c>
      <c r="E5887" t="inlineStr">
        <is>
          <t>LUND</t>
        </is>
      </c>
      <c r="G5887" t="n">
        <v>9.199999999999999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11732-2024</t>
        </is>
      </c>
      <c r="B5888" s="1" t="n">
        <v>45373</v>
      </c>
      <c r="C5888" s="1" t="n">
        <v>45744</v>
      </c>
      <c r="D5888" t="inlineStr">
        <is>
          <t>SKÅNE LÄN</t>
        </is>
      </c>
      <c r="E5888" t="inlineStr">
        <is>
          <t>LUND</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11802-2024</t>
        </is>
      </c>
      <c r="B5889" s="1" t="n">
        <v>45375</v>
      </c>
      <c r="C5889" s="1" t="n">
        <v>45744</v>
      </c>
      <c r="D5889" t="inlineStr">
        <is>
          <t>SKÅNE LÄN</t>
        </is>
      </c>
      <c r="E5889" t="inlineStr">
        <is>
          <t>TOMELILLA</t>
        </is>
      </c>
      <c r="F5889" t="inlineStr">
        <is>
          <t>Övriga Aktiebolag</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11808-2024</t>
        </is>
      </c>
      <c r="B5890" s="1" t="n">
        <v>45375</v>
      </c>
      <c r="C5890" s="1" t="n">
        <v>45744</v>
      </c>
      <c r="D5890" t="inlineStr">
        <is>
          <t>SKÅNE LÄN</t>
        </is>
      </c>
      <c r="E5890" t="inlineStr">
        <is>
          <t>OSBY</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11894-2024</t>
        </is>
      </c>
      <c r="B5891" s="1" t="n">
        <v>45376</v>
      </c>
      <c r="C5891" s="1" t="n">
        <v>45744</v>
      </c>
      <c r="D5891" t="inlineStr">
        <is>
          <t>SKÅNE LÄN</t>
        </is>
      </c>
      <c r="E5891" t="inlineStr">
        <is>
          <t>TOMELILLA</t>
        </is>
      </c>
      <c r="F5891" t="inlineStr">
        <is>
          <t>Övriga Aktiebolag</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11887-2024</t>
        </is>
      </c>
      <c r="B5892" s="1" t="n">
        <v>45376</v>
      </c>
      <c r="C5892" s="1" t="n">
        <v>45744</v>
      </c>
      <c r="D5892" t="inlineStr">
        <is>
          <t>SKÅNE LÄN</t>
        </is>
      </c>
      <c r="E5892" t="inlineStr">
        <is>
          <t>TOMELILLA</t>
        </is>
      </c>
      <c r="F5892" t="inlineStr">
        <is>
          <t>Övriga Aktiebolag</t>
        </is>
      </c>
      <c r="G5892" t="n">
        <v>6.3</v>
      </c>
      <c r="H5892" t="n">
        <v>0</v>
      </c>
      <c r="I5892" t="n">
        <v>0</v>
      </c>
      <c r="J5892" t="n">
        <v>0</v>
      </c>
      <c r="K5892" t="n">
        <v>0</v>
      </c>
      <c r="L5892" t="n">
        <v>0</v>
      </c>
      <c r="M5892" t="n">
        <v>0</v>
      </c>
      <c r="N5892" t="n">
        <v>0</v>
      </c>
      <c r="O5892" t="n">
        <v>0</v>
      </c>
      <c r="P5892" t="n">
        <v>0</v>
      </c>
      <c r="Q5892" t="n">
        <v>0</v>
      </c>
      <c r="R5892" s="2" t="inlineStr"/>
    </row>
    <row r="5893" ht="15" customHeight="1">
      <c r="A5893" t="inlineStr">
        <is>
          <t>A 11880-2024</t>
        </is>
      </c>
      <c r="B5893" s="1" t="n">
        <v>45376</v>
      </c>
      <c r="C5893" s="1" t="n">
        <v>45744</v>
      </c>
      <c r="D5893" t="inlineStr">
        <is>
          <t>SKÅNE LÄN</t>
        </is>
      </c>
      <c r="E5893" t="inlineStr">
        <is>
          <t>ÖSTRA GÖINGE</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11907-2024</t>
        </is>
      </c>
      <c r="B5894" s="1" t="n">
        <v>45376</v>
      </c>
      <c r="C5894" s="1" t="n">
        <v>45744</v>
      </c>
      <c r="D5894" t="inlineStr">
        <is>
          <t>SKÅNE LÄN</t>
        </is>
      </c>
      <c r="E5894" t="inlineStr">
        <is>
          <t>HÄSSLEHOLM</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12079-2024</t>
        </is>
      </c>
      <c r="B5895" s="1" t="n">
        <v>45377</v>
      </c>
      <c r="C5895" s="1" t="n">
        <v>45744</v>
      </c>
      <c r="D5895" t="inlineStr">
        <is>
          <t>SKÅNE LÄN</t>
        </is>
      </c>
      <c r="E5895" t="inlineStr">
        <is>
          <t>ESLÖV</t>
        </is>
      </c>
      <c r="G5895" t="n">
        <v>6.9</v>
      </c>
      <c r="H5895" t="n">
        <v>0</v>
      </c>
      <c r="I5895" t="n">
        <v>0</v>
      </c>
      <c r="J5895" t="n">
        <v>0</v>
      </c>
      <c r="K5895" t="n">
        <v>0</v>
      </c>
      <c r="L5895" t="n">
        <v>0</v>
      </c>
      <c r="M5895" t="n">
        <v>0</v>
      </c>
      <c r="N5895" t="n">
        <v>0</v>
      </c>
      <c r="O5895" t="n">
        <v>0</v>
      </c>
      <c r="P5895" t="n">
        <v>0</v>
      </c>
      <c r="Q5895" t="n">
        <v>0</v>
      </c>
      <c r="R5895" s="2" t="inlineStr"/>
    </row>
    <row r="5896" ht="15" customHeight="1">
      <c r="A5896" t="inlineStr">
        <is>
          <t>A 12148-2024</t>
        </is>
      </c>
      <c r="B5896" s="1" t="n">
        <v>45377</v>
      </c>
      <c r="C5896" s="1" t="n">
        <v>45744</v>
      </c>
      <c r="D5896" t="inlineStr">
        <is>
          <t>SKÅNE LÄN</t>
        </is>
      </c>
      <c r="E5896" t="inlineStr">
        <is>
          <t>ÄNGELHOLM</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12172-2024</t>
        </is>
      </c>
      <c r="B5897" s="1" t="n">
        <v>45377</v>
      </c>
      <c r="C5897" s="1" t="n">
        <v>45744</v>
      </c>
      <c r="D5897" t="inlineStr">
        <is>
          <t>SKÅNE LÄN</t>
        </is>
      </c>
      <c r="E5897" t="inlineStr">
        <is>
          <t>HÄSSLEHOLM</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12140-2024</t>
        </is>
      </c>
      <c r="B5898" s="1" t="n">
        <v>45377</v>
      </c>
      <c r="C5898" s="1" t="n">
        <v>45744</v>
      </c>
      <c r="D5898" t="inlineStr">
        <is>
          <t>SKÅNE LÄN</t>
        </is>
      </c>
      <c r="E5898" t="inlineStr">
        <is>
          <t>KRISTIANSTAD</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12061-2024</t>
        </is>
      </c>
      <c r="B5899" s="1" t="n">
        <v>45377</v>
      </c>
      <c r="C5899" s="1" t="n">
        <v>45744</v>
      </c>
      <c r="D5899" t="inlineStr">
        <is>
          <t>SKÅNE LÄN</t>
        </is>
      </c>
      <c r="E5899" t="inlineStr">
        <is>
          <t>OSBY</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12114-2024</t>
        </is>
      </c>
      <c r="B5900" s="1" t="n">
        <v>45377</v>
      </c>
      <c r="C5900" s="1" t="n">
        <v>45744</v>
      </c>
      <c r="D5900" t="inlineStr">
        <is>
          <t>SKÅNE LÄN</t>
        </is>
      </c>
      <c r="E5900" t="inlineStr">
        <is>
          <t>HÄSSLEHOLM</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12048-2024</t>
        </is>
      </c>
      <c r="B5901" s="1" t="n">
        <v>45377</v>
      </c>
      <c r="C5901" s="1" t="n">
        <v>45744</v>
      </c>
      <c r="D5901" t="inlineStr">
        <is>
          <t>SKÅNE LÄN</t>
        </is>
      </c>
      <c r="E5901" t="inlineStr">
        <is>
          <t>ÄNGELHOLM</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12150-2024</t>
        </is>
      </c>
      <c r="B5902" s="1" t="n">
        <v>45377</v>
      </c>
      <c r="C5902" s="1" t="n">
        <v>45744</v>
      </c>
      <c r="D5902" t="inlineStr">
        <is>
          <t>SKÅNE LÄN</t>
        </is>
      </c>
      <c r="E5902" t="inlineStr">
        <is>
          <t>ÄNGELHOLM</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12248-2024</t>
        </is>
      </c>
      <c r="B5903" s="1" t="n">
        <v>45377</v>
      </c>
      <c r="C5903" s="1" t="n">
        <v>45744</v>
      </c>
      <c r="D5903" t="inlineStr">
        <is>
          <t>SKÅNE LÄN</t>
        </is>
      </c>
      <c r="E5903" t="inlineStr">
        <is>
          <t>OSBY</t>
        </is>
      </c>
      <c r="F5903" t="inlineStr">
        <is>
          <t>Kommuner</t>
        </is>
      </c>
      <c r="G5903" t="n">
        <v>7.3</v>
      </c>
      <c r="H5903" t="n">
        <v>0</v>
      </c>
      <c r="I5903" t="n">
        <v>0</v>
      </c>
      <c r="J5903" t="n">
        <v>0</v>
      </c>
      <c r="K5903" t="n">
        <v>0</v>
      </c>
      <c r="L5903" t="n">
        <v>0</v>
      </c>
      <c r="M5903" t="n">
        <v>0</v>
      </c>
      <c r="N5903" t="n">
        <v>0</v>
      </c>
      <c r="O5903" t="n">
        <v>0</v>
      </c>
      <c r="P5903" t="n">
        <v>0</v>
      </c>
      <c r="Q5903" t="n">
        <v>0</v>
      </c>
      <c r="R5903" s="2" t="inlineStr"/>
    </row>
    <row r="5904" ht="15" customHeight="1">
      <c r="A5904" t="inlineStr">
        <is>
          <t>A 12134-2024</t>
        </is>
      </c>
      <c r="B5904" s="1" t="n">
        <v>45377</v>
      </c>
      <c r="C5904" s="1" t="n">
        <v>45744</v>
      </c>
      <c r="D5904" t="inlineStr">
        <is>
          <t>SKÅNE LÄN</t>
        </is>
      </c>
      <c r="E5904" t="inlineStr">
        <is>
          <t>KRISTIANSTAD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12058-2024</t>
        </is>
      </c>
      <c r="B5905" s="1" t="n">
        <v>45377</v>
      </c>
      <c r="C5905" s="1" t="n">
        <v>45744</v>
      </c>
      <c r="D5905" t="inlineStr">
        <is>
          <t>SKÅNE LÄN</t>
        </is>
      </c>
      <c r="E5905" t="inlineStr">
        <is>
          <t>OSBY</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12314-2024</t>
        </is>
      </c>
      <c r="B5906" s="1" t="n">
        <v>45378</v>
      </c>
      <c r="C5906" s="1" t="n">
        <v>45744</v>
      </c>
      <c r="D5906" t="inlineStr">
        <is>
          <t>SKÅNE LÄN</t>
        </is>
      </c>
      <c r="E5906" t="inlineStr">
        <is>
          <t>HÄSSLEHOLM</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12338-2024</t>
        </is>
      </c>
      <c r="B5907" s="1" t="n">
        <v>45378</v>
      </c>
      <c r="C5907" s="1" t="n">
        <v>45744</v>
      </c>
      <c r="D5907" t="inlineStr">
        <is>
          <t>SKÅNE LÄN</t>
        </is>
      </c>
      <c r="E5907" t="inlineStr">
        <is>
          <t>HÄSSLEHOLM</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12491-2024</t>
        </is>
      </c>
      <c r="B5908" s="1" t="n">
        <v>45379</v>
      </c>
      <c r="C5908" s="1" t="n">
        <v>45744</v>
      </c>
      <c r="D5908" t="inlineStr">
        <is>
          <t>SKÅNE LÄN</t>
        </is>
      </c>
      <c r="E5908" t="inlineStr">
        <is>
          <t>HÄSSLEHOLM</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12468-2024</t>
        </is>
      </c>
      <c r="B5909" s="1" t="n">
        <v>45379</v>
      </c>
      <c r="C5909" s="1" t="n">
        <v>45744</v>
      </c>
      <c r="D5909" t="inlineStr">
        <is>
          <t>SKÅNE LÄN</t>
        </is>
      </c>
      <c r="E5909" t="inlineStr">
        <is>
          <t>HÄSSLEHOLM</t>
        </is>
      </c>
      <c r="G5909" t="n">
        <v>15.5</v>
      </c>
      <c r="H5909" t="n">
        <v>0</v>
      </c>
      <c r="I5909" t="n">
        <v>0</v>
      </c>
      <c r="J5909" t="n">
        <v>0</v>
      </c>
      <c r="K5909" t="n">
        <v>0</v>
      </c>
      <c r="L5909" t="n">
        <v>0</v>
      </c>
      <c r="M5909" t="n">
        <v>0</v>
      </c>
      <c r="N5909" t="n">
        <v>0</v>
      </c>
      <c r="O5909" t="n">
        <v>0</v>
      </c>
      <c r="P5909" t="n">
        <v>0</v>
      </c>
      <c r="Q5909" t="n">
        <v>0</v>
      </c>
      <c r="R5909" s="2" t="inlineStr"/>
    </row>
    <row r="5910" ht="15" customHeight="1">
      <c r="A5910" t="inlineStr">
        <is>
          <t>A 12404-2024</t>
        </is>
      </c>
      <c r="B5910" s="1" t="n">
        <v>45379</v>
      </c>
      <c r="C5910" s="1" t="n">
        <v>45744</v>
      </c>
      <c r="D5910" t="inlineStr">
        <is>
          <t>SKÅNE LÄN</t>
        </is>
      </c>
      <c r="E5910" t="inlineStr">
        <is>
          <t>KRISTIANSTAD</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12492-2024</t>
        </is>
      </c>
      <c r="B5911" s="1" t="n">
        <v>45379</v>
      </c>
      <c r="C5911" s="1" t="n">
        <v>45744</v>
      </c>
      <c r="D5911" t="inlineStr">
        <is>
          <t>SKÅNE LÄN</t>
        </is>
      </c>
      <c r="E5911" t="inlineStr">
        <is>
          <t>HÄSSLEHOLM</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12572-2024</t>
        </is>
      </c>
      <c r="B5912" s="1" t="n">
        <v>45379</v>
      </c>
      <c r="C5912" s="1" t="n">
        <v>45744</v>
      </c>
      <c r="D5912" t="inlineStr">
        <is>
          <t>SKÅNE LÄN</t>
        </is>
      </c>
      <c r="E5912" t="inlineStr">
        <is>
          <t>ÖSTRA GÖINGE</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12642-2024</t>
        </is>
      </c>
      <c r="B5913" s="1" t="n">
        <v>45384</v>
      </c>
      <c r="C5913" s="1" t="n">
        <v>45744</v>
      </c>
      <c r="D5913" t="inlineStr">
        <is>
          <t>SKÅNE LÄN</t>
        </is>
      </c>
      <c r="E5913" t="inlineStr">
        <is>
          <t>KLIPPAN</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12775-2024</t>
        </is>
      </c>
      <c r="B5914" s="1" t="n">
        <v>45384</v>
      </c>
      <c r="C5914" s="1" t="n">
        <v>45744</v>
      </c>
      <c r="D5914" t="inlineStr">
        <is>
          <t>SKÅNE LÄN</t>
        </is>
      </c>
      <c r="E5914" t="inlineStr">
        <is>
          <t>KRISTIANSTAD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12685-2024</t>
        </is>
      </c>
      <c r="B5915" s="1" t="n">
        <v>45384</v>
      </c>
      <c r="C5915" s="1" t="n">
        <v>45744</v>
      </c>
      <c r="D5915" t="inlineStr">
        <is>
          <t>SKÅNE LÄN</t>
        </is>
      </c>
      <c r="E5915" t="inlineStr">
        <is>
          <t>BROMÖLLA</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12780-2024</t>
        </is>
      </c>
      <c r="B5916" s="1" t="n">
        <v>45384</v>
      </c>
      <c r="C5916" s="1" t="n">
        <v>45744</v>
      </c>
      <c r="D5916" t="inlineStr">
        <is>
          <t>SKÅNE LÄN</t>
        </is>
      </c>
      <c r="E5916" t="inlineStr">
        <is>
          <t>HÄSSLEHOLM</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12903-2024</t>
        </is>
      </c>
      <c r="B5917" s="1" t="n">
        <v>45385</v>
      </c>
      <c r="C5917" s="1" t="n">
        <v>45744</v>
      </c>
      <c r="D5917" t="inlineStr">
        <is>
          <t>SKÅNE LÄN</t>
        </is>
      </c>
      <c r="E5917" t="inlineStr">
        <is>
          <t>TOMELILLA</t>
        </is>
      </c>
      <c r="G5917" t="n">
        <v>9.199999999999999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12913-2024</t>
        </is>
      </c>
      <c r="B5918" s="1" t="n">
        <v>45385</v>
      </c>
      <c r="C5918" s="1" t="n">
        <v>45744</v>
      </c>
      <c r="D5918" t="inlineStr">
        <is>
          <t>SKÅNE LÄN</t>
        </is>
      </c>
      <c r="E5918" t="inlineStr">
        <is>
          <t>TOMELILLA</t>
        </is>
      </c>
      <c r="F5918" t="inlineStr">
        <is>
          <t>Övriga Aktiebolag</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12978-2024</t>
        </is>
      </c>
      <c r="B5919" s="1" t="n">
        <v>45385</v>
      </c>
      <c r="C5919" s="1" t="n">
        <v>45744</v>
      </c>
      <c r="D5919" t="inlineStr">
        <is>
          <t>SKÅNE LÄN</t>
        </is>
      </c>
      <c r="E5919" t="inlineStr">
        <is>
          <t>OSBY</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12900-2024</t>
        </is>
      </c>
      <c r="B5920" s="1" t="n">
        <v>45385</v>
      </c>
      <c r="C5920" s="1" t="n">
        <v>45744</v>
      </c>
      <c r="D5920" t="inlineStr">
        <is>
          <t>SKÅNE LÄN</t>
        </is>
      </c>
      <c r="E5920" t="inlineStr">
        <is>
          <t>TOMELILLA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12908-2024</t>
        </is>
      </c>
      <c r="B5921" s="1" t="n">
        <v>45385</v>
      </c>
      <c r="C5921" s="1" t="n">
        <v>45744</v>
      </c>
      <c r="D5921" t="inlineStr">
        <is>
          <t>SKÅNE LÄN</t>
        </is>
      </c>
      <c r="E5921" t="inlineStr">
        <is>
          <t>HÄSSLEHOLM</t>
        </is>
      </c>
      <c r="F5921" t="inlineStr">
        <is>
          <t>Kommuner</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12931-2024</t>
        </is>
      </c>
      <c r="B5922" s="1" t="n">
        <v>45385</v>
      </c>
      <c r="C5922" s="1" t="n">
        <v>45744</v>
      </c>
      <c r="D5922" t="inlineStr">
        <is>
          <t>SKÅNE LÄN</t>
        </is>
      </c>
      <c r="E5922" t="inlineStr">
        <is>
          <t>TOMELILLA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12964-2024</t>
        </is>
      </c>
      <c r="B5923" s="1" t="n">
        <v>45385</v>
      </c>
      <c r="C5923" s="1" t="n">
        <v>45744</v>
      </c>
      <c r="D5923" t="inlineStr">
        <is>
          <t>SKÅNE LÄN</t>
        </is>
      </c>
      <c r="E5923" t="inlineStr">
        <is>
          <t>OSBY</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12988-2024</t>
        </is>
      </c>
      <c r="B5924" s="1" t="n">
        <v>45385</v>
      </c>
      <c r="C5924" s="1" t="n">
        <v>45744</v>
      </c>
      <c r="D5924" t="inlineStr">
        <is>
          <t>SKÅNE LÄN</t>
        </is>
      </c>
      <c r="E5924" t="inlineStr">
        <is>
          <t>TOMELILLA</t>
        </is>
      </c>
      <c r="F5924" t="inlineStr">
        <is>
          <t>Övriga Aktiebolag</t>
        </is>
      </c>
      <c r="G5924" t="n">
        <v>16.2</v>
      </c>
      <c r="H5924" t="n">
        <v>0</v>
      </c>
      <c r="I5924" t="n">
        <v>0</v>
      </c>
      <c r="J5924" t="n">
        <v>0</v>
      </c>
      <c r="K5924" t="n">
        <v>0</v>
      </c>
      <c r="L5924" t="n">
        <v>0</v>
      </c>
      <c r="M5924" t="n">
        <v>0</v>
      </c>
      <c r="N5924" t="n">
        <v>0</v>
      </c>
      <c r="O5924" t="n">
        <v>0</v>
      </c>
      <c r="P5924" t="n">
        <v>0</v>
      </c>
      <c r="Q5924" t="n">
        <v>0</v>
      </c>
      <c r="R5924" s="2" t="inlineStr"/>
    </row>
    <row r="5925" ht="15" customHeight="1">
      <c r="A5925" t="inlineStr">
        <is>
          <t>A 13018-2024</t>
        </is>
      </c>
      <c r="B5925" s="1" t="n">
        <v>45385</v>
      </c>
      <c r="C5925" s="1" t="n">
        <v>45744</v>
      </c>
      <c r="D5925" t="inlineStr">
        <is>
          <t>SKÅNE LÄN</t>
        </is>
      </c>
      <c r="E5925" t="inlineStr">
        <is>
          <t>HÄSSLEHOLM</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12898-2024</t>
        </is>
      </c>
      <c r="B5926" s="1" t="n">
        <v>45385</v>
      </c>
      <c r="C5926" s="1" t="n">
        <v>45744</v>
      </c>
      <c r="D5926" t="inlineStr">
        <is>
          <t>SKÅNE LÄN</t>
        </is>
      </c>
      <c r="E5926" t="inlineStr">
        <is>
          <t>TOMELILLA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13080-2024</t>
        </is>
      </c>
      <c r="B5927" s="1" t="n">
        <v>45385</v>
      </c>
      <c r="C5927" s="1" t="n">
        <v>45744</v>
      </c>
      <c r="D5927" t="inlineStr">
        <is>
          <t>SKÅNE LÄN</t>
        </is>
      </c>
      <c r="E5927" t="inlineStr">
        <is>
          <t>TOMELILLA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13007-2024</t>
        </is>
      </c>
      <c r="B5928" s="1" t="n">
        <v>45385</v>
      </c>
      <c r="C5928" s="1" t="n">
        <v>45744</v>
      </c>
      <c r="D5928" t="inlineStr">
        <is>
          <t>SKÅNE LÄN</t>
        </is>
      </c>
      <c r="E5928" t="inlineStr">
        <is>
          <t>HÄSSLEHOLM</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12920-2024</t>
        </is>
      </c>
      <c r="B5929" s="1" t="n">
        <v>45385</v>
      </c>
      <c r="C5929" s="1" t="n">
        <v>45744</v>
      </c>
      <c r="D5929" t="inlineStr">
        <is>
          <t>SKÅNE LÄN</t>
        </is>
      </c>
      <c r="E5929" t="inlineStr">
        <is>
          <t>OSBY</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12953-2024</t>
        </is>
      </c>
      <c r="B5930" s="1" t="n">
        <v>45385</v>
      </c>
      <c r="C5930" s="1" t="n">
        <v>45744</v>
      </c>
      <c r="D5930" t="inlineStr">
        <is>
          <t>SKÅNE LÄN</t>
        </is>
      </c>
      <c r="E5930" t="inlineStr">
        <is>
          <t>SJÖBO</t>
        </is>
      </c>
      <c r="F5930" t="inlineStr">
        <is>
          <t>Övriga Aktiebolag</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12965-2024</t>
        </is>
      </c>
      <c r="B5931" s="1" t="n">
        <v>45385</v>
      </c>
      <c r="C5931" s="1" t="n">
        <v>45744</v>
      </c>
      <c r="D5931" t="inlineStr">
        <is>
          <t>SKÅNE LÄN</t>
        </is>
      </c>
      <c r="E5931" t="inlineStr">
        <is>
          <t>SJÖBO</t>
        </is>
      </c>
      <c r="F5931" t="inlineStr">
        <is>
          <t>Övriga Aktiebolag</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12969-2024</t>
        </is>
      </c>
      <c r="B5932" s="1" t="n">
        <v>45385</v>
      </c>
      <c r="C5932" s="1" t="n">
        <v>45744</v>
      </c>
      <c r="D5932" t="inlineStr">
        <is>
          <t>SKÅNE LÄN</t>
        </is>
      </c>
      <c r="E5932" t="inlineStr">
        <is>
          <t>SJÖBO</t>
        </is>
      </c>
      <c r="F5932" t="inlineStr">
        <is>
          <t>Övriga Aktiebolag</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13122-2024</t>
        </is>
      </c>
      <c r="B5933" s="1" t="n">
        <v>45385</v>
      </c>
      <c r="C5933" s="1" t="n">
        <v>45744</v>
      </c>
      <c r="D5933" t="inlineStr">
        <is>
          <t>SKÅNE LÄN</t>
        </is>
      </c>
      <c r="E5933" t="inlineStr">
        <is>
          <t>KRISTIANSTAD</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13149-2024</t>
        </is>
      </c>
      <c r="B5934" s="1" t="n">
        <v>45386</v>
      </c>
      <c r="C5934" s="1" t="n">
        <v>45744</v>
      </c>
      <c r="D5934" t="inlineStr">
        <is>
          <t>SKÅNE LÄN</t>
        </is>
      </c>
      <c r="E5934" t="inlineStr">
        <is>
          <t>HÄSSLEHOLM</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13159-2024</t>
        </is>
      </c>
      <c r="B5935" s="1" t="n">
        <v>45386</v>
      </c>
      <c r="C5935" s="1" t="n">
        <v>45744</v>
      </c>
      <c r="D5935" t="inlineStr">
        <is>
          <t>SKÅNE LÄN</t>
        </is>
      </c>
      <c r="E5935" t="inlineStr">
        <is>
          <t>TOMELILLA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13173-2024</t>
        </is>
      </c>
      <c r="B5936" s="1" t="n">
        <v>45386</v>
      </c>
      <c r="C5936" s="1" t="n">
        <v>45744</v>
      </c>
      <c r="D5936" t="inlineStr">
        <is>
          <t>SKÅNE LÄN</t>
        </is>
      </c>
      <c r="E5936" t="inlineStr">
        <is>
          <t>ÄNGELHOLM</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13219-2024</t>
        </is>
      </c>
      <c r="B5937" s="1" t="n">
        <v>45386</v>
      </c>
      <c r="C5937" s="1" t="n">
        <v>45744</v>
      </c>
      <c r="D5937" t="inlineStr">
        <is>
          <t>SKÅNE LÄN</t>
        </is>
      </c>
      <c r="E5937" t="inlineStr">
        <is>
          <t>KRISTIANSTAD</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13225-2024</t>
        </is>
      </c>
      <c r="B5938" s="1" t="n">
        <v>45386</v>
      </c>
      <c r="C5938" s="1" t="n">
        <v>45744</v>
      </c>
      <c r="D5938" t="inlineStr">
        <is>
          <t>SKÅNE LÄN</t>
        </is>
      </c>
      <c r="E5938" t="inlineStr">
        <is>
          <t>HÖRBY</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13232-2024</t>
        </is>
      </c>
      <c r="B5939" s="1" t="n">
        <v>45386</v>
      </c>
      <c r="C5939" s="1" t="n">
        <v>45744</v>
      </c>
      <c r="D5939" t="inlineStr">
        <is>
          <t>SKÅNE LÄN</t>
        </is>
      </c>
      <c r="E5939" t="inlineStr">
        <is>
          <t>SJÖBO</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13226-2024</t>
        </is>
      </c>
      <c r="B5940" s="1" t="n">
        <v>45386</v>
      </c>
      <c r="C5940" s="1" t="n">
        <v>45744</v>
      </c>
      <c r="D5940" t="inlineStr">
        <is>
          <t>SKÅNE LÄN</t>
        </is>
      </c>
      <c r="E5940" t="inlineStr">
        <is>
          <t>HÖRBY</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13231-2024</t>
        </is>
      </c>
      <c r="B5941" s="1" t="n">
        <v>45386</v>
      </c>
      <c r="C5941" s="1" t="n">
        <v>45744</v>
      </c>
      <c r="D5941" t="inlineStr">
        <is>
          <t>SKÅNE LÄN</t>
        </is>
      </c>
      <c r="E5941" t="inlineStr">
        <is>
          <t>SJÖBO</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13263-2024</t>
        </is>
      </c>
      <c r="B5942" s="1" t="n">
        <v>45386</v>
      </c>
      <c r="C5942" s="1" t="n">
        <v>45744</v>
      </c>
      <c r="D5942" t="inlineStr">
        <is>
          <t>SKÅNE LÄN</t>
        </is>
      </c>
      <c r="E5942" t="inlineStr">
        <is>
          <t>KRISTIANSTAD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13140-2024</t>
        </is>
      </c>
      <c r="B5943" s="1" t="n">
        <v>45386</v>
      </c>
      <c r="C5943" s="1" t="n">
        <v>45744</v>
      </c>
      <c r="D5943" t="inlineStr">
        <is>
          <t>SKÅNE LÄN</t>
        </is>
      </c>
      <c r="E5943" t="inlineStr">
        <is>
          <t>ÖSTRA GÖINGE</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13224-2024</t>
        </is>
      </c>
      <c r="B5944" s="1" t="n">
        <v>45386</v>
      </c>
      <c r="C5944" s="1" t="n">
        <v>45744</v>
      </c>
      <c r="D5944" t="inlineStr">
        <is>
          <t>SKÅNE LÄN</t>
        </is>
      </c>
      <c r="E5944" t="inlineStr">
        <is>
          <t>KRISTIANSTAD</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13228-2024</t>
        </is>
      </c>
      <c r="B5945" s="1" t="n">
        <v>45386</v>
      </c>
      <c r="C5945" s="1" t="n">
        <v>45744</v>
      </c>
      <c r="D5945" t="inlineStr">
        <is>
          <t>SKÅNE LÄN</t>
        </is>
      </c>
      <c r="E5945" t="inlineStr">
        <is>
          <t>HÖRBY</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13245-2024</t>
        </is>
      </c>
      <c r="B5946" s="1" t="n">
        <v>45386</v>
      </c>
      <c r="C5946" s="1" t="n">
        <v>45744</v>
      </c>
      <c r="D5946" t="inlineStr">
        <is>
          <t>SKÅNE LÄN</t>
        </is>
      </c>
      <c r="E5946" t="inlineStr">
        <is>
          <t>SVALÖV</t>
        </is>
      </c>
      <c r="G5946" t="n">
        <v>13.7</v>
      </c>
      <c r="H5946" t="n">
        <v>0</v>
      </c>
      <c r="I5946" t="n">
        <v>0</v>
      </c>
      <c r="J5946" t="n">
        <v>0</v>
      </c>
      <c r="K5946" t="n">
        <v>0</v>
      </c>
      <c r="L5946" t="n">
        <v>0</v>
      </c>
      <c r="M5946" t="n">
        <v>0</v>
      </c>
      <c r="N5946" t="n">
        <v>0</v>
      </c>
      <c r="O5946" t="n">
        <v>0</v>
      </c>
      <c r="P5946" t="n">
        <v>0</v>
      </c>
      <c r="Q5946" t="n">
        <v>0</v>
      </c>
      <c r="R5946" s="2" t="inlineStr"/>
    </row>
    <row r="5947" ht="15" customHeight="1">
      <c r="A5947" t="inlineStr">
        <is>
          <t>A 13273-2024</t>
        </is>
      </c>
      <c r="B5947" s="1" t="n">
        <v>45386</v>
      </c>
      <c r="C5947" s="1" t="n">
        <v>45744</v>
      </c>
      <c r="D5947" t="inlineStr">
        <is>
          <t>SKÅNE LÄN</t>
        </is>
      </c>
      <c r="E5947" t="inlineStr">
        <is>
          <t>SVALÖV</t>
        </is>
      </c>
      <c r="G5947" t="n">
        <v>12.4</v>
      </c>
      <c r="H5947" t="n">
        <v>0</v>
      </c>
      <c r="I5947" t="n">
        <v>0</v>
      </c>
      <c r="J5947" t="n">
        <v>0</v>
      </c>
      <c r="K5947" t="n">
        <v>0</v>
      </c>
      <c r="L5947" t="n">
        <v>0</v>
      </c>
      <c r="M5947" t="n">
        <v>0</v>
      </c>
      <c r="N5947" t="n">
        <v>0</v>
      </c>
      <c r="O5947" t="n">
        <v>0</v>
      </c>
      <c r="P5947" t="n">
        <v>0</v>
      </c>
      <c r="Q5947" t="n">
        <v>0</v>
      </c>
      <c r="R5947" s="2" t="inlineStr"/>
    </row>
    <row r="5948" ht="15" customHeight="1">
      <c r="A5948" t="inlineStr">
        <is>
          <t>A 13646-2024</t>
        </is>
      </c>
      <c r="B5948" s="1" t="n">
        <v>45387</v>
      </c>
      <c r="C5948" s="1" t="n">
        <v>45744</v>
      </c>
      <c r="D5948" t="inlineStr">
        <is>
          <t>SKÅNE LÄN</t>
        </is>
      </c>
      <c r="E5948" t="inlineStr">
        <is>
          <t>HÄSSLEHOLM</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13521-2024</t>
        </is>
      </c>
      <c r="B5949" s="1" t="n">
        <v>45387</v>
      </c>
      <c r="C5949" s="1" t="n">
        <v>45744</v>
      </c>
      <c r="D5949" t="inlineStr">
        <is>
          <t>SKÅNE LÄN</t>
        </is>
      </c>
      <c r="E5949" t="inlineStr">
        <is>
          <t>KRISTIANSTAD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13424-2024</t>
        </is>
      </c>
      <c r="B5950" s="1" t="n">
        <v>45387</v>
      </c>
      <c r="C5950" s="1" t="n">
        <v>45744</v>
      </c>
      <c r="D5950" t="inlineStr">
        <is>
          <t>SKÅNE LÄN</t>
        </is>
      </c>
      <c r="E5950" t="inlineStr">
        <is>
          <t>HÄSSLEHOLM</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13523-2024</t>
        </is>
      </c>
      <c r="B5951" s="1" t="n">
        <v>45387</v>
      </c>
      <c r="C5951" s="1" t="n">
        <v>45744</v>
      </c>
      <c r="D5951" t="inlineStr">
        <is>
          <t>SKÅNE LÄN</t>
        </is>
      </c>
      <c r="E5951" t="inlineStr">
        <is>
          <t>KRISTIANSTAD</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13475-2024</t>
        </is>
      </c>
      <c r="B5952" s="1" t="n">
        <v>45387</v>
      </c>
      <c r="C5952" s="1" t="n">
        <v>45744</v>
      </c>
      <c r="D5952" t="inlineStr">
        <is>
          <t>SKÅNE LÄN</t>
        </is>
      </c>
      <c r="E5952" t="inlineStr">
        <is>
          <t>HÖÖR</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13522-2024</t>
        </is>
      </c>
      <c r="B5953" s="1" t="n">
        <v>45387</v>
      </c>
      <c r="C5953" s="1" t="n">
        <v>45744</v>
      </c>
      <c r="D5953" t="inlineStr">
        <is>
          <t>SKÅNE LÄN</t>
        </is>
      </c>
      <c r="E5953" t="inlineStr">
        <is>
          <t>KRISTIANSTAD</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13593-2024</t>
        </is>
      </c>
      <c r="B5954" s="1" t="n">
        <v>45390</v>
      </c>
      <c r="C5954" s="1" t="n">
        <v>45744</v>
      </c>
      <c r="D5954" t="inlineStr">
        <is>
          <t>SKÅNE LÄN</t>
        </is>
      </c>
      <c r="E5954" t="inlineStr">
        <is>
          <t>OSBY</t>
        </is>
      </c>
      <c r="F5954" t="inlineStr">
        <is>
          <t>Sveaskog</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13597-2024</t>
        </is>
      </c>
      <c r="B5955" s="1" t="n">
        <v>45390</v>
      </c>
      <c r="C5955" s="1" t="n">
        <v>45744</v>
      </c>
      <c r="D5955" t="inlineStr">
        <is>
          <t>SKÅNE LÄN</t>
        </is>
      </c>
      <c r="E5955" t="inlineStr">
        <is>
          <t>OSBY</t>
        </is>
      </c>
      <c r="F5955" t="inlineStr">
        <is>
          <t>Sveaskog</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13638-2024</t>
        </is>
      </c>
      <c r="B5956" s="1" t="n">
        <v>45390</v>
      </c>
      <c r="C5956" s="1" t="n">
        <v>45744</v>
      </c>
      <c r="D5956" t="inlineStr">
        <is>
          <t>SKÅNE LÄN</t>
        </is>
      </c>
      <c r="E5956" t="inlineStr">
        <is>
          <t>KRISTIANSTAD</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13592-2024</t>
        </is>
      </c>
      <c r="B5957" s="1" t="n">
        <v>45390</v>
      </c>
      <c r="C5957" s="1" t="n">
        <v>45744</v>
      </c>
      <c r="D5957" t="inlineStr">
        <is>
          <t>SKÅNE LÄN</t>
        </is>
      </c>
      <c r="E5957" t="inlineStr">
        <is>
          <t>OSBY</t>
        </is>
      </c>
      <c r="F5957" t="inlineStr">
        <is>
          <t>Sveaskog</t>
        </is>
      </c>
      <c r="G5957" t="n">
        <v>6.6</v>
      </c>
      <c r="H5957" t="n">
        <v>0</v>
      </c>
      <c r="I5957" t="n">
        <v>0</v>
      </c>
      <c r="J5957" t="n">
        <v>0</v>
      </c>
      <c r="K5957" t="n">
        <v>0</v>
      </c>
      <c r="L5957" t="n">
        <v>0</v>
      </c>
      <c r="M5957" t="n">
        <v>0</v>
      </c>
      <c r="N5957" t="n">
        <v>0</v>
      </c>
      <c r="O5957" t="n">
        <v>0</v>
      </c>
      <c r="P5957" t="n">
        <v>0</v>
      </c>
      <c r="Q5957" t="n">
        <v>0</v>
      </c>
      <c r="R5957" s="2" t="inlineStr"/>
    </row>
    <row r="5958" ht="15" customHeight="1">
      <c r="A5958" t="inlineStr">
        <is>
          <t>A 13596-2024</t>
        </is>
      </c>
      <c r="B5958" s="1" t="n">
        <v>45390</v>
      </c>
      <c r="C5958" s="1" t="n">
        <v>45744</v>
      </c>
      <c r="D5958" t="inlineStr">
        <is>
          <t>SKÅNE LÄN</t>
        </is>
      </c>
      <c r="E5958" t="inlineStr">
        <is>
          <t>OSBY</t>
        </is>
      </c>
      <c r="F5958" t="inlineStr">
        <is>
          <t>Sveaskog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13591-2024</t>
        </is>
      </c>
      <c r="B5959" s="1" t="n">
        <v>45390</v>
      </c>
      <c r="C5959" s="1" t="n">
        <v>45744</v>
      </c>
      <c r="D5959" t="inlineStr">
        <is>
          <t>SKÅNE LÄN</t>
        </is>
      </c>
      <c r="E5959" t="inlineStr">
        <is>
          <t>OSBY</t>
        </is>
      </c>
      <c r="F5959" t="inlineStr">
        <is>
          <t>Sveaskog</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13595-2024</t>
        </is>
      </c>
      <c r="B5960" s="1" t="n">
        <v>45390</v>
      </c>
      <c r="C5960" s="1" t="n">
        <v>45744</v>
      </c>
      <c r="D5960" t="inlineStr">
        <is>
          <t>SKÅNE LÄN</t>
        </is>
      </c>
      <c r="E5960" t="inlineStr">
        <is>
          <t>OSBY</t>
        </is>
      </c>
      <c r="F5960" t="inlineStr">
        <is>
          <t>Sveaskog</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13633-2024</t>
        </is>
      </c>
      <c r="B5961" s="1" t="n">
        <v>45390</v>
      </c>
      <c r="C5961" s="1" t="n">
        <v>45744</v>
      </c>
      <c r="D5961" t="inlineStr">
        <is>
          <t>SKÅNE LÄN</t>
        </is>
      </c>
      <c r="E5961" t="inlineStr">
        <is>
          <t>HÖRBY</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13663-2024</t>
        </is>
      </c>
      <c r="B5962" s="1" t="n">
        <v>45390</v>
      </c>
      <c r="C5962" s="1" t="n">
        <v>45744</v>
      </c>
      <c r="D5962" t="inlineStr">
        <is>
          <t>SKÅNE LÄN</t>
        </is>
      </c>
      <c r="E5962" t="inlineStr">
        <is>
          <t>KLIPPAN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13719-2024</t>
        </is>
      </c>
      <c r="B5963" s="1" t="n">
        <v>45390</v>
      </c>
      <c r="C5963" s="1" t="n">
        <v>45744</v>
      </c>
      <c r="D5963" t="inlineStr">
        <is>
          <t>SKÅNE LÄN</t>
        </is>
      </c>
      <c r="E5963" t="inlineStr">
        <is>
          <t>HÄSSLEHOLM</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13594-2024</t>
        </is>
      </c>
      <c r="B5964" s="1" t="n">
        <v>45390</v>
      </c>
      <c r="C5964" s="1" t="n">
        <v>45744</v>
      </c>
      <c r="D5964" t="inlineStr">
        <is>
          <t>SKÅNE LÄN</t>
        </is>
      </c>
      <c r="E5964" t="inlineStr">
        <is>
          <t>OSBY</t>
        </is>
      </c>
      <c r="F5964" t="inlineStr">
        <is>
          <t>Sveaskog</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13804-2024</t>
        </is>
      </c>
      <c r="B5965" s="1" t="n">
        <v>45391</v>
      </c>
      <c r="C5965" s="1" t="n">
        <v>45744</v>
      </c>
      <c r="D5965" t="inlineStr">
        <is>
          <t>SKÅNE LÄN</t>
        </is>
      </c>
      <c r="E5965" t="inlineStr">
        <is>
          <t>HÖRBY</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13897-2024</t>
        </is>
      </c>
      <c r="B5966" s="1" t="n">
        <v>45391</v>
      </c>
      <c r="C5966" s="1" t="n">
        <v>45744</v>
      </c>
      <c r="D5966" t="inlineStr">
        <is>
          <t>SKÅNE LÄN</t>
        </is>
      </c>
      <c r="E5966" t="inlineStr">
        <is>
          <t>HÄSSLEHOLM</t>
        </is>
      </c>
      <c r="F5966" t="inlineStr">
        <is>
          <t>Kommuner</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13775-2024</t>
        </is>
      </c>
      <c r="B5967" s="1" t="n">
        <v>45391</v>
      </c>
      <c r="C5967" s="1" t="n">
        <v>45744</v>
      </c>
      <c r="D5967" t="inlineStr">
        <is>
          <t>SKÅNE LÄN</t>
        </is>
      </c>
      <c r="E5967" t="inlineStr">
        <is>
          <t>HÖRBY</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13890-2024</t>
        </is>
      </c>
      <c r="B5968" s="1" t="n">
        <v>45391</v>
      </c>
      <c r="C5968" s="1" t="n">
        <v>45744</v>
      </c>
      <c r="D5968" t="inlineStr">
        <is>
          <t>SKÅNE LÄN</t>
        </is>
      </c>
      <c r="E5968" t="inlineStr">
        <is>
          <t>HÄSSLEHOLM</t>
        </is>
      </c>
      <c r="F5968" t="inlineStr">
        <is>
          <t>Kommuner</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14103-2024</t>
        </is>
      </c>
      <c r="B5969" s="1" t="n">
        <v>45392</v>
      </c>
      <c r="C5969" s="1" t="n">
        <v>45744</v>
      </c>
      <c r="D5969" t="inlineStr">
        <is>
          <t>SKÅNE LÄN</t>
        </is>
      </c>
      <c r="E5969" t="inlineStr">
        <is>
          <t>SIMRISHAMN</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14105-2024</t>
        </is>
      </c>
      <c r="B5970" s="1" t="n">
        <v>45392</v>
      </c>
      <c r="C5970" s="1" t="n">
        <v>45744</v>
      </c>
      <c r="D5970" t="inlineStr">
        <is>
          <t>SKÅNE LÄN</t>
        </is>
      </c>
      <c r="E5970" t="inlineStr">
        <is>
          <t>HÄSSLEHOLM</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14106-2024</t>
        </is>
      </c>
      <c r="B5971" s="1" t="n">
        <v>45392</v>
      </c>
      <c r="C5971" s="1" t="n">
        <v>45744</v>
      </c>
      <c r="D5971" t="inlineStr">
        <is>
          <t>SKÅNE LÄN</t>
        </is>
      </c>
      <c r="E5971" t="inlineStr">
        <is>
          <t>SIMRISHAMN</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14104-2024</t>
        </is>
      </c>
      <c r="B5972" s="1" t="n">
        <v>45392</v>
      </c>
      <c r="C5972" s="1" t="n">
        <v>45744</v>
      </c>
      <c r="D5972" t="inlineStr">
        <is>
          <t>SKÅNE LÄN</t>
        </is>
      </c>
      <c r="E5972" t="inlineStr">
        <is>
          <t>SIMRISHAMN</t>
        </is>
      </c>
      <c r="G5972" t="n">
        <v>5.3</v>
      </c>
      <c r="H5972" t="n">
        <v>0</v>
      </c>
      <c r="I5972" t="n">
        <v>0</v>
      </c>
      <c r="J5972" t="n">
        <v>0</v>
      </c>
      <c r="K5972" t="n">
        <v>0</v>
      </c>
      <c r="L5972" t="n">
        <v>0</v>
      </c>
      <c r="M5972" t="n">
        <v>0</v>
      </c>
      <c r="N5972" t="n">
        <v>0</v>
      </c>
      <c r="O5972" t="n">
        <v>0</v>
      </c>
      <c r="P5972" t="n">
        <v>0</v>
      </c>
      <c r="Q5972" t="n">
        <v>0</v>
      </c>
      <c r="R5972" s="2" t="inlineStr"/>
    </row>
    <row r="5973" ht="15" customHeight="1">
      <c r="A5973" t="inlineStr">
        <is>
          <t>A 14278-2024</t>
        </is>
      </c>
      <c r="B5973" s="1" t="n">
        <v>45393</v>
      </c>
      <c r="C5973" s="1" t="n">
        <v>45744</v>
      </c>
      <c r="D5973" t="inlineStr">
        <is>
          <t>SKÅNE LÄN</t>
        </is>
      </c>
      <c r="E5973" t="inlineStr">
        <is>
          <t>KLIPPAN</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14255-2024</t>
        </is>
      </c>
      <c r="B5974" s="1" t="n">
        <v>45393</v>
      </c>
      <c r="C5974" s="1" t="n">
        <v>45744</v>
      </c>
      <c r="D5974" t="inlineStr">
        <is>
          <t>SKÅNE LÄN</t>
        </is>
      </c>
      <c r="E5974" t="inlineStr">
        <is>
          <t>HÄSSLEHOLM</t>
        </is>
      </c>
      <c r="G5974" t="n">
        <v>11.9</v>
      </c>
      <c r="H5974" t="n">
        <v>0</v>
      </c>
      <c r="I5974" t="n">
        <v>0</v>
      </c>
      <c r="J5974" t="n">
        <v>0</v>
      </c>
      <c r="K5974" t="n">
        <v>0</v>
      </c>
      <c r="L5974" t="n">
        <v>0</v>
      </c>
      <c r="M5974" t="n">
        <v>0</v>
      </c>
      <c r="N5974" t="n">
        <v>0</v>
      </c>
      <c r="O5974" t="n">
        <v>0</v>
      </c>
      <c r="P5974" t="n">
        <v>0</v>
      </c>
      <c r="Q5974" t="n">
        <v>0</v>
      </c>
      <c r="R5974" s="2" t="inlineStr"/>
    </row>
    <row r="5975" ht="15" customHeight="1">
      <c r="A5975" t="inlineStr">
        <is>
          <t>A 14546-2024</t>
        </is>
      </c>
      <c r="B5975" s="1" t="n">
        <v>45394</v>
      </c>
      <c r="C5975" s="1" t="n">
        <v>45744</v>
      </c>
      <c r="D5975" t="inlineStr">
        <is>
          <t>SKÅNE LÄN</t>
        </is>
      </c>
      <c r="E5975" t="inlineStr">
        <is>
          <t>SVALÖV</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14545-2024</t>
        </is>
      </c>
      <c r="B5976" s="1" t="n">
        <v>45394</v>
      </c>
      <c r="C5976" s="1" t="n">
        <v>45744</v>
      </c>
      <c r="D5976" t="inlineStr">
        <is>
          <t>SKÅNE LÄN</t>
        </is>
      </c>
      <c r="E5976" t="inlineStr">
        <is>
          <t>SVALÖV</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14488-2024</t>
        </is>
      </c>
      <c r="B5977" s="1" t="n">
        <v>45394</v>
      </c>
      <c r="C5977" s="1" t="n">
        <v>45744</v>
      </c>
      <c r="D5977" t="inlineStr">
        <is>
          <t>SKÅNE LÄN</t>
        </is>
      </c>
      <c r="E5977" t="inlineStr">
        <is>
          <t>ESLÖV</t>
        </is>
      </c>
      <c r="F5977" t="inlineStr">
        <is>
          <t>Sveaskog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14468-2024</t>
        </is>
      </c>
      <c r="B5978" s="1" t="n">
        <v>45394</v>
      </c>
      <c r="C5978" s="1" t="n">
        <v>45744</v>
      </c>
      <c r="D5978" t="inlineStr">
        <is>
          <t>SKÅNE LÄN</t>
        </is>
      </c>
      <c r="E5978" t="inlineStr">
        <is>
          <t>ESLÖV</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14471-2024</t>
        </is>
      </c>
      <c r="B5979" s="1" t="n">
        <v>45394</v>
      </c>
      <c r="C5979" s="1" t="n">
        <v>45744</v>
      </c>
      <c r="D5979" t="inlineStr">
        <is>
          <t>SKÅNE LÄN</t>
        </is>
      </c>
      <c r="E5979" t="inlineStr">
        <is>
          <t>KRISTIANSTAD</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14535-2024</t>
        </is>
      </c>
      <c r="B5980" s="1" t="n">
        <v>45394</v>
      </c>
      <c r="C5980" s="1" t="n">
        <v>45744</v>
      </c>
      <c r="D5980" t="inlineStr">
        <is>
          <t>SKÅNE LÄN</t>
        </is>
      </c>
      <c r="E5980" t="inlineStr">
        <is>
          <t>SVALÖV</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14543-2024</t>
        </is>
      </c>
      <c r="B5981" s="1" t="n">
        <v>45394</v>
      </c>
      <c r="C5981" s="1" t="n">
        <v>45744</v>
      </c>
      <c r="D5981" t="inlineStr">
        <is>
          <t>SKÅNE LÄN</t>
        </is>
      </c>
      <c r="E5981" t="inlineStr">
        <is>
          <t>SVALÖV</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14473-2024</t>
        </is>
      </c>
      <c r="B5982" s="1" t="n">
        <v>45394</v>
      </c>
      <c r="C5982" s="1" t="n">
        <v>45744</v>
      </c>
      <c r="D5982" t="inlineStr">
        <is>
          <t>SKÅNE LÄN</t>
        </is>
      </c>
      <c r="E5982" t="inlineStr">
        <is>
          <t>PERSTORP</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14611-2024</t>
        </is>
      </c>
      <c r="B5983" s="1" t="n">
        <v>45396</v>
      </c>
      <c r="C5983" s="1" t="n">
        <v>45744</v>
      </c>
      <c r="D5983" t="inlineStr">
        <is>
          <t>SKÅNE LÄN</t>
        </is>
      </c>
      <c r="E5983" t="inlineStr">
        <is>
          <t>KRISTIANSTAD</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14632-2024</t>
        </is>
      </c>
      <c r="B5984" s="1" t="n">
        <v>45397</v>
      </c>
      <c r="C5984" s="1" t="n">
        <v>45744</v>
      </c>
      <c r="D5984" t="inlineStr">
        <is>
          <t>SKÅNE LÄN</t>
        </is>
      </c>
      <c r="E5984" t="inlineStr">
        <is>
          <t>PERSTORP</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14631-2024</t>
        </is>
      </c>
      <c r="B5985" s="1" t="n">
        <v>45397</v>
      </c>
      <c r="C5985" s="1" t="n">
        <v>45744</v>
      </c>
      <c r="D5985" t="inlineStr">
        <is>
          <t>SKÅNE LÄN</t>
        </is>
      </c>
      <c r="E5985" t="inlineStr">
        <is>
          <t>PERSTORP</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14674-2024</t>
        </is>
      </c>
      <c r="B5986" s="1" t="n">
        <v>45397</v>
      </c>
      <c r="C5986" s="1" t="n">
        <v>45744</v>
      </c>
      <c r="D5986" t="inlineStr">
        <is>
          <t>SKÅNE LÄN</t>
        </is>
      </c>
      <c r="E5986" t="inlineStr">
        <is>
          <t>BJUV</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14693-2024</t>
        </is>
      </c>
      <c r="B5987" s="1" t="n">
        <v>45397</v>
      </c>
      <c r="C5987" s="1" t="n">
        <v>45744</v>
      </c>
      <c r="D5987" t="inlineStr">
        <is>
          <t>SKÅNE LÄN</t>
        </is>
      </c>
      <c r="E5987" t="inlineStr">
        <is>
          <t>OSBY</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14683-2024</t>
        </is>
      </c>
      <c r="B5988" s="1" t="n">
        <v>45397</v>
      </c>
      <c r="C5988" s="1" t="n">
        <v>45744</v>
      </c>
      <c r="D5988" t="inlineStr">
        <is>
          <t>SKÅNE LÄN</t>
        </is>
      </c>
      <c r="E5988" t="inlineStr">
        <is>
          <t>TOMELILLA</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14702-2024</t>
        </is>
      </c>
      <c r="B5989" s="1" t="n">
        <v>45397</v>
      </c>
      <c r="C5989" s="1" t="n">
        <v>45744</v>
      </c>
      <c r="D5989" t="inlineStr">
        <is>
          <t>SKÅNE LÄN</t>
        </is>
      </c>
      <c r="E5989" t="inlineStr">
        <is>
          <t>SIMRISHAMN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14705-2024</t>
        </is>
      </c>
      <c r="B5990" s="1" t="n">
        <v>45397</v>
      </c>
      <c r="C5990" s="1" t="n">
        <v>45744</v>
      </c>
      <c r="D5990" t="inlineStr">
        <is>
          <t>SKÅNE LÄN</t>
        </is>
      </c>
      <c r="E5990" t="inlineStr">
        <is>
          <t>HÄSSLEHOLM</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14849-2024</t>
        </is>
      </c>
      <c r="B5991" s="1" t="n">
        <v>45398</v>
      </c>
      <c r="C5991" s="1" t="n">
        <v>45744</v>
      </c>
      <c r="D5991" t="inlineStr">
        <is>
          <t>SKÅNE LÄN</t>
        </is>
      </c>
      <c r="E5991" t="inlineStr">
        <is>
          <t>HÖÖR</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14912-2024</t>
        </is>
      </c>
      <c r="B5992" s="1" t="n">
        <v>45398</v>
      </c>
      <c r="C5992" s="1" t="n">
        <v>45744</v>
      </c>
      <c r="D5992" t="inlineStr">
        <is>
          <t>SKÅNE LÄN</t>
        </is>
      </c>
      <c r="E5992" t="inlineStr">
        <is>
          <t>ÖRKELLJUNGA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14965-2024</t>
        </is>
      </c>
      <c r="B5993" s="1" t="n">
        <v>45398</v>
      </c>
      <c r="C5993" s="1" t="n">
        <v>45744</v>
      </c>
      <c r="D5993" t="inlineStr">
        <is>
          <t>SKÅNE LÄN</t>
        </is>
      </c>
      <c r="E5993" t="inlineStr">
        <is>
          <t>KRISTIANSTAD</t>
        </is>
      </c>
      <c r="G5993" t="n">
        <v>13.5</v>
      </c>
      <c r="H5993" t="n">
        <v>0</v>
      </c>
      <c r="I5993" t="n">
        <v>0</v>
      </c>
      <c r="J5993" t="n">
        <v>0</v>
      </c>
      <c r="K5993" t="n">
        <v>0</v>
      </c>
      <c r="L5993" t="n">
        <v>0</v>
      </c>
      <c r="M5993" t="n">
        <v>0</v>
      </c>
      <c r="N5993" t="n">
        <v>0</v>
      </c>
      <c r="O5993" t="n">
        <v>0</v>
      </c>
      <c r="P5993" t="n">
        <v>0</v>
      </c>
      <c r="Q5993" t="n">
        <v>0</v>
      </c>
      <c r="R5993" s="2" t="inlineStr"/>
    </row>
    <row r="5994" ht="15" customHeight="1">
      <c r="A5994" t="inlineStr">
        <is>
          <t>A 14926-2024</t>
        </is>
      </c>
      <c r="B5994" s="1" t="n">
        <v>45398</v>
      </c>
      <c r="C5994" s="1" t="n">
        <v>45744</v>
      </c>
      <c r="D5994" t="inlineStr">
        <is>
          <t>SKÅNE LÄN</t>
        </is>
      </c>
      <c r="E5994" t="inlineStr">
        <is>
          <t>HÄSSLEHOLM</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14956-2024</t>
        </is>
      </c>
      <c r="B5995" s="1" t="n">
        <v>45398</v>
      </c>
      <c r="C5995" s="1" t="n">
        <v>45744</v>
      </c>
      <c r="D5995" t="inlineStr">
        <is>
          <t>SKÅNE LÄN</t>
        </is>
      </c>
      <c r="E5995" t="inlineStr">
        <is>
          <t>KRISTIANSTAD</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14964-2024</t>
        </is>
      </c>
      <c r="B5996" s="1" t="n">
        <v>45398</v>
      </c>
      <c r="C5996" s="1" t="n">
        <v>45744</v>
      </c>
      <c r="D5996" t="inlineStr">
        <is>
          <t>SKÅNE LÄN</t>
        </is>
      </c>
      <c r="E5996" t="inlineStr">
        <is>
          <t>KRISTIANSTAD</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15075-2024</t>
        </is>
      </c>
      <c r="B5997" s="1" t="n">
        <v>45399</v>
      </c>
      <c r="C5997" s="1" t="n">
        <v>45744</v>
      </c>
      <c r="D5997" t="inlineStr">
        <is>
          <t>SKÅNE LÄN</t>
        </is>
      </c>
      <c r="E5997" t="inlineStr">
        <is>
          <t>TOMELILLA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15072-2024</t>
        </is>
      </c>
      <c r="B5998" s="1" t="n">
        <v>45399</v>
      </c>
      <c r="C5998" s="1" t="n">
        <v>45744</v>
      </c>
      <c r="D5998" t="inlineStr">
        <is>
          <t>SKÅNE LÄN</t>
        </is>
      </c>
      <c r="E5998" t="inlineStr">
        <is>
          <t>HÄSSLEHOLM</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15097-2024</t>
        </is>
      </c>
      <c r="B5999" s="1" t="n">
        <v>45399</v>
      </c>
      <c r="C5999" s="1" t="n">
        <v>45744</v>
      </c>
      <c r="D5999" t="inlineStr">
        <is>
          <t>SKÅNE LÄN</t>
        </is>
      </c>
      <c r="E5999" t="inlineStr">
        <is>
          <t>BÅSTAD</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15039-2024</t>
        </is>
      </c>
      <c r="B6000" s="1" t="n">
        <v>45399</v>
      </c>
      <c r="C6000" s="1" t="n">
        <v>45744</v>
      </c>
      <c r="D6000" t="inlineStr">
        <is>
          <t>SKÅNE LÄN</t>
        </is>
      </c>
      <c r="E6000" t="inlineStr">
        <is>
          <t>SIMRISHAMN</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15065-2024</t>
        </is>
      </c>
      <c r="B6001" s="1" t="n">
        <v>45399</v>
      </c>
      <c r="C6001" s="1" t="n">
        <v>45744</v>
      </c>
      <c r="D6001" t="inlineStr">
        <is>
          <t>SKÅNE LÄN</t>
        </is>
      </c>
      <c r="E6001" t="inlineStr">
        <is>
          <t>KLIPPAN</t>
        </is>
      </c>
      <c r="F6001" t="inlineStr">
        <is>
          <t>Övriga Aktiebolag</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15012-2024</t>
        </is>
      </c>
      <c r="B6002" s="1" t="n">
        <v>45399</v>
      </c>
      <c r="C6002" s="1" t="n">
        <v>45744</v>
      </c>
      <c r="D6002" t="inlineStr">
        <is>
          <t>SKÅNE LÄN</t>
        </is>
      </c>
      <c r="E6002" t="inlineStr">
        <is>
          <t>TOMELILLA</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15036-2024</t>
        </is>
      </c>
      <c r="B6003" s="1" t="n">
        <v>45399</v>
      </c>
      <c r="C6003" s="1" t="n">
        <v>45744</v>
      </c>
      <c r="D6003" t="inlineStr">
        <is>
          <t>SKÅNE LÄN</t>
        </is>
      </c>
      <c r="E6003" t="inlineStr">
        <is>
          <t>HÄSSLEHOLM</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15058-2024</t>
        </is>
      </c>
      <c r="B6004" s="1" t="n">
        <v>45399</v>
      </c>
      <c r="C6004" s="1" t="n">
        <v>45744</v>
      </c>
      <c r="D6004" t="inlineStr">
        <is>
          <t>SKÅNE LÄN</t>
        </is>
      </c>
      <c r="E6004" t="inlineStr">
        <is>
          <t>OSBY</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15070-2024</t>
        </is>
      </c>
      <c r="B6005" s="1" t="n">
        <v>45399</v>
      </c>
      <c r="C6005" s="1" t="n">
        <v>45744</v>
      </c>
      <c r="D6005" t="inlineStr">
        <is>
          <t>SKÅNE LÄN</t>
        </is>
      </c>
      <c r="E6005" t="inlineStr">
        <is>
          <t>KLIPPAN</t>
        </is>
      </c>
      <c r="F6005" t="inlineStr">
        <is>
          <t>Övriga Aktiebolag</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15160-2024</t>
        </is>
      </c>
      <c r="B6006" s="1" t="n">
        <v>45400</v>
      </c>
      <c r="C6006" s="1" t="n">
        <v>45744</v>
      </c>
      <c r="D6006" t="inlineStr">
        <is>
          <t>SKÅNE LÄN</t>
        </is>
      </c>
      <c r="E6006" t="inlineStr">
        <is>
          <t>HÄSSLEHOLM</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15202-2024</t>
        </is>
      </c>
      <c r="B6007" s="1" t="n">
        <v>45400</v>
      </c>
      <c r="C6007" s="1" t="n">
        <v>45744</v>
      </c>
      <c r="D6007" t="inlineStr">
        <is>
          <t>SKÅNE LÄN</t>
        </is>
      </c>
      <c r="E6007" t="inlineStr">
        <is>
          <t>KRISTIANSTAD</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15204-2024</t>
        </is>
      </c>
      <c r="B6008" s="1" t="n">
        <v>45400</v>
      </c>
      <c r="C6008" s="1" t="n">
        <v>45744</v>
      </c>
      <c r="D6008" t="inlineStr">
        <is>
          <t>SKÅNE LÄN</t>
        </is>
      </c>
      <c r="E6008" t="inlineStr">
        <is>
          <t>KRISTIANSTAD</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15277-2024</t>
        </is>
      </c>
      <c r="B6009" s="1" t="n">
        <v>45400</v>
      </c>
      <c r="C6009" s="1" t="n">
        <v>45744</v>
      </c>
      <c r="D6009" t="inlineStr">
        <is>
          <t>SKÅNE LÄN</t>
        </is>
      </c>
      <c r="E6009" t="inlineStr">
        <is>
          <t>SVEDALA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15191-2024</t>
        </is>
      </c>
      <c r="B6010" s="1" t="n">
        <v>45400</v>
      </c>
      <c r="C6010" s="1" t="n">
        <v>45744</v>
      </c>
      <c r="D6010" t="inlineStr">
        <is>
          <t>SKÅNE LÄN</t>
        </is>
      </c>
      <c r="E6010" t="inlineStr">
        <is>
          <t>KRISTIANSTAD</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15468-2024</t>
        </is>
      </c>
      <c r="B6011" s="1" t="n">
        <v>45401</v>
      </c>
      <c r="C6011" s="1" t="n">
        <v>45744</v>
      </c>
      <c r="D6011" t="inlineStr">
        <is>
          <t>SKÅNE LÄN</t>
        </is>
      </c>
      <c r="E6011" t="inlineStr">
        <is>
          <t>ÖSTRA GÖINGE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15466-2024</t>
        </is>
      </c>
      <c r="B6012" s="1" t="n">
        <v>45401</v>
      </c>
      <c r="C6012" s="1" t="n">
        <v>45744</v>
      </c>
      <c r="D6012" t="inlineStr">
        <is>
          <t>SKÅNE LÄN</t>
        </is>
      </c>
      <c r="E6012" t="inlineStr">
        <is>
          <t>ÖSTRA GÖINGE</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15476-2024</t>
        </is>
      </c>
      <c r="B6013" s="1" t="n">
        <v>45401</v>
      </c>
      <c r="C6013" s="1" t="n">
        <v>45744</v>
      </c>
      <c r="D6013" t="inlineStr">
        <is>
          <t>SKÅNE LÄN</t>
        </is>
      </c>
      <c r="E6013" t="inlineStr">
        <is>
          <t>OSBY</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15533-2024</t>
        </is>
      </c>
      <c r="B6014" s="1" t="n">
        <v>45401</v>
      </c>
      <c r="C6014" s="1" t="n">
        <v>45744</v>
      </c>
      <c r="D6014" t="inlineStr">
        <is>
          <t>SKÅNE LÄN</t>
        </is>
      </c>
      <c r="E6014" t="inlineStr">
        <is>
          <t>ESLÖV</t>
        </is>
      </c>
      <c r="G6014" t="n">
        <v>7.5</v>
      </c>
      <c r="H6014" t="n">
        <v>0</v>
      </c>
      <c r="I6014" t="n">
        <v>0</v>
      </c>
      <c r="J6014" t="n">
        <v>0</v>
      </c>
      <c r="K6014" t="n">
        <v>0</v>
      </c>
      <c r="L6014" t="n">
        <v>0</v>
      </c>
      <c r="M6014" t="n">
        <v>0</v>
      </c>
      <c r="N6014" t="n">
        <v>0</v>
      </c>
      <c r="O6014" t="n">
        <v>0</v>
      </c>
      <c r="P6014" t="n">
        <v>0</v>
      </c>
      <c r="Q6014" t="n">
        <v>0</v>
      </c>
      <c r="R6014" s="2" t="inlineStr"/>
    </row>
    <row r="6015" ht="15" customHeight="1">
      <c r="A6015" t="inlineStr">
        <is>
          <t>A 15562-2024</t>
        </is>
      </c>
      <c r="B6015" s="1" t="n">
        <v>45401</v>
      </c>
      <c r="C6015" s="1" t="n">
        <v>45744</v>
      </c>
      <c r="D6015" t="inlineStr">
        <is>
          <t>SKÅNE LÄN</t>
        </is>
      </c>
      <c r="E6015" t="inlineStr">
        <is>
          <t>HÄSSLEHOLM</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15582-2024</t>
        </is>
      </c>
      <c r="B6016" s="1" t="n">
        <v>45401</v>
      </c>
      <c r="C6016" s="1" t="n">
        <v>45744</v>
      </c>
      <c r="D6016" t="inlineStr">
        <is>
          <t>SKÅNE LÄN</t>
        </is>
      </c>
      <c r="E6016" t="inlineStr">
        <is>
          <t>SVEDALA</t>
        </is>
      </c>
      <c r="G6016" t="n">
        <v>7.3</v>
      </c>
      <c r="H6016" t="n">
        <v>0</v>
      </c>
      <c r="I6016" t="n">
        <v>0</v>
      </c>
      <c r="J6016" t="n">
        <v>0</v>
      </c>
      <c r="K6016" t="n">
        <v>0</v>
      </c>
      <c r="L6016" t="n">
        <v>0</v>
      </c>
      <c r="M6016" t="n">
        <v>0</v>
      </c>
      <c r="N6016" t="n">
        <v>0</v>
      </c>
      <c r="O6016" t="n">
        <v>0</v>
      </c>
      <c r="P6016" t="n">
        <v>0</v>
      </c>
      <c r="Q6016" t="n">
        <v>0</v>
      </c>
      <c r="R6016" s="2" t="inlineStr"/>
    </row>
    <row r="6017" ht="15" customHeight="1">
      <c r="A6017" t="inlineStr">
        <is>
          <t>A 15565-2024</t>
        </is>
      </c>
      <c r="B6017" s="1" t="n">
        <v>45401</v>
      </c>
      <c r="C6017" s="1" t="n">
        <v>45744</v>
      </c>
      <c r="D6017" t="inlineStr">
        <is>
          <t>SKÅNE LÄN</t>
        </is>
      </c>
      <c r="E6017" t="inlineStr">
        <is>
          <t>SVEDALA</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15577-2024</t>
        </is>
      </c>
      <c r="B6018" s="1" t="n">
        <v>45401</v>
      </c>
      <c r="C6018" s="1" t="n">
        <v>45744</v>
      </c>
      <c r="D6018" t="inlineStr">
        <is>
          <t>SKÅNE LÄN</t>
        </is>
      </c>
      <c r="E6018" t="inlineStr">
        <is>
          <t>SVEDALA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15665-2024</t>
        </is>
      </c>
      <c r="B6019" s="1" t="n">
        <v>45404</v>
      </c>
      <c r="C6019" s="1" t="n">
        <v>45744</v>
      </c>
      <c r="D6019" t="inlineStr">
        <is>
          <t>SKÅNE LÄN</t>
        </is>
      </c>
      <c r="E6019" t="inlineStr">
        <is>
          <t>HÄSSLEHOLM</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15706-2024</t>
        </is>
      </c>
      <c r="B6020" s="1" t="n">
        <v>45404</v>
      </c>
      <c r="C6020" s="1" t="n">
        <v>45744</v>
      </c>
      <c r="D6020" t="inlineStr">
        <is>
          <t>SKÅNE LÄN</t>
        </is>
      </c>
      <c r="E6020" t="inlineStr">
        <is>
          <t>ÖSTRA GÖINGE</t>
        </is>
      </c>
      <c r="F6020" t="inlineStr">
        <is>
          <t>Sveaskog</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15653-2024</t>
        </is>
      </c>
      <c r="B6021" s="1" t="n">
        <v>45404</v>
      </c>
      <c r="C6021" s="1" t="n">
        <v>45744</v>
      </c>
      <c r="D6021" t="inlineStr">
        <is>
          <t>SKÅNE LÄN</t>
        </is>
      </c>
      <c r="E6021" t="inlineStr">
        <is>
          <t>OSBY</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15654-2024</t>
        </is>
      </c>
      <c r="B6022" s="1" t="n">
        <v>45404</v>
      </c>
      <c r="C6022" s="1" t="n">
        <v>45744</v>
      </c>
      <c r="D6022" t="inlineStr">
        <is>
          <t>SKÅNE LÄN</t>
        </is>
      </c>
      <c r="E6022" t="inlineStr">
        <is>
          <t>OSBY</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15669-2024</t>
        </is>
      </c>
      <c r="B6023" s="1" t="n">
        <v>45404</v>
      </c>
      <c r="C6023" s="1" t="n">
        <v>45744</v>
      </c>
      <c r="D6023" t="inlineStr">
        <is>
          <t>SKÅNE LÄN</t>
        </is>
      </c>
      <c r="E6023" t="inlineStr">
        <is>
          <t>HÄSSLEHOLM</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15701-2024</t>
        </is>
      </c>
      <c r="B6024" s="1" t="n">
        <v>45404</v>
      </c>
      <c r="C6024" s="1" t="n">
        <v>45744</v>
      </c>
      <c r="D6024" t="inlineStr">
        <is>
          <t>SKÅNE LÄN</t>
        </is>
      </c>
      <c r="E6024" t="inlineStr">
        <is>
          <t>OSBY</t>
        </is>
      </c>
      <c r="F6024" t="inlineStr">
        <is>
          <t>Sveaskog</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15705-2024</t>
        </is>
      </c>
      <c r="B6025" s="1" t="n">
        <v>45404</v>
      </c>
      <c r="C6025" s="1" t="n">
        <v>45744</v>
      </c>
      <c r="D6025" t="inlineStr">
        <is>
          <t>SKÅNE LÄN</t>
        </is>
      </c>
      <c r="E6025" t="inlineStr">
        <is>
          <t>ÖSTRA GÖINGE</t>
        </is>
      </c>
      <c r="F6025" t="inlineStr">
        <is>
          <t>Sveaskog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15733-2024</t>
        </is>
      </c>
      <c r="B6026" s="1" t="n">
        <v>45404</v>
      </c>
      <c r="C6026" s="1" t="n">
        <v>45744</v>
      </c>
      <c r="D6026" t="inlineStr">
        <is>
          <t>SKÅNE LÄN</t>
        </is>
      </c>
      <c r="E6026" t="inlineStr">
        <is>
          <t>OSBY</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15769-2024</t>
        </is>
      </c>
      <c r="B6027" s="1" t="n">
        <v>45404</v>
      </c>
      <c r="C6027" s="1" t="n">
        <v>45744</v>
      </c>
      <c r="D6027" t="inlineStr">
        <is>
          <t>SKÅNE LÄN</t>
        </is>
      </c>
      <c r="E6027" t="inlineStr">
        <is>
          <t>HÖRBY</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15810-2024</t>
        </is>
      </c>
      <c r="B6028" s="1" t="n">
        <v>45404</v>
      </c>
      <c r="C6028" s="1" t="n">
        <v>45744</v>
      </c>
      <c r="D6028" t="inlineStr">
        <is>
          <t>SKÅNE LÄN</t>
        </is>
      </c>
      <c r="E6028" t="inlineStr">
        <is>
          <t>KLIPPAN</t>
        </is>
      </c>
      <c r="F6028" t="inlineStr">
        <is>
          <t>Sveaskog</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15812-2024</t>
        </is>
      </c>
      <c r="B6029" s="1" t="n">
        <v>45404</v>
      </c>
      <c r="C6029" s="1" t="n">
        <v>45744</v>
      </c>
      <c r="D6029" t="inlineStr">
        <is>
          <t>SKÅNE LÄN</t>
        </is>
      </c>
      <c r="E6029" t="inlineStr">
        <is>
          <t>KLIPPAN</t>
        </is>
      </c>
      <c r="F6029" t="inlineStr">
        <is>
          <t>Sveaskog</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15703-2024</t>
        </is>
      </c>
      <c r="B6030" s="1" t="n">
        <v>45404</v>
      </c>
      <c r="C6030" s="1" t="n">
        <v>45744</v>
      </c>
      <c r="D6030" t="inlineStr">
        <is>
          <t>SKÅNE LÄN</t>
        </is>
      </c>
      <c r="E6030" t="inlineStr">
        <is>
          <t>ÖSTRA GÖINGE</t>
        </is>
      </c>
      <c r="F6030" t="inlineStr">
        <is>
          <t>Sveaskog</t>
        </is>
      </c>
      <c r="G6030" t="n">
        <v>9.5</v>
      </c>
      <c r="H6030" t="n">
        <v>0</v>
      </c>
      <c r="I6030" t="n">
        <v>0</v>
      </c>
      <c r="J6030" t="n">
        <v>0</v>
      </c>
      <c r="K6030" t="n">
        <v>0</v>
      </c>
      <c r="L6030" t="n">
        <v>0</v>
      </c>
      <c r="M6030" t="n">
        <v>0</v>
      </c>
      <c r="N6030" t="n">
        <v>0</v>
      </c>
      <c r="O6030" t="n">
        <v>0</v>
      </c>
      <c r="P6030" t="n">
        <v>0</v>
      </c>
      <c r="Q6030" t="n">
        <v>0</v>
      </c>
      <c r="R6030" s="2" t="inlineStr"/>
    </row>
    <row r="6031" ht="15" customHeight="1">
      <c r="A6031" t="inlineStr">
        <is>
          <t>A 16025-2024</t>
        </is>
      </c>
      <c r="B6031" s="1" t="n">
        <v>45405</v>
      </c>
      <c r="C6031" s="1" t="n">
        <v>45744</v>
      </c>
      <c r="D6031" t="inlineStr">
        <is>
          <t>SKÅNE LÄN</t>
        </is>
      </c>
      <c r="E6031" t="inlineStr">
        <is>
          <t>OSBY</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16001-2024</t>
        </is>
      </c>
      <c r="B6032" s="1" t="n">
        <v>45405</v>
      </c>
      <c r="C6032" s="1" t="n">
        <v>45744</v>
      </c>
      <c r="D6032" t="inlineStr">
        <is>
          <t>SKÅNE LÄN</t>
        </is>
      </c>
      <c r="E6032" t="inlineStr">
        <is>
          <t>HÖRBY</t>
        </is>
      </c>
      <c r="G6032" t="n">
        <v>0.2</v>
      </c>
      <c r="H6032" t="n">
        <v>0</v>
      </c>
      <c r="I6032" t="n">
        <v>0</v>
      </c>
      <c r="J6032" t="n">
        <v>0</v>
      </c>
      <c r="K6032" t="n">
        <v>0</v>
      </c>
      <c r="L6032" t="n">
        <v>0</v>
      </c>
      <c r="M6032" t="n">
        <v>0</v>
      </c>
      <c r="N6032" t="n">
        <v>0</v>
      </c>
      <c r="O6032" t="n">
        <v>0</v>
      </c>
      <c r="P6032" t="n">
        <v>0</v>
      </c>
      <c r="Q6032" t="n">
        <v>0</v>
      </c>
      <c r="R6032" s="2" t="inlineStr"/>
    </row>
    <row r="6033" ht="15" customHeight="1">
      <c r="A6033" t="inlineStr">
        <is>
          <t>A 15993-2024</t>
        </is>
      </c>
      <c r="B6033" s="1" t="n">
        <v>45405</v>
      </c>
      <c r="C6033" s="1" t="n">
        <v>45744</v>
      </c>
      <c r="D6033" t="inlineStr">
        <is>
          <t>SKÅNE LÄN</t>
        </is>
      </c>
      <c r="E6033" t="inlineStr">
        <is>
          <t>ÖSTRA GÖINGE</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15908-2024</t>
        </is>
      </c>
      <c r="B6034" s="1" t="n">
        <v>45405</v>
      </c>
      <c r="C6034" s="1" t="n">
        <v>45744</v>
      </c>
      <c r="D6034" t="inlineStr">
        <is>
          <t>SKÅNE LÄN</t>
        </is>
      </c>
      <c r="E6034" t="inlineStr">
        <is>
          <t>HÖÖR</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15900-2024</t>
        </is>
      </c>
      <c r="B6035" s="1" t="n">
        <v>45405</v>
      </c>
      <c r="C6035" s="1" t="n">
        <v>45744</v>
      </c>
      <c r="D6035" t="inlineStr">
        <is>
          <t>SKÅNE LÄN</t>
        </is>
      </c>
      <c r="E6035" t="inlineStr">
        <is>
          <t>HÖRBY</t>
        </is>
      </c>
      <c r="F6035" t="inlineStr">
        <is>
          <t>Övriga statliga verk och myndigheter</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16049-2024</t>
        </is>
      </c>
      <c r="B6036" s="1" t="n">
        <v>45405</v>
      </c>
      <c r="C6036" s="1" t="n">
        <v>45744</v>
      </c>
      <c r="D6036" t="inlineStr">
        <is>
          <t>SKÅNE LÄN</t>
        </is>
      </c>
      <c r="E6036" t="inlineStr">
        <is>
          <t>ÖRKELLJUNGA</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15998-2024</t>
        </is>
      </c>
      <c r="B6037" s="1" t="n">
        <v>45405</v>
      </c>
      <c r="C6037" s="1" t="n">
        <v>45744</v>
      </c>
      <c r="D6037" t="inlineStr">
        <is>
          <t>SKÅNE LÄN</t>
        </is>
      </c>
      <c r="E6037" t="inlineStr">
        <is>
          <t>HÖRBY</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15970-2024</t>
        </is>
      </c>
      <c r="B6038" s="1" t="n">
        <v>45405</v>
      </c>
      <c r="C6038" s="1" t="n">
        <v>45744</v>
      </c>
      <c r="D6038" t="inlineStr">
        <is>
          <t>SKÅNE LÄN</t>
        </is>
      </c>
      <c r="E6038" t="inlineStr">
        <is>
          <t>HÖRBY</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15905-2024</t>
        </is>
      </c>
      <c r="B6039" s="1" t="n">
        <v>45405</v>
      </c>
      <c r="C6039" s="1" t="n">
        <v>45744</v>
      </c>
      <c r="D6039" t="inlineStr">
        <is>
          <t>SKÅNE LÄN</t>
        </is>
      </c>
      <c r="E6039" t="inlineStr">
        <is>
          <t>HÖÖR</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15991-2024</t>
        </is>
      </c>
      <c r="B6040" s="1" t="n">
        <v>45405</v>
      </c>
      <c r="C6040" s="1" t="n">
        <v>45744</v>
      </c>
      <c r="D6040" t="inlineStr">
        <is>
          <t>SKÅNE LÄN</t>
        </is>
      </c>
      <c r="E6040" t="inlineStr">
        <is>
          <t>ÖSTRA GÖINGE</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15951-2024</t>
        </is>
      </c>
      <c r="B6041" s="1" t="n">
        <v>45405</v>
      </c>
      <c r="C6041" s="1" t="n">
        <v>45744</v>
      </c>
      <c r="D6041" t="inlineStr">
        <is>
          <t>SKÅNE LÄN</t>
        </is>
      </c>
      <c r="E6041" t="inlineStr">
        <is>
          <t>KRISTIANSTAD</t>
        </is>
      </c>
      <c r="G6041" t="n">
        <v>12.2</v>
      </c>
      <c r="H6041" t="n">
        <v>0</v>
      </c>
      <c r="I6041" t="n">
        <v>0</v>
      </c>
      <c r="J6041" t="n">
        <v>0</v>
      </c>
      <c r="K6041" t="n">
        <v>0</v>
      </c>
      <c r="L6041" t="n">
        <v>0</v>
      </c>
      <c r="M6041" t="n">
        <v>0</v>
      </c>
      <c r="N6041" t="n">
        <v>0</v>
      </c>
      <c r="O6041" t="n">
        <v>0</v>
      </c>
      <c r="P6041" t="n">
        <v>0</v>
      </c>
      <c r="Q6041" t="n">
        <v>0</v>
      </c>
      <c r="R6041" s="2" t="inlineStr"/>
    </row>
    <row r="6042" ht="15" customHeight="1">
      <c r="A6042" t="inlineStr">
        <is>
          <t>A 16166-2024</t>
        </is>
      </c>
      <c r="B6042" s="1" t="n">
        <v>45406</v>
      </c>
      <c r="C6042" s="1" t="n">
        <v>45744</v>
      </c>
      <c r="D6042" t="inlineStr">
        <is>
          <t>SKÅNE LÄN</t>
        </is>
      </c>
      <c r="E6042" t="inlineStr">
        <is>
          <t>ÖSTRA GÖINGE</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16199-2024</t>
        </is>
      </c>
      <c r="B6043" s="1" t="n">
        <v>45406</v>
      </c>
      <c r="C6043" s="1" t="n">
        <v>45744</v>
      </c>
      <c r="D6043" t="inlineStr">
        <is>
          <t>SKÅNE LÄN</t>
        </is>
      </c>
      <c r="E6043" t="inlineStr">
        <is>
          <t>SVEDALA</t>
        </is>
      </c>
      <c r="G6043" t="n">
        <v>13.5</v>
      </c>
      <c r="H6043" t="n">
        <v>0</v>
      </c>
      <c r="I6043" t="n">
        <v>0</v>
      </c>
      <c r="J6043" t="n">
        <v>0</v>
      </c>
      <c r="K6043" t="n">
        <v>0</v>
      </c>
      <c r="L6043" t="n">
        <v>0</v>
      </c>
      <c r="M6043" t="n">
        <v>0</v>
      </c>
      <c r="N6043" t="n">
        <v>0</v>
      </c>
      <c r="O6043" t="n">
        <v>0</v>
      </c>
      <c r="P6043" t="n">
        <v>0</v>
      </c>
      <c r="Q6043" t="n">
        <v>0</v>
      </c>
      <c r="R6043" s="2" t="inlineStr"/>
    </row>
    <row r="6044" ht="15" customHeight="1">
      <c r="A6044" t="inlineStr">
        <is>
          <t>A 16202-2024</t>
        </is>
      </c>
      <c r="B6044" s="1" t="n">
        <v>45406</v>
      </c>
      <c r="C6044" s="1" t="n">
        <v>45744</v>
      </c>
      <c r="D6044" t="inlineStr">
        <is>
          <t>SKÅNE LÄN</t>
        </is>
      </c>
      <c r="E6044" t="inlineStr">
        <is>
          <t>SVEDALA</t>
        </is>
      </c>
      <c r="G6044" t="n">
        <v>6.2</v>
      </c>
      <c r="H6044" t="n">
        <v>0</v>
      </c>
      <c r="I6044" t="n">
        <v>0</v>
      </c>
      <c r="J6044" t="n">
        <v>0</v>
      </c>
      <c r="K6044" t="n">
        <v>0</v>
      </c>
      <c r="L6044" t="n">
        <v>0</v>
      </c>
      <c r="M6044" t="n">
        <v>0</v>
      </c>
      <c r="N6044" t="n">
        <v>0</v>
      </c>
      <c r="O6044" t="n">
        <v>0</v>
      </c>
      <c r="P6044" t="n">
        <v>0</v>
      </c>
      <c r="Q6044" t="n">
        <v>0</v>
      </c>
      <c r="R6044" s="2" t="inlineStr"/>
    </row>
    <row r="6045" ht="15" customHeight="1">
      <c r="A6045" t="inlineStr">
        <is>
          <t>A 16102-2024</t>
        </is>
      </c>
      <c r="B6045" s="1" t="n">
        <v>45406</v>
      </c>
      <c r="C6045" s="1" t="n">
        <v>45744</v>
      </c>
      <c r="D6045" t="inlineStr">
        <is>
          <t>SKÅNE LÄN</t>
        </is>
      </c>
      <c r="E6045" t="inlineStr">
        <is>
          <t>ÖSTRA GÖINGE</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16110-2024</t>
        </is>
      </c>
      <c r="B6046" s="1" t="n">
        <v>45406</v>
      </c>
      <c r="C6046" s="1" t="n">
        <v>45744</v>
      </c>
      <c r="D6046" t="inlineStr">
        <is>
          <t>SKÅNE LÄN</t>
        </is>
      </c>
      <c r="E6046" t="inlineStr">
        <is>
          <t>HÖÖR</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16114-2024</t>
        </is>
      </c>
      <c r="B6047" s="1" t="n">
        <v>45406</v>
      </c>
      <c r="C6047" s="1" t="n">
        <v>45744</v>
      </c>
      <c r="D6047" t="inlineStr">
        <is>
          <t>SKÅNE LÄN</t>
        </is>
      </c>
      <c r="E6047" t="inlineStr">
        <is>
          <t>ÖSTRA GÖINGE</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16203-2024</t>
        </is>
      </c>
      <c r="B6048" s="1" t="n">
        <v>45406</v>
      </c>
      <c r="C6048" s="1" t="n">
        <v>45744</v>
      </c>
      <c r="D6048" t="inlineStr">
        <is>
          <t>SKÅNE LÄN</t>
        </is>
      </c>
      <c r="E6048" t="inlineStr">
        <is>
          <t>SVEDALA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16258-2024</t>
        </is>
      </c>
      <c r="B6049" s="1" t="n">
        <v>45407</v>
      </c>
      <c r="C6049" s="1" t="n">
        <v>45744</v>
      </c>
      <c r="D6049" t="inlineStr">
        <is>
          <t>SKÅNE LÄN</t>
        </is>
      </c>
      <c r="E6049" t="inlineStr">
        <is>
          <t>SIMRISHAMN</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16287-2024</t>
        </is>
      </c>
      <c r="B6050" s="1" t="n">
        <v>45407</v>
      </c>
      <c r="C6050" s="1" t="n">
        <v>45744</v>
      </c>
      <c r="D6050" t="inlineStr">
        <is>
          <t>SKÅNE LÄN</t>
        </is>
      </c>
      <c r="E6050" t="inlineStr">
        <is>
          <t>SIMRISHAMN</t>
        </is>
      </c>
      <c r="F6050" t="inlineStr">
        <is>
          <t>Övriga Aktiebolag</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16306-2024</t>
        </is>
      </c>
      <c r="B6051" s="1" t="n">
        <v>45407</v>
      </c>
      <c r="C6051" s="1" t="n">
        <v>45744</v>
      </c>
      <c r="D6051" t="inlineStr">
        <is>
          <t>SKÅNE LÄN</t>
        </is>
      </c>
      <c r="E6051" t="inlineStr">
        <is>
          <t>SJÖBO</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16314-2024</t>
        </is>
      </c>
      <c r="B6052" s="1" t="n">
        <v>45407</v>
      </c>
      <c r="C6052" s="1" t="n">
        <v>45744</v>
      </c>
      <c r="D6052" t="inlineStr">
        <is>
          <t>SKÅNE LÄN</t>
        </is>
      </c>
      <c r="E6052" t="inlineStr">
        <is>
          <t>ÄNGELHOLM</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16323-2024</t>
        </is>
      </c>
      <c r="B6053" s="1" t="n">
        <v>45407</v>
      </c>
      <c r="C6053" s="1" t="n">
        <v>45744</v>
      </c>
      <c r="D6053" t="inlineStr">
        <is>
          <t>SKÅNE LÄN</t>
        </is>
      </c>
      <c r="E6053" t="inlineStr">
        <is>
          <t>LUND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16334-2024</t>
        </is>
      </c>
      <c r="B6054" s="1" t="n">
        <v>45407</v>
      </c>
      <c r="C6054" s="1" t="n">
        <v>45744</v>
      </c>
      <c r="D6054" t="inlineStr">
        <is>
          <t>SKÅNE LÄN</t>
        </is>
      </c>
      <c r="E6054" t="inlineStr">
        <is>
          <t>HÄSSLEHOLM</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16346-2024</t>
        </is>
      </c>
      <c r="B6055" s="1" t="n">
        <v>45407</v>
      </c>
      <c r="C6055" s="1" t="n">
        <v>45744</v>
      </c>
      <c r="D6055" t="inlineStr">
        <is>
          <t>SKÅNE LÄN</t>
        </is>
      </c>
      <c r="E6055" t="inlineStr">
        <is>
          <t>SJÖBO</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16373-2024</t>
        </is>
      </c>
      <c r="B6056" s="1" t="n">
        <v>45407</v>
      </c>
      <c r="C6056" s="1" t="n">
        <v>45744</v>
      </c>
      <c r="D6056" t="inlineStr">
        <is>
          <t>SKÅNE LÄN</t>
        </is>
      </c>
      <c r="E6056" t="inlineStr">
        <is>
          <t>SJÖBO</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16340-2024</t>
        </is>
      </c>
      <c r="B6057" s="1" t="n">
        <v>45407</v>
      </c>
      <c r="C6057" s="1" t="n">
        <v>45744</v>
      </c>
      <c r="D6057" t="inlineStr">
        <is>
          <t>SKÅNE LÄN</t>
        </is>
      </c>
      <c r="E6057" t="inlineStr">
        <is>
          <t>SJÖBO</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16505-2024</t>
        </is>
      </c>
      <c r="B6058" s="1" t="n">
        <v>45408</v>
      </c>
      <c r="C6058" s="1" t="n">
        <v>45744</v>
      </c>
      <c r="D6058" t="inlineStr">
        <is>
          <t>SKÅNE LÄN</t>
        </is>
      </c>
      <c r="E6058" t="inlineStr">
        <is>
          <t>ÖSTRA GÖINGE</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16509-2024</t>
        </is>
      </c>
      <c r="B6059" s="1" t="n">
        <v>45408</v>
      </c>
      <c r="C6059" s="1" t="n">
        <v>45744</v>
      </c>
      <c r="D6059" t="inlineStr">
        <is>
          <t>SKÅNE LÄN</t>
        </is>
      </c>
      <c r="E6059" t="inlineStr">
        <is>
          <t>ÖSTRA GÖINGE</t>
        </is>
      </c>
      <c r="G6059" t="n">
        <v>8.5</v>
      </c>
      <c r="H6059" t="n">
        <v>0</v>
      </c>
      <c r="I6059" t="n">
        <v>0</v>
      </c>
      <c r="J6059" t="n">
        <v>0</v>
      </c>
      <c r="K6059" t="n">
        <v>0</v>
      </c>
      <c r="L6059" t="n">
        <v>0</v>
      </c>
      <c r="M6059" t="n">
        <v>0</v>
      </c>
      <c r="N6059" t="n">
        <v>0</v>
      </c>
      <c r="O6059" t="n">
        <v>0</v>
      </c>
      <c r="P6059" t="n">
        <v>0</v>
      </c>
      <c r="Q6059" t="n">
        <v>0</v>
      </c>
      <c r="R6059" s="2" t="inlineStr"/>
    </row>
    <row r="6060" ht="15" customHeight="1">
      <c r="A6060" t="inlineStr">
        <is>
          <t>A 16525-2024</t>
        </is>
      </c>
      <c r="B6060" s="1" t="n">
        <v>45408</v>
      </c>
      <c r="C6060" s="1" t="n">
        <v>45744</v>
      </c>
      <c r="D6060" t="inlineStr">
        <is>
          <t>SKÅNE LÄN</t>
        </is>
      </c>
      <c r="E6060" t="inlineStr">
        <is>
          <t>KRISTIANSTAD</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16561-2024</t>
        </is>
      </c>
      <c r="B6061" s="1" t="n">
        <v>45408</v>
      </c>
      <c r="C6061" s="1" t="n">
        <v>45744</v>
      </c>
      <c r="D6061" t="inlineStr">
        <is>
          <t>SKÅNE LÄN</t>
        </is>
      </c>
      <c r="E6061" t="inlineStr">
        <is>
          <t>HÄSSLEHOLM</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16565-2024</t>
        </is>
      </c>
      <c r="B6062" s="1" t="n">
        <v>45408</v>
      </c>
      <c r="C6062" s="1" t="n">
        <v>45744</v>
      </c>
      <c r="D6062" t="inlineStr">
        <is>
          <t>SKÅNE LÄN</t>
        </is>
      </c>
      <c r="E6062" t="inlineStr">
        <is>
          <t>KRISTIANSTAD</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16568-2024</t>
        </is>
      </c>
      <c r="B6063" s="1" t="n">
        <v>45408</v>
      </c>
      <c r="C6063" s="1" t="n">
        <v>45744</v>
      </c>
      <c r="D6063" t="inlineStr">
        <is>
          <t>SKÅNE LÄN</t>
        </is>
      </c>
      <c r="E6063" t="inlineStr">
        <is>
          <t>TOMELILLA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16483-2024</t>
        </is>
      </c>
      <c r="B6064" s="1" t="n">
        <v>45408</v>
      </c>
      <c r="C6064" s="1" t="n">
        <v>45744</v>
      </c>
      <c r="D6064" t="inlineStr">
        <is>
          <t>SKÅNE LÄN</t>
        </is>
      </c>
      <c r="E6064" t="inlineStr">
        <is>
          <t>TOMELILLA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16482-2024</t>
        </is>
      </c>
      <c r="B6065" s="1" t="n">
        <v>45408</v>
      </c>
      <c r="C6065" s="1" t="n">
        <v>45744</v>
      </c>
      <c r="D6065" t="inlineStr">
        <is>
          <t>SKÅNE LÄN</t>
        </is>
      </c>
      <c r="E6065" t="inlineStr">
        <is>
          <t>TOMELILLA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16743-2024</t>
        </is>
      </c>
      <c r="B6066" s="1" t="n">
        <v>45410</v>
      </c>
      <c r="C6066" s="1" t="n">
        <v>45744</v>
      </c>
      <c r="D6066" t="inlineStr">
        <is>
          <t>SKÅNE LÄN</t>
        </is>
      </c>
      <c r="E6066" t="inlineStr">
        <is>
          <t>ÖSTRA GÖINGE</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16738-2024</t>
        </is>
      </c>
      <c r="B6067" s="1" t="n">
        <v>45410</v>
      </c>
      <c r="C6067" s="1" t="n">
        <v>45744</v>
      </c>
      <c r="D6067" t="inlineStr">
        <is>
          <t>SKÅNE LÄN</t>
        </is>
      </c>
      <c r="E6067" t="inlineStr">
        <is>
          <t>KRISTIANSTAD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17064-2024</t>
        </is>
      </c>
      <c r="B6068" s="1" t="n">
        <v>45411</v>
      </c>
      <c r="C6068" s="1" t="n">
        <v>45744</v>
      </c>
      <c r="D6068" t="inlineStr">
        <is>
          <t>SKÅNE LÄN</t>
        </is>
      </c>
      <c r="E6068" t="inlineStr">
        <is>
          <t>HÄSSLEHOLM</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16930-2024</t>
        </is>
      </c>
      <c r="B6069" s="1" t="n">
        <v>45411</v>
      </c>
      <c r="C6069" s="1" t="n">
        <v>45744</v>
      </c>
      <c r="D6069" t="inlineStr">
        <is>
          <t>SKÅNE LÄN</t>
        </is>
      </c>
      <c r="E6069" t="inlineStr">
        <is>
          <t>HÄSSLEHOLM</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16837-2024</t>
        </is>
      </c>
      <c r="B6070" s="1" t="n">
        <v>45411</v>
      </c>
      <c r="C6070" s="1" t="n">
        <v>45744</v>
      </c>
      <c r="D6070" t="inlineStr">
        <is>
          <t>SKÅNE LÄN</t>
        </is>
      </c>
      <c r="E6070" t="inlineStr">
        <is>
          <t>SIMRISHAMN</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16893-2024</t>
        </is>
      </c>
      <c r="B6071" s="1" t="n">
        <v>45411</v>
      </c>
      <c r="C6071" s="1" t="n">
        <v>45744</v>
      </c>
      <c r="D6071" t="inlineStr">
        <is>
          <t>SKÅNE LÄN</t>
        </is>
      </c>
      <c r="E6071" t="inlineStr">
        <is>
          <t>ÖSTRA GÖINGE</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16792-2024</t>
        </is>
      </c>
      <c r="B6072" s="1" t="n">
        <v>45411</v>
      </c>
      <c r="C6072" s="1" t="n">
        <v>45744</v>
      </c>
      <c r="D6072" t="inlineStr">
        <is>
          <t>SKÅNE LÄN</t>
        </is>
      </c>
      <c r="E6072" t="inlineStr">
        <is>
          <t>ESLÖV</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16932-2024</t>
        </is>
      </c>
      <c r="B6073" s="1" t="n">
        <v>45411</v>
      </c>
      <c r="C6073" s="1" t="n">
        <v>45744</v>
      </c>
      <c r="D6073" t="inlineStr">
        <is>
          <t>SKÅNE LÄN</t>
        </is>
      </c>
      <c r="E6073" t="inlineStr">
        <is>
          <t>HÄSSLEHOLM</t>
        </is>
      </c>
      <c r="G6073" t="n">
        <v>0.2</v>
      </c>
      <c r="H6073" t="n">
        <v>0</v>
      </c>
      <c r="I6073" t="n">
        <v>0</v>
      </c>
      <c r="J6073" t="n">
        <v>0</v>
      </c>
      <c r="K6073" t="n">
        <v>0</v>
      </c>
      <c r="L6073" t="n">
        <v>0</v>
      </c>
      <c r="M6073" t="n">
        <v>0</v>
      </c>
      <c r="N6073" t="n">
        <v>0</v>
      </c>
      <c r="O6073" t="n">
        <v>0</v>
      </c>
      <c r="P6073" t="n">
        <v>0</v>
      </c>
      <c r="Q6073" t="n">
        <v>0</v>
      </c>
      <c r="R6073" s="2" t="inlineStr"/>
    </row>
    <row r="6074" ht="15" customHeight="1">
      <c r="A6074" t="inlineStr">
        <is>
          <t>A 17151-2024</t>
        </is>
      </c>
      <c r="B6074" s="1" t="n">
        <v>45412</v>
      </c>
      <c r="C6074" s="1" t="n">
        <v>45744</v>
      </c>
      <c r="D6074" t="inlineStr">
        <is>
          <t>SKÅNE LÄN</t>
        </is>
      </c>
      <c r="E6074" t="inlineStr">
        <is>
          <t>TOMELILLA</t>
        </is>
      </c>
      <c r="F6074" t="inlineStr">
        <is>
          <t>Övriga Aktiebolag</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17091-2024</t>
        </is>
      </c>
      <c r="B6075" s="1" t="n">
        <v>45412</v>
      </c>
      <c r="C6075" s="1" t="n">
        <v>45744</v>
      </c>
      <c r="D6075" t="inlineStr">
        <is>
          <t>SKÅNE LÄN</t>
        </is>
      </c>
      <c r="E6075" t="inlineStr">
        <is>
          <t>BROMÖLLA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17114-2024</t>
        </is>
      </c>
      <c r="B6076" s="1" t="n">
        <v>45412</v>
      </c>
      <c r="C6076" s="1" t="n">
        <v>45744</v>
      </c>
      <c r="D6076" t="inlineStr">
        <is>
          <t>SKÅNE LÄN</t>
        </is>
      </c>
      <c r="E6076" t="inlineStr">
        <is>
          <t>ESLÖV</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17043-2024</t>
        </is>
      </c>
      <c r="B6077" s="1" t="n">
        <v>45412</v>
      </c>
      <c r="C6077" s="1" t="n">
        <v>45744</v>
      </c>
      <c r="D6077" t="inlineStr">
        <is>
          <t>SKÅNE LÄN</t>
        </is>
      </c>
      <c r="E6077" t="inlineStr">
        <is>
          <t>KRISTIANSTAD</t>
        </is>
      </c>
      <c r="G6077" t="n">
        <v>5.6</v>
      </c>
      <c r="H6077" t="n">
        <v>0</v>
      </c>
      <c r="I6077" t="n">
        <v>0</v>
      </c>
      <c r="J6077" t="n">
        <v>0</v>
      </c>
      <c r="K6077" t="n">
        <v>0</v>
      </c>
      <c r="L6077" t="n">
        <v>0</v>
      </c>
      <c r="M6077" t="n">
        <v>0</v>
      </c>
      <c r="N6077" t="n">
        <v>0</v>
      </c>
      <c r="O6077" t="n">
        <v>0</v>
      </c>
      <c r="P6077" t="n">
        <v>0</v>
      </c>
      <c r="Q6077" t="n">
        <v>0</v>
      </c>
      <c r="R6077" s="2" t="inlineStr"/>
    </row>
    <row r="6078" ht="15" customHeight="1">
      <c r="A6078" t="inlineStr">
        <is>
          <t>A 17027-2024</t>
        </is>
      </c>
      <c r="B6078" s="1" t="n">
        <v>45412</v>
      </c>
      <c r="C6078" s="1" t="n">
        <v>45744</v>
      </c>
      <c r="D6078" t="inlineStr">
        <is>
          <t>SKÅNE LÄN</t>
        </is>
      </c>
      <c r="E6078" t="inlineStr">
        <is>
          <t>SIMRISHAMN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17228-2024</t>
        </is>
      </c>
      <c r="B6079" s="1" t="n">
        <v>45414</v>
      </c>
      <c r="C6079" s="1" t="n">
        <v>45744</v>
      </c>
      <c r="D6079" t="inlineStr">
        <is>
          <t>SKÅNE LÄN</t>
        </is>
      </c>
      <c r="E6079" t="inlineStr">
        <is>
          <t>OSBY</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17300-2024</t>
        </is>
      </c>
      <c r="B6080" s="1" t="n">
        <v>45414</v>
      </c>
      <c r="C6080" s="1" t="n">
        <v>45744</v>
      </c>
      <c r="D6080" t="inlineStr">
        <is>
          <t>SKÅNE LÄN</t>
        </is>
      </c>
      <c r="E6080" t="inlineStr">
        <is>
          <t>HÖÖR</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17335-2024</t>
        </is>
      </c>
      <c r="B6081" s="1" t="n">
        <v>45414</v>
      </c>
      <c r="C6081" s="1" t="n">
        <v>45744</v>
      </c>
      <c r="D6081" t="inlineStr">
        <is>
          <t>SKÅNE LÄN</t>
        </is>
      </c>
      <c r="E6081" t="inlineStr">
        <is>
          <t>HÄSSLEHOLM</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17270-2024</t>
        </is>
      </c>
      <c r="B6082" s="1" t="n">
        <v>45414</v>
      </c>
      <c r="C6082" s="1" t="n">
        <v>45744</v>
      </c>
      <c r="D6082" t="inlineStr">
        <is>
          <t>SKÅNE LÄN</t>
        </is>
      </c>
      <c r="E6082" t="inlineStr">
        <is>
          <t>KRISTIANSTAD</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17316-2024</t>
        </is>
      </c>
      <c r="B6083" s="1" t="n">
        <v>45414</v>
      </c>
      <c r="C6083" s="1" t="n">
        <v>45744</v>
      </c>
      <c r="D6083" t="inlineStr">
        <is>
          <t>SKÅNE LÄN</t>
        </is>
      </c>
      <c r="E6083" t="inlineStr">
        <is>
          <t>TOMELILLA</t>
        </is>
      </c>
      <c r="F6083" t="inlineStr">
        <is>
          <t>Övriga Aktiebolag</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17320-2024</t>
        </is>
      </c>
      <c r="B6084" s="1" t="n">
        <v>45414</v>
      </c>
      <c r="C6084" s="1" t="n">
        <v>45744</v>
      </c>
      <c r="D6084" t="inlineStr">
        <is>
          <t>SKÅNE LÄN</t>
        </is>
      </c>
      <c r="E6084" t="inlineStr">
        <is>
          <t>HÄSSLEHOLM</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17371-2024</t>
        </is>
      </c>
      <c r="B6085" s="1" t="n">
        <v>45414</v>
      </c>
      <c r="C6085" s="1" t="n">
        <v>45744</v>
      </c>
      <c r="D6085" t="inlineStr">
        <is>
          <t>SKÅNE LÄN</t>
        </is>
      </c>
      <c r="E6085" t="inlineStr">
        <is>
          <t>KRISTIANSTAD</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17392-2024</t>
        </is>
      </c>
      <c r="B6086" s="1" t="n">
        <v>45414</v>
      </c>
      <c r="C6086" s="1" t="n">
        <v>45744</v>
      </c>
      <c r="D6086" t="inlineStr">
        <is>
          <t>SKÅNE LÄN</t>
        </is>
      </c>
      <c r="E6086" t="inlineStr">
        <is>
          <t>LANDSKRONA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17517-2024</t>
        </is>
      </c>
      <c r="B6087" s="1" t="n">
        <v>45415</v>
      </c>
      <c r="C6087" s="1" t="n">
        <v>45744</v>
      </c>
      <c r="D6087" t="inlineStr">
        <is>
          <t>SKÅNE LÄN</t>
        </is>
      </c>
      <c r="E6087" t="inlineStr">
        <is>
          <t>BROMÖLLA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17571-2024</t>
        </is>
      </c>
      <c r="B6088" s="1" t="n">
        <v>45415</v>
      </c>
      <c r="C6088" s="1" t="n">
        <v>45744</v>
      </c>
      <c r="D6088" t="inlineStr">
        <is>
          <t>SKÅNE LÄN</t>
        </is>
      </c>
      <c r="E6088" t="inlineStr">
        <is>
          <t>KRISTIANSTAD</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17613-2024</t>
        </is>
      </c>
      <c r="B6089" s="1" t="n">
        <v>45416</v>
      </c>
      <c r="C6089" s="1" t="n">
        <v>45744</v>
      </c>
      <c r="D6089" t="inlineStr">
        <is>
          <t>SKÅNE LÄN</t>
        </is>
      </c>
      <c r="E6089" t="inlineStr">
        <is>
          <t>KRISTIANSTAD</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17693-2024</t>
        </is>
      </c>
      <c r="B6090" s="1" t="n">
        <v>45418</v>
      </c>
      <c r="C6090" s="1" t="n">
        <v>45744</v>
      </c>
      <c r="D6090" t="inlineStr">
        <is>
          <t>SKÅNE LÄN</t>
        </is>
      </c>
      <c r="E6090" t="inlineStr">
        <is>
          <t>KRISTIANSTAD</t>
        </is>
      </c>
      <c r="F6090" t="inlineStr">
        <is>
          <t>Övriga Aktiebolag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17699-2024</t>
        </is>
      </c>
      <c r="B6091" s="1" t="n">
        <v>45418</v>
      </c>
      <c r="C6091" s="1" t="n">
        <v>45744</v>
      </c>
      <c r="D6091" t="inlineStr">
        <is>
          <t>SKÅNE LÄN</t>
        </is>
      </c>
      <c r="E6091" t="inlineStr">
        <is>
          <t>HÄSSLEHOLM</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17703-2024</t>
        </is>
      </c>
      <c r="B6092" s="1" t="n">
        <v>45418</v>
      </c>
      <c r="C6092" s="1" t="n">
        <v>45744</v>
      </c>
      <c r="D6092" t="inlineStr">
        <is>
          <t>SKÅNE LÄN</t>
        </is>
      </c>
      <c r="E6092" t="inlineStr">
        <is>
          <t>HÄSSLEHOLM</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17745-2024</t>
        </is>
      </c>
      <c r="B6093" s="1" t="n">
        <v>45418</v>
      </c>
      <c r="C6093" s="1" t="n">
        <v>45744</v>
      </c>
      <c r="D6093" t="inlineStr">
        <is>
          <t>SKÅNE LÄN</t>
        </is>
      </c>
      <c r="E6093" t="inlineStr">
        <is>
          <t>ÖRKELLJUNGA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17702-2024</t>
        </is>
      </c>
      <c r="B6094" s="1" t="n">
        <v>45418</v>
      </c>
      <c r="C6094" s="1" t="n">
        <v>45744</v>
      </c>
      <c r="D6094" t="inlineStr">
        <is>
          <t>SKÅNE LÄN</t>
        </is>
      </c>
      <c r="E6094" t="inlineStr">
        <is>
          <t>HÄSSLEHOLM</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17778-2024</t>
        </is>
      </c>
      <c r="B6095" s="1" t="n">
        <v>45418</v>
      </c>
      <c r="C6095" s="1" t="n">
        <v>45744</v>
      </c>
      <c r="D6095" t="inlineStr">
        <is>
          <t>SKÅNE LÄN</t>
        </is>
      </c>
      <c r="E6095" t="inlineStr">
        <is>
          <t>TOMELILLA</t>
        </is>
      </c>
      <c r="F6095" t="inlineStr">
        <is>
          <t>Övriga Aktiebolag</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17856-2024</t>
        </is>
      </c>
      <c r="B6096" s="1" t="n">
        <v>45419</v>
      </c>
      <c r="C6096" s="1" t="n">
        <v>45744</v>
      </c>
      <c r="D6096" t="inlineStr">
        <is>
          <t>SKÅNE LÄN</t>
        </is>
      </c>
      <c r="E6096" t="inlineStr">
        <is>
          <t>KLIPPAN</t>
        </is>
      </c>
      <c r="F6096" t="inlineStr">
        <is>
          <t>Övriga Aktiebolag</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17917-2024</t>
        </is>
      </c>
      <c r="B6097" s="1" t="n">
        <v>45419</v>
      </c>
      <c r="C6097" s="1" t="n">
        <v>45744</v>
      </c>
      <c r="D6097" t="inlineStr">
        <is>
          <t>SKÅNE LÄN</t>
        </is>
      </c>
      <c r="E6097" t="inlineStr">
        <is>
          <t>HÄSSLEHOLM</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17925-2024</t>
        </is>
      </c>
      <c r="B6098" s="1" t="n">
        <v>45419</v>
      </c>
      <c r="C6098" s="1" t="n">
        <v>45744</v>
      </c>
      <c r="D6098" t="inlineStr">
        <is>
          <t>SKÅNE LÄN</t>
        </is>
      </c>
      <c r="E6098" t="inlineStr">
        <is>
          <t>KRISTIANSTAD</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17907-2024</t>
        </is>
      </c>
      <c r="B6099" s="1" t="n">
        <v>45419</v>
      </c>
      <c r="C6099" s="1" t="n">
        <v>45744</v>
      </c>
      <c r="D6099" t="inlineStr">
        <is>
          <t>SKÅNE LÄN</t>
        </is>
      </c>
      <c r="E6099" t="inlineStr">
        <is>
          <t>TOMELILLA</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18033-2024</t>
        </is>
      </c>
      <c r="B6100" s="1" t="n">
        <v>45420</v>
      </c>
      <c r="C6100" s="1" t="n">
        <v>45744</v>
      </c>
      <c r="D6100" t="inlineStr">
        <is>
          <t>SKÅNE LÄN</t>
        </is>
      </c>
      <c r="E6100" t="inlineStr">
        <is>
          <t>HÖRBY</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18046-2024</t>
        </is>
      </c>
      <c r="B6101" s="1" t="n">
        <v>45420</v>
      </c>
      <c r="C6101" s="1" t="n">
        <v>45744</v>
      </c>
      <c r="D6101" t="inlineStr">
        <is>
          <t>SKÅNE LÄN</t>
        </is>
      </c>
      <c r="E6101" t="inlineStr">
        <is>
          <t>KRISTIANSTAD</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18141-2024</t>
        </is>
      </c>
      <c r="B6102" s="1" t="n">
        <v>45420</v>
      </c>
      <c r="C6102" s="1" t="n">
        <v>45744</v>
      </c>
      <c r="D6102" t="inlineStr">
        <is>
          <t>SKÅNE LÄN</t>
        </is>
      </c>
      <c r="E6102" t="inlineStr">
        <is>
          <t>SJÖBO</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18206-2024</t>
        </is>
      </c>
      <c r="B6103" s="1" t="n">
        <v>45420</v>
      </c>
      <c r="C6103" s="1" t="n">
        <v>45744</v>
      </c>
      <c r="D6103" t="inlineStr">
        <is>
          <t>SKÅNE LÄN</t>
        </is>
      </c>
      <c r="E6103" t="inlineStr">
        <is>
          <t>HÖRBY</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18019-2024</t>
        </is>
      </c>
      <c r="B6104" s="1" t="n">
        <v>45420</v>
      </c>
      <c r="C6104" s="1" t="n">
        <v>45744</v>
      </c>
      <c r="D6104" t="inlineStr">
        <is>
          <t>SKÅNE LÄN</t>
        </is>
      </c>
      <c r="E6104" t="inlineStr">
        <is>
          <t>ÖRKELLJUNGA</t>
        </is>
      </c>
      <c r="F6104" t="inlineStr">
        <is>
          <t>Kommuner</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18035-2024</t>
        </is>
      </c>
      <c r="B6105" s="1" t="n">
        <v>45420</v>
      </c>
      <c r="C6105" s="1" t="n">
        <v>45744</v>
      </c>
      <c r="D6105" t="inlineStr">
        <is>
          <t>SKÅNE LÄN</t>
        </is>
      </c>
      <c r="E6105" t="inlineStr">
        <is>
          <t>HÖRBY</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18038-2024</t>
        </is>
      </c>
      <c r="B6106" s="1" t="n">
        <v>45420</v>
      </c>
      <c r="C6106" s="1" t="n">
        <v>45744</v>
      </c>
      <c r="D6106" t="inlineStr">
        <is>
          <t>SKÅNE LÄN</t>
        </is>
      </c>
      <c r="E6106" t="inlineStr">
        <is>
          <t>HÖRBY</t>
        </is>
      </c>
      <c r="G6106" t="n">
        <v>13.9</v>
      </c>
      <c r="H6106" t="n">
        <v>0</v>
      </c>
      <c r="I6106" t="n">
        <v>0</v>
      </c>
      <c r="J6106" t="n">
        <v>0</v>
      </c>
      <c r="K6106" t="n">
        <v>0</v>
      </c>
      <c r="L6106" t="n">
        <v>0</v>
      </c>
      <c r="M6106" t="n">
        <v>0</v>
      </c>
      <c r="N6106" t="n">
        <v>0</v>
      </c>
      <c r="O6106" t="n">
        <v>0</v>
      </c>
      <c r="P6106" t="n">
        <v>0</v>
      </c>
      <c r="Q6106" t="n">
        <v>0</v>
      </c>
      <c r="R6106" s="2" t="inlineStr"/>
    </row>
    <row r="6107" ht="15" customHeight="1">
      <c r="A6107" t="inlineStr">
        <is>
          <t>A 18059-2024</t>
        </is>
      </c>
      <c r="B6107" s="1" t="n">
        <v>45420</v>
      </c>
      <c r="C6107" s="1" t="n">
        <v>45744</v>
      </c>
      <c r="D6107" t="inlineStr">
        <is>
          <t>SKÅNE LÄN</t>
        </is>
      </c>
      <c r="E6107" t="inlineStr">
        <is>
          <t>KRISTIANSTAD</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18079-2024</t>
        </is>
      </c>
      <c r="B6108" s="1" t="n">
        <v>45420</v>
      </c>
      <c r="C6108" s="1" t="n">
        <v>45744</v>
      </c>
      <c r="D6108" t="inlineStr">
        <is>
          <t>SKÅNE LÄN</t>
        </is>
      </c>
      <c r="E6108" t="inlineStr">
        <is>
          <t>KRISTIANSTAD</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18294-2024</t>
        </is>
      </c>
      <c r="B6109" s="1" t="n">
        <v>45422</v>
      </c>
      <c r="C6109" s="1" t="n">
        <v>45744</v>
      </c>
      <c r="D6109" t="inlineStr">
        <is>
          <t>SKÅNE LÄN</t>
        </is>
      </c>
      <c r="E6109" t="inlineStr">
        <is>
          <t>OSBY</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18340-2024</t>
        </is>
      </c>
      <c r="B6110" s="1" t="n">
        <v>45422</v>
      </c>
      <c r="C6110" s="1" t="n">
        <v>45744</v>
      </c>
      <c r="D6110" t="inlineStr">
        <is>
          <t>SKÅNE LÄN</t>
        </is>
      </c>
      <c r="E6110" t="inlineStr">
        <is>
          <t>ÖSTRA GÖINGE</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18378-2024</t>
        </is>
      </c>
      <c r="B6111" s="1" t="n">
        <v>45423</v>
      </c>
      <c r="C6111" s="1" t="n">
        <v>45744</v>
      </c>
      <c r="D6111" t="inlineStr">
        <is>
          <t>SKÅNE LÄN</t>
        </is>
      </c>
      <c r="E6111" t="inlineStr">
        <is>
          <t>OSBY</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18389-2024</t>
        </is>
      </c>
      <c r="B6112" s="1" t="n">
        <v>45424</v>
      </c>
      <c r="C6112" s="1" t="n">
        <v>45744</v>
      </c>
      <c r="D6112" t="inlineStr">
        <is>
          <t>SKÅNE LÄN</t>
        </is>
      </c>
      <c r="E6112" t="inlineStr">
        <is>
          <t>ÖRKELLJUNGA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18727-2024</t>
        </is>
      </c>
      <c r="B6113" s="1" t="n">
        <v>45426</v>
      </c>
      <c r="C6113" s="1" t="n">
        <v>45744</v>
      </c>
      <c r="D6113" t="inlineStr">
        <is>
          <t>SKÅNE LÄN</t>
        </is>
      </c>
      <c r="E6113" t="inlineStr">
        <is>
          <t>ÖSTRA GÖINGE</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18713-2024</t>
        </is>
      </c>
      <c r="B6114" s="1" t="n">
        <v>45426</v>
      </c>
      <c r="C6114" s="1" t="n">
        <v>45744</v>
      </c>
      <c r="D6114" t="inlineStr">
        <is>
          <t>SKÅNE LÄN</t>
        </is>
      </c>
      <c r="E6114" t="inlineStr">
        <is>
          <t>ESLÖV</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18717-2024</t>
        </is>
      </c>
      <c r="B6115" s="1" t="n">
        <v>45426</v>
      </c>
      <c r="C6115" s="1" t="n">
        <v>45744</v>
      </c>
      <c r="D6115" t="inlineStr">
        <is>
          <t>SKÅNE LÄN</t>
        </is>
      </c>
      <c r="E6115" t="inlineStr">
        <is>
          <t>ESLÖV</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18790-2024</t>
        </is>
      </c>
      <c r="B6116" s="1" t="n">
        <v>45426</v>
      </c>
      <c r="C6116" s="1" t="n">
        <v>45744</v>
      </c>
      <c r="D6116" t="inlineStr">
        <is>
          <t>SKÅNE LÄN</t>
        </is>
      </c>
      <c r="E6116" t="inlineStr">
        <is>
          <t>OSBY</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18786-2024</t>
        </is>
      </c>
      <c r="B6117" s="1" t="n">
        <v>45426</v>
      </c>
      <c r="C6117" s="1" t="n">
        <v>45744</v>
      </c>
      <c r="D6117" t="inlineStr">
        <is>
          <t>SKÅNE LÄN</t>
        </is>
      </c>
      <c r="E6117" t="inlineStr">
        <is>
          <t>SIMRISHAMN</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18857-2024</t>
        </is>
      </c>
      <c r="B6118" s="1" t="n">
        <v>45426</v>
      </c>
      <c r="C6118" s="1" t="n">
        <v>45744</v>
      </c>
      <c r="D6118" t="inlineStr">
        <is>
          <t>SKÅNE LÄN</t>
        </is>
      </c>
      <c r="E6118" t="inlineStr">
        <is>
          <t>SIMRISHAMN</t>
        </is>
      </c>
      <c r="F6118" t="inlineStr">
        <is>
          <t>Övriga Aktiebolag</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18856-2024</t>
        </is>
      </c>
      <c r="B6119" s="1" t="n">
        <v>45426</v>
      </c>
      <c r="C6119" s="1" t="n">
        <v>45744</v>
      </c>
      <c r="D6119" t="inlineStr">
        <is>
          <t>SKÅNE LÄN</t>
        </is>
      </c>
      <c r="E6119" t="inlineStr">
        <is>
          <t>SIMRISHAMN</t>
        </is>
      </c>
      <c r="F6119" t="inlineStr">
        <is>
          <t>Övriga Aktiebolag</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18698-2024</t>
        </is>
      </c>
      <c r="B6120" s="1" t="n">
        <v>45426</v>
      </c>
      <c r="C6120" s="1" t="n">
        <v>45744</v>
      </c>
      <c r="D6120" t="inlineStr">
        <is>
          <t>SKÅNE LÄN</t>
        </is>
      </c>
      <c r="E6120" t="inlineStr">
        <is>
          <t>TOMELILLA</t>
        </is>
      </c>
      <c r="F6120" t="inlineStr">
        <is>
          <t>Övriga Aktiebolag</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18735-2024</t>
        </is>
      </c>
      <c r="B6121" s="1" t="n">
        <v>45426</v>
      </c>
      <c r="C6121" s="1" t="n">
        <v>45744</v>
      </c>
      <c r="D6121" t="inlineStr">
        <is>
          <t>SKÅNE LÄN</t>
        </is>
      </c>
      <c r="E6121" t="inlineStr">
        <is>
          <t>KRISTIANSTAD</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19010-2024</t>
        </is>
      </c>
      <c r="B6122" s="1" t="n">
        <v>45427</v>
      </c>
      <c r="C6122" s="1" t="n">
        <v>45744</v>
      </c>
      <c r="D6122" t="inlineStr">
        <is>
          <t>SKÅNE LÄN</t>
        </is>
      </c>
      <c r="E6122" t="inlineStr">
        <is>
          <t>OSBY</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19022-2024</t>
        </is>
      </c>
      <c r="B6123" s="1" t="n">
        <v>45427</v>
      </c>
      <c r="C6123" s="1" t="n">
        <v>45744</v>
      </c>
      <c r="D6123" t="inlineStr">
        <is>
          <t>SKÅNE LÄN</t>
        </is>
      </c>
      <c r="E6123" t="inlineStr">
        <is>
          <t>HÄSSLEHOLM</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18899-2024</t>
        </is>
      </c>
      <c r="B6124" s="1" t="n">
        <v>45427</v>
      </c>
      <c r="C6124" s="1" t="n">
        <v>45744</v>
      </c>
      <c r="D6124" t="inlineStr">
        <is>
          <t>SKÅNE LÄN</t>
        </is>
      </c>
      <c r="E6124" t="inlineStr">
        <is>
          <t>BÅSTAD</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18887-2024</t>
        </is>
      </c>
      <c r="B6125" s="1" t="n">
        <v>45427</v>
      </c>
      <c r="C6125" s="1" t="n">
        <v>45744</v>
      </c>
      <c r="D6125" t="inlineStr">
        <is>
          <t>SKÅNE LÄN</t>
        </is>
      </c>
      <c r="E6125" t="inlineStr">
        <is>
          <t>SVEDALA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18888-2024</t>
        </is>
      </c>
      <c r="B6126" s="1" t="n">
        <v>45427</v>
      </c>
      <c r="C6126" s="1" t="n">
        <v>45744</v>
      </c>
      <c r="D6126" t="inlineStr">
        <is>
          <t>SKÅNE LÄN</t>
        </is>
      </c>
      <c r="E6126" t="inlineStr">
        <is>
          <t>SVEDALA</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19020-2024</t>
        </is>
      </c>
      <c r="B6127" s="1" t="n">
        <v>45427</v>
      </c>
      <c r="C6127" s="1" t="n">
        <v>45744</v>
      </c>
      <c r="D6127" t="inlineStr">
        <is>
          <t>SKÅNE LÄN</t>
        </is>
      </c>
      <c r="E6127" t="inlineStr">
        <is>
          <t>HÄSSLEHOLM</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19009-2024</t>
        </is>
      </c>
      <c r="B6128" s="1" t="n">
        <v>45427</v>
      </c>
      <c r="C6128" s="1" t="n">
        <v>45744</v>
      </c>
      <c r="D6128" t="inlineStr">
        <is>
          <t>SKÅNE LÄN</t>
        </is>
      </c>
      <c r="E6128" t="inlineStr">
        <is>
          <t>OSBY</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19278-2024</t>
        </is>
      </c>
      <c r="B6129" s="1" t="n">
        <v>45428</v>
      </c>
      <c r="C6129" s="1" t="n">
        <v>45744</v>
      </c>
      <c r="D6129" t="inlineStr">
        <is>
          <t>SKÅNE LÄN</t>
        </is>
      </c>
      <c r="E6129" t="inlineStr">
        <is>
          <t>KRISTIANSTAD</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19149-2024</t>
        </is>
      </c>
      <c r="B6130" s="1" t="n">
        <v>45428</v>
      </c>
      <c r="C6130" s="1" t="n">
        <v>45744</v>
      </c>
      <c r="D6130" t="inlineStr">
        <is>
          <t>SKÅNE LÄN</t>
        </is>
      </c>
      <c r="E6130" t="inlineStr">
        <is>
          <t>ÖSTRA GÖINGE</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19271-2024</t>
        </is>
      </c>
      <c r="B6131" s="1" t="n">
        <v>45428</v>
      </c>
      <c r="C6131" s="1" t="n">
        <v>45744</v>
      </c>
      <c r="D6131" t="inlineStr">
        <is>
          <t>SKÅNE LÄN</t>
        </is>
      </c>
      <c r="E6131" t="inlineStr">
        <is>
          <t>TRELLEBORG</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19268-2024</t>
        </is>
      </c>
      <c r="B6132" s="1" t="n">
        <v>45428</v>
      </c>
      <c r="C6132" s="1" t="n">
        <v>45744</v>
      </c>
      <c r="D6132" t="inlineStr">
        <is>
          <t>SKÅNE LÄN</t>
        </is>
      </c>
      <c r="E6132" t="inlineStr">
        <is>
          <t>SVEDALA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19435-2024</t>
        </is>
      </c>
      <c r="B6133" s="1" t="n">
        <v>45429</v>
      </c>
      <c r="C6133" s="1" t="n">
        <v>45744</v>
      </c>
      <c r="D6133" t="inlineStr">
        <is>
          <t>SKÅNE LÄN</t>
        </is>
      </c>
      <c r="E6133" t="inlineStr">
        <is>
          <t>SIMRISHAMN</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19439-2024</t>
        </is>
      </c>
      <c r="B6134" s="1" t="n">
        <v>45429</v>
      </c>
      <c r="C6134" s="1" t="n">
        <v>45744</v>
      </c>
      <c r="D6134" t="inlineStr">
        <is>
          <t>SKÅNE LÄN</t>
        </is>
      </c>
      <c r="E6134" t="inlineStr">
        <is>
          <t>SIMRISHAMN</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19491-2024</t>
        </is>
      </c>
      <c r="B6135" s="1" t="n">
        <v>45429</v>
      </c>
      <c r="C6135" s="1" t="n">
        <v>45744</v>
      </c>
      <c r="D6135" t="inlineStr">
        <is>
          <t>SKÅNE LÄN</t>
        </is>
      </c>
      <c r="E6135" t="inlineStr">
        <is>
          <t>OSBY</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19440-2024</t>
        </is>
      </c>
      <c r="B6136" s="1" t="n">
        <v>45429</v>
      </c>
      <c r="C6136" s="1" t="n">
        <v>45744</v>
      </c>
      <c r="D6136" t="inlineStr">
        <is>
          <t>SKÅNE LÄN</t>
        </is>
      </c>
      <c r="E6136" t="inlineStr">
        <is>
          <t>ÖRKELLJUNGA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19457-2024</t>
        </is>
      </c>
      <c r="B6137" s="1" t="n">
        <v>45429</v>
      </c>
      <c r="C6137" s="1" t="n">
        <v>45744</v>
      </c>
      <c r="D6137" t="inlineStr">
        <is>
          <t>SKÅNE LÄN</t>
        </is>
      </c>
      <c r="E6137" t="inlineStr">
        <is>
          <t>TOMELILLA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19500-2024</t>
        </is>
      </c>
      <c r="B6138" s="1" t="n">
        <v>45429</v>
      </c>
      <c r="C6138" s="1" t="n">
        <v>45744</v>
      </c>
      <c r="D6138" t="inlineStr">
        <is>
          <t>SKÅNE LÄN</t>
        </is>
      </c>
      <c r="E6138" t="inlineStr">
        <is>
          <t>TOMELILLA</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19450-2024</t>
        </is>
      </c>
      <c r="B6139" s="1" t="n">
        <v>45429</v>
      </c>
      <c r="C6139" s="1" t="n">
        <v>45744</v>
      </c>
      <c r="D6139" t="inlineStr">
        <is>
          <t>SKÅNE LÄN</t>
        </is>
      </c>
      <c r="E6139" t="inlineStr">
        <is>
          <t>KRISTIANSTAD</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19454-2024</t>
        </is>
      </c>
      <c r="B6140" s="1" t="n">
        <v>45429</v>
      </c>
      <c r="C6140" s="1" t="n">
        <v>45744</v>
      </c>
      <c r="D6140" t="inlineStr">
        <is>
          <t>SKÅNE LÄN</t>
        </is>
      </c>
      <c r="E6140" t="inlineStr">
        <is>
          <t>TOMELILLA</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19498-2024</t>
        </is>
      </c>
      <c r="B6141" s="1" t="n">
        <v>45429</v>
      </c>
      <c r="C6141" s="1" t="n">
        <v>45744</v>
      </c>
      <c r="D6141" t="inlineStr">
        <is>
          <t>SKÅNE LÄN</t>
        </is>
      </c>
      <c r="E6141" t="inlineStr">
        <is>
          <t>TOMELILLA</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19549-2024</t>
        </is>
      </c>
      <c r="B6142" s="1" t="n">
        <v>45429</v>
      </c>
      <c r="C6142" s="1" t="n">
        <v>45744</v>
      </c>
      <c r="D6142" t="inlineStr">
        <is>
          <t>SKÅNE LÄN</t>
        </is>
      </c>
      <c r="E6142" t="inlineStr">
        <is>
          <t>OSBY</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19674-2024</t>
        </is>
      </c>
      <c r="B6143" s="1" t="n">
        <v>45432</v>
      </c>
      <c r="C6143" s="1" t="n">
        <v>45744</v>
      </c>
      <c r="D6143" t="inlineStr">
        <is>
          <t>SKÅNE LÄN</t>
        </is>
      </c>
      <c r="E6143" t="inlineStr">
        <is>
          <t>KRISTIANSTAD</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19689-2024</t>
        </is>
      </c>
      <c r="B6144" s="1" t="n">
        <v>45432</v>
      </c>
      <c r="C6144" s="1" t="n">
        <v>45744</v>
      </c>
      <c r="D6144" t="inlineStr">
        <is>
          <t>SKÅNE LÄN</t>
        </is>
      </c>
      <c r="E6144" t="inlineStr">
        <is>
          <t>OSBY</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19693-2024</t>
        </is>
      </c>
      <c r="B6145" s="1" t="n">
        <v>45432</v>
      </c>
      <c r="C6145" s="1" t="n">
        <v>45744</v>
      </c>
      <c r="D6145" t="inlineStr">
        <is>
          <t>SKÅNE LÄN</t>
        </is>
      </c>
      <c r="E6145" t="inlineStr">
        <is>
          <t>OSBY</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19729-2024</t>
        </is>
      </c>
      <c r="B6146" s="1" t="n">
        <v>45432</v>
      </c>
      <c r="C6146" s="1" t="n">
        <v>45744</v>
      </c>
      <c r="D6146" t="inlineStr">
        <is>
          <t>SKÅNE LÄN</t>
        </is>
      </c>
      <c r="E6146" t="inlineStr">
        <is>
          <t>KLIPPAN</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19687-2024</t>
        </is>
      </c>
      <c r="B6147" s="1" t="n">
        <v>45432</v>
      </c>
      <c r="C6147" s="1" t="n">
        <v>45744</v>
      </c>
      <c r="D6147" t="inlineStr">
        <is>
          <t>SKÅNE LÄN</t>
        </is>
      </c>
      <c r="E6147" t="inlineStr">
        <is>
          <t>OSBY</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19643-2024</t>
        </is>
      </c>
      <c r="B6148" s="1" t="n">
        <v>45432</v>
      </c>
      <c r="C6148" s="1" t="n">
        <v>45744</v>
      </c>
      <c r="D6148" t="inlineStr">
        <is>
          <t>SKÅNE LÄN</t>
        </is>
      </c>
      <c r="E6148" t="inlineStr">
        <is>
          <t>ÖRKELLJUNGA</t>
        </is>
      </c>
      <c r="F6148" t="inlineStr">
        <is>
          <t>Kommuner</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19644-2024</t>
        </is>
      </c>
      <c r="B6149" s="1" t="n">
        <v>45432</v>
      </c>
      <c r="C6149" s="1" t="n">
        <v>45744</v>
      </c>
      <c r="D6149" t="inlineStr">
        <is>
          <t>SKÅNE LÄN</t>
        </is>
      </c>
      <c r="E6149" t="inlineStr">
        <is>
          <t>ESLÖV</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19780-2024</t>
        </is>
      </c>
      <c r="B6150" s="1" t="n">
        <v>45432</v>
      </c>
      <c r="C6150" s="1" t="n">
        <v>45744</v>
      </c>
      <c r="D6150" t="inlineStr">
        <is>
          <t>SKÅNE LÄN</t>
        </is>
      </c>
      <c r="E6150" t="inlineStr">
        <is>
          <t>ÖRKELLJUNGA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19817-2024</t>
        </is>
      </c>
      <c r="B6151" s="1" t="n">
        <v>45433</v>
      </c>
      <c r="C6151" s="1" t="n">
        <v>45744</v>
      </c>
      <c r="D6151" t="inlineStr">
        <is>
          <t>SKÅNE LÄN</t>
        </is>
      </c>
      <c r="E6151" t="inlineStr">
        <is>
          <t>PERSTORP</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19877-2024</t>
        </is>
      </c>
      <c r="B6152" s="1" t="n">
        <v>45433</v>
      </c>
      <c r="C6152" s="1" t="n">
        <v>45744</v>
      </c>
      <c r="D6152" t="inlineStr">
        <is>
          <t>SKÅNE LÄN</t>
        </is>
      </c>
      <c r="E6152" t="inlineStr">
        <is>
          <t>SJÖBO</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19874-2024</t>
        </is>
      </c>
      <c r="B6153" s="1" t="n">
        <v>45433</v>
      </c>
      <c r="C6153" s="1" t="n">
        <v>45744</v>
      </c>
      <c r="D6153" t="inlineStr">
        <is>
          <t>SKÅNE LÄN</t>
        </is>
      </c>
      <c r="E6153" t="inlineStr">
        <is>
          <t>SIMRISHAMN</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19880-2024</t>
        </is>
      </c>
      <c r="B6154" s="1" t="n">
        <v>45433</v>
      </c>
      <c r="C6154" s="1" t="n">
        <v>45744</v>
      </c>
      <c r="D6154" t="inlineStr">
        <is>
          <t>SKÅNE LÄN</t>
        </is>
      </c>
      <c r="E6154" t="inlineStr">
        <is>
          <t>SJÖBO</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19884-2024</t>
        </is>
      </c>
      <c r="B6155" s="1" t="n">
        <v>45433</v>
      </c>
      <c r="C6155" s="1" t="n">
        <v>45744</v>
      </c>
      <c r="D6155" t="inlineStr">
        <is>
          <t>SKÅNE LÄN</t>
        </is>
      </c>
      <c r="E6155" t="inlineStr">
        <is>
          <t>SJÖBO</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19888-2024</t>
        </is>
      </c>
      <c r="B6156" s="1" t="n">
        <v>45433</v>
      </c>
      <c r="C6156" s="1" t="n">
        <v>45744</v>
      </c>
      <c r="D6156" t="inlineStr">
        <is>
          <t>SKÅNE LÄN</t>
        </is>
      </c>
      <c r="E6156" t="inlineStr">
        <is>
          <t>SJÖBO</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19883-2024</t>
        </is>
      </c>
      <c r="B6157" s="1" t="n">
        <v>45433</v>
      </c>
      <c r="C6157" s="1" t="n">
        <v>45744</v>
      </c>
      <c r="D6157" t="inlineStr">
        <is>
          <t>SKÅNE LÄN</t>
        </is>
      </c>
      <c r="E6157" t="inlineStr">
        <is>
          <t>SJÖBO</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19891-2024</t>
        </is>
      </c>
      <c r="B6158" s="1" t="n">
        <v>45433</v>
      </c>
      <c r="C6158" s="1" t="n">
        <v>45744</v>
      </c>
      <c r="D6158" t="inlineStr">
        <is>
          <t>SKÅNE LÄN</t>
        </is>
      </c>
      <c r="E6158" t="inlineStr">
        <is>
          <t>TOMELILLA</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19895-2024</t>
        </is>
      </c>
      <c r="B6159" s="1" t="n">
        <v>45433</v>
      </c>
      <c r="C6159" s="1" t="n">
        <v>45744</v>
      </c>
      <c r="D6159" t="inlineStr">
        <is>
          <t>SKÅNE LÄN</t>
        </is>
      </c>
      <c r="E6159" t="inlineStr">
        <is>
          <t>TOMELILLA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19892-2024</t>
        </is>
      </c>
      <c r="B6160" s="1" t="n">
        <v>45433</v>
      </c>
      <c r="C6160" s="1" t="n">
        <v>45744</v>
      </c>
      <c r="D6160" t="inlineStr">
        <is>
          <t>SKÅNE LÄN</t>
        </is>
      </c>
      <c r="E6160" t="inlineStr">
        <is>
          <t>TOMELILLA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19893-2024</t>
        </is>
      </c>
      <c r="B6161" s="1" t="n">
        <v>45433</v>
      </c>
      <c r="C6161" s="1" t="n">
        <v>45744</v>
      </c>
      <c r="D6161" t="inlineStr">
        <is>
          <t>SKÅNE LÄN</t>
        </is>
      </c>
      <c r="E6161" t="inlineStr">
        <is>
          <t>TOMELILLA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19926-2024</t>
        </is>
      </c>
      <c r="B6162" s="1" t="n">
        <v>45433</v>
      </c>
      <c r="C6162" s="1" t="n">
        <v>45744</v>
      </c>
      <c r="D6162" t="inlineStr">
        <is>
          <t>SKÅNE LÄN</t>
        </is>
      </c>
      <c r="E6162" t="inlineStr">
        <is>
          <t>TOMELILLA</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20047-2024</t>
        </is>
      </c>
      <c r="B6163" s="1" t="n">
        <v>45434</v>
      </c>
      <c r="C6163" s="1" t="n">
        <v>45744</v>
      </c>
      <c r="D6163" t="inlineStr">
        <is>
          <t>SKÅNE LÄN</t>
        </is>
      </c>
      <c r="E6163" t="inlineStr">
        <is>
          <t>SVALÖV</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20063-2024</t>
        </is>
      </c>
      <c r="B6164" s="1" t="n">
        <v>45434</v>
      </c>
      <c r="C6164" s="1" t="n">
        <v>45744</v>
      </c>
      <c r="D6164" t="inlineStr">
        <is>
          <t>SKÅNE LÄN</t>
        </is>
      </c>
      <c r="E6164" t="inlineStr">
        <is>
          <t>ÖSTRA GÖINGE</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20096-2024</t>
        </is>
      </c>
      <c r="B6165" s="1" t="n">
        <v>45434</v>
      </c>
      <c r="C6165" s="1" t="n">
        <v>45744</v>
      </c>
      <c r="D6165" t="inlineStr">
        <is>
          <t>SKÅNE LÄN</t>
        </is>
      </c>
      <c r="E6165" t="inlineStr">
        <is>
          <t>SIMRISHAMN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20160-2024</t>
        </is>
      </c>
      <c r="B6166" s="1" t="n">
        <v>45434</v>
      </c>
      <c r="C6166" s="1" t="n">
        <v>45744</v>
      </c>
      <c r="D6166" t="inlineStr">
        <is>
          <t>SKÅNE LÄN</t>
        </is>
      </c>
      <c r="E6166" t="inlineStr">
        <is>
          <t>ESLÖV</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20054-2024</t>
        </is>
      </c>
      <c r="B6167" s="1" t="n">
        <v>45434</v>
      </c>
      <c r="C6167" s="1" t="n">
        <v>45744</v>
      </c>
      <c r="D6167" t="inlineStr">
        <is>
          <t>SKÅNE LÄN</t>
        </is>
      </c>
      <c r="E6167" t="inlineStr">
        <is>
          <t>BJUV</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20170-2024</t>
        </is>
      </c>
      <c r="B6168" s="1" t="n">
        <v>45434</v>
      </c>
      <c r="C6168" s="1" t="n">
        <v>45744</v>
      </c>
      <c r="D6168" t="inlineStr">
        <is>
          <t>SKÅNE LÄN</t>
        </is>
      </c>
      <c r="E6168" t="inlineStr">
        <is>
          <t>SVALÖV</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20113-2024</t>
        </is>
      </c>
      <c r="B6169" s="1" t="n">
        <v>45434</v>
      </c>
      <c r="C6169" s="1" t="n">
        <v>45744</v>
      </c>
      <c r="D6169" t="inlineStr">
        <is>
          <t>SKÅNE LÄN</t>
        </is>
      </c>
      <c r="E6169" t="inlineStr">
        <is>
          <t>OSBY</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20117-2024</t>
        </is>
      </c>
      <c r="B6170" s="1" t="n">
        <v>45434</v>
      </c>
      <c r="C6170" s="1" t="n">
        <v>45744</v>
      </c>
      <c r="D6170" t="inlineStr">
        <is>
          <t>SKÅNE LÄN</t>
        </is>
      </c>
      <c r="E6170" t="inlineStr">
        <is>
          <t>ESLÖV</t>
        </is>
      </c>
      <c r="G6170" t="n">
        <v>6.1</v>
      </c>
      <c r="H6170" t="n">
        <v>0</v>
      </c>
      <c r="I6170" t="n">
        <v>0</v>
      </c>
      <c r="J6170" t="n">
        <v>0</v>
      </c>
      <c r="K6170" t="n">
        <v>0</v>
      </c>
      <c r="L6170" t="n">
        <v>0</v>
      </c>
      <c r="M6170" t="n">
        <v>0</v>
      </c>
      <c r="N6170" t="n">
        <v>0</v>
      </c>
      <c r="O6170" t="n">
        <v>0</v>
      </c>
      <c r="P6170" t="n">
        <v>0</v>
      </c>
      <c r="Q6170" t="n">
        <v>0</v>
      </c>
      <c r="R6170" s="2" t="inlineStr"/>
    </row>
    <row r="6171" ht="15" customHeight="1">
      <c r="A6171" t="inlineStr">
        <is>
          <t>A 20125-2024</t>
        </is>
      </c>
      <c r="B6171" s="1" t="n">
        <v>45434</v>
      </c>
      <c r="C6171" s="1" t="n">
        <v>45744</v>
      </c>
      <c r="D6171" t="inlineStr">
        <is>
          <t>SKÅNE LÄN</t>
        </is>
      </c>
      <c r="E6171" t="inlineStr">
        <is>
          <t>SVALÖV</t>
        </is>
      </c>
      <c r="G6171" t="n">
        <v>5.7</v>
      </c>
      <c r="H6171" t="n">
        <v>0</v>
      </c>
      <c r="I6171" t="n">
        <v>0</v>
      </c>
      <c r="J6171" t="n">
        <v>0</v>
      </c>
      <c r="K6171" t="n">
        <v>0</v>
      </c>
      <c r="L6171" t="n">
        <v>0</v>
      </c>
      <c r="M6171" t="n">
        <v>0</v>
      </c>
      <c r="N6171" t="n">
        <v>0</v>
      </c>
      <c r="O6171" t="n">
        <v>0</v>
      </c>
      <c r="P6171" t="n">
        <v>0</v>
      </c>
      <c r="Q6171" t="n">
        <v>0</v>
      </c>
      <c r="R6171" s="2" t="inlineStr"/>
    </row>
    <row r="6172" ht="15" customHeight="1">
      <c r="A6172" t="inlineStr">
        <is>
          <t>A 20185-2024</t>
        </is>
      </c>
      <c r="B6172" s="1" t="n">
        <v>45434</v>
      </c>
      <c r="C6172" s="1" t="n">
        <v>45744</v>
      </c>
      <c r="D6172" t="inlineStr">
        <is>
          <t>SKÅNE LÄN</t>
        </is>
      </c>
      <c r="E6172" t="inlineStr">
        <is>
          <t>ESLÖV</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20139-2024</t>
        </is>
      </c>
      <c r="B6173" s="1" t="n">
        <v>45434</v>
      </c>
      <c r="C6173" s="1" t="n">
        <v>45744</v>
      </c>
      <c r="D6173" t="inlineStr">
        <is>
          <t>SKÅNE LÄN</t>
        </is>
      </c>
      <c r="E6173" t="inlineStr">
        <is>
          <t>SVALÖV</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20176-2024</t>
        </is>
      </c>
      <c r="B6174" s="1" t="n">
        <v>45434</v>
      </c>
      <c r="C6174" s="1" t="n">
        <v>45744</v>
      </c>
      <c r="D6174" t="inlineStr">
        <is>
          <t>SKÅNE LÄN</t>
        </is>
      </c>
      <c r="E6174" t="inlineStr">
        <is>
          <t>HÖRBY</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20392-2024</t>
        </is>
      </c>
      <c r="B6175" s="1" t="n">
        <v>45435</v>
      </c>
      <c r="C6175" s="1" t="n">
        <v>45744</v>
      </c>
      <c r="D6175" t="inlineStr">
        <is>
          <t>SKÅNE LÄN</t>
        </is>
      </c>
      <c r="E6175" t="inlineStr">
        <is>
          <t>HÖRBY</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20396-2024</t>
        </is>
      </c>
      <c r="B6176" s="1" t="n">
        <v>45435</v>
      </c>
      <c r="C6176" s="1" t="n">
        <v>45744</v>
      </c>
      <c r="D6176" t="inlineStr">
        <is>
          <t>SKÅNE LÄN</t>
        </is>
      </c>
      <c r="E6176" t="inlineStr">
        <is>
          <t>HÖRBY</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20494-2024</t>
        </is>
      </c>
      <c r="B6177" s="1" t="n">
        <v>45435</v>
      </c>
      <c r="C6177" s="1" t="n">
        <v>45744</v>
      </c>
      <c r="D6177" t="inlineStr">
        <is>
          <t>SKÅNE LÄN</t>
        </is>
      </c>
      <c r="E6177" t="inlineStr">
        <is>
          <t>HÄSSLEHOLM</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20395-2024</t>
        </is>
      </c>
      <c r="B6178" s="1" t="n">
        <v>45435</v>
      </c>
      <c r="C6178" s="1" t="n">
        <v>45744</v>
      </c>
      <c r="D6178" t="inlineStr">
        <is>
          <t>SKÅNE LÄN</t>
        </is>
      </c>
      <c r="E6178" t="inlineStr">
        <is>
          <t>HÖRBY</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20403-2024</t>
        </is>
      </c>
      <c r="B6179" s="1" t="n">
        <v>45435</v>
      </c>
      <c r="C6179" s="1" t="n">
        <v>45744</v>
      </c>
      <c r="D6179" t="inlineStr">
        <is>
          <t>SKÅNE LÄN</t>
        </is>
      </c>
      <c r="E6179" t="inlineStr">
        <is>
          <t>HÖRBY</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20407-2024</t>
        </is>
      </c>
      <c r="B6180" s="1" t="n">
        <v>45435</v>
      </c>
      <c r="C6180" s="1" t="n">
        <v>45744</v>
      </c>
      <c r="D6180" t="inlineStr">
        <is>
          <t>SKÅNE LÄN</t>
        </is>
      </c>
      <c r="E6180" t="inlineStr">
        <is>
          <t>ÖSTRA GÖINGE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20493-2024</t>
        </is>
      </c>
      <c r="B6181" s="1" t="n">
        <v>45435</v>
      </c>
      <c r="C6181" s="1" t="n">
        <v>45744</v>
      </c>
      <c r="D6181" t="inlineStr">
        <is>
          <t>SKÅNE LÄN</t>
        </is>
      </c>
      <c r="E6181" t="inlineStr">
        <is>
          <t>HÄSSLEHOLM</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20390-2024</t>
        </is>
      </c>
      <c r="B6182" s="1" t="n">
        <v>45435</v>
      </c>
      <c r="C6182" s="1" t="n">
        <v>45744</v>
      </c>
      <c r="D6182" t="inlineStr">
        <is>
          <t>SKÅNE LÄN</t>
        </is>
      </c>
      <c r="E6182" t="inlineStr">
        <is>
          <t>SIMRISHAMN</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20492-2024</t>
        </is>
      </c>
      <c r="B6183" s="1" t="n">
        <v>45435</v>
      </c>
      <c r="C6183" s="1" t="n">
        <v>45744</v>
      </c>
      <c r="D6183" t="inlineStr">
        <is>
          <t>SKÅNE LÄN</t>
        </is>
      </c>
      <c r="E6183" t="inlineStr">
        <is>
          <t>ÖRKELLJUNGA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20630-2024</t>
        </is>
      </c>
      <c r="B6184" s="1" t="n">
        <v>45436</v>
      </c>
      <c r="C6184" s="1" t="n">
        <v>45744</v>
      </c>
      <c r="D6184" t="inlineStr">
        <is>
          <t>SKÅNE LÄN</t>
        </is>
      </c>
      <c r="E6184" t="inlineStr">
        <is>
          <t>OSBY</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20636-2024</t>
        </is>
      </c>
      <c r="B6185" s="1" t="n">
        <v>45436</v>
      </c>
      <c r="C6185" s="1" t="n">
        <v>45744</v>
      </c>
      <c r="D6185" t="inlineStr">
        <is>
          <t>SKÅNE LÄN</t>
        </is>
      </c>
      <c r="E6185" t="inlineStr">
        <is>
          <t>OSBY</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20640-2024</t>
        </is>
      </c>
      <c r="B6186" s="1" t="n">
        <v>45436</v>
      </c>
      <c r="C6186" s="1" t="n">
        <v>45744</v>
      </c>
      <c r="D6186" t="inlineStr">
        <is>
          <t>SKÅNE LÄN</t>
        </is>
      </c>
      <c r="E6186" t="inlineStr">
        <is>
          <t>OSBY</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20665-2024</t>
        </is>
      </c>
      <c r="B6187" s="1" t="n">
        <v>45436</v>
      </c>
      <c r="C6187" s="1" t="n">
        <v>45744</v>
      </c>
      <c r="D6187" t="inlineStr">
        <is>
          <t>SKÅNE LÄN</t>
        </is>
      </c>
      <c r="E6187" t="inlineStr">
        <is>
          <t>ÖSTRA GÖINGE</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20601-2024</t>
        </is>
      </c>
      <c r="B6188" s="1" t="n">
        <v>45436</v>
      </c>
      <c r="C6188" s="1" t="n">
        <v>45744</v>
      </c>
      <c r="D6188" t="inlineStr">
        <is>
          <t>SKÅNE LÄN</t>
        </is>
      </c>
      <c r="E6188" t="inlineStr">
        <is>
          <t>OSBY</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20595-2024</t>
        </is>
      </c>
      <c r="B6189" s="1" t="n">
        <v>45436</v>
      </c>
      <c r="C6189" s="1" t="n">
        <v>45744</v>
      </c>
      <c r="D6189" t="inlineStr">
        <is>
          <t>SKÅNE LÄN</t>
        </is>
      </c>
      <c r="E6189" t="inlineStr">
        <is>
          <t>HÖRBY</t>
        </is>
      </c>
      <c r="F6189" t="inlineStr">
        <is>
          <t>Sveaskog</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20599-2024</t>
        </is>
      </c>
      <c r="B6190" s="1" t="n">
        <v>45436</v>
      </c>
      <c r="C6190" s="1" t="n">
        <v>45744</v>
      </c>
      <c r="D6190" t="inlineStr">
        <is>
          <t>SKÅNE LÄN</t>
        </is>
      </c>
      <c r="E6190" t="inlineStr">
        <is>
          <t>OSBY</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20635-2024</t>
        </is>
      </c>
      <c r="B6191" s="1" t="n">
        <v>45436</v>
      </c>
      <c r="C6191" s="1" t="n">
        <v>45744</v>
      </c>
      <c r="D6191" t="inlineStr">
        <is>
          <t>SKÅNE LÄN</t>
        </is>
      </c>
      <c r="E6191" t="inlineStr">
        <is>
          <t>ÄNGELHOLM</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20639-2024</t>
        </is>
      </c>
      <c r="B6192" s="1" t="n">
        <v>45436</v>
      </c>
      <c r="C6192" s="1" t="n">
        <v>45744</v>
      </c>
      <c r="D6192" t="inlineStr">
        <is>
          <t>SKÅNE LÄN</t>
        </is>
      </c>
      <c r="E6192" t="inlineStr">
        <is>
          <t>HÄSSLEHOLM</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20643-2024</t>
        </is>
      </c>
      <c r="B6193" s="1" t="n">
        <v>45436</v>
      </c>
      <c r="C6193" s="1" t="n">
        <v>45744</v>
      </c>
      <c r="D6193" t="inlineStr">
        <is>
          <t>SKÅNE LÄN</t>
        </is>
      </c>
      <c r="E6193" t="inlineStr">
        <is>
          <t>OSBY</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20668-2024</t>
        </is>
      </c>
      <c r="B6194" s="1" t="n">
        <v>45436</v>
      </c>
      <c r="C6194" s="1" t="n">
        <v>45744</v>
      </c>
      <c r="D6194" t="inlineStr">
        <is>
          <t>SKÅNE LÄN</t>
        </is>
      </c>
      <c r="E6194" t="inlineStr">
        <is>
          <t>HÄSSLEHOLM</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20790-2024</t>
        </is>
      </c>
      <c r="B6195" s="1" t="n">
        <v>45438</v>
      </c>
      <c r="C6195" s="1" t="n">
        <v>45744</v>
      </c>
      <c r="D6195" t="inlineStr">
        <is>
          <t>SKÅNE LÄN</t>
        </is>
      </c>
      <c r="E6195" t="inlineStr">
        <is>
          <t>OSBY</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21023-2024</t>
        </is>
      </c>
      <c r="B6196" s="1" t="n">
        <v>45439</v>
      </c>
      <c r="C6196" s="1" t="n">
        <v>45744</v>
      </c>
      <c r="D6196" t="inlineStr">
        <is>
          <t>SKÅNE LÄN</t>
        </is>
      </c>
      <c r="E6196" t="inlineStr">
        <is>
          <t>ÖRKELLJUNGA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20979-2024</t>
        </is>
      </c>
      <c r="B6197" s="1" t="n">
        <v>45439</v>
      </c>
      <c r="C6197" s="1" t="n">
        <v>45744</v>
      </c>
      <c r="D6197" t="inlineStr">
        <is>
          <t>SKÅNE LÄN</t>
        </is>
      </c>
      <c r="E6197" t="inlineStr">
        <is>
          <t>ÄNGELHOLM</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20807-2024</t>
        </is>
      </c>
      <c r="B6198" s="1" t="n">
        <v>45439</v>
      </c>
      <c r="C6198" s="1" t="n">
        <v>45744</v>
      </c>
      <c r="D6198" t="inlineStr">
        <is>
          <t>SKÅNE LÄN</t>
        </is>
      </c>
      <c r="E6198" t="inlineStr">
        <is>
          <t>KRISTIANSTAD</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21238-2024</t>
        </is>
      </c>
      <c r="B6199" s="1" t="n">
        <v>45440</v>
      </c>
      <c r="C6199" s="1" t="n">
        <v>45744</v>
      </c>
      <c r="D6199" t="inlineStr">
        <is>
          <t>SKÅNE LÄN</t>
        </is>
      </c>
      <c r="E6199" t="inlineStr">
        <is>
          <t>KRISTIANSTAD</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21141-2024</t>
        </is>
      </c>
      <c r="B6200" s="1" t="n">
        <v>45440</v>
      </c>
      <c r="C6200" s="1" t="n">
        <v>45744</v>
      </c>
      <c r="D6200" t="inlineStr">
        <is>
          <t>SKÅNE LÄN</t>
        </is>
      </c>
      <c r="E6200" t="inlineStr">
        <is>
          <t>HÄSSLEHOLM</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21336-2024</t>
        </is>
      </c>
      <c r="B6201" s="1" t="n">
        <v>45440</v>
      </c>
      <c r="C6201" s="1" t="n">
        <v>45744</v>
      </c>
      <c r="D6201" t="inlineStr">
        <is>
          <t>SKÅNE LÄN</t>
        </is>
      </c>
      <c r="E6201" t="inlineStr">
        <is>
          <t>SJÖBO</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21497-2024</t>
        </is>
      </c>
      <c r="B6202" s="1" t="n">
        <v>45441</v>
      </c>
      <c r="C6202" s="1" t="n">
        <v>45744</v>
      </c>
      <c r="D6202" t="inlineStr">
        <is>
          <t>SKÅNE LÄN</t>
        </is>
      </c>
      <c r="E6202" t="inlineStr">
        <is>
          <t>HÄSSLEHOLM</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21589-2024</t>
        </is>
      </c>
      <c r="B6203" s="1" t="n">
        <v>45441</v>
      </c>
      <c r="C6203" s="1" t="n">
        <v>45744</v>
      </c>
      <c r="D6203" t="inlineStr">
        <is>
          <t>SKÅNE LÄN</t>
        </is>
      </c>
      <c r="E6203" t="inlineStr">
        <is>
          <t>OSBY</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21527-2024</t>
        </is>
      </c>
      <c r="B6204" s="1" t="n">
        <v>45441</v>
      </c>
      <c r="C6204" s="1" t="n">
        <v>45744</v>
      </c>
      <c r="D6204" t="inlineStr">
        <is>
          <t>SKÅNE LÄN</t>
        </is>
      </c>
      <c r="E6204" t="inlineStr">
        <is>
          <t>ÖRKELLJUNGA</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21626-2024</t>
        </is>
      </c>
      <c r="B6205" s="1" t="n">
        <v>45442</v>
      </c>
      <c r="C6205" s="1" t="n">
        <v>45744</v>
      </c>
      <c r="D6205" t="inlineStr">
        <is>
          <t>SKÅNE LÄN</t>
        </is>
      </c>
      <c r="E6205" t="inlineStr">
        <is>
          <t>HÖRBY</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21774-2024</t>
        </is>
      </c>
      <c r="B6206" s="1" t="n">
        <v>45442</v>
      </c>
      <c r="C6206" s="1" t="n">
        <v>45744</v>
      </c>
      <c r="D6206" t="inlineStr">
        <is>
          <t>SKÅNE LÄN</t>
        </is>
      </c>
      <c r="E6206" t="inlineStr">
        <is>
          <t>SVALÖV</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21636-2024</t>
        </is>
      </c>
      <c r="B6207" s="1" t="n">
        <v>45442</v>
      </c>
      <c r="C6207" s="1" t="n">
        <v>45744</v>
      </c>
      <c r="D6207" t="inlineStr">
        <is>
          <t>SKÅNE LÄN</t>
        </is>
      </c>
      <c r="E6207" t="inlineStr">
        <is>
          <t>KLIPPAN</t>
        </is>
      </c>
      <c r="G6207" t="n">
        <v>6.3</v>
      </c>
      <c r="H6207" t="n">
        <v>0</v>
      </c>
      <c r="I6207" t="n">
        <v>0</v>
      </c>
      <c r="J6207" t="n">
        <v>0</v>
      </c>
      <c r="K6207" t="n">
        <v>0</v>
      </c>
      <c r="L6207" t="n">
        <v>0</v>
      </c>
      <c r="M6207" t="n">
        <v>0</v>
      </c>
      <c r="N6207" t="n">
        <v>0</v>
      </c>
      <c r="O6207" t="n">
        <v>0</v>
      </c>
      <c r="P6207" t="n">
        <v>0</v>
      </c>
      <c r="Q6207" t="n">
        <v>0</v>
      </c>
      <c r="R6207" s="2" t="inlineStr"/>
    </row>
    <row r="6208" ht="15" customHeight="1">
      <c r="A6208" t="inlineStr">
        <is>
          <t>A 21654-2024</t>
        </is>
      </c>
      <c r="B6208" s="1" t="n">
        <v>45442</v>
      </c>
      <c r="C6208" s="1" t="n">
        <v>45744</v>
      </c>
      <c r="D6208" t="inlineStr">
        <is>
          <t>SKÅNE LÄN</t>
        </is>
      </c>
      <c r="E6208" t="inlineStr">
        <is>
          <t>KLIPPAN</t>
        </is>
      </c>
      <c r="G6208" t="n">
        <v>7.2</v>
      </c>
      <c r="H6208" t="n">
        <v>0</v>
      </c>
      <c r="I6208" t="n">
        <v>0</v>
      </c>
      <c r="J6208" t="n">
        <v>0</v>
      </c>
      <c r="K6208" t="n">
        <v>0</v>
      </c>
      <c r="L6208" t="n">
        <v>0</v>
      </c>
      <c r="M6208" t="n">
        <v>0</v>
      </c>
      <c r="N6208" t="n">
        <v>0</v>
      </c>
      <c r="O6208" t="n">
        <v>0</v>
      </c>
      <c r="P6208" t="n">
        <v>0</v>
      </c>
      <c r="Q6208" t="n">
        <v>0</v>
      </c>
      <c r="R6208" s="2" t="inlineStr"/>
    </row>
    <row r="6209" ht="15" customHeight="1">
      <c r="A6209" t="inlineStr">
        <is>
          <t>A 21837-2024</t>
        </is>
      </c>
      <c r="B6209" s="1" t="n">
        <v>45443</v>
      </c>
      <c r="C6209" s="1" t="n">
        <v>45744</v>
      </c>
      <c r="D6209" t="inlineStr">
        <is>
          <t>SKÅNE LÄN</t>
        </is>
      </c>
      <c r="E6209" t="inlineStr">
        <is>
          <t>ÄNGELHOLM</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21884-2024</t>
        </is>
      </c>
      <c r="B6210" s="1" t="n">
        <v>45443</v>
      </c>
      <c r="C6210" s="1" t="n">
        <v>45744</v>
      </c>
      <c r="D6210" t="inlineStr">
        <is>
          <t>SKÅNE LÄN</t>
        </is>
      </c>
      <c r="E6210" t="inlineStr">
        <is>
          <t>OSBY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22095-2024</t>
        </is>
      </c>
      <c r="B6211" s="1" t="n">
        <v>45443</v>
      </c>
      <c r="C6211" s="1" t="n">
        <v>45744</v>
      </c>
      <c r="D6211" t="inlineStr">
        <is>
          <t>SKÅNE LÄN</t>
        </is>
      </c>
      <c r="E6211" t="inlineStr">
        <is>
          <t>ÖSTRA GÖINGE</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21992-2024</t>
        </is>
      </c>
      <c r="B6212" s="1" t="n">
        <v>45443</v>
      </c>
      <c r="C6212" s="1" t="n">
        <v>45744</v>
      </c>
      <c r="D6212" t="inlineStr">
        <is>
          <t>SKÅNE LÄN</t>
        </is>
      </c>
      <c r="E6212" t="inlineStr">
        <is>
          <t>KRISTIANSTAD</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21910-2024</t>
        </is>
      </c>
      <c r="B6213" s="1" t="n">
        <v>45443</v>
      </c>
      <c r="C6213" s="1" t="n">
        <v>45744</v>
      </c>
      <c r="D6213" t="inlineStr">
        <is>
          <t>SKÅNE LÄN</t>
        </is>
      </c>
      <c r="E6213" t="inlineStr">
        <is>
          <t>ÖRKELLJUNGA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22094-2024</t>
        </is>
      </c>
      <c r="B6214" s="1" t="n">
        <v>45443</v>
      </c>
      <c r="C6214" s="1" t="n">
        <v>45744</v>
      </c>
      <c r="D6214" t="inlineStr">
        <is>
          <t>SKÅNE LÄN</t>
        </is>
      </c>
      <c r="E6214" t="inlineStr">
        <is>
          <t>ÖSTRA GÖINGE</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21891-2024</t>
        </is>
      </c>
      <c r="B6215" s="1" t="n">
        <v>45443</v>
      </c>
      <c r="C6215" s="1" t="n">
        <v>45744</v>
      </c>
      <c r="D6215" t="inlineStr">
        <is>
          <t>SKÅNE LÄN</t>
        </is>
      </c>
      <c r="E6215" t="inlineStr">
        <is>
          <t>OSBY</t>
        </is>
      </c>
      <c r="F6215" t="inlineStr">
        <is>
          <t>Sveaskog</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22093-2024</t>
        </is>
      </c>
      <c r="B6216" s="1" t="n">
        <v>45443</v>
      </c>
      <c r="C6216" s="1" t="n">
        <v>45744</v>
      </c>
      <c r="D6216" t="inlineStr">
        <is>
          <t>SKÅNE LÄN</t>
        </is>
      </c>
      <c r="E6216" t="inlineStr">
        <is>
          <t>OSBY</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21881-2024</t>
        </is>
      </c>
      <c r="B6217" s="1" t="n">
        <v>45443</v>
      </c>
      <c r="C6217" s="1" t="n">
        <v>45744</v>
      </c>
      <c r="D6217" t="inlineStr">
        <is>
          <t>SKÅNE LÄN</t>
        </is>
      </c>
      <c r="E6217" t="inlineStr">
        <is>
          <t>OSBY</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22134-2024</t>
        </is>
      </c>
      <c r="B6218" s="1" t="n">
        <v>45444</v>
      </c>
      <c r="C6218" s="1" t="n">
        <v>45744</v>
      </c>
      <c r="D6218" t="inlineStr">
        <is>
          <t>SKÅNE LÄN</t>
        </is>
      </c>
      <c r="E6218" t="inlineStr">
        <is>
          <t>HÄSSLEHOLM</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22132-2024</t>
        </is>
      </c>
      <c r="B6219" s="1" t="n">
        <v>45444</v>
      </c>
      <c r="C6219" s="1" t="n">
        <v>45744</v>
      </c>
      <c r="D6219" t="inlineStr">
        <is>
          <t>SKÅNE LÄN</t>
        </is>
      </c>
      <c r="E6219" t="inlineStr">
        <is>
          <t>HÄSSLEHOLM</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22157-2024</t>
        </is>
      </c>
      <c r="B6220" s="1" t="n">
        <v>45445</v>
      </c>
      <c r="C6220" s="1" t="n">
        <v>45744</v>
      </c>
      <c r="D6220" t="inlineStr">
        <is>
          <t>SKÅNE LÄN</t>
        </is>
      </c>
      <c r="E6220" t="inlineStr">
        <is>
          <t>HÄSSLEHOLM</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22376-2024</t>
        </is>
      </c>
      <c r="B6221" s="1" t="n">
        <v>45446</v>
      </c>
      <c r="C6221" s="1" t="n">
        <v>45744</v>
      </c>
      <c r="D6221" t="inlineStr">
        <is>
          <t>SKÅNE LÄN</t>
        </is>
      </c>
      <c r="E6221" t="inlineStr">
        <is>
          <t>KRISTIANSTAD</t>
        </is>
      </c>
      <c r="F6221" t="inlineStr">
        <is>
          <t>Kommuner</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22384-2024</t>
        </is>
      </c>
      <c r="B6222" s="1" t="n">
        <v>45446</v>
      </c>
      <c r="C6222" s="1" t="n">
        <v>45744</v>
      </c>
      <c r="D6222" t="inlineStr">
        <is>
          <t>SKÅNE LÄN</t>
        </is>
      </c>
      <c r="E6222" t="inlineStr">
        <is>
          <t>HÄSSLEHOLM</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22406-2024</t>
        </is>
      </c>
      <c r="B6223" s="1" t="n">
        <v>45446</v>
      </c>
      <c r="C6223" s="1" t="n">
        <v>45744</v>
      </c>
      <c r="D6223" t="inlineStr">
        <is>
          <t>SKÅNE LÄN</t>
        </is>
      </c>
      <c r="E6223" t="inlineStr">
        <is>
          <t>ÖRKELLJUNGA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22410-2024</t>
        </is>
      </c>
      <c r="B6224" s="1" t="n">
        <v>45446</v>
      </c>
      <c r="C6224" s="1" t="n">
        <v>45744</v>
      </c>
      <c r="D6224" t="inlineStr">
        <is>
          <t>SKÅNE LÄN</t>
        </is>
      </c>
      <c r="E6224" t="inlineStr">
        <is>
          <t>ÖRKELLJUNGA</t>
        </is>
      </c>
      <c r="G6224" t="n">
        <v>6</v>
      </c>
      <c r="H6224" t="n">
        <v>0</v>
      </c>
      <c r="I6224" t="n">
        <v>0</v>
      </c>
      <c r="J6224" t="n">
        <v>0</v>
      </c>
      <c r="K6224" t="n">
        <v>0</v>
      </c>
      <c r="L6224" t="n">
        <v>0</v>
      </c>
      <c r="M6224" t="n">
        <v>0</v>
      </c>
      <c r="N6224" t="n">
        <v>0</v>
      </c>
      <c r="O6224" t="n">
        <v>0</v>
      </c>
      <c r="P6224" t="n">
        <v>0</v>
      </c>
      <c r="Q6224" t="n">
        <v>0</v>
      </c>
      <c r="R6224" s="2" t="inlineStr"/>
    </row>
    <row r="6225" ht="15" customHeight="1">
      <c r="A6225" t="inlineStr">
        <is>
          <t>A 22391-2024</t>
        </is>
      </c>
      <c r="B6225" s="1" t="n">
        <v>45446</v>
      </c>
      <c r="C6225" s="1" t="n">
        <v>45744</v>
      </c>
      <c r="D6225" t="inlineStr">
        <is>
          <t>SKÅNE LÄN</t>
        </is>
      </c>
      <c r="E6225" t="inlineStr">
        <is>
          <t>ÖRKELLJUNGA</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22175-2024</t>
        </is>
      </c>
      <c r="B6226" s="1" t="n">
        <v>45446</v>
      </c>
      <c r="C6226" s="1" t="n">
        <v>45744</v>
      </c>
      <c r="D6226" t="inlineStr">
        <is>
          <t>SKÅNE LÄN</t>
        </is>
      </c>
      <c r="E6226" t="inlineStr">
        <is>
          <t>OSBY</t>
        </is>
      </c>
      <c r="F6226" t="inlineStr">
        <is>
          <t>Sveaskog</t>
        </is>
      </c>
      <c r="G6226" t="n">
        <v>10.3</v>
      </c>
      <c r="H6226" t="n">
        <v>0</v>
      </c>
      <c r="I6226" t="n">
        <v>0</v>
      </c>
      <c r="J6226" t="n">
        <v>0</v>
      </c>
      <c r="K6226" t="n">
        <v>0</v>
      </c>
      <c r="L6226" t="n">
        <v>0</v>
      </c>
      <c r="M6226" t="n">
        <v>0</v>
      </c>
      <c r="N6226" t="n">
        <v>0</v>
      </c>
      <c r="O6226" t="n">
        <v>0</v>
      </c>
      <c r="P6226" t="n">
        <v>0</v>
      </c>
      <c r="Q6226" t="n">
        <v>0</v>
      </c>
      <c r="R6226" s="2" t="inlineStr"/>
    </row>
    <row r="6227" ht="15" customHeight="1">
      <c r="A6227" t="inlineStr">
        <is>
          <t>A 22305-2024</t>
        </is>
      </c>
      <c r="B6227" s="1" t="n">
        <v>45446</v>
      </c>
      <c r="C6227" s="1" t="n">
        <v>45744</v>
      </c>
      <c r="D6227" t="inlineStr">
        <is>
          <t>SKÅNE LÄN</t>
        </is>
      </c>
      <c r="E6227" t="inlineStr">
        <is>
          <t>HÄSSLEHOLM</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22425-2024</t>
        </is>
      </c>
      <c r="B6228" s="1" t="n">
        <v>45446</v>
      </c>
      <c r="C6228" s="1" t="n">
        <v>45744</v>
      </c>
      <c r="D6228" t="inlineStr">
        <is>
          <t>SKÅNE LÄN</t>
        </is>
      </c>
      <c r="E6228" t="inlineStr">
        <is>
          <t>SJÖBO</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22330-2024</t>
        </is>
      </c>
      <c r="B6229" s="1" t="n">
        <v>45446</v>
      </c>
      <c r="C6229" s="1" t="n">
        <v>45744</v>
      </c>
      <c r="D6229" t="inlineStr">
        <is>
          <t>SKÅNE LÄN</t>
        </is>
      </c>
      <c r="E6229" t="inlineStr">
        <is>
          <t>SJÖBO</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22310-2024</t>
        </is>
      </c>
      <c r="B6230" s="1" t="n">
        <v>45446</v>
      </c>
      <c r="C6230" s="1" t="n">
        <v>45744</v>
      </c>
      <c r="D6230" t="inlineStr">
        <is>
          <t>SKÅNE LÄN</t>
        </is>
      </c>
      <c r="E6230" t="inlineStr">
        <is>
          <t>HÄSSLEHOLM</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22272-2024</t>
        </is>
      </c>
      <c r="B6231" s="1" t="n">
        <v>45446</v>
      </c>
      <c r="C6231" s="1" t="n">
        <v>45744</v>
      </c>
      <c r="D6231" t="inlineStr">
        <is>
          <t>SKÅNE LÄN</t>
        </is>
      </c>
      <c r="E6231" t="inlineStr">
        <is>
          <t>KRISTIANSTAD</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22204-2024</t>
        </is>
      </c>
      <c r="B6232" s="1" t="n">
        <v>45446</v>
      </c>
      <c r="C6232" s="1" t="n">
        <v>45744</v>
      </c>
      <c r="D6232" t="inlineStr">
        <is>
          <t>SKÅNE LÄN</t>
        </is>
      </c>
      <c r="E6232" t="inlineStr">
        <is>
          <t>HÄSSLEHOLM</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22176-2024</t>
        </is>
      </c>
      <c r="B6233" s="1" t="n">
        <v>45446</v>
      </c>
      <c r="C6233" s="1" t="n">
        <v>45744</v>
      </c>
      <c r="D6233" t="inlineStr">
        <is>
          <t>SKÅNE LÄN</t>
        </is>
      </c>
      <c r="E6233" t="inlineStr">
        <is>
          <t>OSBY</t>
        </is>
      </c>
      <c r="F6233" t="inlineStr">
        <is>
          <t>Sveaskog</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22172-2024</t>
        </is>
      </c>
      <c r="B6234" s="1" t="n">
        <v>45446</v>
      </c>
      <c r="C6234" s="1" t="n">
        <v>45744</v>
      </c>
      <c r="D6234" t="inlineStr">
        <is>
          <t>SKÅNE LÄN</t>
        </is>
      </c>
      <c r="E6234" t="inlineStr">
        <is>
          <t>OSBY</t>
        </is>
      </c>
      <c r="F6234" t="inlineStr">
        <is>
          <t>Sveaskog</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22174-2024</t>
        </is>
      </c>
      <c r="B6235" s="1" t="n">
        <v>45446</v>
      </c>
      <c r="C6235" s="1" t="n">
        <v>45744</v>
      </c>
      <c r="D6235" t="inlineStr">
        <is>
          <t>SKÅNE LÄN</t>
        </is>
      </c>
      <c r="E6235" t="inlineStr">
        <is>
          <t>OSBY</t>
        </is>
      </c>
      <c r="F6235" t="inlineStr">
        <is>
          <t>Sveaskog</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22170-2024</t>
        </is>
      </c>
      <c r="B6236" s="1" t="n">
        <v>45446</v>
      </c>
      <c r="C6236" s="1" t="n">
        <v>45744</v>
      </c>
      <c r="D6236" t="inlineStr">
        <is>
          <t>SKÅNE LÄN</t>
        </is>
      </c>
      <c r="E6236" t="inlineStr">
        <is>
          <t>OSBY</t>
        </is>
      </c>
      <c r="F6236" t="inlineStr">
        <is>
          <t>Sveaskog</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22369-2024</t>
        </is>
      </c>
      <c r="B6237" s="1" t="n">
        <v>45446</v>
      </c>
      <c r="C6237" s="1" t="n">
        <v>45744</v>
      </c>
      <c r="D6237" t="inlineStr">
        <is>
          <t>SKÅNE LÄN</t>
        </is>
      </c>
      <c r="E6237" t="inlineStr">
        <is>
          <t>KÄVLINGE</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22277-2024</t>
        </is>
      </c>
      <c r="B6238" s="1" t="n">
        <v>45446</v>
      </c>
      <c r="C6238" s="1" t="n">
        <v>45744</v>
      </c>
      <c r="D6238" t="inlineStr">
        <is>
          <t>SKÅNE LÄN</t>
        </is>
      </c>
      <c r="E6238" t="inlineStr">
        <is>
          <t>KRISTIANSTAD</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22223-2024</t>
        </is>
      </c>
      <c r="B6239" s="1" t="n">
        <v>45446</v>
      </c>
      <c r="C6239" s="1" t="n">
        <v>45744</v>
      </c>
      <c r="D6239" t="inlineStr">
        <is>
          <t>SKÅNE LÄN</t>
        </is>
      </c>
      <c r="E6239" t="inlineStr">
        <is>
          <t>OSBY</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22177-2024</t>
        </is>
      </c>
      <c r="B6240" s="1" t="n">
        <v>45446</v>
      </c>
      <c r="C6240" s="1" t="n">
        <v>45744</v>
      </c>
      <c r="D6240" t="inlineStr">
        <is>
          <t>SKÅNE LÄN</t>
        </is>
      </c>
      <c r="E6240" t="inlineStr">
        <is>
          <t>OSBY</t>
        </is>
      </c>
      <c r="F6240" t="inlineStr">
        <is>
          <t>Sveaskog</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22653-2024</t>
        </is>
      </c>
      <c r="B6241" s="1" t="n">
        <v>45447</v>
      </c>
      <c r="C6241" s="1" t="n">
        <v>45744</v>
      </c>
      <c r="D6241" t="inlineStr">
        <is>
          <t>SKÅNE LÄN</t>
        </is>
      </c>
      <c r="E6241" t="inlineStr">
        <is>
          <t>OSBY</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22595-2024</t>
        </is>
      </c>
      <c r="B6242" s="1" t="n">
        <v>45447</v>
      </c>
      <c r="C6242" s="1" t="n">
        <v>45744</v>
      </c>
      <c r="D6242" t="inlineStr">
        <is>
          <t>SKÅNE LÄN</t>
        </is>
      </c>
      <c r="E6242" t="inlineStr">
        <is>
          <t>HÄSSLEHOLM</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22551-2024</t>
        </is>
      </c>
      <c r="B6243" s="1" t="n">
        <v>45447</v>
      </c>
      <c r="C6243" s="1" t="n">
        <v>45744</v>
      </c>
      <c r="D6243" t="inlineStr">
        <is>
          <t>SKÅNE LÄN</t>
        </is>
      </c>
      <c r="E6243" t="inlineStr">
        <is>
          <t>ÖSTRA GÖINGE</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22535-2024</t>
        </is>
      </c>
      <c r="B6244" s="1" t="n">
        <v>45447</v>
      </c>
      <c r="C6244" s="1" t="n">
        <v>45744</v>
      </c>
      <c r="D6244" t="inlineStr">
        <is>
          <t>SKÅNE LÄN</t>
        </is>
      </c>
      <c r="E6244" t="inlineStr">
        <is>
          <t>HÄSSLEHOLM</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22594-2024</t>
        </is>
      </c>
      <c r="B6245" s="1" t="n">
        <v>45447</v>
      </c>
      <c r="C6245" s="1" t="n">
        <v>45744</v>
      </c>
      <c r="D6245" t="inlineStr">
        <is>
          <t>SKÅNE LÄN</t>
        </is>
      </c>
      <c r="E6245" t="inlineStr">
        <is>
          <t>HÄSSLEHOLM</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22541-2024</t>
        </is>
      </c>
      <c r="B6246" s="1" t="n">
        <v>45447</v>
      </c>
      <c r="C6246" s="1" t="n">
        <v>45744</v>
      </c>
      <c r="D6246" t="inlineStr">
        <is>
          <t>SKÅNE LÄN</t>
        </is>
      </c>
      <c r="E6246" t="inlineStr">
        <is>
          <t>ÖSTRA GÖINGE</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22533-2024</t>
        </is>
      </c>
      <c r="B6247" s="1" t="n">
        <v>45447</v>
      </c>
      <c r="C6247" s="1" t="n">
        <v>45744</v>
      </c>
      <c r="D6247" t="inlineStr">
        <is>
          <t>SKÅNE LÄN</t>
        </is>
      </c>
      <c r="E6247" t="inlineStr">
        <is>
          <t>KRISTIANSTAD</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22695-2024</t>
        </is>
      </c>
      <c r="B6248" s="1" t="n">
        <v>45448</v>
      </c>
      <c r="C6248" s="1" t="n">
        <v>45744</v>
      </c>
      <c r="D6248" t="inlineStr">
        <is>
          <t>SKÅNE LÄN</t>
        </is>
      </c>
      <c r="E6248" t="inlineStr">
        <is>
          <t>ÖRKELLJUNGA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22699-2024</t>
        </is>
      </c>
      <c r="B6249" s="1" t="n">
        <v>45448</v>
      </c>
      <c r="C6249" s="1" t="n">
        <v>45744</v>
      </c>
      <c r="D6249" t="inlineStr">
        <is>
          <t>SKÅNE LÄN</t>
        </is>
      </c>
      <c r="E6249" t="inlineStr">
        <is>
          <t>ÖRKELLJUNGA</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22789-2024</t>
        </is>
      </c>
      <c r="B6250" s="1" t="n">
        <v>45448</v>
      </c>
      <c r="C6250" s="1" t="n">
        <v>45744</v>
      </c>
      <c r="D6250" t="inlineStr">
        <is>
          <t>SKÅNE LÄN</t>
        </is>
      </c>
      <c r="E6250" t="inlineStr">
        <is>
          <t>SVALÖV</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22792-2024</t>
        </is>
      </c>
      <c r="B6251" s="1" t="n">
        <v>45448</v>
      </c>
      <c r="C6251" s="1" t="n">
        <v>45744</v>
      </c>
      <c r="D6251" t="inlineStr">
        <is>
          <t>SKÅNE LÄN</t>
        </is>
      </c>
      <c r="E6251" t="inlineStr">
        <is>
          <t>SVALÖV</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22794-2024</t>
        </is>
      </c>
      <c r="B6252" s="1" t="n">
        <v>45448</v>
      </c>
      <c r="C6252" s="1" t="n">
        <v>45744</v>
      </c>
      <c r="D6252" t="inlineStr">
        <is>
          <t>SKÅNE LÄN</t>
        </is>
      </c>
      <c r="E6252" t="inlineStr">
        <is>
          <t>SVALÖV</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22886-2024</t>
        </is>
      </c>
      <c r="B6253" s="1" t="n">
        <v>45448</v>
      </c>
      <c r="C6253" s="1" t="n">
        <v>45744</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22902-2024</t>
        </is>
      </c>
      <c r="B6254" s="1" t="n">
        <v>45448</v>
      </c>
      <c r="C6254" s="1" t="n">
        <v>45744</v>
      </c>
      <c r="D6254" t="inlineStr">
        <is>
          <t>SKÅNE LÄN</t>
        </is>
      </c>
      <c r="E6254" t="inlineStr">
        <is>
          <t>OSBY</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22728-2024</t>
        </is>
      </c>
      <c r="B6255" s="1" t="n">
        <v>45448</v>
      </c>
      <c r="C6255" s="1" t="n">
        <v>45744</v>
      </c>
      <c r="D6255" t="inlineStr">
        <is>
          <t>SKÅNE LÄN</t>
        </is>
      </c>
      <c r="E6255" t="inlineStr">
        <is>
          <t>ÖRKELLJUNGA</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22999-2024</t>
        </is>
      </c>
      <c r="B6256" s="1" t="n">
        <v>45450</v>
      </c>
      <c r="C6256" s="1" t="n">
        <v>45744</v>
      </c>
      <c r="D6256" t="inlineStr">
        <is>
          <t>SKÅNE LÄN</t>
        </is>
      </c>
      <c r="E6256" t="inlineStr">
        <is>
          <t>KRISTIANSTAD</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23003-2024</t>
        </is>
      </c>
      <c r="B6257" s="1" t="n">
        <v>45450</v>
      </c>
      <c r="C6257" s="1" t="n">
        <v>45744</v>
      </c>
      <c r="D6257" t="inlineStr">
        <is>
          <t>SKÅNE LÄN</t>
        </is>
      </c>
      <c r="E6257" t="inlineStr">
        <is>
          <t>KRISTIANSTAD</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23117-2024</t>
        </is>
      </c>
      <c r="B6258" s="1" t="n">
        <v>45450</v>
      </c>
      <c r="C6258" s="1" t="n">
        <v>45744</v>
      </c>
      <c r="D6258" t="inlineStr">
        <is>
          <t>SKÅNE LÄN</t>
        </is>
      </c>
      <c r="E6258" t="inlineStr">
        <is>
          <t>HÖRBY</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23125-2024</t>
        </is>
      </c>
      <c r="B6259" s="1" t="n">
        <v>45450</v>
      </c>
      <c r="C6259" s="1" t="n">
        <v>45744</v>
      </c>
      <c r="D6259" t="inlineStr">
        <is>
          <t>SKÅNE LÄN</t>
        </is>
      </c>
      <c r="E6259" t="inlineStr">
        <is>
          <t>HÖRBY</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23005-2024</t>
        </is>
      </c>
      <c r="B6260" s="1" t="n">
        <v>45450</v>
      </c>
      <c r="C6260" s="1" t="n">
        <v>45744</v>
      </c>
      <c r="D6260" t="inlineStr">
        <is>
          <t>SKÅNE LÄN</t>
        </is>
      </c>
      <c r="E6260" t="inlineStr">
        <is>
          <t>HÖÖR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23010-2024</t>
        </is>
      </c>
      <c r="B6261" s="1" t="n">
        <v>45450</v>
      </c>
      <c r="C6261" s="1" t="n">
        <v>45744</v>
      </c>
      <c r="D6261" t="inlineStr">
        <is>
          <t>SKÅNE LÄN</t>
        </is>
      </c>
      <c r="E6261" t="inlineStr">
        <is>
          <t>HÄSSLEHOLM</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23120-2024</t>
        </is>
      </c>
      <c r="B6262" s="1" t="n">
        <v>45450</v>
      </c>
      <c r="C6262" s="1" t="n">
        <v>45744</v>
      </c>
      <c r="D6262" t="inlineStr">
        <is>
          <t>SKÅNE LÄN</t>
        </is>
      </c>
      <c r="E6262" t="inlineStr">
        <is>
          <t>HÖRBY</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23138-2024</t>
        </is>
      </c>
      <c r="B6263" s="1" t="n">
        <v>45450</v>
      </c>
      <c r="C6263" s="1" t="n">
        <v>45744</v>
      </c>
      <c r="D6263" t="inlineStr">
        <is>
          <t>SKÅNE LÄN</t>
        </is>
      </c>
      <c r="E6263" t="inlineStr">
        <is>
          <t>HÖÖR</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23234-2024</t>
        </is>
      </c>
      <c r="B6264" s="1" t="n">
        <v>45453</v>
      </c>
      <c r="C6264" s="1" t="n">
        <v>45744</v>
      </c>
      <c r="D6264" t="inlineStr">
        <is>
          <t>SKÅNE LÄN</t>
        </is>
      </c>
      <c r="E6264" t="inlineStr">
        <is>
          <t>OSBY</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23299-2024</t>
        </is>
      </c>
      <c r="B6265" s="1" t="n">
        <v>45453</v>
      </c>
      <c r="C6265" s="1" t="n">
        <v>45744</v>
      </c>
      <c r="D6265" t="inlineStr">
        <is>
          <t>SKÅNE LÄN</t>
        </is>
      </c>
      <c r="E6265" t="inlineStr">
        <is>
          <t>OSBY</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23486-2024</t>
        </is>
      </c>
      <c r="B6266" s="1" t="n">
        <v>45453</v>
      </c>
      <c r="C6266" s="1" t="n">
        <v>45744</v>
      </c>
      <c r="D6266" t="inlineStr">
        <is>
          <t>SKÅNE LÄN</t>
        </is>
      </c>
      <c r="E6266" t="inlineStr">
        <is>
          <t>OSBY</t>
        </is>
      </c>
      <c r="F6266" t="inlineStr">
        <is>
          <t>Sveaskog</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23482-2024</t>
        </is>
      </c>
      <c r="B6267" s="1" t="n">
        <v>45453</v>
      </c>
      <c r="C6267" s="1" t="n">
        <v>45744</v>
      </c>
      <c r="D6267" t="inlineStr">
        <is>
          <t>SKÅNE LÄN</t>
        </is>
      </c>
      <c r="E6267" t="inlineStr">
        <is>
          <t>OSBY</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23470-2024</t>
        </is>
      </c>
      <c r="B6268" s="1" t="n">
        <v>45453</v>
      </c>
      <c r="C6268" s="1" t="n">
        <v>45744</v>
      </c>
      <c r="D6268" t="inlineStr">
        <is>
          <t>SKÅNE LÄN</t>
        </is>
      </c>
      <c r="E6268" t="inlineStr">
        <is>
          <t>OSBY</t>
        </is>
      </c>
      <c r="F6268" t="inlineStr">
        <is>
          <t>Sveaskog</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23361-2024</t>
        </is>
      </c>
      <c r="B6269" s="1" t="n">
        <v>45453</v>
      </c>
      <c r="C6269" s="1" t="n">
        <v>45744</v>
      </c>
      <c r="D6269" t="inlineStr">
        <is>
          <t>SKÅNE LÄN</t>
        </is>
      </c>
      <c r="E6269" t="inlineStr">
        <is>
          <t>HÄSSLEHOLM</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23496-2024</t>
        </is>
      </c>
      <c r="B6270" s="1" t="n">
        <v>45453</v>
      </c>
      <c r="C6270" s="1" t="n">
        <v>45744</v>
      </c>
      <c r="D6270" t="inlineStr">
        <is>
          <t>SKÅNE LÄN</t>
        </is>
      </c>
      <c r="E6270" t="inlineStr">
        <is>
          <t>TOMELILLA</t>
        </is>
      </c>
      <c r="F6270" t="inlineStr">
        <is>
          <t>Sveaskog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23480-2024</t>
        </is>
      </c>
      <c r="B6271" s="1" t="n">
        <v>45453</v>
      </c>
      <c r="C6271" s="1" t="n">
        <v>45744</v>
      </c>
      <c r="D6271" t="inlineStr">
        <is>
          <t>SKÅNE LÄN</t>
        </is>
      </c>
      <c r="E6271" t="inlineStr">
        <is>
          <t>OSBY</t>
        </is>
      </c>
      <c r="F6271" t="inlineStr">
        <is>
          <t>Sveaskog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23476-2024</t>
        </is>
      </c>
      <c r="B6272" s="1" t="n">
        <v>45453</v>
      </c>
      <c r="C6272" s="1" t="n">
        <v>45744</v>
      </c>
      <c r="D6272" t="inlineStr">
        <is>
          <t>SKÅNE LÄN</t>
        </is>
      </c>
      <c r="E6272" t="inlineStr">
        <is>
          <t>OSBY</t>
        </is>
      </c>
      <c r="F6272" t="inlineStr">
        <is>
          <t>Sveaskog</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23472-2024</t>
        </is>
      </c>
      <c r="B6273" s="1" t="n">
        <v>45453</v>
      </c>
      <c r="C6273" s="1" t="n">
        <v>45744</v>
      </c>
      <c r="D6273" t="inlineStr">
        <is>
          <t>SKÅNE LÄN</t>
        </is>
      </c>
      <c r="E6273" t="inlineStr">
        <is>
          <t>OSBY</t>
        </is>
      </c>
      <c r="F6273" t="inlineStr">
        <is>
          <t>Sveaskog</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23479-2024</t>
        </is>
      </c>
      <c r="B6274" s="1" t="n">
        <v>45453</v>
      </c>
      <c r="C6274" s="1" t="n">
        <v>45744</v>
      </c>
      <c r="D6274" t="inlineStr">
        <is>
          <t>SKÅNE LÄN</t>
        </is>
      </c>
      <c r="E6274" t="inlineStr">
        <is>
          <t>OSBY</t>
        </is>
      </c>
      <c r="F6274" t="inlineStr">
        <is>
          <t>Sveaskog</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23511-2024</t>
        </is>
      </c>
      <c r="B6275" s="1" t="n">
        <v>45453</v>
      </c>
      <c r="C6275" s="1" t="n">
        <v>45744</v>
      </c>
      <c r="D6275" t="inlineStr">
        <is>
          <t>SKÅNE LÄN</t>
        </is>
      </c>
      <c r="E6275" t="inlineStr">
        <is>
          <t>BROMÖLLA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23485-2024</t>
        </is>
      </c>
      <c r="B6276" s="1" t="n">
        <v>45453</v>
      </c>
      <c r="C6276" s="1" t="n">
        <v>45744</v>
      </c>
      <c r="D6276" t="inlineStr">
        <is>
          <t>SKÅNE LÄN</t>
        </is>
      </c>
      <c r="E6276" t="inlineStr">
        <is>
          <t>OSBY</t>
        </is>
      </c>
      <c r="F6276" t="inlineStr">
        <is>
          <t>Sveaskog</t>
        </is>
      </c>
      <c r="G6276" t="n">
        <v>8.800000000000001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23497-2024</t>
        </is>
      </c>
      <c r="B6277" s="1" t="n">
        <v>45453</v>
      </c>
      <c r="C6277" s="1" t="n">
        <v>45744</v>
      </c>
      <c r="D6277" t="inlineStr">
        <is>
          <t>SKÅNE LÄN</t>
        </is>
      </c>
      <c r="E6277" t="inlineStr">
        <is>
          <t>KRISTIANSTAD</t>
        </is>
      </c>
      <c r="F6277" t="inlineStr">
        <is>
          <t>Sveaskog</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23233-2024</t>
        </is>
      </c>
      <c r="B6278" s="1" t="n">
        <v>45453</v>
      </c>
      <c r="C6278" s="1" t="n">
        <v>45744</v>
      </c>
      <c r="D6278" t="inlineStr">
        <is>
          <t>SKÅNE LÄN</t>
        </is>
      </c>
      <c r="E6278" t="inlineStr">
        <is>
          <t>OSBY</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23235-2024</t>
        </is>
      </c>
      <c r="B6279" s="1" t="n">
        <v>45453</v>
      </c>
      <c r="C6279" s="1" t="n">
        <v>45744</v>
      </c>
      <c r="D6279" t="inlineStr">
        <is>
          <t>SKÅNE LÄN</t>
        </is>
      </c>
      <c r="E6279" t="inlineStr">
        <is>
          <t>OSBY</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23591-2024</t>
        </is>
      </c>
      <c r="B6280" s="1" t="n">
        <v>45454</v>
      </c>
      <c r="C6280" s="1" t="n">
        <v>45744</v>
      </c>
      <c r="D6280" t="inlineStr">
        <is>
          <t>SKÅNE LÄN</t>
        </is>
      </c>
      <c r="E6280" t="inlineStr">
        <is>
          <t>ÅSTORP</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23639-2024</t>
        </is>
      </c>
      <c r="B6281" s="1" t="n">
        <v>45454</v>
      </c>
      <c r="C6281" s="1" t="n">
        <v>45744</v>
      </c>
      <c r="D6281" t="inlineStr">
        <is>
          <t>SKÅNE LÄN</t>
        </is>
      </c>
      <c r="E6281" t="inlineStr">
        <is>
          <t>OSBY</t>
        </is>
      </c>
      <c r="F6281" t="inlineStr">
        <is>
          <t>Kommuner</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23676-2024</t>
        </is>
      </c>
      <c r="B6282" s="1" t="n">
        <v>45454</v>
      </c>
      <c r="C6282" s="1" t="n">
        <v>45744</v>
      </c>
      <c r="D6282" t="inlineStr">
        <is>
          <t>SKÅNE LÄN</t>
        </is>
      </c>
      <c r="E6282" t="inlineStr">
        <is>
          <t>ÄNGELHOLM</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23813-2024</t>
        </is>
      </c>
      <c r="B6283" s="1" t="n">
        <v>45455</v>
      </c>
      <c r="C6283" s="1" t="n">
        <v>45744</v>
      </c>
      <c r="D6283" t="inlineStr">
        <is>
          <t>SKÅNE LÄN</t>
        </is>
      </c>
      <c r="E6283" t="inlineStr">
        <is>
          <t>TOMELILLA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23798-2024</t>
        </is>
      </c>
      <c r="B6284" s="1" t="n">
        <v>45455</v>
      </c>
      <c r="C6284" s="1" t="n">
        <v>45744</v>
      </c>
      <c r="D6284" t="inlineStr">
        <is>
          <t>SKÅNE LÄN</t>
        </is>
      </c>
      <c r="E6284" t="inlineStr">
        <is>
          <t>ÅSTORP</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23850-2024</t>
        </is>
      </c>
      <c r="B6285" s="1" t="n">
        <v>45455</v>
      </c>
      <c r="C6285" s="1" t="n">
        <v>45744</v>
      </c>
      <c r="D6285" t="inlineStr">
        <is>
          <t>SKÅNE LÄN</t>
        </is>
      </c>
      <c r="E6285" t="inlineStr">
        <is>
          <t>KRISTIANSTAD</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23905-2024</t>
        </is>
      </c>
      <c r="B6286" s="1" t="n">
        <v>45455</v>
      </c>
      <c r="C6286" s="1" t="n">
        <v>45744</v>
      </c>
      <c r="D6286" t="inlineStr">
        <is>
          <t>SKÅNE LÄN</t>
        </is>
      </c>
      <c r="E6286" t="inlineStr">
        <is>
          <t>KLIPPAN</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23857-2024</t>
        </is>
      </c>
      <c r="B6287" s="1" t="n">
        <v>45455</v>
      </c>
      <c r="C6287" s="1" t="n">
        <v>45744</v>
      </c>
      <c r="D6287" t="inlineStr">
        <is>
          <t>SKÅNE LÄN</t>
        </is>
      </c>
      <c r="E6287" t="inlineStr">
        <is>
          <t>HÄSSLEHOLM</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23864-2024</t>
        </is>
      </c>
      <c r="B6288" s="1" t="n">
        <v>45455</v>
      </c>
      <c r="C6288" s="1" t="n">
        <v>45744</v>
      </c>
      <c r="D6288" t="inlineStr">
        <is>
          <t>SKÅNE LÄN</t>
        </is>
      </c>
      <c r="E6288" t="inlineStr">
        <is>
          <t>HÄSSLEHOLM</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23860-2024</t>
        </is>
      </c>
      <c r="B6289" s="1" t="n">
        <v>45455</v>
      </c>
      <c r="C6289" s="1" t="n">
        <v>45744</v>
      </c>
      <c r="D6289" t="inlineStr">
        <is>
          <t>SKÅNE LÄN</t>
        </is>
      </c>
      <c r="E6289" t="inlineStr">
        <is>
          <t>HÄSSLEHOLM</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23976-2024</t>
        </is>
      </c>
      <c r="B6290" s="1" t="n">
        <v>45456</v>
      </c>
      <c r="C6290" s="1" t="n">
        <v>45744</v>
      </c>
      <c r="D6290" t="inlineStr">
        <is>
          <t>SKÅNE LÄN</t>
        </is>
      </c>
      <c r="E6290" t="inlineStr">
        <is>
          <t>ÄNGELHOLM</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23980-2024</t>
        </is>
      </c>
      <c r="B6291" s="1" t="n">
        <v>45456</v>
      </c>
      <c r="C6291" s="1" t="n">
        <v>45744</v>
      </c>
      <c r="D6291" t="inlineStr">
        <is>
          <t>SKÅNE LÄN</t>
        </is>
      </c>
      <c r="E6291" t="inlineStr">
        <is>
          <t>ÄNGELHOLM</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23977-2024</t>
        </is>
      </c>
      <c r="B6292" s="1" t="n">
        <v>45456</v>
      </c>
      <c r="C6292" s="1" t="n">
        <v>45744</v>
      </c>
      <c r="D6292" t="inlineStr">
        <is>
          <t>SKÅNE LÄN</t>
        </is>
      </c>
      <c r="E6292" t="inlineStr">
        <is>
          <t>ESLÖV</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23987-2024</t>
        </is>
      </c>
      <c r="B6293" s="1" t="n">
        <v>45456</v>
      </c>
      <c r="C6293" s="1" t="n">
        <v>45744</v>
      </c>
      <c r="D6293" t="inlineStr">
        <is>
          <t>SKÅNE LÄN</t>
        </is>
      </c>
      <c r="E6293" t="inlineStr">
        <is>
          <t>HÄSSLEHOLM</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24136-2024</t>
        </is>
      </c>
      <c r="B6294" s="1" t="n">
        <v>45456</v>
      </c>
      <c r="C6294" s="1" t="n">
        <v>45744</v>
      </c>
      <c r="D6294" t="inlineStr">
        <is>
          <t>SKÅNE LÄN</t>
        </is>
      </c>
      <c r="E6294" t="inlineStr">
        <is>
          <t>KLIPPAN</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24126-2024</t>
        </is>
      </c>
      <c r="B6295" s="1" t="n">
        <v>45456</v>
      </c>
      <c r="C6295" s="1" t="n">
        <v>45744</v>
      </c>
      <c r="D6295" t="inlineStr">
        <is>
          <t>SKÅNE LÄN</t>
        </is>
      </c>
      <c r="E6295" t="inlineStr">
        <is>
          <t>KLIPPAN</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24138-2024</t>
        </is>
      </c>
      <c r="B6296" s="1" t="n">
        <v>45456</v>
      </c>
      <c r="C6296" s="1" t="n">
        <v>45744</v>
      </c>
      <c r="D6296" t="inlineStr">
        <is>
          <t>SKÅNE LÄN</t>
        </is>
      </c>
      <c r="E6296" t="inlineStr">
        <is>
          <t>KLIPPAN</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24143-2024</t>
        </is>
      </c>
      <c r="B6297" s="1" t="n">
        <v>45456</v>
      </c>
      <c r="C6297" s="1" t="n">
        <v>45744</v>
      </c>
      <c r="D6297" t="inlineStr">
        <is>
          <t>SKÅNE LÄN</t>
        </is>
      </c>
      <c r="E6297" t="inlineStr">
        <is>
          <t>SJÖBO</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24248-2024</t>
        </is>
      </c>
      <c r="B6298" s="1" t="n">
        <v>45457</v>
      </c>
      <c r="C6298" s="1" t="n">
        <v>45744</v>
      </c>
      <c r="D6298" t="inlineStr">
        <is>
          <t>SKÅNE LÄN</t>
        </is>
      </c>
      <c r="E6298" t="inlineStr">
        <is>
          <t>TOMELILLA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24724-2024</t>
        </is>
      </c>
      <c r="B6299" s="1" t="n">
        <v>45460</v>
      </c>
      <c r="C6299" s="1" t="n">
        <v>45744</v>
      </c>
      <c r="D6299" t="inlineStr">
        <is>
          <t>SKÅNE LÄN</t>
        </is>
      </c>
      <c r="E6299" t="inlineStr">
        <is>
          <t>HÖRBY</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24732-2024</t>
        </is>
      </c>
      <c r="B6300" s="1" t="n">
        <v>45460</v>
      </c>
      <c r="C6300" s="1" t="n">
        <v>45744</v>
      </c>
      <c r="D6300" t="inlineStr">
        <is>
          <t>SKÅNE LÄN</t>
        </is>
      </c>
      <c r="E6300" t="inlineStr">
        <is>
          <t>HÖRBY</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24675-2024</t>
        </is>
      </c>
      <c r="B6301" s="1" t="n">
        <v>45460</v>
      </c>
      <c r="C6301" s="1" t="n">
        <v>45744</v>
      </c>
      <c r="D6301" t="inlineStr">
        <is>
          <t>SKÅNE LÄN</t>
        </is>
      </c>
      <c r="E6301" t="inlineStr">
        <is>
          <t>HÖRBY</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24687-2024</t>
        </is>
      </c>
      <c r="B6302" s="1" t="n">
        <v>45460</v>
      </c>
      <c r="C6302" s="1" t="n">
        <v>45744</v>
      </c>
      <c r="D6302" t="inlineStr">
        <is>
          <t>SKÅNE LÄN</t>
        </is>
      </c>
      <c r="E6302" t="inlineStr">
        <is>
          <t>HÖRBY</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24670-2024</t>
        </is>
      </c>
      <c r="B6303" s="1" t="n">
        <v>45460</v>
      </c>
      <c r="C6303" s="1" t="n">
        <v>45744</v>
      </c>
      <c r="D6303" t="inlineStr">
        <is>
          <t>SKÅNE LÄN</t>
        </is>
      </c>
      <c r="E6303" t="inlineStr">
        <is>
          <t>HÖRBY</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24981-2024</t>
        </is>
      </c>
      <c r="B6304" s="1" t="n">
        <v>45461</v>
      </c>
      <c r="C6304" s="1" t="n">
        <v>45744</v>
      </c>
      <c r="D6304" t="inlineStr">
        <is>
          <t>SKÅNE LÄN</t>
        </is>
      </c>
      <c r="E6304" t="inlineStr">
        <is>
          <t>KRISTIANSTAD</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24927-2024</t>
        </is>
      </c>
      <c r="B6305" s="1" t="n">
        <v>45461</v>
      </c>
      <c r="C6305" s="1" t="n">
        <v>45744</v>
      </c>
      <c r="D6305" t="inlineStr">
        <is>
          <t>SKÅNE LÄN</t>
        </is>
      </c>
      <c r="E6305" t="inlineStr">
        <is>
          <t>KRISTIANSTAD</t>
        </is>
      </c>
      <c r="F6305" t="inlineStr">
        <is>
          <t>Sveaskog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24815-2024</t>
        </is>
      </c>
      <c r="B6306" s="1" t="n">
        <v>45461</v>
      </c>
      <c r="C6306" s="1" t="n">
        <v>45744</v>
      </c>
      <c r="D6306" t="inlineStr">
        <is>
          <t>SKÅNE LÄN</t>
        </is>
      </c>
      <c r="E6306" t="inlineStr">
        <is>
          <t>HÖÖR</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24861-2024</t>
        </is>
      </c>
      <c r="B6307" s="1" t="n">
        <v>45461</v>
      </c>
      <c r="C6307" s="1" t="n">
        <v>45744</v>
      </c>
      <c r="D6307" t="inlineStr">
        <is>
          <t>SKÅNE LÄN</t>
        </is>
      </c>
      <c r="E6307" t="inlineStr">
        <is>
          <t>KLIPPAN</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24865-2024</t>
        </is>
      </c>
      <c r="B6308" s="1" t="n">
        <v>45461</v>
      </c>
      <c r="C6308" s="1" t="n">
        <v>45744</v>
      </c>
      <c r="D6308" t="inlineStr">
        <is>
          <t>SKÅNE LÄN</t>
        </is>
      </c>
      <c r="E6308" t="inlineStr">
        <is>
          <t>HÄSSLEHOLM</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24913-2024</t>
        </is>
      </c>
      <c r="B6309" s="1" t="n">
        <v>45461</v>
      </c>
      <c r="C6309" s="1" t="n">
        <v>45744</v>
      </c>
      <c r="D6309" t="inlineStr">
        <is>
          <t>SKÅNE LÄN</t>
        </is>
      </c>
      <c r="E6309" t="inlineStr">
        <is>
          <t>KRISTIANSTAD</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24930-2024</t>
        </is>
      </c>
      <c r="B6310" s="1" t="n">
        <v>45461</v>
      </c>
      <c r="C6310" s="1" t="n">
        <v>45744</v>
      </c>
      <c r="D6310" t="inlineStr">
        <is>
          <t>SKÅNE LÄN</t>
        </is>
      </c>
      <c r="E6310" t="inlineStr">
        <is>
          <t>KRISTIANSTAD</t>
        </is>
      </c>
      <c r="F6310" t="inlineStr">
        <is>
          <t>Sveaskog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24934-2024</t>
        </is>
      </c>
      <c r="B6311" s="1" t="n">
        <v>45461</v>
      </c>
      <c r="C6311" s="1" t="n">
        <v>45744</v>
      </c>
      <c r="D6311" t="inlineStr">
        <is>
          <t>SKÅNE LÄN</t>
        </is>
      </c>
      <c r="E6311" t="inlineStr">
        <is>
          <t>TOMELILLA</t>
        </is>
      </c>
      <c r="F6311" t="inlineStr">
        <is>
          <t>Sveaskog</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24887-2024</t>
        </is>
      </c>
      <c r="B6312" s="1" t="n">
        <v>45461</v>
      </c>
      <c r="C6312" s="1" t="n">
        <v>45744</v>
      </c>
      <c r="D6312" t="inlineStr">
        <is>
          <t>SKÅNE LÄN</t>
        </is>
      </c>
      <c r="E6312" t="inlineStr">
        <is>
          <t>KRISTIANSTAD</t>
        </is>
      </c>
      <c r="F6312" t="inlineStr">
        <is>
          <t>Sveaskog</t>
        </is>
      </c>
      <c r="G6312" t="n">
        <v>4.6</v>
      </c>
      <c r="H6312" t="n">
        <v>0</v>
      </c>
      <c r="I6312" t="n">
        <v>0</v>
      </c>
      <c r="J6312" t="n">
        <v>0</v>
      </c>
      <c r="K6312" t="n">
        <v>0</v>
      </c>
      <c r="L6312" t="n">
        <v>0</v>
      </c>
      <c r="M6312" t="n">
        <v>0</v>
      </c>
      <c r="N6312" t="n">
        <v>0</v>
      </c>
      <c r="O6312" t="n">
        <v>0</v>
      </c>
      <c r="P6312" t="n">
        <v>0</v>
      </c>
      <c r="Q6312" t="n">
        <v>0</v>
      </c>
      <c r="R6312" s="2" t="inlineStr"/>
    </row>
    <row r="6313" ht="15" customHeight="1">
      <c r="A6313" t="inlineStr">
        <is>
          <t>A 24855-2024</t>
        </is>
      </c>
      <c r="B6313" s="1" t="n">
        <v>45461</v>
      </c>
      <c r="C6313" s="1" t="n">
        <v>45744</v>
      </c>
      <c r="D6313" t="inlineStr">
        <is>
          <t>SKÅNE LÄN</t>
        </is>
      </c>
      <c r="E6313" t="inlineStr">
        <is>
          <t>ÄNGELHOLM</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24816-2024</t>
        </is>
      </c>
      <c r="B6314" s="1" t="n">
        <v>45461</v>
      </c>
      <c r="C6314" s="1" t="n">
        <v>45744</v>
      </c>
      <c r="D6314" t="inlineStr">
        <is>
          <t>SKÅNE LÄN</t>
        </is>
      </c>
      <c r="E6314" t="inlineStr">
        <is>
          <t>HÖÖR</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24982-2024</t>
        </is>
      </c>
      <c r="B6315" s="1" t="n">
        <v>45461</v>
      </c>
      <c r="C6315" s="1" t="n">
        <v>45744</v>
      </c>
      <c r="D6315" t="inlineStr">
        <is>
          <t>SKÅNE LÄN</t>
        </is>
      </c>
      <c r="E6315" t="inlineStr">
        <is>
          <t>ÖSTRA GÖINGE</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24978-2024</t>
        </is>
      </c>
      <c r="B6316" s="1" t="n">
        <v>45461</v>
      </c>
      <c r="C6316" s="1" t="n">
        <v>45744</v>
      </c>
      <c r="D6316" t="inlineStr">
        <is>
          <t>SKÅNE LÄN</t>
        </is>
      </c>
      <c r="E6316" t="inlineStr">
        <is>
          <t>ÖSTRA GÖINGE</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24969-2024</t>
        </is>
      </c>
      <c r="B6317" s="1" t="n">
        <v>45461</v>
      </c>
      <c r="C6317" s="1" t="n">
        <v>45744</v>
      </c>
      <c r="D6317" t="inlineStr">
        <is>
          <t>SKÅNE LÄN</t>
        </is>
      </c>
      <c r="E6317" t="inlineStr">
        <is>
          <t>HÄSSLEHOLM</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24840-2024</t>
        </is>
      </c>
      <c r="B6318" s="1" t="n">
        <v>45461</v>
      </c>
      <c r="C6318" s="1" t="n">
        <v>45744</v>
      </c>
      <c r="D6318" t="inlineStr">
        <is>
          <t>SKÅNE LÄN</t>
        </is>
      </c>
      <c r="E6318" t="inlineStr">
        <is>
          <t>OSBY</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24936-2024</t>
        </is>
      </c>
      <c r="B6319" s="1" t="n">
        <v>45461</v>
      </c>
      <c r="C6319" s="1" t="n">
        <v>45744</v>
      </c>
      <c r="D6319" t="inlineStr">
        <is>
          <t>SKÅNE LÄN</t>
        </is>
      </c>
      <c r="E6319" t="inlineStr">
        <is>
          <t>TOMELILLA</t>
        </is>
      </c>
      <c r="F6319" t="inlineStr">
        <is>
          <t>Sveaskog</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24968-2024</t>
        </is>
      </c>
      <c r="B6320" s="1" t="n">
        <v>45461</v>
      </c>
      <c r="C6320" s="1" t="n">
        <v>45744</v>
      </c>
      <c r="D6320" t="inlineStr">
        <is>
          <t>SKÅNE LÄN</t>
        </is>
      </c>
      <c r="E6320" t="inlineStr">
        <is>
          <t>ÖSTRA GÖINGE</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24976-2024</t>
        </is>
      </c>
      <c r="B6321" s="1" t="n">
        <v>45461</v>
      </c>
      <c r="C6321" s="1" t="n">
        <v>45744</v>
      </c>
      <c r="D6321" t="inlineStr">
        <is>
          <t>SKÅNE LÄN</t>
        </is>
      </c>
      <c r="E6321" t="inlineStr">
        <is>
          <t>ÖSTRA GÖINGE</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24980-2024</t>
        </is>
      </c>
      <c r="B6322" s="1" t="n">
        <v>45461</v>
      </c>
      <c r="C6322" s="1" t="n">
        <v>45744</v>
      </c>
      <c r="D6322" t="inlineStr">
        <is>
          <t>SKÅNE LÄN</t>
        </is>
      </c>
      <c r="E6322" t="inlineStr">
        <is>
          <t>KRISTIANSTAD</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25326-2024</t>
        </is>
      </c>
      <c r="B6323" s="1" t="n">
        <v>45462</v>
      </c>
      <c r="C6323" s="1" t="n">
        <v>45744</v>
      </c>
      <c r="D6323" t="inlineStr">
        <is>
          <t>SKÅNE LÄN</t>
        </is>
      </c>
      <c r="E6323" t="inlineStr">
        <is>
          <t>HÄSSLEHOLM</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25323-2024</t>
        </is>
      </c>
      <c r="B6324" s="1" t="n">
        <v>45462</v>
      </c>
      <c r="C6324" s="1" t="n">
        <v>45744</v>
      </c>
      <c r="D6324" t="inlineStr">
        <is>
          <t>SKÅNE LÄN</t>
        </is>
      </c>
      <c r="E6324" t="inlineStr">
        <is>
          <t>HÄSSLEHOLM</t>
        </is>
      </c>
      <c r="G6324" t="n">
        <v>6.1</v>
      </c>
      <c r="H6324" t="n">
        <v>0</v>
      </c>
      <c r="I6324" t="n">
        <v>0</v>
      </c>
      <c r="J6324" t="n">
        <v>0</v>
      </c>
      <c r="K6324" t="n">
        <v>0</v>
      </c>
      <c r="L6324" t="n">
        <v>0</v>
      </c>
      <c r="M6324" t="n">
        <v>0</v>
      </c>
      <c r="N6324" t="n">
        <v>0</v>
      </c>
      <c r="O6324" t="n">
        <v>0</v>
      </c>
      <c r="P6324" t="n">
        <v>0</v>
      </c>
      <c r="Q6324" t="n">
        <v>0</v>
      </c>
      <c r="R6324" s="2" t="inlineStr"/>
    </row>
    <row r="6325" ht="15" customHeight="1">
      <c r="A6325" t="inlineStr">
        <is>
          <t>A 25129-2024</t>
        </is>
      </c>
      <c r="B6325" s="1" t="n">
        <v>45462</v>
      </c>
      <c r="C6325" s="1" t="n">
        <v>45744</v>
      </c>
      <c r="D6325" t="inlineStr">
        <is>
          <t>SKÅNE LÄN</t>
        </is>
      </c>
      <c r="E6325" t="inlineStr">
        <is>
          <t>ÄNGELHOLM</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25325-2024</t>
        </is>
      </c>
      <c r="B6326" s="1" t="n">
        <v>45462</v>
      </c>
      <c r="C6326" s="1" t="n">
        <v>45744</v>
      </c>
      <c r="D6326" t="inlineStr">
        <is>
          <t>SKÅNE LÄN</t>
        </is>
      </c>
      <c r="E6326" t="inlineStr">
        <is>
          <t>HÄSSLEHOLM</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25176-2024</t>
        </is>
      </c>
      <c r="B6327" s="1" t="n">
        <v>45462</v>
      </c>
      <c r="C6327" s="1" t="n">
        <v>45744</v>
      </c>
      <c r="D6327" t="inlineStr">
        <is>
          <t>SKÅNE LÄN</t>
        </is>
      </c>
      <c r="E6327" t="inlineStr">
        <is>
          <t>HÄSSLEHOLM</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25077-2024</t>
        </is>
      </c>
      <c r="B6328" s="1" t="n">
        <v>45462</v>
      </c>
      <c r="C6328" s="1" t="n">
        <v>45744</v>
      </c>
      <c r="D6328" t="inlineStr">
        <is>
          <t>SKÅNE LÄN</t>
        </is>
      </c>
      <c r="E6328" t="inlineStr">
        <is>
          <t>HÄSSLEHOLM</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25057-2024</t>
        </is>
      </c>
      <c r="B6329" s="1" t="n">
        <v>45462</v>
      </c>
      <c r="C6329" s="1" t="n">
        <v>45744</v>
      </c>
      <c r="D6329" t="inlineStr">
        <is>
          <t>SKÅNE LÄN</t>
        </is>
      </c>
      <c r="E6329" t="inlineStr">
        <is>
          <t>HÄSSLEHOLM</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25324-2024</t>
        </is>
      </c>
      <c r="B6330" s="1" t="n">
        <v>45462</v>
      </c>
      <c r="C6330" s="1" t="n">
        <v>45744</v>
      </c>
      <c r="D6330" t="inlineStr">
        <is>
          <t>SKÅNE LÄN</t>
        </is>
      </c>
      <c r="E6330" t="inlineStr">
        <is>
          <t>HÄSSLEHOLM</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25312-2024</t>
        </is>
      </c>
      <c r="B6331" s="1" t="n">
        <v>45462</v>
      </c>
      <c r="C6331" s="1" t="n">
        <v>45744</v>
      </c>
      <c r="D6331" t="inlineStr">
        <is>
          <t>SKÅNE LÄN</t>
        </is>
      </c>
      <c r="E6331" t="inlineStr">
        <is>
          <t>ÄNGELHOLM</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25207-2024</t>
        </is>
      </c>
      <c r="B6332" s="1" t="n">
        <v>45462</v>
      </c>
      <c r="C6332" s="1" t="n">
        <v>45744</v>
      </c>
      <c r="D6332" t="inlineStr">
        <is>
          <t>SKÅNE LÄN</t>
        </is>
      </c>
      <c r="E6332" t="inlineStr">
        <is>
          <t>SJÖBO</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25203-2024</t>
        </is>
      </c>
      <c r="B6333" s="1" t="n">
        <v>45462</v>
      </c>
      <c r="C6333" s="1" t="n">
        <v>45744</v>
      </c>
      <c r="D6333" t="inlineStr">
        <is>
          <t>SKÅNE LÄN</t>
        </is>
      </c>
      <c r="E6333" t="inlineStr">
        <is>
          <t>HÄSSLEHOLM</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25604-2024</t>
        </is>
      </c>
      <c r="B6334" s="1" t="n">
        <v>45463</v>
      </c>
      <c r="C6334" s="1" t="n">
        <v>45744</v>
      </c>
      <c r="D6334" t="inlineStr">
        <is>
          <t>SKÅNE LÄN</t>
        </is>
      </c>
      <c r="E6334" t="inlineStr">
        <is>
          <t>HÄSSLEHOLM</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25580-2024</t>
        </is>
      </c>
      <c r="B6335" s="1" t="n">
        <v>45463</v>
      </c>
      <c r="C6335" s="1" t="n">
        <v>45744</v>
      </c>
      <c r="D6335" t="inlineStr">
        <is>
          <t>SKÅNE LÄN</t>
        </is>
      </c>
      <c r="E6335" t="inlineStr">
        <is>
          <t>OSBY</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25610-2024</t>
        </is>
      </c>
      <c r="B6336" s="1" t="n">
        <v>45463</v>
      </c>
      <c r="C6336" s="1" t="n">
        <v>45744</v>
      </c>
      <c r="D6336" t="inlineStr">
        <is>
          <t>SKÅNE LÄN</t>
        </is>
      </c>
      <c r="E6336" t="inlineStr">
        <is>
          <t>TRELLEBORG</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25606-2024</t>
        </is>
      </c>
      <c r="B6337" s="1" t="n">
        <v>45463</v>
      </c>
      <c r="C6337" s="1" t="n">
        <v>45744</v>
      </c>
      <c r="D6337" t="inlineStr">
        <is>
          <t>SKÅNE LÄN</t>
        </is>
      </c>
      <c r="E6337" t="inlineStr">
        <is>
          <t>HÄSSLEHOLM</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25542-2024</t>
        </is>
      </c>
      <c r="B6338" s="1" t="n">
        <v>45463</v>
      </c>
      <c r="C6338" s="1" t="n">
        <v>45744</v>
      </c>
      <c r="D6338" t="inlineStr">
        <is>
          <t>SKÅNE LÄN</t>
        </is>
      </c>
      <c r="E6338" t="inlineStr">
        <is>
          <t>HÄSSLEHOLM</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25538-2024</t>
        </is>
      </c>
      <c r="B6339" s="1" t="n">
        <v>45463</v>
      </c>
      <c r="C6339" s="1" t="n">
        <v>45744</v>
      </c>
      <c r="D6339" t="inlineStr">
        <is>
          <t>SKÅNE LÄN</t>
        </is>
      </c>
      <c r="E6339" t="inlineStr">
        <is>
          <t>HÄSSLEHOLM</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25611-2024</t>
        </is>
      </c>
      <c r="B6340" s="1" t="n">
        <v>45463</v>
      </c>
      <c r="C6340" s="1" t="n">
        <v>45744</v>
      </c>
      <c r="D6340" t="inlineStr">
        <is>
          <t>SKÅNE LÄN</t>
        </is>
      </c>
      <c r="E6340" t="inlineStr">
        <is>
          <t>HÄSSLEHOLM</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25603-2024</t>
        </is>
      </c>
      <c r="B6341" s="1" t="n">
        <v>45463</v>
      </c>
      <c r="C6341" s="1" t="n">
        <v>45744</v>
      </c>
      <c r="D6341" t="inlineStr">
        <is>
          <t>SKÅNE LÄN</t>
        </is>
      </c>
      <c r="E6341" t="inlineStr">
        <is>
          <t>SVEDALA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25579-2024</t>
        </is>
      </c>
      <c r="B6342" s="1" t="n">
        <v>45463</v>
      </c>
      <c r="C6342" s="1" t="n">
        <v>45744</v>
      </c>
      <c r="D6342" t="inlineStr">
        <is>
          <t>SKÅNE LÄN</t>
        </is>
      </c>
      <c r="E6342" t="inlineStr">
        <is>
          <t>OSBY</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25833-2024</t>
        </is>
      </c>
      <c r="B6343" s="1" t="n">
        <v>45463</v>
      </c>
      <c r="C6343" s="1" t="n">
        <v>45744</v>
      </c>
      <c r="D6343" t="inlineStr">
        <is>
          <t>SKÅNE LÄN</t>
        </is>
      </c>
      <c r="E6343" t="inlineStr">
        <is>
          <t>HÖRBY</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25617-2024</t>
        </is>
      </c>
      <c r="B6344" s="1" t="n">
        <v>45463</v>
      </c>
      <c r="C6344" s="1" t="n">
        <v>45744</v>
      </c>
      <c r="D6344" t="inlineStr">
        <is>
          <t>SKÅNE LÄN</t>
        </is>
      </c>
      <c r="E6344" t="inlineStr">
        <is>
          <t>SKURUP</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25585-2024</t>
        </is>
      </c>
      <c r="B6345" s="1" t="n">
        <v>45463</v>
      </c>
      <c r="C6345" s="1" t="n">
        <v>45744</v>
      </c>
      <c r="D6345" t="inlineStr">
        <is>
          <t>SKÅNE LÄN</t>
        </is>
      </c>
      <c r="E6345" t="inlineStr">
        <is>
          <t>KRISTIANSTAD</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25581-2024</t>
        </is>
      </c>
      <c r="B6346" s="1" t="n">
        <v>45463</v>
      </c>
      <c r="C6346" s="1" t="n">
        <v>45744</v>
      </c>
      <c r="D6346" t="inlineStr">
        <is>
          <t>SKÅNE LÄN</t>
        </is>
      </c>
      <c r="E6346" t="inlineStr">
        <is>
          <t>KRISTIANSTAD</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25669-2024</t>
        </is>
      </c>
      <c r="B6347" s="1" t="n">
        <v>45463</v>
      </c>
      <c r="C6347" s="1" t="n">
        <v>45744</v>
      </c>
      <c r="D6347" t="inlineStr">
        <is>
          <t>SKÅNE LÄN</t>
        </is>
      </c>
      <c r="E6347" t="inlineStr">
        <is>
          <t>ÄNGELHOLM</t>
        </is>
      </c>
      <c r="G6347" t="n">
        <v>17.9</v>
      </c>
      <c r="H6347" t="n">
        <v>0</v>
      </c>
      <c r="I6347" t="n">
        <v>0</v>
      </c>
      <c r="J6347" t="n">
        <v>0</v>
      </c>
      <c r="K6347" t="n">
        <v>0</v>
      </c>
      <c r="L6347" t="n">
        <v>0</v>
      </c>
      <c r="M6347" t="n">
        <v>0</v>
      </c>
      <c r="N6347" t="n">
        <v>0</v>
      </c>
      <c r="O6347" t="n">
        <v>0</v>
      </c>
      <c r="P6347" t="n">
        <v>0</v>
      </c>
      <c r="Q6347" t="n">
        <v>0</v>
      </c>
      <c r="R6347" s="2" t="inlineStr"/>
    </row>
    <row r="6348" ht="15" customHeight="1">
      <c r="A6348" t="inlineStr">
        <is>
          <t>A 25533-2024</t>
        </is>
      </c>
      <c r="B6348" s="1" t="n">
        <v>45463</v>
      </c>
      <c r="C6348" s="1" t="n">
        <v>45744</v>
      </c>
      <c r="D6348" t="inlineStr">
        <is>
          <t>SKÅNE LÄN</t>
        </is>
      </c>
      <c r="E6348" t="inlineStr">
        <is>
          <t>HÄSSLEHOLM</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25412-2024</t>
        </is>
      </c>
      <c r="B6349" s="1" t="n">
        <v>45463</v>
      </c>
      <c r="C6349" s="1" t="n">
        <v>45744</v>
      </c>
      <c r="D6349" t="inlineStr">
        <is>
          <t>SKÅNE LÄN</t>
        </is>
      </c>
      <c r="E6349" t="inlineStr">
        <is>
          <t>SJÖBO</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25431-2024</t>
        </is>
      </c>
      <c r="B6350" s="1" t="n">
        <v>45463</v>
      </c>
      <c r="C6350" s="1" t="n">
        <v>45744</v>
      </c>
      <c r="D6350" t="inlineStr">
        <is>
          <t>SKÅNE LÄN</t>
        </is>
      </c>
      <c r="E6350" t="inlineStr">
        <is>
          <t>LUND</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25422-2024</t>
        </is>
      </c>
      <c r="B6351" s="1" t="n">
        <v>45463</v>
      </c>
      <c r="C6351" s="1" t="n">
        <v>45744</v>
      </c>
      <c r="D6351" t="inlineStr">
        <is>
          <t>SKÅNE LÄN</t>
        </is>
      </c>
      <c r="E6351" t="inlineStr">
        <is>
          <t>HÄSSLEHOLM</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25421-2024</t>
        </is>
      </c>
      <c r="B6352" s="1" t="n">
        <v>45463</v>
      </c>
      <c r="C6352" s="1" t="n">
        <v>45744</v>
      </c>
      <c r="D6352" t="inlineStr">
        <is>
          <t>SKÅNE LÄN</t>
        </is>
      </c>
      <c r="E6352" t="inlineStr">
        <is>
          <t>LUND</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25410-2024</t>
        </is>
      </c>
      <c r="B6353" s="1" t="n">
        <v>45463</v>
      </c>
      <c r="C6353" s="1" t="n">
        <v>45744</v>
      </c>
      <c r="D6353" t="inlineStr">
        <is>
          <t>SKÅNE LÄN</t>
        </is>
      </c>
      <c r="E6353" t="inlineStr">
        <is>
          <t>SJÖBO</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25765-2024</t>
        </is>
      </c>
      <c r="B6354" s="1" t="n">
        <v>45465</v>
      </c>
      <c r="C6354" s="1" t="n">
        <v>45744</v>
      </c>
      <c r="D6354" t="inlineStr">
        <is>
          <t>SKÅNE LÄN</t>
        </is>
      </c>
      <c r="E6354" t="inlineStr">
        <is>
          <t>KRISTIANSTAD</t>
        </is>
      </c>
      <c r="G6354" t="n">
        <v>16.6</v>
      </c>
      <c r="H6354" t="n">
        <v>0</v>
      </c>
      <c r="I6354" t="n">
        <v>0</v>
      </c>
      <c r="J6354" t="n">
        <v>0</v>
      </c>
      <c r="K6354" t="n">
        <v>0</v>
      </c>
      <c r="L6354" t="n">
        <v>0</v>
      </c>
      <c r="M6354" t="n">
        <v>0</v>
      </c>
      <c r="N6354" t="n">
        <v>0</v>
      </c>
      <c r="O6354" t="n">
        <v>0</v>
      </c>
      <c r="P6354" t="n">
        <v>0</v>
      </c>
      <c r="Q6354" t="n">
        <v>0</v>
      </c>
      <c r="R6354" s="2" t="inlineStr"/>
    </row>
    <row r="6355" ht="15" customHeight="1">
      <c r="A6355" t="inlineStr">
        <is>
          <t>A 25767-2024</t>
        </is>
      </c>
      <c r="B6355" s="1" t="n">
        <v>45465</v>
      </c>
      <c r="C6355" s="1" t="n">
        <v>45744</v>
      </c>
      <c r="D6355" t="inlineStr">
        <is>
          <t>SKÅNE LÄN</t>
        </is>
      </c>
      <c r="E6355" t="inlineStr">
        <is>
          <t>KRISTIANSTAD</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25763-2024</t>
        </is>
      </c>
      <c r="B6356" s="1" t="n">
        <v>45465</v>
      </c>
      <c r="C6356" s="1" t="n">
        <v>45744</v>
      </c>
      <c r="D6356" t="inlineStr">
        <is>
          <t>SKÅNE LÄN</t>
        </is>
      </c>
      <c r="E6356" t="inlineStr">
        <is>
          <t>KRISTIANSTAD</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25759-2024</t>
        </is>
      </c>
      <c r="B6357" s="1" t="n">
        <v>45465</v>
      </c>
      <c r="C6357" s="1" t="n">
        <v>45744</v>
      </c>
      <c r="D6357" t="inlineStr">
        <is>
          <t>SKÅNE LÄN</t>
        </is>
      </c>
      <c r="E6357" t="inlineStr">
        <is>
          <t>KRISTIANSTAD</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25762-2024</t>
        </is>
      </c>
      <c r="B6358" s="1" t="n">
        <v>45465</v>
      </c>
      <c r="C6358" s="1" t="n">
        <v>45744</v>
      </c>
      <c r="D6358" t="inlineStr">
        <is>
          <t>SKÅNE LÄN</t>
        </is>
      </c>
      <c r="E6358" t="inlineStr">
        <is>
          <t>KRISTIANSTAD</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25766-2024</t>
        </is>
      </c>
      <c r="B6359" s="1" t="n">
        <v>45465</v>
      </c>
      <c r="C6359" s="1" t="n">
        <v>45744</v>
      </c>
      <c r="D6359" t="inlineStr">
        <is>
          <t>SKÅNE LÄN</t>
        </is>
      </c>
      <c r="E6359" t="inlineStr">
        <is>
          <t>KRISTIANSTAD</t>
        </is>
      </c>
      <c r="G6359" t="n">
        <v>7.3</v>
      </c>
      <c r="H6359" t="n">
        <v>0</v>
      </c>
      <c r="I6359" t="n">
        <v>0</v>
      </c>
      <c r="J6359" t="n">
        <v>0</v>
      </c>
      <c r="K6359" t="n">
        <v>0</v>
      </c>
      <c r="L6359" t="n">
        <v>0</v>
      </c>
      <c r="M6359" t="n">
        <v>0</v>
      </c>
      <c r="N6359" t="n">
        <v>0</v>
      </c>
      <c r="O6359" t="n">
        <v>0</v>
      </c>
      <c r="P6359" t="n">
        <v>0</v>
      </c>
      <c r="Q6359" t="n">
        <v>0</v>
      </c>
      <c r="R6359" s="2" t="inlineStr"/>
    </row>
    <row r="6360" ht="15" customHeight="1">
      <c r="A6360" t="inlineStr">
        <is>
          <t>A 25760-2024</t>
        </is>
      </c>
      <c r="B6360" s="1" t="n">
        <v>45465</v>
      </c>
      <c r="C6360" s="1" t="n">
        <v>45744</v>
      </c>
      <c r="D6360" t="inlineStr">
        <is>
          <t>SKÅNE LÄN</t>
        </is>
      </c>
      <c r="E6360" t="inlineStr">
        <is>
          <t>KRISTIANSTAD</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25764-2024</t>
        </is>
      </c>
      <c r="B6361" s="1" t="n">
        <v>45465</v>
      </c>
      <c r="C6361" s="1" t="n">
        <v>45744</v>
      </c>
      <c r="D6361" t="inlineStr">
        <is>
          <t>SKÅNE LÄN</t>
        </is>
      </c>
      <c r="E6361" t="inlineStr">
        <is>
          <t>KRISTIANSTAD</t>
        </is>
      </c>
      <c r="G6361" t="n">
        <v>9.800000000000001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25803-2024</t>
        </is>
      </c>
      <c r="B6362" s="1" t="n">
        <v>45467</v>
      </c>
      <c r="C6362" s="1" t="n">
        <v>45744</v>
      </c>
      <c r="D6362" t="inlineStr">
        <is>
          <t>SKÅNE LÄN</t>
        </is>
      </c>
      <c r="E6362" t="inlineStr">
        <is>
          <t>KRISTIANSTAD</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26262-2024</t>
        </is>
      </c>
      <c r="B6363" s="1" t="n">
        <v>45468</v>
      </c>
      <c r="C6363" s="1" t="n">
        <v>45744</v>
      </c>
      <c r="D6363" t="inlineStr">
        <is>
          <t>SKÅNE LÄN</t>
        </is>
      </c>
      <c r="E6363" t="inlineStr">
        <is>
          <t>ÅSTORP</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26258-2024</t>
        </is>
      </c>
      <c r="B6364" s="1" t="n">
        <v>45468</v>
      </c>
      <c r="C6364" s="1" t="n">
        <v>45744</v>
      </c>
      <c r="D6364" t="inlineStr">
        <is>
          <t>SKÅNE LÄN</t>
        </is>
      </c>
      <c r="E6364" t="inlineStr">
        <is>
          <t>KRISTIANSTAD</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26058-2024</t>
        </is>
      </c>
      <c r="B6365" s="1" t="n">
        <v>45468</v>
      </c>
      <c r="C6365" s="1" t="n">
        <v>45744</v>
      </c>
      <c r="D6365" t="inlineStr">
        <is>
          <t>SKÅNE LÄN</t>
        </is>
      </c>
      <c r="E6365" t="inlineStr">
        <is>
          <t>ÖRKELLJUNGA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26043-2024</t>
        </is>
      </c>
      <c r="B6366" s="1" t="n">
        <v>45468</v>
      </c>
      <c r="C6366" s="1" t="n">
        <v>45744</v>
      </c>
      <c r="D6366" t="inlineStr">
        <is>
          <t>SKÅNE LÄN</t>
        </is>
      </c>
      <c r="E6366" t="inlineStr">
        <is>
          <t>OSBY</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26243-2024</t>
        </is>
      </c>
      <c r="B6367" s="1" t="n">
        <v>45468</v>
      </c>
      <c r="C6367" s="1" t="n">
        <v>45744</v>
      </c>
      <c r="D6367" t="inlineStr">
        <is>
          <t>SKÅNE LÄN</t>
        </is>
      </c>
      <c r="E6367" t="inlineStr">
        <is>
          <t>KRISTIANSTAD</t>
        </is>
      </c>
      <c r="G6367" t="n">
        <v>7.8</v>
      </c>
      <c r="H6367" t="n">
        <v>0</v>
      </c>
      <c r="I6367" t="n">
        <v>0</v>
      </c>
      <c r="J6367" t="n">
        <v>0</v>
      </c>
      <c r="K6367" t="n">
        <v>0</v>
      </c>
      <c r="L6367" t="n">
        <v>0</v>
      </c>
      <c r="M6367" t="n">
        <v>0</v>
      </c>
      <c r="N6367" t="n">
        <v>0</v>
      </c>
      <c r="O6367" t="n">
        <v>0</v>
      </c>
      <c r="P6367" t="n">
        <v>0</v>
      </c>
      <c r="Q6367" t="n">
        <v>0</v>
      </c>
      <c r="R6367" s="2" t="inlineStr"/>
    </row>
    <row r="6368" ht="15" customHeight="1">
      <c r="A6368" t="inlineStr">
        <is>
          <t>A 26147-2024</t>
        </is>
      </c>
      <c r="B6368" s="1" t="n">
        <v>45468</v>
      </c>
      <c r="C6368" s="1" t="n">
        <v>45744</v>
      </c>
      <c r="D6368" t="inlineStr">
        <is>
          <t>SKÅNE LÄN</t>
        </is>
      </c>
      <c r="E6368" t="inlineStr">
        <is>
          <t>HÄSSLEHOLM</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26057-2024</t>
        </is>
      </c>
      <c r="B6369" s="1" t="n">
        <v>45468</v>
      </c>
      <c r="C6369" s="1" t="n">
        <v>45744</v>
      </c>
      <c r="D6369" t="inlineStr">
        <is>
          <t>SKÅNE LÄN</t>
        </is>
      </c>
      <c r="E6369" t="inlineStr">
        <is>
          <t>ÖRKELLJUNGA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26473-2024</t>
        </is>
      </c>
      <c r="B6370" s="1" t="n">
        <v>45469</v>
      </c>
      <c r="C6370" s="1" t="n">
        <v>45744</v>
      </c>
      <c r="D6370" t="inlineStr">
        <is>
          <t>SKÅNE LÄN</t>
        </is>
      </c>
      <c r="E6370" t="inlineStr">
        <is>
          <t>TOMELILLA</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26403-2024</t>
        </is>
      </c>
      <c r="B6371" s="1" t="n">
        <v>45469</v>
      </c>
      <c r="C6371" s="1" t="n">
        <v>45744</v>
      </c>
      <c r="D6371" t="inlineStr">
        <is>
          <t>SKÅNE LÄN</t>
        </is>
      </c>
      <c r="E6371" t="inlineStr">
        <is>
          <t>HÄSSLEHOLM</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26907-2024</t>
        </is>
      </c>
      <c r="B6372" s="1" t="n">
        <v>45470</v>
      </c>
      <c r="C6372" s="1" t="n">
        <v>45744</v>
      </c>
      <c r="D6372" t="inlineStr">
        <is>
          <t>SKÅNE LÄN</t>
        </is>
      </c>
      <c r="E6372" t="inlineStr">
        <is>
          <t>KRISTIANSTAD</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26879-2024</t>
        </is>
      </c>
      <c r="B6373" s="1" t="n">
        <v>45470</v>
      </c>
      <c r="C6373" s="1" t="n">
        <v>45744</v>
      </c>
      <c r="D6373" t="inlineStr">
        <is>
          <t>SKÅNE LÄN</t>
        </is>
      </c>
      <c r="E6373" t="inlineStr">
        <is>
          <t>HÄSSLEHOLM</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26827-2024</t>
        </is>
      </c>
      <c r="B6374" s="1" t="n">
        <v>45470</v>
      </c>
      <c r="C6374" s="1" t="n">
        <v>45744</v>
      </c>
      <c r="D6374" t="inlineStr">
        <is>
          <t>SKÅNE LÄN</t>
        </is>
      </c>
      <c r="E6374" t="inlineStr">
        <is>
          <t>KRISTIANSTAD</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26988-2024</t>
        </is>
      </c>
      <c r="B6375" s="1" t="n">
        <v>45471</v>
      </c>
      <c r="C6375" s="1" t="n">
        <v>45744</v>
      </c>
      <c r="D6375" t="inlineStr">
        <is>
          <t>SKÅNE LÄN</t>
        </is>
      </c>
      <c r="E6375" t="inlineStr">
        <is>
          <t>OSBY</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27175-2024</t>
        </is>
      </c>
      <c r="B6376" s="1" t="n">
        <v>45471</v>
      </c>
      <c r="C6376" s="1" t="n">
        <v>45744</v>
      </c>
      <c r="D6376" t="inlineStr">
        <is>
          <t>SKÅNE LÄN</t>
        </is>
      </c>
      <c r="E6376" t="inlineStr">
        <is>
          <t>HÄSSLEHOLM</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27007-2024</t>
        </is>
      </c>
      <c r="B6377" s="1" t="n">
        <v>45471</v>
      </c>
      <c r="C6377" s="1" t="n">
        <v>45744</v>
      </c>
      <c r="D6377" t="inlineStr">
        <is>
          <t>SKÅNE LÄN</t>
        </is>
      </c>
      <c r="E6377" t="inlineStr">
        <is>
          <t>OSBY</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27132-2024</t>
        </is>
      </c>
      <c r="B6378" s="1" t="n">
        <v>45471</v>
      </c>
      <c r="C6378" s="1" t="n">
        <v>45744</v>
      </c>
      <c r="D6378" t="inlineStr">
        <is>
          <t>SKÅNE LÄN</t>
        </is>
      </c>
      <c r="E6378" t="inlineStr">
        <is>
          <t>OSBY</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27173-2024</t>
        </is>
      </c>
      <c r="B6379" s="1" t="n">
        <v>45471</v>
      </c>
      <c r="C6379" s="1" t="n">
        <v>45744</v>
      </c>
      <c r="D6379" t="inlineStr">
        <is>
          <t>SKÅNE LÄN</t>
        </is>
      </c>
      <c r="E6379" t="inlineStr">
        <is>
          <t>HÄSSLEHOLM</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27177-2024</t>
        </is>
      </c>
      <c r="B6380" s="1" t="n">
        <v>45471</v>
      </c>
      <c r="C6380" s="1" t="n">
        <v>45744</v>
      </c>
      <c r="D6380" t="inlineStr">
        <is>
          <t>SKÅNE LÄN</t>
        </is>
      </c>
      <c r="E6380" t="inlineStr">
        <is>
          <t>HÄSSLEHOLM</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27237-2024</t>
        </is>
      </c>
      <c r="B6381" s="1" t="n">
        <v>45471</v>
      </c>
      <c r="C6381" s="1" t="n">
        <v>45744</v>
      </c>
      <c r="D6381" t="inlineStr">
        <is>
          <t>SKÅNE LÄN</t>
        </is>
      </c>
      <c r="E6381" t="inlineStr">
        <is>
          <t>SJÖBO</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27053-2024</t>
        </is>
      </c>
      <c r="B6382" s="1" t="n">
        <v>45471</v>
      </c>
      <c r="C6382" s="1" t="n">
        <v>45744</v>
      </c>
      <c r="D6382" t="inlineStr">
        <is>
          <t>SKÅNE LÄN</t>
        </is>
      </c>
      <c r="E6382" t="inlineStr">
        <is>
          <t>OSBY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27005-2024</t>
        </is>
      </c>
      <c r="B6383" s="1" t="n">
        <v>45471</v>
      </c>
      <c r="C6383" s="1" t="n">
        <v>45744</v>
      </c>
      <c r="D6383" t="inlineStr">
        <is>
          <t>SKÅNE LÄN</t>
        </is>
      </c>
      <c r="E6383" t="inlineStr">
        <is>
          <t>OSBY</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27251-2024</t>
        </is>
      </c>
      <c r="B6384" s="1" t="n">
        <v>45471</v>
      </c>
      <c r="C6384" s="1" t="n">
        <v>45744</v>
      </c>
      <c r="D6384" t="inlineStr">
        <is>
          <t>SKÅNE LÄN</t>
        </is>
      </c>
      <c r="E6384" t="inlineStr">
        <is>
          <t>HÖÖR</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26990-2024</t>
        </is>
      </c>
      <c r="B6385" s="1" t="n">
        <v>45471</v>
      </c>
      <c r="C6385" s="1" t="n">
        <v>45744</v>
      </c>
      <c r="D6385" t="inlineStr">
        <is>
          <t>SKÅNE LÄN</t>
        </is>
      </c>
      <c r="E6385" t="inlineStr">
        <is>
          <t>OSBY</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27426-2024</t>
        </is>
      </c>
      <c r="B6386" s="1" t="n">
        <v>45474</v>
      </c>
      <c r="C6386" s="1" t="n">
        <v>45744</v>
      </c>
      <c r="D6386" t="inlineStr">
        <is>
          <t>SKÅNE LÄN</t>
        </is>
      </c>
      <c r="E6386" t="inlineStr">
        <is>
          <t>SIMRISHAMN</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27464-2024</t>
        </is>
      </c>
      <c r="B6387" s="1" t="n">
        <v>45474</v>
      </c>
      <c r="C6387" s="1" t="n">
        <v>45744</v>
      </c>
      <c r="D6387" t="inlineStr">
        <is>
          <t>SKÅNE LÄN</t>
        </is>
      </c>
      <c r="E6387" t="inlineStr">
        <is>
          <t>SIMRISHAMN</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27508-2024</t>
        </is>
      </c>
      <c r="B6388" s="1" t="n">
        <v>45474</v>
      </c>
      <c r="C6388" s="1" t="n">
        <v>45744</v>
      </c>
      <c r="D6388" t="inlineStr">
        <is>
          <t>SKÅNE LÄN</t>
        </is>
      </c>
      <c r="E6388" t="inlineStr">
        <is>
          <t>SVALÖV</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27540-2024</t>
        </is>
      </c>
      <c r="B6389" s="1" t="n">
        <v>45474</v>
      </c>
      <c r="C6389" s="1" t="n">
        <v>45744</v>
      </c>
      <c r="D6389" t="inlineStr">
        <is>
          <t>SKÅNE LÄN</t>
        </is>
      </c>
      <c r="E6389" t="inlineStr">
        <is>
          <t>ÖRKELLJUNGA</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27544-2024</t>
        </is>
      </c>
      <c r="B6390" s="1" t="n">
        <v>45474</v>
      </c>
      <c r="C6390" s="1" t="n">
        <v>45744</v>
      </c>
      <c r="D6390" t="inlineStr">
        <is>
          <t>SKÅNE LÄN</t>
        </is>
      </c>
      <c r="E6390" t="inlineStr">
        <is>
          <t>ÄNGELHOLM</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27452-2024</t>
        </is>
      </c>
      <c r="B6391" s="1" t="n">
        <v>45474</v>
      </c>
      <c r="C6391" s="1" t="n">
        <v>45744</v>
      </c>
      <c r="D6391" t="inlineStr">
        <is>
          <t>SKÅNE LÄN</t>
        </is>
      </c>
      <c r="E6391" t="inlineStr">
        <is>
          <t>KLIPPAN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27454-2024</t>
        </is>
      </c>
      <c r="B6392" s="1" t="n">
        <v>45474</v>
      </c>
      <c r="C6392" s="1" t="n">
        <v>45744</v>
      </c>
      <c r="D6392" t="inlineStr">
        <is>
          <t>SKÅNE LÄN</t>
        </is>
      </c>
      <c r="E6392" t="inlineStr">
        <is>
          <t>KLIPPAN</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27459-2024</t>
        </is>
      </c>
      <c r="B6393" s="1" t="n">
        <v>45474</v>
      </c>
      <c r="C6393" s="1" t="n">
        <v>45744</v>
      </c>
      <c r="D6393" t="inlineStr">
        <is>
          <t>SKÅNE LÄN</t>
        </is>
      </c>
      <c r="E6393" t="inlineStr">
        <is>
          <t>SIMRISHAMN</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27491-2024</t>
        </is>
      </c>
      <c r="B6394" s="1" t="n">
        <v>45474</v>
      </c>
      <c r="C6394" s="1" t="n">
        <v>45744</v>
      </c>
      <c r="D6394" t="inlineStr">
        <is>
          <t>SKÅNE LÄN</t>
        </is>
      </c>
      <c r="E6394" t="inlineStr">
        <is>
          <t>ÖRKELLJUNGA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27519-2024</t>
        </is>
      </c>
      <c r="B6395" s="1" t="n">
        <v>45474</v>
      </c>
      <c r="C6395" s="1" t="n">
        <v>45744</v>
      </c>
      <c r="D6395" t="inlineStr">
        <is>
          <t>SKÅNE LÄN</t>
        </is>
      </c>
      <c r="E6395" t="inlineStr">
        <is>
          <t>OSBY</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27424-2024</t>
        </is>
      </c>
      <c r="B6396" s="1" t="n">
        <v>45474</v>
      </c>
      <c r="C6396" s="1" t="n">
        <v>45744</v>
      </c>
      <c r="D6396" t="inlineStr">
        <is>
          <t>SKÅNE LÄN</t>
        </is>
      </c>
      <c r="E6396" t="inlineStr">
        <is>
          <t>TOMELILLA</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27486-2024</t>
        </is>
      </c>
      <c r="B6397" s="1" t="n">
        <v>45474</v>
      </c>
      <c r="C6397" s="1" t="n">
        <v>45744</v>
      </c>
      <c r="D6397" t="inlineStr">
        <is>
          <t>SKÅNE LÄN</t>
        </is>
      </c>
      <c r="E6397" t="inlineStr">
        <is>
          <t>ÖRKELLJUNGA</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27514-2024</t>
        </is>
      </c>
      <c r="B6398" s="1" t="n">
        <v>45474</v>
      </c>
      <c r="C6398" s="1" t="n">
        <v>45744</v>
      </c>
      <c r="D6398" t="inlineStr">
        <is>
          <t>SKÅNE LÄN</t>
        </is>
      </c>
      <c r="E6398" t="inlineStr">
        <is>
          <t>OSBY</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27590-2024</t>
        </is>
      </c>
      <c r="B6399" s="1" t="n">
        <v>45474</v>
      </c>
      <c r="C6399" s="1" t="n">
        <v>45744</v>
      </c>
      <c r="D6399" t="inlineStr">
        <is>
          <t>SKÅNE LÄN</t>
        </is>
      </c>
      <c r="E6399" t="inlineStr">
        <is>
          <t>KRISTIANSTAD</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27606-2024</t>
        </is>
      </c>
      <c r="B6400" s="1" t="n">
        <v>45474</v>
      </c>
      <c r="C6400" s="1" t="n">
        <v>45744</v>
      </c>
      <c r="D6400" t="inlineStr">
        <is>
          <t>SKÅNE LÄN</t>
        </is>
      </c>
      <c r="E6400" t="inlineStr">
        <is>
          <t>HÄSSLEHOLM</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27584-2024</t>
        </is>
      </c>
      <c r="B6401" s="1" t="n">
        <v>45474</v>
      </c>
      <c r="C6401" s="1" t="n">
        <v>45744</v>
      </c>
      <c r="D6401" t="inlineStr">
        <is>
          <t>SKÅNE LÄN</t>
        </is>
      </c>
      <c r="E6401" t="inlineStr">
        <is>
          <t>KRISTIANSTAD</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27493-2024</t>
        </is>
      </c>
      <c r="B6402" s="1" t="n">
        <v>45474</v>
      </c>
      <c r="C6402" s="1" t="n">
        <v>45744</v>
      </c>
      <c r="D6402" t="inlineStr">
        <is>
          <t>SKÅNE LÄN</t>
        </is>
      </c>
      <c r="E6402" t="inlineStr">
        <is>
          <t>SVALÖV</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27497-2024</t>
        </is>
      </c>
      <c r="B6403" s="1" t="n">
        <v>45474</v>
      </c>
      <c r="C6403" s="1" t="n">
        <v>45744</v>
      </c>
      <c r="D6403" t="inlineStr">
        <is>
          <t>SKÅNE LÄN</t>
        </is>
      </c>
      <c r="E6403" t="inlineStr">
        <is>
          <t>ÖRKELLJUNGA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27541-2024</t>
        </is>
      </c>
      <c r="B6404" s="1" t="n">
        <v>45474</v>
      </c>
      <c r="C6404" s="1" t="n">
        <v>45744</v>
      </c>
      <c r="D6404" t="inlineStr">
        <is>
          <t>SKÅNE LÄN</t>
        </is>
      </c>
      <c r="E6404" t="inlineStr">
        <is>
          <t>OSBY</t>
        </is>
      </c>
      <c r="F6404" t="inlineStr">
        <is>
          <t>Kommuner</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27581-2024</t>
        </is>
      </c>
      <c r="B6405" s="1" t="n">
        <v>45474</v>
      </c>
      <c r="C6405" s="1" t="n">
        <v>45744</v>
      </c>
      <c r="D6405" t="inlineStr">
        <is>
          <t>SKÅNE LÄN</t>
        </is>
      </c>
      <c r="E6405" t="inlineStr">
        <is>
          <t>HÄSSLEHOLM</t>
        </is>
      </c>
      <c r="G6405" t="n">
        <v>7.4</v>
      </c>
      <c r="H6405" t="n">
        <v>0</v>
      </c>
      <c r="I6405" t="n">
        <v>0</v>
      </c>
      <c r="J6405" t="n">
        <v>0</v>
      </c>
      <c r="K6405" t="n">
        <v>0</v>
      </c>
      <c r="L6405" t="n">
        <v>0</v>
      </c>
      <c r="M6405" t="n">
        <v>0</v>
      </c>
      <c r="N6405" t="n">
        <v>0</v>
      </c>
      <c r="O6405" t="n">
        <v>0</v>
      </c>
      <c r="P6405" t="n">
        <v>0</v>
      </c>
      <c r="Q6405" t="n">
        <v>0</v>
      </c>
      <c r="R6405" s="2" t="inlineStr"/>
    </row>
    <row r="6406" ht="15" customHeight="1">
      <c r="A6406" t="inlineStr">
        <is>
          <t>A 27613-2024</t>
        </is>
      </c>
      <c r="B6406" s="1" t="n">
        <v>45474</v>
      </c>
      <c r="C6406" s="1" t="n">
        <v>45744</v>
      </c>
      <c r="D6406" t="inlineStr">
        <is>
          <t>SKÅNE LÄN</t>
        </is>
      </c>
      <c r="E6406" t="inlineStr">
        <is>
          <t>KRISTIANSTAD</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27724-2024</t>
        </is>
      </c>
      <c r="B6407" s="1" t="n">
        <v>45475</v>
      </c>
      <c r="C6407" s="1" t="n">
        <v>45744</v>
      </c>
      <c r="D6407" t="inlineStr">
        <is>
          <t>SKÅNE LÄN</t>
        </is>
      </c>
      <c r="E6407" t="inlineStr">
        <is>
          <t>ÖSTRA GÖINGE</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27820-2024</t>
        </is>
      </c>
      <c r="B6408" s="1" t="n">
        <v>45475</v>
      </c>
      <c r="C6408" s="1" t="n">
        <v>45744</v>
      </c>
      <c r="D6408" t="inlineStr">
        <is>
          <t>SKÅNE LÄN</t>
        </is>
      </c>
      <c r="E6408" t="inlineStr">
        <is>
          <t>HÄSSLEHOLM</t>
        </is>
      </c>
      <c r="F6408" t="inlineStr">
        <is>
          <t>Kommuner</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27832-2024</t>
        </is>
      </c>
      <c r="B6409" s="1" t="n">
        <v>45475</v>
      </c>
      <c r="C6409" s="1" t="n">
        <v>45744</v>
      </c>
      <c r="D6409" t="inlineStr">
        <is>
          <t>SKÅNE LÄN</t>
        </is>
      </c>
      <c r="E6409" t="inlineStr">
        <is>
          <t>HÄSSLEHOLM</t>
        </is>
      </c>
      <c r="F6409" t="inlineStr">
        <is>
          <t>Kommuner</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27837-2024</t>
        </is>
      </c>
      <c r="B6410" s="1" t="n">
        <v>45475</v>
      </c>
      <c r="C6410" s="1" t="n">
        <v>45744</v>
      </c>
      <c r="D6410" t="inlineStr">
        <is>
          <t>SKÅNE LÄN</t>
        </is>
      </c>
      <c r="E6410" t="inlineStr">
        <is>
          <t>HÄSSLEHOLM</t>
        </is>
      </c>
      <c r="F6410" t="inlineStr">
        <is>
          <t>Kommuner</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27825-2024</t>
        </is>
      </c>
      <c r="B6411" s="1" t="n">
        <v>45475</v>
      </c>
      <c r="C6411" s="1" t="n">
        <v>45744</v>
      </c>
      <c r="D6411" t="inlineStr">
        <is>
          <t>SKÅNE LÄN</t>
        </is>
      </c>
      <c r="E6411" t="inlineStr">
        <is>
          <t>HÄSSLEHOLM</t>
        </is>
      </c>
      <c r="F6411" t="inlineStr">
        <is>
          <t>Kommuner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27978-2024</t>
        </is>
      </c>
      <c r="B6412" s="1" t="n">
        <v>45476</v>
      </c>
      <c r="C6412" s="1" t="n">
        <v>45744</v>
      </c>
      <c r="D6412" t="inlineStr">
        <is>
          <t>SKÅNE LÄN</t>
        </is>
      </c>
      <c r="E6412" t="inlineStr">
        <is>
          <t>KRISTIANSTAD</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27974-2024</t>
        </is>
      </c>
      <c r="B6413" s="1" t="n">
        <v>45476</v>
      </c>
      <c r="C6413" s="1" t="n">
        <v>45744</v>
      </c>
      <c r="D6413" t="inlineStr">
        <is>
          <t>SKÅNE LÄN</t>
        </is>
      </c>
      <c r="E6413" t="inlineStr">
        <is>
          <t>KRISTIANSTAD</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27991-2024</t>
        </is>
      </c>
      <c r="B6414" s="1" t="n">
        <v>45476</v>
      </c>
      <c r="C6414" s="1" t="n">
        <v>45744</v>
      </c>
      <c r="D6414" t="inlineStr">
        <is>
          <t>SKÅNE LÄN</t>
        </is>
      </c>
      <c r="E6414" t="inlineStr">
        <is>
          <t>HÄSSLEHOLM</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27979-2024</t>
        </is>
      </c>
      <c r="B6415" s="1" t="n">
        <v>45476</v>
      </c>
      <c r="C6415" s="1" t="n">
        <v>45744</v>
      </c>
      <c r="D6415" t="inlineStr">
        <is>
          <t>SKÅNE LÄN</t>
        </is>
      </c>
      <c r="E6415" t="inlineStr">
        <is>
          <t>KRISTIANSTAD</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27967-2024</t>
        </is>
      </c>
      <c r="B6416" s="1" t="n">
        <v>45476</v>
      </c>
      <c r="C6416" s="1" t="n">
        <v>45744</v>
      </c>
      <c r="D6416" t="inlineStr">
        <is>
          <t>SKÅNE LÄN</t>
        </is>
      </c>
      <c r="E6416" t="inlineStr">
        <is>
          <t>ÖRKELLJUNGA</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28385-2024</t>
        </is>
      </c>
      <c r="B6417" s="1" t="n">
        <v>45477</v>
      </c>
      <c r="C6417" s="1" t="n">
        <v>45744</v>
      </c>
      <c r="D6417" t="inlineStr">
        <is>
          <t>SKÅNE LÄN</t>
        </is>
      </c>
      <c r="E6417" t="inlineStr">
        <is>
          <t>HÖÖR</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28456-2024</t>
        </is>
      </c>
      <c r="B6418" s="1" t="n">
        <v>45477</v>
      </c>
      <c r="C6418" s="1" t="n">
        <v>45744</v>
      </c>
      <c r="D6418" t="inlineStr">
        <is>
          <t>SKÅNE LÄN</t>
        </is>
      </c>
      <c r="E6418" t="inlineStr">
        <is>
          <t>HÄSSLEHOLM</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28436-2024</t>
        </is>
      </c>
      <c r="B6419" s="1" t="n">
        <v>45477</v>
      </c>
      <c r="C6419" s="1" t="n">
        <v>45744</v>
      </c>
      <c r="D6419" t="inlineStr">
        <is>
          <t>SKÅNE LÄN</t>
        </is>
      </c>
      <c r="E6419" t="inlineStr">
        <is>
          <t>HÖRBY</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28481-2024</t>
        </is>
      </c>
      <c r="B6420" s="1" t="n">
        <v>45477</v>
      </c>
      <c r="C6420" s="1" t="n">
        <v>45744</v>
      </c>
      <c r="D6420" t="inlineStr">
        <is>
          <t>SKÅNE LÄN</t>
        </is>
      </c>
      <c r="E6420" t="inlineStr">
        <is>
          <t>SJÖBO</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28457-2024</t>
        </is>
      </c>
      <c r="B6421" s="1" t="n">
        <v>45477</v>
      </c>
      <c r="C6421" s="1" t="n">
        <v>45744</v>
      </c>
      <c r="D6421" t="inlineStr">
        <is>
          <t>SKÅNE LÄN</t>
        </is>
      </c>
      <c r="E6421" t="inlineStr">
        <is>
          <t>HÄSSLEHOLM</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28449-2024</t>
        </is>
      </c>
      <c r="B6422" s="1" t="n">
        <v>45477</v>
      </c>
      <c r="C6422" s="1" t="n">
        <v>45744</v>
      </c>
      <c r="D6422" t="inlineStr">
        <is>
          <t>SKÅNE LÄN</t>
        </is>
      </c>
      <c r="E6422" t="inlineStr">
        <is>
          <t>OSBY</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28425-2024</t>
        </is>
      </c>
      <c r="B6423" s="1" t="n">
        <v>45477</v>
      </c>
      <c r="C6423" s="1" t="n">
        <v>45744</v>
      </c>
      <c r="D6423" t="inlineStr">
        <is>
          <t>SKÅNE LÄN</t>
        </is>
      </c>
      <c r="E6423" t="inlineStr">
        <is>
          <t>KRISTIANSTAD</t>
        </is>
      </c>
      <c r="F6423" t="inlineStr">
        <is>
          <t>Sveaskog</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28347-2024</t>
        </is>
      </c>
      <c r="B6424" s="1" t="n">
        <v>45477</v>
      </c>
      <c r="C6424" s="1" t="n">
        <v>45744</v>
      </c>
      <c r="D6424" t="inlineStr">
        <is>
          <t>SKÅNE LÄN</t>
        </is>
      </c>
      <c r="E6424" t="inlineStr">
        <is>
          <t>PERSTORP</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28335-2024</t>
        </is>
      </c>
      <c r="B6425" s="1" t="n">
        <v>45477</v>
      </c>
      <c r="C6425" s="1" t="n">
        <v>45744</v>
      </c>
      <c r="D6425" t="inlineStr">
        <is>
          <t>SKÅNE LÄN</t>
        </is>
      </c>
      <c r="E6425" t="inlineStr">
        <is>
          <t>HÖÖR</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28370-2024</t>
        </is>
      </c>
      <c r="B6426" s="1" t="n">
        <v>45477</v>
      </c>
      <c r="C6426" s="1" t="n">
        <v>45744</v>
      </c>
      <c r="D6426" t="inlineStr">
        <is>
          <t>SKÅNE LÄN</t>
        </is>
      </c>
      <c r="E6426" t="inlineStr">
        <is>
          <t>PERSTORP</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28442-2024</t>
        </is>
      </c>
      <c r="B6427" s="1" t="n">
        <v>45477</v>
      </c>
      <c r="C6427" s="1" t="n">
        <v>45744</v>
      </c>
      <c r="D6427" t="inlineStr">
        <is>
          <t>SKÅNE LÄN</t>
        </is>
      </c>
      <c r="E6427" t="inlineStr">
        <is>
          <t>KRISTIANSTAD</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28259-2024</t>
        </is>
      </c>
      <c r="B6428" s="1" t="n">
        <v>45477</v>
      </c>
      <c r="C6428" s="1" t="n">
        <v>45744</v>
      </c>
      <c r="D6428" t="inlineStr">
        <is>
          <t>SKÅNE LÄN</t>
        </is>
      </c>
      <c r="E6428" t="inlineStr">
        <is>
          <t>OSBY</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28352-2024</t>
        </is>
      </c>
      <c r="B6429" s="1" t="n">
        <v>45477</v>
      </c>
      <c r="C6429" s="1" t="n">
        <v>45744</v>
      </c>
      <c r="D6429" t="inlineStr">
        <is>
          <t>SKÅNE LÄN</t>
        </is>
      </c>
      <c r="E6429" t="inlineStr">
        <is>
          <t>HÖÖR</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28332-2024</t>
        </is>
      </c>
      <c r="B6430" s="1" t="n">
        <v>45477</v>
      </c>
      <c r="C6430" s="1" t="n">
        <v>45744</v>
      </c>
      <c r="D6430" t="inlineStr">
        <is>
          <t>SKÅNE LÄN</t>
        </is>
      </c>
      <c r="E6430" t="inlineStr">
        <is>
          <t>HÖÖR</t>
        </is>
      </c>
      <c r="G6430" t="n">
        <v>7.5</v>
      </c>
      <c r="H6430" t="n">
        <v>0</v>
      </c>
      <c r="I6430" t="n">
        <v>0</v>
      </c>
      <c r="J6430" t="n">
        <v>0</v>
      </c>
      <c r="K6430" t="n">
        <v>0</v>
      </c>
      <c r="L6430" t="n">
        <v>0</v>
      </c>
      <c r="M6430" t="n">
        <v>0</v>
      </c>
      <c r="N6430" t="n">
        <v>0</v>
      </c>
      <c r="O6430" t="n">
        <v>0</v>
      </c>
      <c r="P6430" t="n">
        <v>0</v>
      </c>
      <c r="Q6430" t="n">
        <v>0</v>
      </c>
      <c r="R6430" s="2" t="inlineStr"/>
    </row>
    <row r="6431" ht="15" customHeight="1">
      <c r="A6431" t="inlineStr">
        <is>
          <t>A 28189-2024</t>
        </is>
      </c>
      <c r="B6431" s="1" t="n">
        <v>45477</v>
      </c>
      <c r="C6431" s="1" t="n">
        <v>45744</v>
      </c>
      <c r="D6431" t="inlineStr">
        <is>
          <t>SKÅNE LÄN</t>
        </is>
      </c>
      <c r="E6431" t="inlineStr">
        <is>
          <t>HÖÖR</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28599-2024</t>
        </is>
      </c>
      <c r="B6432" s="1" t="n">
        <v>45478</v>
      </c>
      <c r="C6432" s="1" t="n">
        <v>45744</v>
      </c>
      <c r="D6432" t="inlineStr">
        <is>
          <t>SKÅNE LÄN</t>
        </is>
      </c>
      <c r="E6432" t="inlineStr">
        <is>
          <t>HÄSSLEHOLM</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28654-2024</t>
        </is>
      </c>
      <c r="B6433" s="1" t="n">
        <v>45478</v>
      </c>
      <c r="C6433" s="1" t="n">
        <v>45744</v>
      </c>
      <c r="D6433" t="inlineStr">
        <is>
          <t>SKÅNE LÄN</t>
        </is>
      </c>
      <c r="E6433" t="inlineStr">
        <is>
          <t>KRISTIANSTAD</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28736-2024</t>
        </is>
      </c>
      <c r="B6434" s="1" t="n">
        <v>45478</v>
      </c>
      <c r="C6434" s="1" t="n">
        <v>45744</v>
      </c>
      <c r="D6434" t="inlineStr">
        <is>
          <t>SKÅNE LÄN</t>
        </is>
      </c>
      <c r="E6434" t="inlineStr">
        <is>
          <t>PERSTORP</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28749-2024</t>
        </is>
      </c>
      <c r="B6435" s="1" t="n">
        <v>45478</v>
      </c>
      <c r="C6435" s="1" t="n">
        <v>45744</v>
      </c>
      <c r="D6435" t="inlineStr">
        <is>
          <t>SKÅNE LÄN</t>
        </is>
      </c>
      <c r="E6435" t="inlineStr">
        <is>
          <t>HÄSSLEHOLM</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28632-2024</t>
        </is>
      </c>
      <c r="B6436" s="1" t="n">
        <v>45478</v>
      </c>
      <c r="C6436" s="1" t="n">
        <v>45744</v>
      </c>
      <c r="D6436" t="inlineStr">
        <is>
          <t>SKÅNE LÄN</t>
        </is>
      </c>
      <c r="E6436" t="inlineStr">
        <is>
          <t>HÄSSLEHOLM</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28746-2024</t>
        </is>
      </c>
      <c r="B6437" s="1" t="n">
        <v>45478</v>
      </c>
      <c r="C6437" s="1" t="n">
        <v>45744</v>
      </c>
      <c r="D6437" t="inlineStr">
        <is>
          <t>SKÅNE LÄN</t>
        </is>
      </c>
      <c r="E6437" t="inlineStr">
        <is>
          <t>HÖRBY</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28751-2024</t>
        </is>
      </c>
      <c r="B6438" s="1" t="n">
        <v>45478</v>
      </c>
      <c r="C6438" s="1" t="n">
        <v>45744</v>
      </c>
      <c r="D6438" t="inlineStr">
        <is>
          <t>SKÅNE LÄN</t>
        </is>
      </c>
      <c r="E6438" t="inlineStr">
        <is>
          <t>PERSTORP</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29199-2024</t>
        </is>
      </c>
      <c r="B6439" s="1" t="n">
        <v>45482</v>
      </c>
      <c r="C6439" s="1" t="n">
        <v>45744</v>
      </c>
      <c r="D6439" t="inlineStr">
        <is>
          <t>SKÅNE LÄN</t>
        </is>
      </c>
      <c r="E6439" t="inlineStr">
        <is>
          <t>KRISTIANSTAD</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29198-2024</t>
        </is>
      </c>
      <c r="B6440" s="1" t="n">
        <v>45482</v>
      </c>
      <c r="C6440" s="1" t="n">
        <v>45744</v>
      </c>
      <c r="D6440" t="inlineStr">
        <is>
          <t>SKÅNE LÄN</t>
        </is>
      </c>
      <c r="E6440" t="inlineStr">
        <is>
          <t>KRISTIANSTAD</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29432-2024</t>
        </is>
      </c>
      <c r="B6441" s="1" t="n">
        <v>45483</v>
      </c>
      <c r="C6441" s="1" t="n">
        <v>45744</v>
      </c>
      <c r="D6441" t="inlineStr">
        <is>
          <t>SKÅNE LÄN</t>
        </is>
      </c>
      <c r="E6441" t="inlineStr">
        <is>
          <t>OSBY</t>
        </is>
      </c>
      <c r="F6441" t="inlineStr">
        <is>
          <t>Kommuner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29436-2024</t>
        </is>
      </c>
      <c r="B6442" s="1" t="n">
        <v>45483</v>
      </c>
      <c r="C6442" s="1" t="n">
        <v>45744</v>
      </c>
      <c r="D6442" t="inlineStr">
        <is>
          <t>SKÅNE LÄN</t>
        </is>
      </c>
      <c r="E6442" t="inlineStr">
        <is>
          <t>ÄNGELHOLM</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29355-2024</t>
        </is>
      </c>
      <c r="B6443" s="1" t="n">
        <v>45483</v>
      </c>
      <c r="C6443" s="1" t="n">
        <v>45744</v>
      </c>
      <c r="D6443" t="inlineStr">
        <is>
          <t>SKÅNE LÄN</t>
        </is>
      </c>
      <c r="E6443" t="inlineStr">
        <is>
          <t>ÖSTRA GÖINGE</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29433-2024</t>
        </is>
      </c>
      <c r="B6444" s="1" t="n">
        <v>45483</v>
      </c>
      <c r="C6444" s="1" t="n">
        <v>45744</v>
      </c>
      <c r="D6444" t="inlineStr">
        <is>
          <t>SKÅNE LÄN</t>
        </is>
      </c>
      <c r="E6444" t="inlineStr">
        <is>
          <t>OSBY</t>
        </is>
      </c>
      <c r="F6444" t="inlineStr">
        <is>
          <t>Kommuner</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29435-2024</t>
        </is>
      </c>
      <c r="B6445" s="1" t="n">
        <v>45483</v>
      </c>
      <c r="C6445" s="1" t="n">
        <v>45744</v>
      </c>
      <c r="D6445" t="inlineStr">
        <is>
          <t>SKÅNE LÄN</t>
        </is>
      </c>
      <c r="E6445" t="inlineStr">
        <is>
          <t>OSBY</t>
        </is>
      </c>
      <c r="F6445" t="inlineStr">
        <is>
          <t>Kommuner</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29439-2024</t>
        </is>
      </c>
      <c r="B6446" s="1" t="n">
        <v>45483</v>
      </c>
      <c r="C6446" s="1" t="n">
        <v>45744</v>
      </c>
      <c r="D6446" t="inlineStr">
        <is>
          <t>SKÅNE LÄN</t>
        </is>
      </c>
      <c r="E6446" t="inlineStr">
        <is>
          <t>ÖRKELLJUNGA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29430-2024</t>
        </is>
      </c>
      <c r="B6447" s="1" t="n">
        <v>45483</v>
      </c>
      <c r="C6447" s="1" t="n">
        <v>45744</v>
      </c>
      <c r="D6447" t="inlineStr">
        <is>
          <t>SKÅNE LÄN</t>
        </is>
      </c>
      <c r="E6447" t="inlineStr">
        <is>
          <t>OSBY</t>
        </is>
      </c>
      <c r="F6447" t="inlineStr">
        <is>
          <t>Kommuner</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29629-2024</t>
        </is>
      </c>
      <c r="B6448" s="1" t="n">
        <v>45484</v>
      </c>
      <c r="C6448" s="1" t="n">
        <v>45744</v>
      </c>
      <c r="D6448" t="inlineStr">
        <is>
          <t>SKÅNE LÄN</t>
        </is>
      </c>
      <c r="E6448" t="inlineStr">
        <is>
          <t>HÄSSLEHOLM</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29659-2024</t>
        </is>
      </c>
      <c r="B6449" s="1" t="n">
        <v>45485</v>
      </c>
      <c r="C6449" s="1" t="n">
        <v>45744</v>
      </c>
      <c r="D6449" t="inlineStr">
        <is>
          <t>SKÅNE LÄN</t>
        </is>
      </c>
      <c r="E6449" t="inlineStr">
        <is>
          <t>HÄSSLEHOLM</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29627-2024</t>
        </is>
      </c>
      <c r="B6450" s="1" t="n">
        <v>45484</v>
      </c>
      <c r="C6450" s="1" t="n">
        <v>45744</v>
      </c>
      <c r="D6450" t="inlineStr">
        <is>
          <t>SKÅNE LÄN</t>
        </is>
      </c>
      <c r="E6450" t="inlineStr">
        <is>
          <t>HÄSSLEHOLM</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29847-2024</t>
        </is>
      </c>
      <c r="B6451" s="1" t="n">
        <v>45485</v>
      </c>
      <c r="C6451" s="1" t="n">
        <v>45744</v>
      </c>
      <c r="D6451" t="inlineStr">
        <is>
          <t>SKÅNE LÄN</t>
        </is>
      </c>
      <c r="E6451" t="inlineStr">
        <is>
          <t>HÄSSLEHOLM</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29824-2024</t>
        </is>
      </c>
      <c r="B6452" s="1" t="n">
        <v>45485</v>
      </c>
      <c r="C6452" s="1" t="n">
        <v>45744</v>
      </c>
      <c r="D6452" t="inlineStr">
        <is>
          <t>SKÅNE LÄN</t>
        </is>
      </c>
      <c r="E6452" t="inlineStr">
        <is>
          <t>ÖSTRA GÖINGE</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29832-2024</t>
        </is>
      </c>
      <c r="B6453" s="1" t="n">
        <v>45485</v>
      </c>
      <c r="C6453" s="1" t="n">
        <v>45744</v>
      </c>
      <c r="D6453" t="inlineStr">
        <is>
          <t>SKÅNE LÄN</t>
        </is>
      </c>
      <c r="E6453" t="inlineStr">
        <is>
          <t>KRISTIANSTAD</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29844-2024</t>
        </is>
      </c>
      <c r="B6454" s="1" t="n">
        <v>45485</v>
      </c>
      <c r="C6454" s="1" t="n">
        <v>45744</v>
      </c>
      <c r="D6454" t="inlineStr">
        <is>
          <t>SKÅNE LÄN</t>
        </is>
      </c>
      <c r="E6454" t="inlineStr">
        <is>
          <t>HÄSSLEHOLM</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29845-2024</t>
        </is>
      </c>
      <c r="B6455" s="1" t="n">
        <v>45485</v>
      </c>
      <c r="C6455" s="1" t="n">
        <v>45744</v>
      </c>
      <c r="D6455" t="inlineStr">
        <is>
          <t>SKÅNE LÄN</t>
        </is>
      </c>
      <c r="E6455" t="inlineStr">
        <is>
          <t>HÄSSLEHOLM</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29849-2024</t>
        </is>
      </c>
      <c r="B6456" s="1" t="n">
        <v>45485</v>
      </c>
      <c r="C6456" s="1" t="n">
        <v>45744</v>
      </c>
      <c r="D6456" t="inlineStr">
        <is>
          <t>SKÅNE LÄN</t>
        </is>
      </c>
      <c r="E6456" t="inlineStr">
        <is>
          <t>SJÖBO</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29838-2024</t>
        </is>
      </c>
      <c r="B6457" s="1" t="n">
        <v>45485</v>
      </c>
      <c r="C6457" s="1" t="n">
        <v>45744</v>
      </c>
      <c r="D6457" t="inlineStr">
        <is>
          <t>SKÅNE LÄN</t>
        </is>
      </c>
      <c r="E6457" t="inlineStr">
        <is>
          <t>HÄSSLEHOLM</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29842-2024</t>
        </is>
      </c>
      <c r="B6458" s="1" t="n">
        <v>45485</v>
      </c>
      <c r="C6458" s="1" t="n">
        <v>45744</v>
      </c>
      <c r="D6458" t="inlineStr">
        <is>
          <t>SKÅNE LÄN</t>
        </is>
      </c>
      <c r="E6458" t="inlineStr">
        <is>
          <t>HÄSSLEHOLM</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29850-2024</t>
        </is>
      </c>
      <c r="B6459" s="1" t="n">
        <v>45485</v>
      </c>
      <c r="C6459" s="1" t="n">
        <v>45744</v>
      </c>
      <c r="D6459" t="inlineStr">
        <is>
          <t>SKÅNE LÄN</t>
        </is>
      </c>
      <c r="E6459" t="inlineStr">
        <is>
          <t>HÄSSLEHOLM</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29853-2024</t>
        </is>
      </c>
      <c r="B6460" s="1" t="n">
        <v>45485</v>
      </c>
      <c r="C6460" s="1" t="n">
        <v>45744</v>
      </c>
      <c r="D6460" t="inlineStr">
        <is>
          <t>SKÅNE LÄN</t>
        </is>
      </c>
      <c r="E6460" t="inlineStr">
        <is>
          <t>HÄSSLEHOLM</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29877-2024</t>
        </is>
      </c>
      <c r="B6461" s="1" t="n">
        <v>45486</v>
      </c>
      <c r="C6461" s="1" t="n">
        <v>45744</v>
      </c>
      <c r="D6461" t="inlineStr">
        <is>
          <t>SKÅNE LÄN</t>
        </is>
      </c>
      <c r="E6461" t="inlineStr">
        <is>
          <t>KLIPPAN</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30151-2024</t>
        </is>
      </c>
      <c r="B6462" s="1" t="n">
        <v>45488</v>
      </c>
      <c r="C6462" s="1" t="n">
        <v>45744</v>
      </c>
      <c r="D6462" t="inlineStr">
        <is>
          <t>SKÅNE LÄN</t>
        </is>
      </c>
      <c r="E6462" t="inlineStr">
        <is>
          <t>HÄSSLEHOLM</t>
        </is>
      </c>
      <c r="G6462" t="n">
        <v>8.800000000000001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30155-2024</t>
        </is>
      </c>
      <c r="B6463" s="1" t="n">
        <v>45488</v>
      </c>
      <c r="C6463" s="1" t="n">
        <v>45744</v>
      </c>
      <c r="D6463" t="inlineStr">
        <is>
          <t>SKÅNE LÄN</t>
        </is>
      </c>
      <c r="E6463" t="inlineStr">
        <is>
          <t>HÄSSLEHOLM</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30040-2024</t>
        </is>
      </c>
      <c r="B6464" s="1" t="n">
        <v>45488</v>
      </c>
      <c r="C6464" s="1" t="n">
        <v>45744</v>
      </c>
      <c r="D6464" t="inlineStr">
        <is>
          <t>SKÅNE LÄN</t>
        </is>
      </c>
      <c r="E6464" t="inlineStr">
        <is>
          <t>TOMELILLA</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30140-2024</t>
        </is>
      </c>
      <c r="B6465" s="1" t="n">
        <v>45489</v>
      </c>
      <c r="C6465" s="1" t="n">
        <v>45744</v>
      </c>
      <c r="D6465" t="inlineStr">
        <is>
          <t>SKÅNE LÄN</t>
        </is>
      </c>
      <c r="E6465" t="inlineStr">
        <is>
          <t>ÖSTRA GÖINGE</t>
        </is>
      </c>
      <c r="G6465" t="n">
        <v>8.1</v>
      </c>
      <c r="H6465" t="n">
        <v>0</v>
      </c>
      <c r="I6465" t="n">
        <v>0</v>
      </c>
      <c r="J6465" t="n">
        <v>0</v>
      </c>
      <c r="K6465" t="n">
        <v>0</v>
      </c>
      <c r="L6465" t="n">
        <v>0</v>
      </c>
      <c r="M6465" t="n">
        <v>0</v>
      </c>
      <c r="N6465" t="n">
        <v>0</v>
      </c>
      <c r="O6465" t="n">
        <v>0</v>
      </c>
      <c r="P6465" t="n">
        <v>0</v>
      </c>
      <c r="Q6465" t="n">
        <v>0</v>
      </c>
      <c r="R6465" s="2" t="inlineStr"/>
    </row>
    <row r="6466" ht="15" customHeight="1">
      <c r="A6466" t="inlineStr">
        <is>
          <t>A 30142-2024</t>
        </is>
      </c>
      <c r="B6466" s="1" t="n">
        <v>45489</v>
      </c>
      <c r="C6466" s="1" t="n">
        <v>45744</v>
      </c>
      <c r="D6466" t="inlineStr">
        <is>
          <t>SKÅNE LÄN</t>
        </is>
      </c>
      <c r="E6466" t="inlineStr">
        <is>
          <t>ÖSTRA GÖINGE</t>
        </is>
      </c>
      <c r="G6466" t="n">
        <v>11.9</v>
      </c>
      <c r="H6466" t="n">
        <v>0</v>
      </c>
      <c r="I6466" t="n">
        <v>0</v>
      </c>
      <c r="J6466" t="n">
        <v>0</v>
      </c>
      <c r="K6466" t="n">
        <v>0</v>
      </c>
      <c r="L6466" t="n">
        <v>0</v>
      </c>
      <c r="M6466" t="n">
        <v>0</v>
      </c>
      <c r="N6466" t="n">
        <v>0</v>
      </c>
      <c r="O6466" t="n">
        <v>0</v>
      </c>
      <c r="P6466" t="n">
        <v>0</v>
      </c>
      <c r="Q6466" t="n">
        <v>0</v>
      </c>
      <c r="R6466" s="2" t="inlineStr"/>
    </row>
    <row r="6467" ht="15" customHeight="1">
      <c r="A6467" t="inlineStr">
        <is>
          <t>A 30223-2024</t>
        </is>
      </c>
      <c r="B6467" s="1" t="n">
        <v>45490</v>
      </c>
      <c r="C6467" s="1" t="n">
        <v>45744</v>
      </c>
      <c r="D6467" t="inlineStr">
        <is>
          <t>SKÅNE LÄN</t>
        </is>
      </c>
      <c r="E6467" t="inlineStr">
        <is>
          <t>HÖRBY</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30220-2024</t>
        </is>
      </c>
      <c r="B6468" s="1" t="n">
        <v>45490</v>
      </c>
      <c r="C6468" s="1" t="n">
        <v>45744</v>
      </c>
      <c r="D6468" t="inlineStr">
        <is>
          <t>SKÅNE LÄN</t>
        </is>
      </c>
      <c r="E6468" t="inlineStr">
        <is>
          <t>KRISTIANSTAD</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30227-2024</t>
        </is>
      </c>
      <c r="B6469" s="1" t="n">
        <v>45490</v>
      </c>
      <c r="C6469" s="1" t="n">
        <v>45744</v>
      </c>
      <c r="D6469" t="inlineStr">
        <is>
          <t>SKÅNE LÄN</t>
        </is>
      </c>
      <c r="E6469" t="inlineStr">
        <is>
          <t>HÄSSLEHOLM</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30274-2024</t>
        </is>
      </c>
      <c r="B6470" s="1" t="n">
        <v>45490</v>
      </c>
      <c r="C6470" s="1" t="n">
        <v>45744</v>
      </c>
      <c r="D6470" t="inlineStr">
        <is>
          <t>SKÅNE LÄN</t>
        </is>
      </c>
      <c r="E6470" t="inlineStr">
        <is>
          <t>TOMELILLA</t>
        </is>
      </c>
      <c r="F6470" t="inlineStr">
        <is>
          <t>Övriga Aktiebolag</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30276-2024</t>
        </is>
      </c>
      <c r="B6471" s="1" t="n">
        <v>45490</v>
      </c>
      <c r="C6471" s="1" t="n">
        <v>45744</v>
      </c>
      <c r="D6471" t="inlineStr">
        <is>
          <t>SKÅNE LÄN</t>
        </is>
      </c>
      <c r="E6471" t="inlineStr">
        <is>
          <t>TOMELILLA</t>
        </is>
      </c>
      <c r="F6471" t="inlineStr">
        <is>
          <t>Övriga Aktiebolag</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30407-2024</t>
        </is>
      </c>
      <c r="B6472" s="1" t="n">
        <v>45491</v>
      </c>
      <c r="C6472" s="1" t="n">
        <v>45744</v>
      </c>
      <c r="D6472" t="inlineStr">
        <is>
          <t>SKÅNE LÄN</t>
        </is>
      </c>
      <c r="E6472" t="inlineStr">
        <is>
          <t>BROMÖLLA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30391-2024</t>
        </is>
      </c>
      <c r="B6473" s="1" t="n">
        <v>45491</v>
      </c>
      <c r="C6473" s="1" t="n">
        <v>45744</v>
      </c>
      <c r="D6473" t="inlineStr">
        <is>
          <t>SKÅNE LÄN</t>
        </is>
      </c>
      <c r="E6473" t="inlineStr">
        <is>
          <t>HÄSSLEHOLM</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30601-2024</t>
        </is>
      </c>
      <c r="B6474" s="1" t="n">
        <v>45493</v>
      </c>
      <c r="C6474" s="1" t="n">
        <v>45744</v>
      </c>
      <c r="D6474" t="inlineStr">
        <is>
          <t>SKÅNE LÄN</t>
        </is>
      </c>
      <c r="E6474" t="inlineStr">
        <is>
          <t>KRISTIANSTAD</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30749-2024</t>
        </is>
      </c>
      <c r="B6475" s="1" t="n">
        <v>45496</v>
      </c>
      <c r="C6475" s="1" t="n">
        <v>45744</v>
      </c>
      <c r="D6475" t="inlineStr">
        <is>
          <t>SKÅNE LÄN</t>
        </is>
      </c>
      <c r="E6475" t="inlineStr">
        <is>
          <t>KRISTIANSTAD</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30911-2024</t>
        </is>
      </c>
      <c r="B6476" s="1" t="n">
        <v>45498</v>
      </c>
      <c r="C6476" s="1" t="n">
        <v>45744</v>
      </c>
      <c r="D6476" t="inlineStr">
        <is>
          <t>SKÅNE LÄN</t>
        </is>
      </c>
      <c r="E6476" t="inlineStr">
        <is>
          <t>SIMRISHAMN</t>
        </is>
      </c>
      <c r="F6476" t="inlineStr">
        <is>
          <t>Övriga Aktiebolag</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30893-2024</t>
        </is>
      </c>
      <c r="B6477" s="1" t="n">
        <v>45498</v>
      </c>
      <c r="C6477" s="1" t="n">
        <v>45744</v>
      </c>
      <c r="D6477" t="inlineStr">
        <is>
          <t>SKÅNE LÄN</t>
        </is>
      </c>
      <c r="E6477" t="inlineStr">
        <is>
          <t>KRISTIANSTAD</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31143-2024</t>
        </is>
      </c>
      <c r="B6478" s="1" t="n">
        <v>45502</v>
      </c>
      <c r="C6478" s="1" t="n">
        <v>45744</v>
      </c>
      <c r="D6478" t="inlineStr">
        <is>
          <t>SKÅNE LÄN</t>
        </is>
      </c>
      <c r="E6478" t="inlineStr">
        <is>
          <t>ÄNGELHOLM</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31115-2024</t>
        </is>
      </c>
      <c r="B6479" s="1" t="n">
        <v>45502</v>
      </c>
      <c r="C6479" s="1" t="n">
        <v>45744</v>
      </c>
      <c r="D6479" t="inlineStr">
        <is>
          <t>SKÅNE LÄN</t>
        </is>
      </c>
      <c r="E6479" t="inlineStr">
        <is>
          <t>HÖRBY</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31114-2024</t>
        </is>
      </c>
      <c r="B6480" s="1" t="n">
        <v>45502</v>
      </c>
      <c r="C6480" s="1" t="n">
        <v>45744</v>
      </c>
      <c r="D6480" t="inlineStr">
        <is>
          <t>SKÅNE LÄN</t>
        </is>
      </c>
      <c r="E6480" t="inlineStr">
        <is>
          <t>HÖRBY</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31110-2024</t>
        </is>
      </c>
      <c r="B6481" s="1" t="n">
        <v>45502</v>
      </c>
      <c r="C6481" s="1" t="n">
        <v>45744</v>
      </c>
      <c r="D6481" t="inlineStr">
        <is>
          <t>SKÅNE LÄN</t>
        </is>
      </c>
      <c r="E6481" t="inlineStr">
        <is>
          <t>HÖRBY</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31093-2024</t>
        </is>
      </c>
      <c r="B6482" s="1" t="n">
        <v>45502</v>
      </c>
      <c r="C6482" s="1" t="n">
        <v>45744</v>
      </c>
      <c r="D6482" t="inlineStr">
        <is>
          <t>SKÅNE LÄN</t>
        </is>
      </c>
      <c r="E6482" t="inlineStr">
        <is>
          <t>SIMRISHAMN</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31161-2024</t>
        </is>
      </c>
      <c r="B6483" s="1" t="n">
        <v>45503</v>
      </c>
      <c r="C6483" s="1" t="n">
        <v>45744</v>
      </c>
      <c r="D6483" t="inlineStr">
        <is>
          <t>SKÅNE LÄN</t>
        </is>
      </c>
      <c r="E6483" t="inlineStr">
        <is>
          <t>HÄSSLEHOLM</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31165-2024</t>
        </is>
      </c>
      <c r="B6484" s="1" t="n">
        <v>45503</v>
      </c>
      <c r="C6484" s="1" t="n">
        <v>45744</v>
      </c>
      <c r="D6484" t="inlineStr">
        <is>
          <t>SKÅNE LÄN</t>
        </is>
      </c>
      <c r="E6484" t="inlineStr">
        <is>
          <t>KRISTIANSTAD</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31162-2024</t>
        </is>
      </c>
      <c r="B6485" s="1" t="n">
        <v>45503</v>
      </c>
      <c r="C6485" s="1" t="n">
        <v>45744</v>
      </c>
      <c r="D6485" t="inlineStr">
        <is>
          <t>SKÅNE LÄN</t>
        </is>
      </c>
      <c r="E6485" t="inlineStr">
        <is>
          <t>HÄSSLEHOLM</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31170-2024</t>
        </is>
      </c>
      <c r="B6486" s="1" t="n">
        <v>45503</v>
      </c>
      <c r="C6486" s="1" t="n">
        <v>45744</v>
      </c>
      <c r="D6486" t="inlineStr">
        <is>
          <t>SKÅNE LÄN</t>
        </is>
      </c>
      <c r="E6486" t="inlineStr">
        <is>
          <t>KRISTIANSTAD</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31160-2024</t>
        </is>
      </c>
      <c r="B6487" s="1" t="n">
        <v>45503</v>
      </c>
      <c r="C6487" s="1" t="n">
        <v>45744</v>
      </c>
      <c r="D6487" t="inlineStr">
        <is>
          <t>SKÅNE LÄN</t>
        </is>
      </c>
      <c r="E6487" t="inlineStr">
        <is>
          <t>HÄSSLEHOLM</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31195-2024</t>
        </is>
      </c>
      <c r="B6488" s="1" t="n">
        <v>45503</v>
      </c>
      <c r="C6488" s="1" t="n">
        <v>45744</v>
      </c>
      <c r="D6488" t="inlineStr">
        <is>
          <t>SKÅNE LÄN</t>
        </is>
      </c>
      <c r="E6488" t="inlineStr">
        <is>
          <t>OSBY</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31254-2024</t>
        </is>
      </c>
      <c r="B6489" s="1" t="n">
        <v>45503</v>
      </c>
      <c r="C6489" s="1" t="n">
        <v>45744</v>
      </c>
      <c r="D6489" t="inlineStr">
        <is>
          <t>SKÅNE LÄN</t>
        </is>
      </c>
      <c r="E6489" t="inlineStr">
        <is>
          <t>HÄSSLEHOLM</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31255-2024</t>
        </is>
      </c>
      <c r="B6490" s="1" t="n">
        <v>45503</v>
      </c>
      <c r="C6490" s="1" t="n">
        <v>45744</v>
      </c>
      <c r="D6490" t="inlineStr">
        <is>
          <t>SKÅNE LÄN</t>
        </is>
      </c>
      <c r="E6490" t="inlineStr">
        <is>
          <t>HÄSSLEHOLM</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31335-2024</t>
        </is>
      </c>
      <c r="B6491" s="1" t="n">
        <v>45504</v>
      </c>
      <c r="C6491" s="1" t="n">
        <v>45744</v>
      </c>
      <c r="D6491" t="inlineStr">
        <is>
          <t>SKÅNE LÄN</t>
        </is>
      </c>
      <c r="E6491" t="inlineStr">
        <is>
          <t>HÄSSLEHOLM</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31339-2024</t>
        </is>
      </c>
      <c r="B6492" s="1" t="n">
        <v>45504</v>
      </c>
      <c r="C6492" s="1" t="n">
        <v>45744</v>
      </c>
      <c r="D6492" t="inlineStr">
        <is>
          <t>SKÅNE LÄN</t>
        </is>
      </c>
      <c r="E6492" t="inlineStr">
        <is>
          <t>SIMRISHAMN</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31268-2024</t>
        </is>
      </c>
      <c r="B6493" s="1" t="n">
        <v>45504</v>
      </c>
      <c r="C6493" s="1" t="n">
        <v>45744</v>
      </c>
      <c r="D6493" t="inlineStr">
        <is>
          <t>SKÅNE LÄN</t>
        </is>
      </c>
      <c r="E6493" t="inlineStr">
        <is>
          <t>HÄSSLEHOLM</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31336-2024</t>
        </is>
      </c>
      <c r="B6494" s="1" t="n">
        <v>45504</v>
      </c>
      <c r="C6494" s="1" t="n">
        <v>45744</v>
      </c>
      <c r="D6494" t="inlineStr">
        <is>
          <t>SKÅNE LÄN</t>
        </is>
      </c>
      <c r="E6494" t="inlineStr">
        <is>
          <t>HÄSSLEHOLM</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31396-2024</t>
        </is>
      </c>
      <c r="B6495" s="1" t="n">
        <v>45505</v>
      </c>
      <c r="C6495" s="1" t="n">
        <v>45744</v>
      </c>
      <c r="D6495" t="inlineStr">
        <is>
          <t>SKÅNE LÄN</t>
        </is>
      </c>
      <c r="E6495" t="inlineStr">
        <is>
          <t>OSBY</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31379-2024</t>
        </is>
      </c>
      <c r="B6496" s="1" t="n">
        <v>45505</v>
      </c>
      <c r="C6496" s="1" t="n">
        <v>45744</v>
      </c>
      <c r="D6496" t="inlineStr">
        <is>
          <t>SKÅNE LÄN</t>
        </is>
      </c>
      <c r="E6496" t="inlineStr">
        <is>
          <t>HÄSSLEHOLM</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31619-2024</t>
        </is>
      </c>
      <c r="B6497" s="1" t="n">
        <v>45506</v>
      </c>
      <c r="C6497" s="1" t="n">
        <v>45744</v>
      </c>
      <c r="D6497" t="inlineStr">
        <is>
          <t>SKÅNE LÄN</t>
        </is>
      </c>
      <c r="E6497" t="inlineStr">
        <is>
          <t>KRISTIANSTAD</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31631-2024</t>
        </is>
      </c>
      <c r="B6498" s="1" t="n">
        <v>45506</v>
      </c>
      <c r="C6498" s="1" t="n">
        <v>45744</v>
      </c>
      <c r="D6498" t="inlineStr">
        <is>
          <t>SKÅNE LÄN</t>
        </is>
      </c>
      <c r="E6498" t="inlineStr">
        <is>
          <t>ÖRKELLJUNGA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31639-2024</t>
        </is>
      </c>
      <c r="B6499" s="1" t="n">
        <v>45506</v>
      </c>
      <c r="C6499" s="1" t="n">
        <v>45744</v>
      </c>
      <c r="D6499" t="inlineStr">
        <is>
          <t>SKÅNE LÄN</t>
        </is>
      </c>
      <c r="E6499" t="inlineStr">
        <is>
          <t>OSBY</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31611-2024</t>
        </is>
      </c>
      <c r="B6500" s="1" t="n">
        <v>45506</v>
      </c>
      <c r="C6500" s="1" t="n">
        <v>45744</v>
      </c>
      <c r="D6500" t="inlineStr">
        <is>
          <t>SKÅNE LÄN</t>
        </is>
      </c>
      <c r="E6500" t="inlineStr">
        <is>
          <t>KRISTIANSTAD</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31633-2024</t>
        </is>
      </c>
      <c r="B6501" s="1" t="n">
        <v>45506</v>
      </c>
      <c r="C6501" s="1" t="n">
        <v>45744</v>
      </c>
      <c r="D6501" t="inlineStr">
        <is>
          <t>SKÅNE LÄN</t>
        </is>
      </c>
      <c r="E6501" t="inlineStr">
        <is>
          <t>ÖRKELLJUNGA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31637-2024</t>
        </is>
      </c>
      <c r="B6502" s="1" t="n">
        <v>45506</v>
      </c>
      <c r="C6502" s="1" t="n">
        <v>45744</v>
      </c>
      <c r="D6502" t="inlineStr">
        <is>
          <t>SKÅNE LÄN</t>
        </is>
      </c>
      <c r="E6502" t="inlineStr">
        <is>
          <t>OSBY</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31634-2024</t>
        </is>
      </c>
      <c r="B6503" s="1" t="n">
        <v>45506</v>
      </c>
      <c r="C6503" s="1" t="n">
        <v>45744</v>
      </c>
      <c r="D6503" t="inlineStr">
        <is>
          <t>SKÅNE LÄN</t>
        </is>
      </c>
      <c r="E6503" t="inlineStr">
        <is>
          <t>ÄNGELHOLM</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31638-2024</t>
        </is>
      </c>
      <c r="B6504" s="1" t="n">
        <v>45506</v>
      </c>
      <c r="C6504" s="1" t="n">
        <v>45744</v>
      </c>
      <c r="D6504" t="inlineStr">
        <is>
          <t>SKÅNE LÄN</t>
        </is>
      </c>
      <c r="E6504" t="inlineStr">
        <is>
          <t>OSBY</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31616-2024</t>
        </is>
      </c>
      <c r="B6505" s="1" t="n">
        <v>45506</v>
      </c>
      <c r="C6505" s="1" t="n">
        <v>45744</v>
      </c>
      <c r="D6505" t="inlineStr">
        <is>
          <t>SKÅNE LÄN</t>
        </is>
      </c>
      <c r="E6505" t="inlineStr">
        <is>
          <t>KRISTIANSTAD</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31640-2024</t>
        </is>
      </c>
      <c r="B6506" s="1" t="n">
        <v>45506</v>
      </c>
      <c r="C6506" s="1" t="n">
        <v>45744</v>
      </c>
      <c r="D6506" t="inlineStr">
        <is>
          <t>SKÅNE LÄN</t>
        </is>
      </c>
      <c r="E6506" t="inlineStr">
        <is>
          <t>OSBY</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32008-2024</t>
        </is>
      </c>
      <c r="B6507" s="1" t="n">
        <v>45510</v>
      </c>
      <c r="C6507" s="1" t="n">
        <v>45744</v>
      </c>
      <c r="D6507" t="inlineStr">
        <is>
          <t>SKÅNE LÄN</t>
        </is>
      </c>
      <c r="E6507" t="inlineStr">
        <is>
          <t>HÄSSLEHOLM</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31934-2024</t>
        </is>
      </c>
      <c r="B6508" s="1" t="n">
        <v>45510</v>
      </c>
      <c r="C6508" s="1" t="n">
        <v>45744</v>
      </c>
      <c r="D6508" t="inlineStr">
        <is>
          <t>SKÅNE LÄN</t>
        </is>
      </c>
      <c r="E6508" t="inlineStr">
        <is>
          <t>HÄSSLEHOLM</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31989-2024</t>
        </is>
      </c>
      <c r="B6509" s="1" t="n">
        <v>45510</v>
      </c>
      <c r="C6509" s="1" t="n">
        <v>45744</v>
      </c>
      <c r="D6509" t="inlineStr">
        <is>
          <t>SKÅNE LÄN</t>
        </is>
      </c>
      <c r="E6509" t="inlineStr">
        <is>
          <t>HÄSSLEHOLM</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31944-2024</t>
        </is>
      </c>
      <c r="B6510" s="1" t="n">
        <v>45510</v>
      </c>
      <c r="C6510" s="1" t="n">
        <v>45744</v>
      </c>
      <c r="D6510" t="inlineStr">
        <is>
          <t>SKÅNE LÄN</t>
        </is>
      </c>
      <c r="E6510" t="inlineStr">
        <is>
          <t>BROMÖLLA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31931-2024</t>
        </is>
      </c>
      <c r="B6511" s="1" t="n">
        <v>45510</v>
      </c>
      <c r="C6511" s="1" t="n">
        <v>45744</v>
      </c>
      <c r="D6511" t="inlineStr">
        <is>
          <t>SKÅNE LÄN</t>
        </is>
      </c>
      <c r="E6511" t="inlineStr">
        <is>
          <t>HÄSSLEHOLM</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31927-2024</t>
        </is>
      </c>
      <c r="B6512" s="1" t="n">
        <v>45510</v>
      </c>
      <c r="C6512" s="1" t="n">
        <v>45744</v>
      </c>
      <c r="D6512" t="inlineStr">
        <is>
          <t>SKÅNE LÄN</t>
        </is>
      </c>
      <c r="E6512" t="inlineStr">
        <is>
          <t>ÖRKELLJUNGA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31942-2024</t>
        </is>
      </c>
      <c r="B6513" s="1" t="n">
        <v>45510</v>
      </c>
      <c r="C6513" s="1" t="n">
        <v>45744</v>
      </c>
      <c r="D6513" t="inlineStr">
        <is>
          <t>SKÅNE LÄN</t>
        </is>
      </c>
      <c r="E6513" t="inlineStr">
        <is>
          <t>KRISTIANSTAD</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31933-2024</t>
        </is>
      </c>
      <c r="B6514" s="1" t="n">
        <v>45510</v>
      </c>
      <c r="C6514" s="1" t="n">
        <v>45744</v>
      </c>
      <c r="D6514" t="inlineStr">
        <is>
          <t>SKÅNE LÄN</t>
        </is>
      </c>
      <c r="E6514" t="inlineStr">
        <is>
          <t>HÄSSLEHOLM</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31925-2024</t>
        </is>
      </c>
      <c r="B6515" s="1" t="n">
        <v>45510</v>
      </c>
      <c r="C6515" s="1" t="n">
        <v>45744</v>
      </c>
      <c r="D6515" t="inlineStr">
        <is>
          <t>SKÅNE LÄN</t>
        </is>
      </c>
      <c r="E6515" t="inlineStr">
        <is>
          <t>ÖRKELLJUNGA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32154-2024</t>
        </is>
      </c>
      <c r="B6516" s="1" t="n">
        <v>45511</v>
      </c>
      <c r="C6516" s="1" t="n">
        <v>45744</v>
      </c>
      <c r="D6516" t="inlineStr">
        <is>
          <t>SKÅNE LÄN</t>
        </is>
      </c>
      <c r="E6516" t="inlineStr">
        <is>
          <t>HÄSSLEHOLM</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32158-2024</t>
        </is>
      </c>
      <c r="B6517" s="1" t="n">
        <v>45511</v>
      </c>
      <c r="C6517" s="1" t="n">
        <v>45744</v>
      </c>
      <c r="D6517" t="inlineStr">
        <is>
          <t>SKÅNE LÄN</t>
        </is>
      </c>
      <c r="E6517" t="inlineStr">
        <is>
          <t>KRISTIANSTAD</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32211-2024</t>
        </is>
      </c>
      <c r="B6518" s="1" t="n">
        <v>45511</v>
      </c>
      <c r="C6518" s="1" t="n">
        <v>45744</v>
      </c>
      <c r="D6518" t="inlineStr">
        <is>
          <t>SKÅNE LÄN</t>
        </is>
      </c>
      <c r="E6518" t="inlineStr">
        <is>
          <t>HÄSSLEHOLM</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32100-2024</t>
        </is>
      </c>
      <c r="B6519" s="1" t="n">
        <v>45511</v>
      </c>
      <c r="C6519" s="1" t="n">
        <v>45744</v>
      </c>
      <c r="D6519" t="inlineStr">
        <is>
          <t>SKÅNE LÄN</t>
        </is>
      </c>
      <c r="E6519" t="inlineStr">
        <is>
          <t>HÄSSLEHOLM</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32210-2024</t>
        </is>
      </c>
      <c r="B6520" s="1" t="n">
        <v>45511</v>
      </c>
      <c r="C6520" s="1" t="n">
        <v>45744</v>
      </c>
      <c r="D6520" t="inlineStr">
        <is>
          <t>SKÅNE LÄN</t>
        </is>
      </c>
      <c r="E6520" t="inlineStr">
        <is>
          <t>HÄSSLEHOLM</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32201-2024</t>
        </is>
      </c>
      <c r="B6521" s="1" t="n">
        <v>45511</v>
      </c>
      <c r="C6521" s="1" t="n">
        <v>45744</v>
      </c>
      <c r="D6521" t="inlineStr">
        <is>
          <t>SKÅNE LÄN</t>
        </is>
      </c>
      <c r="E6521" t="inlineStr">
        <is>
          <t>PERSTORP</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32272-2024</t>
        </is>
      </c>
      <c r="B6522" s="1" t="n">
        <v>45512</v>
      </c>
      <c r="C6522" s="1" t="n">
        <v>45744</v>
      </c>
      <c r="D6522" t="inlineStr">
        <is>
          <t>SKÅNE LÄN</t>
        </is>
      </c>
      <c r="E6522" t="inlineStr">
        <is>
          <t>BROMÖLLA</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32464-2024</t>
        </is>
      </c>
      <c r="B6523" s="1" t="n">
        <v>45513</v>
      </c>
      <c r="C6523" s="1" t="n">
        <v>45744</v>
      </c>
      <c r="D6523" t="inlineStr">
        <is>
          <t>SKÅNE LÄN</t>
        </is>
      </c>
      <c r="E6523" t="inlineStr">
        <is>
          <t>ÖSTRA GÖINGE</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32514-2024</t>
        </is>
      </c>
      <c r="B6524" s="1" t="n">
        <v>45513</v>
      </c>
      <c r="C6524" s="1" t="n">
        <v>45744</v>
      </c>
      <c r="D6524" t="inlineStr">
        <is>
          <t>SKÅNE LÄN</t>
        </is>
      </c>
      <c r="E6524" t="inlineStr">
        <is>
          <t>HÄSSLEHOLM</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32512-2024</t>
        </is>
      </c>
      <c r="B6525" s="1" t="n">
        <v>45513</v>
      </c>
      <c r="C6525" s="1" t="n">
        <v>45744</v>
      </c>
      <c r="D6525" t="inlineStr">
        <is>
          <t>SKÅNE LÄN</t>
        </is>
      </c>
      <c r="E6525" t="inlineStr">
        <is>
          <t>HÄSSLEHOLM</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32596-2024</t>
        </is>
      </c>
      <c r="B6526" s="1" t="n">
        <v>45513</v>
      </c>
      <c r="C6526" s="1" t="n">
        <v>45744</v>
      </c>
      <c r="D6526" t="inlineStr">
        <is>
          <t>SKÅNE LÄN</t>
        </is>
      </c>
      <c r="E6526" t="inlineStr">
        <is>
          <t>YSTAD</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32586-2024</t>
        </is>
      </c>
      <c r="B6527" s="1" t="n">
        <v>45513</v>
      </c>
      <c r="C6527" s="1" t="n">
        <v>45744</v>
      </c>
      <c r="D6527" t="inlineStr">
        <is>
          <t>SKÅNE LÄN</t>
        </is>
      </c>
      <c r="E6527" t="inlineStr">
        <is>
          <t>HÄSSLEHOLM</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32590-2024</t>
        </is>
      </c>
      <c r="B6528" s="1" t="n">
        <v>45513</v>
      </c>
      <c r="C6528" s="1" t="n">
        <v>45744</v>
      </c>
      <c r="D6528" t="inlineStr">
        <is>
          <t>SKÅNE LÄN</t>
        </is>
      </c>
      <c r="E6528" t="inlineStr">
        <is>
          <t>YSTAD</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32610-2024</t>
        </is>
      </c>
      <c r="B6529" s="1" t="n">
        <v>45513</v>
      </c>
      <c r="C6529" s="1" t="n">
        <v>45744</v>
      </c>
      <c r="D6529" t="inlineStr">
        <is>
          <t>SKÅNE LÄN</t>
        </is>
      </c>
      <c r="E6529" t="inlineStr">
        <is>
          <t>BÅSTAD</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32555-2024</t>
        </is>
      </c>
      <c r="B6530" s="1" t="n">
        <v>45513</v>
      </c>
      <c r="C6530" s="1" t="n">
        <v>45744</v>
      </c>
      <c r="D6530" t="inlineStr">
        <is>
          <t>SKÅNE LÄN</t>
        </is>
      </c>
      <c r="E6530" t="inlineStr">
        <is>
          <t>SVEDALA</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32589-2024</t>
        </is>
      </c>
      <c r="B6531" s="1" t="n">
        <v>45513</v>
      </c>
      <c r="C6531" s="1" t="n">
        <v>45744</v>
      </c>
      <c r="D6531" t="inlineStr">
        <is>
          <t>SKÅNE LÄN</t>
        </is>
      </c>
      <c r="E6531" t="inlineStr">
        <is>
          <t>HÄSSLEHOLM</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32838-2024</t>
        </is>
      </c>
      <c r="B6532" s="1" t="n">
        <v>45516</v>
      </c>
      <c r="C6532" s="1" t="n">
        <v>45744</v>
      </c>
      <c r="D6532" t="inlineStr">
        <is>
          <t>SKÅNE LÄN</t>
        </is>
      </c>
      <c r="E6532" t="inlineStr">
        <is>
          <t>KLIPPAN</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32834-2024</t>
        </is>
      </c>
      <c r="B6533" s="1" t="n">
        <v>45516</v>
      </c>
      <c r="C6533" s="1" t="n">
        <v>45744</v>
      </c>
      <c r="D6533" t="inlineStr">
        <is>
          <t>SKÅNE LÄN</t>
        </is>
      </c>
      <c r="E6533" t="inlineStr">
        <is>
          <t>HÄSSLEHOLM</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32881-2024</t>
        </is>
      </c>
      <c r="B6534" s="1" t="n">
        <v>45516</v>
      </c>
      <c r="C6534" s="1" t="n">
        <v>45744</v>
      </c>
      <c r="D6534" t="inlineStr">
        <is>
          <t>SKÅNE LÄN</t>
        </is>
      </c>
      <c r="E6534" t="inlineStr">
        <is>
          <t>HÄSSLEHOLM</t>
        </is>
      </c>
      <c r="G6534" t="n">
        <v>6.3</v>
      </c>
      <c r="H6534" t="n">
        <v>0</v>
      </c>
      <c r="I6534" t="n">
        <v>0</v>
      </c>
      <c r="J6534" t="n">
        <v>0</v>
      </c>
      <c r="K6534" t="n">
        <v>0</v>
      </c>
      <c r="L6534" t="n">
        <v>0</v>
      </c>
      <c r="M6534" t="n">
        <v>0</v>
      </c>
      <c r="N6534" t="n">
        <v>0</v>
      </c>
      <c r="O6534" t="n">
        <v>0</v>
      </c>
      <c r="P6534" t="n">
        <v>0</v>
      </c>
      <c r="Q6534" t="n">
        <v>0</v>
      </c>
      <c r="R6534" s="2" t="inlineStr"/>
    </row>
    <row r="6535" ht="15" customHeight="1">
      <c r="A6535" t="inlineStr">
        <is>
          <t>A 32817-2024</t>
        </is>
      </c>
      <c r="B6535" s="1" t="n">
        <v>45516</v>
      </c>
      <c r="C6535" s="1" t="n">
        <v>45744</v>
      </c>
      <c r="D6535" t="inlineStr">
        <is>
          <t>SKÅNE LÄN</t>
        </is>
      </c>
      <c r="E6535" t="inlineStr">
        <is>
          <t>HÄSSLEHOLM</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32744-2024</t>
        </is>
      </c>
      <c r="B6536" s="1" t="n">
        <v>45516</v>
      </c>
      <c r="C6536" s="1" t="n">
        <v>45744</v>
      </c>
      <c r="D6536" t="inlineStr">
        <is>
          <t>SKÅNE LÄN</t>
        </is>
      </c>
      <c r="E6536" t="inlineStr">
        <is>
          <t>SJÖBO</t>
        </is>
      </c>
      <c r="G6536" t="n">
        <v>11.1</v>
      </c>
      <c r="H6536" t="n">
        <v>0</v>
      </c>
      <c r="I6536" t="n">
        <v>0</v>
      </c>
      <c r="J6536" t="n">
        <v>0</v>
      </c>
      <c r="K6536" t="n">
        <v>0</v>
      </c>
      <c r="L6536" t="n">
        <v>0</v>
      </c>
      <c r="M6536" t="n">
        <v>0</v>
      </c>
      <c r="N6536" t="n">
        <v>0</v>
      </c>
      <c r="O6536" t="n">
        <v>0</v>
      </c>
      <c r="P6536" t="n">
        <v>0</v>
      </c>
      <c r="Q6536" t="n">
        <v>0</v>
      </c>
      <c r="R6536" s="2" t="inlineStr"/>
    </row>
    <row r="6537" ht="15" customHeight="1">
      <c r="A6537" t="inlineStr">
        <is>
          <t>A 32826-2024</t>
        </is>
      </c>
      <c r="B6537" s="1" t="n">
        <v>45516</v>
      </c>
      <c r="C6537" s="1" t="n">
        <v>45744</v>
      </c>
      <c r="D6537" t="inlineStr">
        <is>
          <t>SKÅNE LÄN</t>
        </is>
      </c>
      <c r="E6537" t="inlineStr">
        <is>
          <t>HÄSSLEHOLM</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32990-2024</t>
        </is>
      </c>
      <c r="B6538" s="1" t="n">
        <v>45517</v>
      </c>
      <c r="C6538" s="1" t="n">
        <v>45744</v>
      </c>
      <c r="D6538" t="inlineStr">
        <is>
          <t>SKÅNE LÄN</t>
        </is>
      </c>
      <c r="E6538" t="inlineStr">
        <is>
          <t>KRISTIANSTAD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33064-2024</t>
        </is>
      </c>
      <c r="B6539" s="1" t="n">
        <v>45517</v>
      </c>
      <c r="C6539" s="1" t="n">
        <v>45744</v>
      </c>
      <c r="D6539" t="inlineStr">
        <is>
          <t>SKÅNE LÄN</t>
        </is>
      </c>
      <c r="E6539" t="inlineStr">
        <is>
          <t>HÄSSLEHOLM</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32995-2024</t>
        </is>
      </c>
      <c r="B6540" s="1" t="n">
        <v>45517</v>
      </c>
      <c r="C6540" s="1" t="n">
        <v>45744</v>
      </c>
      <c r="D6540" t="inlineStr">
        <is>
          <t>SKÅNE LÄN</t>
        </is>
      </c>
      <c r="E6540" t="inlineStr">
        <is>
          <t>KRISTIANSTAD</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32976-2024</t>
        </is>
      </c>
      <c r="B6541" s="1" t="n">
        <v>45517</v>
      </c>
      <c r="C6541" s="1" t="n">
        <v>45744</v>
      </c>
      <c r="D6541" t="inlineStr">
        <is>
          <t>SKÅNE LÄN</t>
        </is>
      </c>
      <c r="E6541" t="inlineStr">
        <is>
          <t>LUND</t>
        </is>
      </c>
      <c r="F6541" t="inlineStr">
        <is>
          <t>Kommuner</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32972-2024</t>
        </is>
      </c>
      <c r="B6542" s="1" t="n">
        <v>45517</v>
      </c>
      <c r="C6542" s="1" t="n">
        <v>45744</v>
      </c>
      <c r="D6542" t="inlineStr">
        <is>
          <t>SKÅNE LÄN</t>
        </is>
      </c>
      <c r="E6542" t="inlineStr">
        <is>
          <t>LUND</t>
        </is>
      </c>
      <c r="F6542" t="inlineStr">
        <is>
          <t>Kommuner</t>
        </is>
      </c>
      <c r="G6542" t="n">
        <v>20.7</v>
      </c>
      <c r="H6542" t="n">
        <v>0</v>
      </c>
      <c r="I6542" t="n">
        <v>0</v>
      </c>
      <c r="J6542" t="n">
        <v>0</v>
      </c>
      <c r="K6542" t="n">
        <v>0</v>
      </c>
      <c r="L6542" t="n">
        <v>0</v>
      </c>
      <c r="M6542" t="n">
        <v>0</v>
      </c>
      <c r="N6542" t="n">
        <v>0</v>
      </c>
      <c r="O6542" t="n">
        <v>0</v>
      </c>
      <c r="P6542" t="n">
        <v>0</v>
      </c>
      <c r="Q6542" t="n">
        <v>0</v>
      </c>
      <c r="R6542" s="2" t="inlineStr"/>
    </row>
    <row r="6543" ht="15" customHeight="1">
      <c r="A6543" t="inlineStr">
        <is>
          <t>A 33067-2024</t>
        </is>
      </c>
      <c r="B6543" s="1" t="n">
        <v>45517</v>
      </c>
      <c r="C6543" s="1" t="n">
        <v>45744</v>
      </c>
      <c r="D6543" t="inlineStr">
        <is>
          <t>SKÅNE LÄN</t>
        </is>
      </c>
      <c r="E6543" t="inlineStr">
        <is>
          <t>HÄSSLEHOLM</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32984-2024</t>
        </is>
      </c>
      <c r="B6544" s="1" t="n">
        <v>45517</v>
      </c>
      <c r="C6544" s="1" t="n">
        <v>45744</v>
      </c>
      <c r="D6544" t="inlineStr">
        <is>
          <t>SKÅNE LÄN</t>
        </is>
      </c>
      <c r="E6544" t="inlineStr">
        <is>
          <t>ESLÖV</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33257-2024</t>
        </is>
      </c>
      <c r="B6545" s="1" t="n">
        <v>45518</v>
      </c>
      <c r="C6545" s="1" t="n">
        <v>45744</v>
      </c>
      <c r="D6545" t="inlineStr">
        <is>
          <t>SKÅNE LÄN</t>
        </is>
      </c>
      <c r="E6545" t="inlineStr">
        <is>
          <t>HÄSSLEHOLM</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33260-2024</t>
        </is>
      </c>
      <c r="B6546" s="1" t="n">
        <v>45518</v>
      </c>
      <c r="C6546" s="1" t="n">
        <v>45744</v>
      </c>
      <c r="D6546" t="inlineStr">
        <is>
          <t>SKÅNE LÄN</t>
        </is>
      </c>
      <c r="E6546" t="inlineStr">
        <is>
          <t>HÄSSLEHOLM</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33266-2024</t>
        </is>
      </c>
      <c r="B6547" s="1" t="n">
        <v>45518</v>
      </c>
      <c r="C6547" s="1" t="n">
        <v>45744</v>
      </c>
      <c r="D6547" t="inlineStr">
        <is>
          <t>SKÅNE LÄN</t>
        </is>
      </c>
      <c r="E6547" t="inlineStr">
        <is>
          <t>HÄSSLEHOLM</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33254-2024</t>
        </is>
      </c>
      <c r="B6548" s="1" t="n">
        <v>45518</v>
      </c>
      <c r="C6548" s="1" t="n">
        <v>45744</v>
      </c>
      <c r="D6548" t="inlineStr">
        <is>
          <t>SKÅNE LÄN</t>
        </is>
      </c>
      <c r="E6548" t="inlineStr">
        <is>
          <t>OSBY</t>
        </is>
      </c>
      <c r="F6548" t="inlineStr">
        <is>
          <t>Naturvårdsverket</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33256-2024</t>
        </is>
      </c>
      <c r="B6549" s="1" t="n">
        <v>45518</v>
      </c>
      <c r="C6549" s="1" t="n">
        <v>45744</v>
      </c>
      <c r="D6549" t="inlineStr">
        <is>
          <t>SKÅNE LÄN</t>
        </is>
      </c>
      <c r="E6549" t="inlineStr">
        <is>
          <t>OSBY</t>
        </is>
      </c>
      <c r="F6549" t="inlineStr">
        <is>
          <t>Naturvårdsverket</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33267-2024</t>
        </is>
      </c>
      <c r="B6550" s="1" t="n">
        <v>45518</v>
      </c>
      <c r="C6550" s="1" t="n">
        <v>45744</v>
      </c>
      <c r="D6550" t="inlineStr">
        <is>
          <t>SKÅNE LÄN</t>
        </is>
      </c>
      <c r="E6550" t="inlineStr">
        <is>
          <t>HÄSSLEHOLM</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33259-2024</t>
        </is>
      </c>
      <c r="B6551" s="1" t="n">
        <v>45518</v>
      </c>
      <c r="C6551" s="1" t="n">
        <v>45744</v>
      </c>
      <c r="D6551" t="inlineStr">
        <is>
          <t>SKÅNE LÄN</t>
        </is>
      </c>
      <c r="E6551" t="inlineStr">
        <is>
          <t>HÄSSLEHOLM</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33251-2024</t>
        </is>
      </c>
      <c r="B6552" s="1" t="n">
        <v>45518</v>
      </c>
      <c r="C6552" s="1" t="n">
        <v>45744</v>
      </c>
      <c r="D6552" t="inlineStr">
        <is>
          <t>SKÅNE LÄN</t>
        </is>
      </c>
      <c r="E6552" t="inlineStr">
        <is>
          <t>OSBY</t>
        </is>
      </c>
      <c r="F6552" t="inlineStr">
        <is>
          <t>Naturvårdsverket</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33164-2024</t>
        </is>
      </c>
      <c r="B6553" s="1" t="n">
        <v>45518</v>
      </c>
      <c r="C6553" s="1" t="n">
        <v>45744</v>
      </c>
      <c r="D6553" t="inlineStr">
        <is>
          <t>SKÅNE LÄN</t>
        </is>
      </c>
      <c r="E6553" t="inlineStr">
        <is>
          <t>PERSTORP</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33465-2024</t>
        </is>
      </c>
      <c r="B6554" s="1" t="n">
        <v>45519</v>
      </c>
      <c r="C6554" s="1" t="n">
        <v>45744</v>
      </c>
      <c r="D6554" t="inlineStr">
        <is>
          <t>SKÅNE LÄN</t>
        </is>
      </c>
      <c r="E6554" t="inlineStr">
        <is>
          <t>HÄSSLEHOLM</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33481-2024</t>
        </is>
      </c>
      <c r="B6555" s="1" t="n">
        <v>45519</v>
      </c>
      <c r="C6555" s="1" t="n">
        <v>45744</v>
      </c>
      <c r="D6555" t="inlineStr">
        <is>
          <t>SKÅNE LÄN</t>
        </is>
      </c>
      <c r="E6555" t="inlineStr">
        <is>
          <t>HÄSSLEHOLM</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33450-2024</t>
        </is>
      </c>
      <c r="B6556" s="1" t="n">
        <v>45519</v>
      </c>
      <c r="C6556" s="1" t="n">
        <v>45744</v>
      </c>
      <c r="D6556" t="inlineStr">
        <is>
          <t>SKÅNE LÄN</t>
        </is>
      </c>
      <c r="E6556" t="inlineStr">
        <is>
          <t>KRISTIANSTAD</t>
        </is>
      </c>
      <c r="F6556" t="inlineStr">
        <is>
          <t>Kyrkan</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33466-2024</t>
        </is>
      </c>
      <c r="B6557" s="1" t="n">
        <v>45519</v>
      </c>
      <c r="C6557" s="1" t="n">
        <v>45744</v>
      </c>
      <c r="D6557" t="inlineStr">
        <is>
          <t>SKÅNE LÄN</t>
        </is>
      </c>
      <c r="E6557" t="inlineStr">
        <is>
          <t>HÄSSLEHOLM</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33463-2024</t>
        </is>
      </c>
      <c r="B6558" s="1" t="n">
        <v>45519</v>
      </c>
      <c r="C6558" s="1" t="n">
        <v>45744</v>
      </c>
      <c r="D6558" t="inlineStr">
        <is>
          <t>SKÅNE LÄN</t>
        </is>
      </c>
      <c r="E6558" t="inlineStr">
        <is>
          <t>HÄSSLEHOLM</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33536-2024</t>
        </is>
      </c>
      <c r="B6559" s="1" t="n">
        <v>45519</v>
      </c>
      <c r="C6559" s="1" t="n">
        <v>45744</v>
      </c>
      <c r="D6559" t="inlineStr">
        <is>
          <t>SKÅNE LÄN</t>
        </is>
      </c>
      <c r="E6559" t="inlineStr">
        <is>
          <t>HÄSSLEHOLM</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33331-2024</t>
        </is>
      </c>
      <c r="B6560" s="1" t="n">
        <v>45519</v>
      </c>
      <c r="C6560" s="1" t="n">
        <v>45744</v>
      </c>
      <c r="D6560" t="inlineStr">
        <is>
          <t>SKÅNE LÄN</t>
        </is>
      </c>
      <c r="E6560" t="inlineStr">
        <is>
          <t>KLIPPAN</t>
        </is>
      </c>
      <c r="F6560" t="inlineStr">
        <is>
          <t>Sveaskog</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33741-2024</t>
        </is>
      </c>
      <c r="B6561" s="1" t="n">
        <v>45520</v>
      </c>
      <c r="C6561" s="1" t="n">
        <v>45744</v>
      </c>
      <c r="D6561" t="inlineStr">
        <is>
          <t>SKÅNE LÄN</t>
        </is>
      </c>
      <c r="E6561" t="inlineStr">
        <is>
          <t>OSBY</t>
        </is>
      </c>
      <c r="G6561" t="n">
        <v>8.800000000000001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33752-2024</t>
        </is>
      </c>
      <c r="B6562" s="1" t="n">
        <v>45520</v>
      </c>
      <c r="C6562" s="1" t="n">
        <v>45744</v>
      </c>
      <c r="D6562" t="inlineStr">
        <is>
          <t>SKÅNE LÄN</t>
        </is>
      </c>
      <c r="E6562" t="inlineStr">
        <is>
          <t>KRISTIANSTAD</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33865-2024</t>
        </is>
      </c>
      <c r="B6563" s="1" t="n">
        <v>45520</v>
      </c>
      <c r="C6563" s="1" t="n">
        <v>45744</v>
      </c>
      <c r="D6563" t="inlineStr">
        <is>
          <t>SKÅNE LÄN</t>
        </is>
      </c>
      <c r="E6563" t="inlineStr">
        <is>
          <t>ESLÖV</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33873-2024</t>
        </is>
      </c>
      <c r="B6564" s="1" t="n">
        <v>45521</v>
      </c>
      <c r="C6564" s="1" t="n">
        <v>45744</v>
      </c>
      <c r="D6564" t="inlineStr">
        <is>
          <t>SKÅNE LÄN</t>
        </is>
      </c>
      <c r="E6564" t="inlineStr">
        <is>
          <t>HÖRBY</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34027-2024</t>
        </is>
      </c>
      <c r="B6565" s="1" t="n">
        <v>45523</v>
      </c>
      <c r="C6565" s="1" t="n">
        <v>45744</v>
      </c>
      <c r="D6565" t="inlineStr">
        <is>
          <t>SKÅNE LÄN</t>
        </is>
      </c>
      <c r="E6565" t="inlineStr">
        <is>
          <t>HÄSSLEHOLM</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34051-2024</t>
        </is>
      </c>
      <c r="B6566" s="1" t="n">
        <v>45523</v>
      </c>
      <c r="C6566" s="1" t="n">
        <v>45744</v>
      </c>
      <c r="D6566" t="inlineStr">
        <is>
          <t>SKÅNE LÄN</t>
        </is>
      </c>
      <c r="E6566" t="inlineStr">
        <is>
          <t>KLIPPAN</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34064-2024</t>
        </is>
      </c>
      <c r="B6567" s="1" t="n">
        <v>45523</v>
      </c>
      <c r="C6567" s="1" t="n">
        <v>45744</v>
      </c>
      <c r="D6567" t="inlineStr">
        <is>
          <t>SKÅNE LÄN</t>
        </is>
      </c>
      <c r="E6567" t="inlineStr">
        <is>
          <t>SIMRISHAMN</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34302-2024</t>
        </is>
      </c>
      <c r="B6568" s="1" t="n">
        <v>45524</v>
      </c>
      <c r="C6568" s="1" t="n">
        <v>45744</v>
      </c>
      <c r="D6568" t="inlineStr">
        <is>
          <t>SKÅNE LÄN</t>
        </is>
      </c>
      <c r="E6568" t="inlineStr">
        <is>
          <t>YSTAD</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34306-2024</t>
        </is>
      </c>
      <c r="B6569" s="1" t="n">
        <v>45524</v>
      </c>
      <c r="C6569" s="1" t="n">
        <v>45744</v>
      </c>
      <c r="D6569" t="inlineStr">
        <is>
          <t>SKÅNE LÄN</t>
        </is>
      </c>
      <c r="E6569" t="inlineStr">
        <is>
          <t>OSBY</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34310-2024</t>
        </is>
      </c>
      <c r="B6570" s="1" t="n">
        <v>45524</v>
      </c>
      <c r="C6570" s="1" t="n">
        <v>45744</v>
      </c>
      <c r="D6570" t="inlineStr">
        <is>
          <t>SKÅNE LÄN</t>
        </is>
      </c>
      <c r="E6570" t="inlineStr">
        <is>
          <t>YSTAD</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34326-2024</t>
        </is>
      </c>
      <c r="B6571" s="1" t="n">
        <v>45524</v>
      </c>
      <c r="C6571" s="1" t="n">
        <v>45744</v>
      </c>
      <c r="D6571" t="inlineStr">
        <is>
          <t>SKÅNE LÄN</t>
        </is>
      </c>
      <c r="E6571" t="inlineStr">
        <is>
          <t>KRISTIANSTAD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34161-2024</t>
        </is>
      </c>
      <c r="B6572" s="1" t="n">
        <v>45524</v>
      </c>
      <c r="C6572" s="1" t="n">
        <v>45744</v>
      </c>
      <c r="D6572" t="inlineStr">
        <is>
          <t>SKÅNE LÄN</t>
        </is>
      </c>
      <c r="E6572" t="inlineStr">
        <is>
          <t>KLIPPAN</t>
        </is>
      </c>
      <c r="F6572" t="inlineStr">
        <is>
          <t>Sveaskog</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34243-2024</t>
        </is>
      </c>
      <c r="B6573" s="1" t="n">
        <v>45524</v>
      </c>
      <c r="C6573" s="1" t="n">
        <v>45744</v>
      </c>
      <c r="D6573" t="inlineStr">
        <is>
          <t>SKÅNE LÄN</t>
        </is>
      </c>
      <c r="E6573" t="inlineStr">
        <is>
          <t>HÄSSLEHOLM</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34162-2024</t>
        </is>
      </c>
      <c r="B6574" s="1" t="n">
        <v>45524</v>
      </c>
      <c r="C6574" s="1" t="n">
        <v>45744</v>
      </c>
      <c r="D6574" t="inlineStr">
        <is>
          <t>SKÅNE LÄN</t>
        </is>
      </c>
      <c r="E6574" t="inlineStr">
        <is>
          <t>KLIPPAN</t>
        </is>
      </c>
      <c r="F6574" t="inlineStr">
        <is>
          <t>Sveaskog</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34299-2024</t>
        </is>
      </c>
      <c r="B6575" s="1" t="n">
        <v>45524</v>
      </c>
      <c r="C6575" s="1" t="n">
        <v>45744</v>
      </c>
      <c r="D6575" t="inlineStr">
        <is>
          <t>SKÅNE LÄN</t>
        </is>
      </c>
      <c r="E6575" t="inlineStr">
        <is>
          <t>HÄSSLEHOLM</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34303-2024</t>
        </is>
      </c>
      <c r="B6576" s="1" t="n">
        <v>45524</v>
      </c>
      <c r="C6576" s="1" t="n">
        <v>45744</v>
      </c>
      <c r="D6576" t="inlineStr">
        <is>
          <t>SKÅNE LÄN</t>
        </is>
      </c>
      <c r="E6576" t="inlineStr">
        <is>
          <t>OSBY</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34307-2024</t>
        </is>
      </c>
      <c r="B6577" s="1" t="n">
        <v>45524</v>
      </c>
      <c r="C6577" s="1" t="n">
        <v>45744</v>
      </c>
      <c r="D6577" t="inlineStr">
        <is>
          <t>SKÅNE LÄN</t>
        </is>
      </c>
      <c r="E6577" t="inlineStr">
        <is>
          <t>OSBY</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34297-2024</t>
        </is>
      </c>
      <c r="B6578" s="1" t="n">
        <v>45524</v>
      </c>
      <c r="C6578" s="1" t="n">
        <v>45744</v>
      </c>
      <c r="D6578" t="inlineStr">
        <is>
          <t>SKÅNE LÄN</t>
        </is>
      </c>
      <c r="E6578" t="inlineStr">
        <is>
          <t>OSBY</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34301-2024</t>
        </is>
      </c>
      <c r="B6579" s="1" t="n">
        <v>45524</v>
      </c>
      <c r="C6579" s="1" t="n">
        <v>45744</v>
      </c>
      <c r="D6579" t="inlineStr">
        <is>
          <t>SKÅNE LÄN</t>
        </is>
      </c>
      <c r="E6579" t="inlineStr">
        <is>
          <t>HÄSSLEHOLM</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34422-2024</t>
        </is>
      </c>
      <c r="B6580" s="1" t="n">
        <v>45525</v>
      </c>
      <c r="C6580" s="1" t="n">
        <v>45744</v>
      </c>
      <c r="D6580" t="inlineStr">
        <is>
          <t>SKÅNE LÄN</t>
        </is>
      </c>
      <c r="E6580" t="inlineStr">
        <is>
          <t>HÖRBY</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34389-2024</t>
        </is>
      </c>
      <c r="B6581" s="1" t="n">
        <v>45525</v>
      </c>
      <c r="C6581" s="1" t="n">
        <v>45744</v>
      </c>
      <c r="D6581" t="inlineStr">
        <is>
          <t>SKÅNE LÄN</t>
        </is>
      </c>
      <c r="E6581" t="inlineStr">
        <is>
          <t>ÖSTRA GÖINGE</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34348-2024</t>
        </is>
      </c>
      <c r="B6582" s="1" t="n">
        <v>45525</v>
      </c>
      <c r="C6582" s="1" t="n">
        <v>45744</v>
      </c>
      <c r="D6582" t="inlineStr">
        <is>
          <t>SKÅNE LÄN</t>
        </is>
      </c>
      <c r="E6582" t="inlineStr">
        <is>
          <t>KRISTIANSTAD</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34688-2024</t>
        </is>
      </c>
      <c r="B6583" s="1" t="n">
        <v>45526</v>
      </c>
      <c r="C6583" s="1" t="n">
        <v>45744</v>
      </c>
      <c r="D6583" t="inlineStr">
        <is>
          <t>SKÅNE LÄN</t>
        </is>
      </c>
      <c r="E6583" t="inlineStr">
        <is>
          <t>KRISTIANSTAD</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34704-2024</t>
        </is>
      </c>
      <c r="B6584" s="1" t="n">
        <v>45526</v>
      </c>
      <c r="C6584" s="1" t="n">
        <v>45744</v>
      </c>
      <c r="D6584" t="inlineStr">
        <is>
          <t>SKÅNE LÄN</t>
        </is>
      </c>
      <c r="E6584" t="inlineStr">
        <is>
          <t>HÖÖR</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34665-2024</t>
        </is>
      </c>
      <c r="B6585" s="1" t="n">
        <v>45526</v>
      </c>
      <c r="C6585" s="1" t="n">
        <v>45744</v>
      </c>
      <c r="D6585" t="inlineStr">
        <is>
          <t>SKÅNE LÄN</t>
        </is>
      </c>
      <c r="E6585" t="inlineStr">
        <is>
          <t>OSBY</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34808-2024</t>
        </is>
      </c>
      <c r="B6586" s="1" t="n">
        <v>45526</v>
      </c>
      <c r="C6586" s="1" t="n">
        <v>45744</v>
      </c>
      <c r="D6586" t="inlineStr">
        <is>
          <t>SKÅNE LÄN</t>
        </is>
      </c>
      <c r="E6586" t="inlineStr">
        <is>
          <t>SVALÖV</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34831-2024</t>
        </is>
      </c>
      <c r="B6587" s="1" t="n">
        <v>45526</v>
      </c>
      <c r="C6587" s="1" t="n">
        <v>45744</v>
      </c>
      <c r="D6587" t="inlineStr">
        <is>
          <t>SKÅNE LÄN</t>
        </is>
      </c>
      <c r="E6587" t="inlineStr">
        <is>
          <t>KRISTIANSTAD</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34698-2024</t>
        </is>
      </c>
      <c r="B6588" s="1" t="n">
        <v>45526</v>
      </c>
      <c r="C6588" s="1" t="n">
        <v>45744</v>
      </c>
      <c r="D6588" t="inlineStr">
        <is>
          <t>SKÅNE LÄN</t>
        </is>
      </c>
      <c r="E6588" t="inlineStr">
        <is>
          <t>KRISTIANSTAD</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34654-2024</t>
        </is>
      </c>
      <c r="B6589" s="1" t="n">
        <v>45526</v>
      </c>
      <c r="C6589" s="1" t="n">
        <v>45744</v>
      </c>
      <c r="D6589" t="inlineStr">
        <is>
          <t>SKÅNE LÄN</t>
        </is>
      </c>
      <c r="E6589" t="inlineStr">
        <is>
          <t>KRISTIANSTAD</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35038-2024</t>
        </is>
      </c>
      <c r="B6590" s="1" t="n">
        <v>45527</v>
      </c>
      <c r="C6590" s="1" t="n">
        <v>45744</v>
      </c>
      <c r="D6590" t="inlineStr">
        <is>
          <t>SKÅNE LÄN</t>
        </is>
      </c>
      <c r="E6590" t="inlineStr">
        <is>
          <t>HÖÖR</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35037-2024</t>
        </is>
      </c>
      <c r="B6591" s="1" t="n">
        <v>45527</v>
      </c>
      <c r="C6591" s="1" t="n">
        <v>45744</v>
      </c>
      <c r="D6591" t="inlineStr">
        <is>
          <t>SKÅNE LÄN</t>
        </is>
      </c>
      <c r="E6591" t="inlineStr">
        <is>
          <t>ÖSTRA GÖINGE</t>
        </is>
      </c>
      <c r="G6591" t="n">
        <v>12.6</v>
      </c>
      <c r="H6591" t="n">
        <v>0</v>
      </c>
      <c r="I6591" t="n">
        <v>0</v>
      </c>
      <c r="J6591" t="n">
        <v>0</v>
      </c>
      <c r="K6591" t="n">
        <v>0</v>
      </c>
      <c r="L6591" t="n">
        <v>0</v>
      </c>
      <c r="M6591" t="n">
        <v>0</v>
      </c>
      <c r="N6591" t="n">
        <v>0</v>
      </c>
      <c r="O6591" t="n">
        <v>0</v>
      </c>
      <c r="P6591" t="n">
        <v>0</v>
      </c>
      <c r="Q6591" t="n">
        <v>0</v>
      </c>
      <c r="R6591" s="2" t="inlineStr"/>
    </row>
    <row r="6592" ht="15" customHeight="1">
      <c r="A6592" t="inlineStr">
        <is>
          <t>A 35090-2024</t>
        </is>
      </c>
      <c r="B6592" s="1" t="n">
        <v>45527</v>
      </c>
      <c r="C6592" s="1" t="n">
        <v>45744</v>
      </c>
      <c r="D6592" t="inlineStr">
        <is>
          <t>SKÅNE LÄN</t>
        </is>
      </c>
      <c r="E6592" t="inlineStr">
        <is>
          <t>BROMÖLLA</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35119-2024</t>
        </is>
      </c>
      <c r="B6593" s="1" t="n">
        <v>45529</v>
      </c>
      <c r="C6593" s="1" t="n">
        <v>45744</v>
      </c>
      <c r="D6593" t="inlineStr">
        <is>
          <t>SKÅNE LÄN</t>
        </is>
      </c>
      <c r="E6593" t="inlineStr">
        <is>
          <t>HÄSSLEHOLM</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35132-2024</t>
        </is>
      </c>
      <c r="B6594" s="1" t="n">
        <v>45529</v>
      </c>
      <c r="C6594" s="1" t="n">
        <v>45744</v>
      </c>
      <c r="D6594" t="inlineStr">
        <is>
          <t>SKÅNE LÄN</t>
        </is>
      </c>
      <c r="E6594" t="inlineStr">
        <is>
          <t>HÄSSLEHOLM</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35120-2024</t>
        </is>
      </c>
      <c r="B6595" s="1" t="n">
        <v>45529</v>
      </c>
      <c r="C6595" s="1" t="n">
        <v>45744</v>
      </c>
      <c r="D6595" t="inlineStr">
        <is>
          <t>SKÅNE LÄN</t>
        </is>
      </c>
      <c r="E6595" t="inlineStr">
        <is>
          <t>HÄSSLEHOLM</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35171-2024</t>
        </is>
      </c>
      <c r="B6596" s="1" t="n">
        <v>45530</v>
      </c>
      <c r="C6596" s="1" t="n">
        <v>45744</v>
      </c>
      <c r="D6596" t="inlineStr">
        <is>
          <t>SKÅNE LÄN</t>
        </is>
      </c>
      <c r="E6596" t="inlineStr">
        <is>
          <t>ÖSTRA GÖINGE</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35157-2024</t>
        </is>
      </c>
      <c r="B6597" s="1" t="n">
        <v>45530</v>
      </c>
      <c r="C6597" s="1" t="n">
        <v>45744</v>
      </c>
      <c r="D6597" t="inlineStr">
        <is>
          <t>SKÅNE LÄN</t>
        </is>
      </c>
      <c r="E6597" t="inlineStr">
        <is>
          <t>HÄSSLEHOLM</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35562-2024</t>
        </is>
      </c>
      <c r="B6598" s="1" t="n">
        <v>45531</v>
      </c>
      <c r="C6598" s="1" t="n">
        <v>45744</v>
      </c>
      <c r="D6598" t="inlineStr">
        <is>
          <t>SKÅNE LÄN</t>
        </is>
      </c>
      <c r="E6598" t="inlineStr">
        <is>
          <t>KRISTIANSTAD</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35587-2024</t>
        </is>
      </c>
      <c r="B6599" s="1" t="n">
        <v>45531</v>
      </c>
      <c r="C6599" s="1" t="n">
        <v>45744</v>
      </c>
      <c r="D6599" t="inlineStr">
        <is>
          <t>SKÅNE LÄN</t>
        </is>
      </c>
      <c r="E6599" t="inlineStr">
        <is>
          <t>SVALÖV</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35620-2024</t>
        </is>
      </c>
      <c r="B6600" s="1" t="n">
        <v>45531</v>
      </c>
      <c r="C6600" s="1" t="n">
        <v>45744</v>
      </c>
      <c r="D6600" t="inlineStr">
        <is>
          <t>SKÅNE LÄN</t>
        </is>
      </c>
      <c r="E6600" t="inlineStr">
        <is>
          <t>KRISTIANSTAD</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35624-2024</t>
        </is>
      </c>
      <c r="B6601" s="1" t="n">
        <v>45531</v>
      </c>
      <c r="C6601" s="1" t="n">
        <v>45744</v>
      </c>
      <c r="D6601" t="inlineStr">
        <is>
          <t>SKÅNE LÄN</t>
        </is>
      </c>
      <c r="E6601" t="inlineStr">
        <is>
          <t>KRISTIANSTAD</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35711-2024</t>
        </is>
      </c>
      <c r="B6602" s="1" t="n">
        <v>45532</v>
      </c>
      <c r="C6602" s="1" t="n">
        <v>45744</v>
      </c>
      <c r="D6602" t="inlineStr">
        <is>
          <t>SKÅNE LÄN</t>
        </is>
      </c>
      <c r="E6602" t="inlineStr">
        <is>
          <t>HÄSSLEHOLM</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35715-2024</t>
        </is>
      </c>
      <c r="B6603" s="1" t="n">
        <v>45532</v>
      </c>
      <c r="C6603" s="1" t="n">
        <v>45744</v>
      </c>
      <c r="D6603" t="inlineStr">
        <is>
          <t>SKÅNE LÄN</t>
        </is>
      </c>
      <c r="E6603" t="inlineStr">
        <is>
          <t>TOMELILLA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35742-2024</t>
        </is>
      </c>
      <c r="B6604" s="1" t="n">
        <v>45532</v>
      </c>
      <c r="C6604" s="1" t="n">
        <v>45744</v>
      </c>
      <c r="D6604" t="inlineStr">
        <is>
          <t>SKÅNE LÄN</t>
        </is>
      </c>
      <c r="E6604" t="inlineStr">
        <is>
          <t>TOMELILLA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35677-2024</t>
        </is>
      </c>
      <c r="B6605" s="1" t="n">
        <v>45532</v>
      </c>
      <c r="C6605" s="1" t="n">
        <v>45744</v>
      </c>
      <c r="D6605" t="inlineStr">
        <is>
          <t>SKÅNE LÄN</t>
        </is>
      </c>
      <c r="E6605" t="inlineStr">
        <is>
          <t>KRISTIANSTAD</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35693-2024</t>
        </is>
      </c>
      <c r="B6606" s="1" t="n">
        <v>45532</v>
      </c>
      <c r="C6606" s="1" t="n">
        <v>45744</v>
      </c>
      <c r="D6606" t="inlineStr">
        <is>
          <t>SKÅNE LÄN</t>
        </is>
      </c>
      <c r="E6606" t="inlineStr">
        <is>
          <t>KRISTIANSTAD</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35835-2024</t>
        </is>
      </c>
      <c r="B6607" s="1" t="n">
        <v>45532</v>
      </c>
      <c r="C6607" s="1" t="n">
        <v>45744</v>
      </c>
      <c r="D6607" t="inlineStr">
        <is>
          <t>SKÅNE LÄN</t>
        </is>
      </c>
      <c r="E6607" t="inlineStr">
        <is>
          <t>KRISTIANSTAD</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35688-2024</t>
        </is>
      </c>
      <c r="B6608" s="1" t="n">
        <v>45532</v>
      </c>
      <c r="C6608" s="1" t="n">
        <v>45744</v>
      </c>
      <c r="D6608" t="inlineStr">
        <is>
          <t>SKÅNE LÄN</t>
        </is>
      </c>
      <c r="E6608" t="inlineStr">
        <is>
          <t>KRISTIANSTAD</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35692-2024</t>
        </is>
      </c>
      <c r="B6609" s="1" t="n">
        <v>45532</v>
      </c>
      <c r="C6609" s="1" t="n">
        <v>45744</v>
      </c>
      <c r="D6609" t="inlineStr">
        <is>
          <t>SKÅNE LÄN</t>
        </is>
      </c>
      <c r="E6609" t="inlineStr">
        <is>
          <t>SIMRISHAMN</t>
        </is>
      </c>
      <c r="G6609" t="n">
        <v>0</v>
      </c>
      <c r="H6609" t="n">
        <v>0</v>
      </c>
      <c r="I6609" t="n">
        <v>0</v>
      </c>
      <c r="J6609" t="n">
        <v>0</v>
      </c>
      <c r="K6609" t="n">
        <v>0</v>
      </c>
      <c r="L6609" t="n">
        <v>0</v>
      </c>
      <c r="M6609" t="n">
        <v>0</v>
      </c>
      <c r="N6609" t="n">
        <v>0</v>
      </c>
      <c r="O6609" t="n">
        <v>0</v>
      </c>
      <c r="P6609" t="n">
        <v>0</v>
      </c>
      <c r="Q6609" t="n">
        <v>0</v>
      </c>
      <c r="R6609" s="2" t="inlineStr"/>
    </row>
    <row r="6610" ht="15" customHeight="1">
      <c r="A6610" t="inlineStr">
        <is>
          <t>A 35712-2024</t>
        </is>
      </c>
      <c r="B6610" s="1" t="n">
        <v>45532</v>
      </c>
      <c r="C6610" s="1" t="n">
        <v>45744</v>
      </c>
      <c r="D6610" t="inlineStr">
        <is>
          <t>SKÅNE LÄN</t>
        </is>
      </c>
      <c r="E6610" t="inlineStr">
        <is>
          <t>HÄSSLEHOLM</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35801-2024</t>
        </is>
      </c>
      <c r="B6611" s="1" t="n">
        <v>45532</v>
      </c>
      <c r="C6611" s="1" t="n">
        <v>45744</v>
      </c>
      <c r="D6611" t="inlineStr">
        <is>
          <t>SKÅNE LÄN</t>
        </is>
      </c>
      <c r="E6611" t="inlineStr">
        <is>
          <t>HÖÖR</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35948-2024</t>
        </is>
      </c>
      <c r="B6612" s="1" t="n">
        <v>45533</v>
      </c>
      <c r="C6612" s="1" t="n">
        <v>45744</v>
      </c>
      <c r="D6612" t="inlineStr">
        <is>
          <t>SKÅNE LÄN</t>
        </is>
      </c>
      <c r="E6612" t="inlineStr">
        <is>
          <t>KRISTIANSTAD</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35937-2024</t>
        </is>
      </c>
      <c r="B6613" s="1" t="n">
        <v>45533</v>
      </c>
      <c r="C6613" s="1" t="n">
        <v>45744</v>
      </c>
      <c r="D6613" t="inlineStr">
        <is>
          <t>SKÅNE LÄN</t>
        </is>
      </c>
      <c r="E6613" t="inlineStr">
        <is>
          <t>KRISTIANSTAD</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36119-2024</t>
        </is>
      </c>
      <c r="B6614" s="1" t="n">
        <v>45534</v>
      </c>
      <c r="C6614" s="1" t="n">
        <v>45744</v>
      </c>
      <c r="D6614" t="inlineStr">
        <is>
          <t>SKÅNE LÄN</t>
        </is>
      </c>
      <c r="E6614" t="inlineStr">
        <is>
          <t>HÖÖR</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36211-2024</t>
        </is>
      </c>
      <c r="B6615" s="1" t="n">
        <v>45534</v>
      </c>
      <c r="C6615" s="1" t="n">
        <v>45744</v>
      </c>
      <c r="D6615" t="inlineStr">
        <is>
          <t>SKÅNE LÄN</t>
        </is>
      </c>
      <c r="E6615" t="inlineStr">
        <is>
          <t>HÖÖR</t>
        </is>
      </c>
      <c r="G6615" t="n">
        <v>7.6</v>
      </c>
      <c r="H6615" t="n">
        <v>0</v>
      </c>
      <c r="I6615" t="n">
        <v>0</v>
      </c>
      <c r="J6615" t="n">
        <v>0</v>
      </c>
      <c r="K6615" t="n">
        <v>0</v>
      </c>
      <c r="L6615" t="n">
        <v>0</v>
      </c>
      <c r="M6615" t="n">
        <v>0</v>
      </c>
      <c r="N6615" t="n">
        <v>0</v>
      </c>
      <c r="O6615" t="n">
        <v>0</v>
      </c>
      <c r="P6615" t="n">
        <v>0</v>
      </c>
      <c r="Q6615" t="n">
        <v>0</v>
      </c>
      <c r="R6615" s="2" t="inlineStr"/>
    </row>
    <row r="6616" ht="15" customHeight="1">
      <c r="A6616" t="inlineStr">
        <is>
          <t>A 36229-2024</t>
        </is>
      </c>
      <c r="B6616" s="1" t="n">
        <v>45534</v>
      </c>
      <c r="C6616" s="1" t="n">
        <v>45744</v>
      </c>
      <c r="D6616" t="inlineStr">
        <is>
          <t>SKÅNE LÄN</t>
        </is>
      </c>
      <c r="E6616" t="inlineStr">
        <is>
          <t>OSBY</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36180-2024</t>
        </is>
      </c>
      <c r="B6617" s="1" t="n">
        <v>45534</v>
      </c>
      <c r="C6617" s="1" t="n">
        <v>45744</v>
      </c>
      <c r="D6617" t="inlineStr">
        <is>
          <t>SKÅNE LÄN</t>
        </is>
      </c>
      <c r="E6617" t="inlineStr">
        <is>
          <t>TOMELILLA</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36232-2024</t>
        </is>
      </c>
      <c r="B6618" s="1" t="n">
        <v>45534</v>
      </c>
      <c r="C6618" s="1" t="n">
        <v>45744</v>
      </c>
      <c r="D6618" t="inlineStr">
        <is>
          <t>SKÅNE LÄN</t>
        </is>
      </c>
      <c r="E6618" t="inlineStr">
        <is>
          <t>OSBY</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36395-2024</t>
        </is>
      </c>
      <c r="B6619" s="1" t="n">
        <v>45534</v>
      </c>
      <c r="C6619" s="1" t="n">
        <v>45744</v>
      </c>
      <c r="D6619" t="inlineStr">
        <is>
          <t>SKÅNE LÄN</t>
        </is>
      </c>
      <c r="E6619" t="inlineStr">
        <is>
          <t>BROMÖLLA</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36382-2024</t>
        </is>
      </c>
      <c r="B6620" s="1" t="n">
        <v>45534</v>
      </c>
      <c r="C6620" s="1" t="n">
        <v>45744</v>
      </c>
      <c r="D6620" t="inlineStr">
        <is>
          <t>SKÅNE LÄN</t>
        </is>
      </c>
      <c r="E6620" t="inlineStr">
        <is>
          <t>BROMÖLLA</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36427-2024</t>
        </is>
      </c>
      <c r="B6621" s="1" t="n">
        <v>45536</v>
      </c>
      <c r="C6621" s="1" t="n">
        <v>45744</v>
      </c>
      <c r="D6621" t="inlineStr">
        <is>
          <t>SKÅNE LÄN</t>
        </is>
      </c>
      <c r="E6621" t="inlineStr">
        <is>
          <t>HÖRBY</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36606-2024</t>
        </is>
      </c>
      <c r="B6622" s="1" t="n">
        <v>45537</v>
      </c>
      <c r="C6622" s="1" t="n">
        <v>45744</v>
      </c>
      <c r="D6622" t="inlineStr">
        <is>
          <t>SKÅNE LÄN</t>
        </is>
      </c>
      <c r="E6622" t="inlineStr">
        <is>
          <t>KLIPPAN</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36568-2024</t>
        </is>
      </c>
      <c r="B6623" s="1" t="n">
        <v>45537</v>
      </c>
      <c r="C6623" s="1" t="n">
        <v>45744</v>
      </c>
      <c r="D6623" t="inlineStr">
        <is>
          <t>SKÅNE LÄN</t>
        </is>
      </c>
      <c r="E6623" t="inlineStr">
        <is>
          <t>HÄSSLEHOLM</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36569-2024</t>
        </is>
      </c>
      <c r="B6624" s="1" t="n">
        <v>45537</v>
      </c>
      <c r="C6624" s="1" t="n">
        <v>45744</v>
      </c>
      <c r="D6624" t="inlineStr">
        <is>
          <t>SKÅNE LÄN</t>
        </is>
      </c>
      <c r="E6624" t="inlineStr">
        <is>
          <t>OSBY</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36662-2024</t>
        </is>
      </c>
      <c r="B6625" s="1" t="n">
        <v>45537</v>
      </c>
      <c r="C6625" s="1" t="n">
        <v>45744</v>
      </c>
      <c r="D6625" t="inlineStr">
        <is>
          <t>SKÅNE LÄN</t>
        </is>
      </c>
      <c r="E6625" t="inlineStr">
        <is>
          <t>HÄSSLEHOLM</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36571-2024</t>
        </is>
      </c>
      <c r="B6626" s="1" t="n">
        <v>45537</v>
      </c>
      <c r="C6626" s="1" t="n">
        <v>45744</v>
      </c>
      <c r="D6626" t="inlineStr">
        <is>
          <t>SKÅNE LÄN</t>
        </is>
      </c>
      <c r="E6626" t="inlineStr">
        <is>
          <t>OSBY</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36689-2024</t>
        </is>
      </c>
      <c r="B6627" s="1" t="n">
        <v>45537</v>
      </c>
      <c r="C6627" s="1" t="n">
        <v>45744</v>
      </c>
      <c r="D6627" t="inlineStr">
        <is>
          <t>SKÅNE LÄN</t>
        </is>
      </c>
      <c r="E6627" t="inlineStr">
        <is>
          <t>HÖRBY</t>
        </is>
      </c>
      <c r="F6627" t="inlineStr">
        <is>
          <t>Sveaskog</t>
        </is>
      </c>
      <c r="G6627" t="n">
        <v>9.5</v>
      </c>
      <c r="H6627" t="n">
        <v>0</v>
      </c>
      <c r="I6627" t="n">
        <v>0</v>
      </c>
      <c r="J6627" t="n">
        <v>0</v>
      </c>
      <c r="K6627" t="n">
        <v>0</v>
      </c>
      <c r="L6627" t="n">
        <v>0</v>
      </c>
      <c r="M6627" t="n">
        <v>0</v>
      </c>
      <c r="N6627" t="n">
        <v>0</v>
      </c>
      <c r="O6627" t="n">
        <v>0</v>
      </c>
      <c r="P6627" t="n">
        <v>0</v>
      </c>
      <c r="Q6627" t="n">
        <v>0</v>
      </c>
      <c r="R6627" s="2" t="inlineStr"/>
    </row>
    <row r="6628" ht="15" customHeight="1">
      <c r="A6628" t="inlineStr">
        <is>
          <t>A 36702-2024</t>
        </is>
      </c>
      <c r="B6628" s="1" t="n">
        <v>45537</v>
      </c>
      <c r="C6628" s="1" t="n">
        <v>45744</v>
      </c>
      <c r="D6628" t="inlineStr">
        <is>
          <t>SKÅNE LÄN</t>
        </is>
      </c>
      <c r="E6628" t="inlineStr">
        <is>
          <t>ÖSTRA GÖINGE</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36703-2024</t>
        </is>
      </c>
      <c r="B6629" s="1" t="n">
        <v>45537</v>
      </c>
      <c r="C6629" s="1" t="n">
        <v>45744</v>
      </c>
      <c r="D6629" t="inlineStr">
        <is>
          <t>SKÅNE LÄN</t>
        </is>
      </c>
      <c r="E6629" t="inlineStr">
        <is>
          <t>HÄSSLEHOLM</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36774-2024</t>
        </is>
      </c>
      <c r="B6630" s="1" t="n">
        <v>45538</v>
      </c>
      <c r="C6630" s="1" t="n">
        <v>45744</v>
      </c>
      <c r="D6630" t="inlineStr">
        <is>
          <t>SKÅNE LÄN</t>
        </is>
      </c>
      <c r="E6630" t="inlineStr">
        <is>
          <t>ÖRKELLJUNGA</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36840-2024</t>
        </is>
      </c>
      <c r="B6631" s="1" t="n">
        <v>45538</v>
      </c>
      <c r="C6631" s="1" t="n">
        <v>45744</v>
      </c>
      <c r="D6631" t="inlineStr">
        <is>
          <t>SKÅNE LÄN</t>
        </is>
      </c>
      <c r="E6631" t="inlineStr">
        <is>
          <t>HÖRBY</t>
        </is>
      </c>
      <c r="F6631" t="inlineStr">
        <is>
          <t>Sveaskog</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36838-2024</t>
        </is>
      </c>
      <c r="B6632" s="1" t="n">
        <v>45538</v>
      </c>
      <c r="C6632" s="1" t="n">
        <v>45744</v>
      </c>
      <c r="D6632" t="inlineStr">
        <is>
          <t>SKÅNE LÄN</t>
        </is>
      </c>
      <c r="E6632" t="inlineStr">
        <is>
          <t>ÖRKELLJUNGA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36842-2024</t>
        </is>
      </c>
      <c r="B6633" s="1" t="n">
        <v>45538</v>
      </c>
      <c r="C6633" s="1" t="n">
        <v>45744</v>
      </c>
      <c r="D6633" t="inlineStr">
        <is>
          <t>SKÅNE LÄN</t>
        </is>
      </c>
      <c r="E6633" t="inlineStr">
        <is>
          <t>KLIPPAN</t>
        </is>
      </c>
      <c r="F6633" t="inlineStr">
        <is>
          <t>Sveaskog</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36921-2024</t>
        </is>
      </c>
      <c r="B6634" s="1" t="n">
        <v>45538</v>
      </c>
      <c r="C6634" s="1" t="n">
        <v>45744</v>
      </c>
      <c r="D6634" t="inlineStr">
        <is>
          <t>SKÅNE LÄN</t>
        </is>
      </c>
      <c r="E6634" t="inlineStr">
        <is>
          <t>ÖSTRA GÖINGE</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36965-2024</t>
        </is>
      </c>
      <c r="B6635" s="1" t="n">
        <v>45538</v>
      </c>
      <c r="C6635" s="1" t="n">
        <v>45744</v>
      </c>
      <c r="D6635" t="inlineStr">
        <is>
          <t>SKÅNE LÄN</t>
        </is>
      </c>
      <c r="E6635" t="inlineStr">
        <is>
          <t>BROMÖLLA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36963-2024</t>
        </is>
      </c>
      <c r="B6636" s="1" t="n">
        <v>45538</v>
      </c>
      <c r="C6636" s="1" t="n">
        <v>45744</v>
      </c>
      <c r="D6636" t="inlineStr">
        <is>
          <t>SKÅNE LÄN</t>
        </is>
      </c>
      <c r="E6636" t="inlineStr">
        <is>
          <t>ÖSTRA GÖINGE</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37074-2024</t>
        </is>
      </c>
      <c r="B6637" s="1" t="n">
        <v>45539</v>
      </c>
      <c r="C6637" s="1" t="n">
        <v>45744</v>
      </c>
      <c r="D6637" t="inlineStr">
        <is>
          <t>SKÅNE LÄN</t>
        </is>
      </c>
      <c r="E6637" t="inlineStr">
        <is>
          <t>HÖÖR</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37082-2024</t>
        </is>
      </c>
      <c r="B6638" s="1" t="n">
        <v>45539</v>
      </c>
      <c r="C6638" s="1" t="n">
        <v>45744</v>
      </c>
      <c r="D6638" t="inlineStr">
        <is>
          <t>SKÅNE LÄN</t>
        </is>
      </c>
      <c r="E6638" t="inlineStr">
        <is>
          <t>HÖÖR</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36979-2024</t>
        </is>
      </c>
      <c r="B6639" s="1" t="n">
        <v>45539</v>
      </c>
      <c r="C6639" s="1" t="n">
        <v>45744</v>
      </c>
      <c r="D6639" t="inlineStr">
        <is>
          <t>SKÅNE LÄN</t>
        </is>
      </c>
      <c r="E6639" t="inlineStr">
        <is>
          <t>OSBY</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37045-2024</t>
        </is>
      </c>
      <c r="B6640" s="1" t="n">
        <v>45539</v>
      </c>
      <c r="C6640" s="1" t="n">
        <v>45744</v>
      </c>
      <c r="D6640" t="inlineStr">
        <is>
          <t>SKÅNE LÄN</t>
        </is>
      </c>
      <c r="E6640" t="inlineStr">
        <is>
          <t>HÄSSLEHOLM</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37056-2024</t>
        </is>
      </c>
      <c r="B6641" s="1" t="n">
        <v>45539</v>
      </c>
      <c r="C6641" s="1" t="n">
        <v>45744</v>
      </c>
      <c r="D6641" t="inlineStr">
        <is>
          <t>SKÅNE LÄN</t>
        </is>
      </c>
      <c r="E6641" t="inlineStr">
        <is>
          <t>ÖSTRA GÖINGE</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37052-2024</t>
        </is>
      </c>
      <c r="B6642" s="1" t="n">
        <v>45539</v>
      </c>
      <c r="C6642" s="1" t="n">
        <v>45744</v>
      </c>
      <c r="D6642" t="inlineStr">
        <is>
          <t>SKÅNE LÄN</t>
        </is>
      </c>
      <c r="E6642" t="inlineStr">
        <is>
          <t>SVALÖV</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37319-2024</t>
        </is>
      </c>
      <c r="B6643" s="1" t="n">
        <v>45540</v>
      </c>
      <c r="C6643" s="1" t="n">
        <v>45744</v>
      </c>
      <c r="D6643" t="inlineStr">
        <is>
          <t>SKÅNE LÄN</t>
        </is>
      </c>
      <c r="E6643" t="inlineStr">
        <is>
          <t>HÄSSLEHOLM</t>
        </is>
      </c>
      <c r="G6643" t="n">
        <v>6.9</v>
      </c>
      <c r="H6643" t="n">
        <v>0</v>
      </c>
      <c r="I6643" t="n">
        <v>0</v>
      </c>
      <c r="J6643" t="n">
        <v>0</v>
      </c>
      <c r="K6643" t="n">
        <v>0</v>
      </c>
      <c r="L6643" t="n">
        <v>0</v>
      </c>
      <c r="M6643" t="n">
        <v>0</v>
      </c>
      <c r="N6643" t="n">
        <v>0</v>
      </c>
      <c r="O6643" t="n">
        <v>0</v>
      </c>
      <c r="P6643" t="n">
        <v>0</v>
      </c>
      <c r="Q6643" t="n">
        <v>0</v>
      </c>
      <c r="R6643" s="2" t="inlineStr"/>
    </row>
    <row r="6644" ht="15" customHeight="1">
      <c r="A6644" t="inlineStr">
        <is>
          <t>A 37248-2024</t>
        </is>
      </c>
      <c r="B6644" s="1" t="n">
        <v>45540</v>
      </c>
      <c r="C6644" s="1" t="n">
        <v>45744</v>
      </c>
      <c r="D6644" t="inlineStr">
        <is>
          <t>SKÅNE LÄN</t>
        </is>
      </c>
      <c r="E6644" t="inlineStr">
        <is>
          <t>SVALÖV</t>
        </is>
      </c>
      <c r="G6644" t="n">
        <v>10.7</v>
      </c>
      <c r="H6644" t="n">
        <v>0</v>
      </c>
      <c r="I6644" t="n">
        <v>0</v>
      </c>
      <c r="J6644" t="n">
        <v>0</v>
      </c>
      <c r="K6644" t="n">
        <v>0</v>
      </c>
      <c r="L6644" t="n">
        <v>0</v>
      </c>
      <c r="M6644" t="n">
        <v>0</v>
      </c>
      <c r="N6644" t="n">
        <v>0</v>
      </c>
      <c r="O6644" t="n">
        <v>0</v>
      </c>
      <c r="P6644" t="n">
        <v>0</v>
      </c>
      <c r="Q6644" t="n">
        <v>0</v>
      </c>
      <c r="R6644" s="2" t="inlineStr"/>
    </row>
    <row r="6645" ht="15" customHeight="1">
      <c r="A6645" t="inlineStr">
        <is>
          <t>A 37318-2024</t>
        </is>
      </c>
      <c r="B6645" s="1" t="n">
        <v>45540</v>
      </c>
      <c r="C6645" s="1" t="n">
        <v>45744</v>
      </c>
      <c r="D6645" t="inlineStr">
        <is>
          <t>SKÅNE LÄN</t>
        </is>
      </c>
      <c r="E6645" t="inlineStr">
        <is>
          <t>HÄSSLEHOLM</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37276-2024</t>
        </is>
      </c>
      <c r="B6646" s="1" t="n">
        <v>45540</v>
      </c>
      <c r="C6646" s="1" t="n">
        <v>45744</v>
      </c>
      <c r="D6646" t="inlineStr">
        <is>
          <t>SKÅNE LÄN</t>
        </is>
      </c>
      <c r="E6646" t="inlineStr">
        <is>
          <t>HÖRBY</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37316-2024</t>
        </is>
      </c>
      <c r="B6647" s="1" t="n">
        <v>45540</v>
      </c>
      <c r="C6647" s="1" t="n">
        <v>45744</v>
      </c>
      <c r="D6647" t="inlineStr">
        <is>
          <t>SKÅNE LÄN</t>
        </is>
      </c>
      <c r="E6647" t="inlineStr">
        <is>
          <t>HÄSSLEHOLM</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37324-2024</t>
        </is>
      </c>
      <c r="B6648" s="1" t="n">
        <v>45540</v>
      </c>
      <c r="C6648" s="1" t="n">
        <v>45744</v>
      </c>
      <c r="D6648" t="inlineStr">
        <is>
          <t>SKÅNE LÄN</t>
        </is>
      </c>
      <c r="E6648" t="inlineStr">
        <is>
          <t>HÄSSLEHOLM</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37358-2024</t>
        </is>
      </c>
      <c r="B6649" s="1" t="n">
        <v>45540</v>
      </c>
      <c r="C6649" s="1" t="n">
        <v>45744</v>
      </c>
      <c r="D6649" t="inlineStr">
        <is>
          <t>SKÅNE LÄN</t>
        </is>
      </c>
      <c r="E6649" t="inlineStr">
        <is>
          <t>OSBY</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37486-2024</t>
        </is>
      </c>
      <c r="B6650" s="1" t="n">
        <v>45541</v>
      </c>
      <c r="C6650" s="1" t="n">
        <v>45744</v>
      </c>
      <c r="D6650" t="inlineStr">
        <is>
          <t>SKÅNE LÄN</t>
        </is>
      </c>
      <c r="E6650" t="inlineStr">
        <is>
          <t>HÄSSLEHOLM</t>
        </is>
      </c>
      <c r="G6650" t="n">
        <v>8.5</v>
      </c>
      <c r="H6650" t="n">
        <v>0</v>
      </c>
      <c r="I6650" t="n">
        <v>0</v>
      </c>
      <c r="J6650" t="n">
        <v>0</v>
      </c>
      <c r="K6650" t="n">
        <v>0</v>
      </c>
      <c r="L6650" t="n">
        <v>0</v>
      </c>
      <c r="M6650" t="n">
        <v>0</v>
      </c>
      <c r="N6650" t="n">
        <v>0</v>
      </c>
      <c r="O6650" t="n">
        <v>0</v>
      </c>
      <c r="P6650" t="n">
        <v>0</v>
      </c>
      <c r="Q6650" t="n">
        <v>0</v>
      </c>
      <c r="R6650" s="2" t="inlineStr"/>
    </row>
    <row r="6651" ht="15" customHeight="1">
      <c r="A6651" t="inlineStr">
        <is>
          <t>A 37481-2024</t>
        </is>
      </c>
      <c r="B6651" s="1" t="n">
        <v>45541</v>
      </c>
      <c r="C6651" s="1" t="n">
        <v>45744</v>
      </c>
      <c r="D6651" t="inlineStr">
        <is>
          <t>SKÅNE LÄN</t>
        </is>
      </c>
      <c r="E6651" t="inlineStr">
        <is>
          <t>HÄSSLEHOLM</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37552-2024</t>
        </is>
      </c>
      <c r="B6652" s="1" t="n">
        <v>45541</v>
      </c>
      <c r="C6652" s="1" t="n">
        <v>45744</v>
      </c>
      <c r="D6652" t="inlineStr">
        <is>
          <t>SKÅNE LÄN</t>
        </is>
      </c>
      <c r="E6652" t="inlineStr">
        <is>
          <t>ÖSTRA GÖINGE</t>
        </is>
      </c>
      <c r="G6652" t="n">
        <v>8.1</v>
      </c>
      <c r="H6652" t="n">
        <v>0</v>
      </c>
      <c r="I6652" t="n">
        <v>0</v>
      </c>
      <c r="J6652" t="n">
        <v>0</v>
      </c>
      <c r="K6652" t="n">
        <v>0</v>
      </c>
      <c r="L6652" t="n">
        <v>0</v>
      </c>
      <c r="M6652" t="n">
        <v>0</v>
      </c>
      <c r="N6652" t="n">
        <v>0</v>
      </c>
      <c r="O6652" t="n">
        <v>0</v>
      </c>
      <c r="P6652" t="n">
        <v>0</v>
      </c>
      <c r="Q6652" t="n">
        <v>0</v>
      </c>
      <c r="R6652" s="2" t="inlineStr"/>
    </row>
    <row r="6653" ht="15" customHeight="1">
      <c r="A6653" t="inlineStr">
        <is>
          <t>A 37588-2024</t>
        </is>
      </c>
      <c r="B6653" s="1" t="n">
        <v>45541</v>
      </c>
      <c r="C6653" s="1" t="n">
        <v>45744</v>
      </c>
      <c r="D6653" t="inlineStr">
        <is>
          <t>SKÅNE LÄN</t>
        </is>
      </c>
      <c r="E6653" t="inlineStr">
        <is>
          <t>ÖSTRA GÖINGE</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37592-2024</t>
        </is>
      </c>
      <c r="B6654" s="1" t="n">
        <v>45541</v>
      </c>
      <c r="C6654" s="1" t="n">
        <v>45744</v>
      </c>
      <c r="D6654" t="inlineStr">
        <is>
          <t>SKÅNE LÄN</t>
        </is>
      </c>
      <c r="E6654" t="inlineStr">
        <is>
          <t>ÖSTRA GÖINGE</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37589-2024</t>
        </is>
      </c>
      <c r="B6655" s="1" t="n">
        <v>45541</v>
      </c>
      <c r="C6655" s="1" t="n">
        <v>45744</v>
      </c>
      <c r="D6655" t="inlineStr">
        <is>
          <t>SKÅNE LÄN</t>
        </is>
      </c>
      <c r="E6655" t="inlineStr">
        <is>
          <t>ÖSTRA GÖINGE</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37593-2024</t>
        </is>
      </c>
      <c r="B6656" s="1" t="n">
        <v>45541</v>
      </c>
      <c r="C6656" s="1" t="n">
        <v>45744</v>
      </c>
      <c r="D6656" t="inlineStr">
        <is>
          <t>SKÅNE LÄN</t>
        </is>
      </c>
      <c r="E6656" t="inlineStr">
        <is>
          <t>ÖSTRA GÖINGE</t>
        </is>
      </c>
      <c r="G6656" t="n">
        <v>8.300000000000001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37501-2024</t>
        </is>
      </c>
      <c r="B6657" s="1" t="n">
        <v>45541</v>
      </c>
      <c r="C6657" s="1" t="n">
        <v>45744</v>
      </c>
      <c r="D6657" t="inlineStr">
        <is>
          <t>SKÅNE LÄN</t>
        </is>
      </c>
      <c r="E6657" t="inlineStr">
        <is>
          <t>ÖRKELLJUNGA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37550-2024</t>
        </is>
      </c>
      <c r="B6658" s="1" t="n">
        <v>45541</v>
      </c>
      <c r="C6658" s="1" t="n">
        <v>45744</v>
      </c>
      <c r="D6658" t="inlineStr">
        <is>
          <t>SKÅNE LÄN</t>
        </is>
      </c>
      <c r="E6658" t="inlineStr">
        <is>
          <t>ÖSTRA GÖINGE</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37559-2024</t>
        </is>
      </c>
      <c r="B6659" s="1" t="n">
        <v>45541</v>
      </c>
      <c r="C6659" s="1" t="n">
        <v>45744</v>
      </c>
      <c r="D6659" t="inlineStr">
        <is>
          <t>SKÅNE LÄN</t>
        </is>
      </c>
      <c r="E6659" t="inlineStr">
        <is>
          <t>ÖSTRA GÖINGE</t>
        </is>
      </c>
      <c r="G6659" t="n">
        <v>6.3</v>
      </c>
      <c r="H6659" t="n">
        <v>0</v>
      </c>
      <c r="I6659" t="n">
        <v>0</v>
      </c>
      <c r="J6659" t="n">
        <v>0</v>
      </c>
      <c r="K6659" t="n">
        <v>0</v>
      </c>
      <c r="L6659" t="n">
        <v>0</v>
      </c>
      <c r="M6659" t="n">
        <v>0</v>
      </c>
      <c r="N6659" t="n">
        <v>0</v>
      </c>
      <c r="O6659" t="n">
        <v>0</v>
      </c>
      <c r="P6659" t="n">
        <v>0</v>
      </c>
      <c r="Q6659" t="n">
        <v>0</v>
      </c>
      <c r="R6659" s="2" t="inlineStr"/>
    </row>
    <row r="6660" ht="15" customHeight="1">
      <c r="A6660" t="inlineStr">
        <is>
          <t>A 37571-2024</t>
        </is>
      </c>
      <c r="B6660" s="1" t="n">
        <v>45541</v>
      </c>
      <c r="C6660" s="1" t="n">
        <v>45744</v>
      </c>
      <c r="D6660" t="inlineStr">
        <is>
          <t>SKÅNE LÄN</t>
        </is>
      </c>
      <c r="E6660" t="inlineStr">
        <is>
          <t>ÖSTRA GÖINGE</t>
        </is>
      </c>
      <c r="G6660" t="n">
        <v>10.4</v>
      </c>
      <c r="H6660" t="n">
        <v>0</v>
      </c>
      <c r="I6660" t="n">
        <v>0</v>
      </c>
      <c r="J6660" t="n">
        <v>0</v>
      </c>
      <c r="K6660" t="n">
        <v>0</v>
      </c>
      <c r="L6660" t="n">
        <v>0</v>
      </c>
      <c r="M6660" t="n">
        <v>0</v>
      </c>
      <c r="N6660" t="n">
        <v>0</v>
      </c>
      <c r="O6660" t="n">
        <v>0</v>
      </c>
      <c r="P6660" t="n">
        <v>0</v>
      </c>
      <c r="Q6660" t="n">
        <v>0</v>
      </c>
      <c r="R6660" s="2" t="inlineStr"/>
    </row>
    <row r="6661" ht="15" customHeight="1">
      <c r="A6661" t="inlineStr">
        <is>
          <t>A 37575-2024</t>
        </is>
      </c>
      <c r="B6661" s="1" t="n">
        <v>45541</v>
      </c>
      <c r="C6661" s="1" t="n">
        <v>45744</v>
      </c>
      <c r="D6661" t="inlineStr">
        <is>
          <t>SKÅNE LÄN</t>
        </is>
      </c>
      <c r="E6661" t="inlineStr">
        <is>
          <t>ÖSTRA GÖINGE</t>
        </is>
      </c>
      <c r="G6661" t="n">
        <v>8.6</v>
      </c>
      <c r="H6661" t="n">
        <v>0</v>
      </c>
      <c r="I6661" t="n">
        <v>0</v>
      </c>
      <c r="J6661" t="n">
        <v>0</v>
      </c>
      <c r="K6661" t="n">
        <v>0</v>
      </c>
      <c r="L6661" t="n">
        <v>0</v>
      </c>
      <c r="M6661" t="n">
        <v>0</v>
      </c>
      <c r="N6661" t="n">
        <v>0</v>
      </c>
      <c r="O6661" t="n">
        <v>0</v>
      </c>
      <c r="P6661" t="n">
        <v>0</v>
      </c>
      <c r="Q6661" t="n">
        <v>0</v>
      </c>
      <c r="R6661" s="2" t="inlineStr"/>
    </row>
    <row r="6662" ht="15" customHeight="1">
      <c r="A6662" t="inlineStr">
        <is>
          <t>A 37520-2024</t>
        </is>
      </c>
      <c r="B6662" s="1" t="n">
        <v>45541</v>
      </c>
      <c r="C6662" s="1" t="n">
        <v>45744</v>
      </c>
      <c r="D6662" t="inlineStr">
        <is>
          <t>SKÅNE LÄN</t>
        </is>
      </c>
      <c r="E6662" t="inlineStr">
        <is>
          <t>ÖRKELLJUNGA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37554-2024</t>
        </is>
      </c>
      <c r="B6663" s="1" t="n">
        <v>45541</v>
      </c>
      <c r="C6663" s="1" t="n">
        <v>45744</v>
      </c>
      <c r="D6663" t="inlineStr">
        <is>
          <t>SKÅNE LÄN</t>
        </is>
      </c>
      <c r="E6663" t="inlineStr">
        <is>
          <t>ÖSTRA GÖINGE</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37558-2024</t>
        </is>
      </c>
      <c r="B6664" s="1" t="n">
        <v>45541</v>
      </c>
      <c r="C6664" s="1" t="n">
        <v>45744</v>
      </c>
      <c r="D6664" t="inlineStr">
        <is>
          <t>SKÅNE LÄN</t>
        </is>
      </c>
      <c r="E6664" t="inlineStr">
        <is>
          <t>ÖSTRA GÖINGE</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37578-2024</t>
        </is>
      </c>
      <c r="B6665" s="1" t="n">
        <v>45541</v>
      </c>
      <c r="C6665" s="1" t="n">
        <v>45744</v>
      </c>
      <c r="D6665" t="inlineStr">
        <is>
          <t>SKÅNE LÄN</t>
        </is>
      </c>
      <c r="E6665" t="inlineStr">
        <is>
          <t>ÖSTRA GÖINGE</t>
        </is>
      </c>
      <c r="G6665" t="n">
        <v>8.699999999999999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37590-2024</t>
        </is>
      </c>
      <c r="B6666" s="1" t="n">
        <v>45541</v>
      </c>
      <c r="C6666" s="1" t="n">
        <v>45744</v>
      </c>
      <c r="D6666" t="inlineStr">
        <is>
          <t>SKÅNE LÄN</t>
        </is>
      </c>
      <c r="E6666" t="inlineStr">
        <is>
          <t>ÖSTRA GÖINGE</t>
        </is>
      </c>
      <c r="G6666" t="n">
        <v>7.3</v>
      </c>
      <c r="H6666" t="n">
        <v>0</v>
      </c>
      <c r="I6666" t="n">
        <v>0</v>
      </c>
      <c r="J6666" t="n">
        <v>0</v>
      </c>
      <c r="K6666" t="n">
        <v>0</v>
      </c>
      <c r="L6666" t="n">
        <v>0</v>
      </c>
      <c r="M6666" t="n">
        <v>0</v>
      </c>
      <c r="N6666" t="n">
        <v>0</v>
      </c>
      <c r="O6666" t="n">
        <v>0</v>
      </c>
      <c r="P6666" t="n">
        <v>0</v>
      </c>
      <c r="Q6666" t="n">
        <v>0</v>
      </c>
      <c r="R6666" s="2" t="inlineStr"/>
    </row>
    <row r="6667" ht="15" customHeight="1">
      <c r="A6667" t="inlineStr">
        <is>
          <t>A 37756-2024</t>
        </is>
      </c>
      <c r="B6667" s="1" t="n">
        <v>45541</v>
      </c>
      <c r="C6667" s="1" t="n">
        <v>45744</v>
      </c>
      <c r="D6667" t="inlineStr">
        <is>
          <t>SKÅNE LÄN</t>
        </is>
      </c>
      <c r="E6667" t="inlineStr">
        <is>
          <t>HÖRBY</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37710-2024</t>
        </is>
      </c>
      <c r="B6668" s="1" t="n">
        <v>45541</v>
      </c>
      <c r="C6668" s="1" t="n">
        <v>45744</v>
      </c>
      <c r="D6668" t="inlineStr">
        <is>
          <t>SKÅNE LÄN</t>
        </is>
      </c>
      <c r="E6668" t="inlineStr">
        <is>
          <t>ÖSTRA GÖINGE</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37757-2024</t>
        </is>
      </c>
      <c r="B6669" s="1" t="n">
        <v>45541</v>
      </c>
      <c r="C6669" s="1" t="n">
        <v>45744</v>
      </c>
      <c r="D6669" t="inlineStr">
        <is>
          <t>SKÅNE LÄN</t>
        </is>
      </c>
      <c r="E6669" t="inlineStr">
        <is>
          <t>HÖRBY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37888-2024</t>
        </is>
      </c>
      <c r="B6670" s="1" t="n">
        <v>45544</v>
      </c>
      <c r="C6670" s="1" t="n">
        <v>45744</v>
      </c>
      <c r="D6670" t="inlineStr">
        <is>
          <t>SKÅNE LÄN</t>
        </is>
      </c>
      <c r="E6670" t="inlineStr">
        <is>
          <t>PERSTORP</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37891-2024</t>
        </is>
      </c>
      <c r="B6671" s="1" t="n">
        <v>45544</v>
      </c>
      <c r="C6671" s="1" t="n">
        <v>45744</v>
      </c>
      <c r="D6671" t="inlineStr">
        <is>
          <t>SKÅNE LÄN</t>
        </is>
      </c>
      <c r="E6671" t="inlineStr">
        <is>
          <t>PERSTORP</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38000-2024</t>
        </is>
      </c>
      <c r="B6672" s="1" t="n">
        <v>45544</v>
      </c>
      <c r="C6672" s="1" t="n">
        <v>45744</v>
      </c>
      <c r="D6672" t="inlineStr">
        <is>
          <t>SKÅNE LÄN</t>
        </is>
      </c>
      <c r="E6672" t="inlineStr">
        <is>
          <t>KRISTIANSTAD</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37889-2024</t>
        </is>
      </c>
      <c r="B6673" s="1" t="n">
        <v>45544</v>
      </c>
      <c r="C6673" s="1" t="n">
        <v>45744</v>
      </c>
      <c r="D6673" t="inlineStr">
        <is>
          <t>SKÅNE LÄN</t>
        </is>
      </c>
      <c r="E6673" t="inlineStr">
        <is>
          <t>PERSTORP</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37890-2024</t>
        </is>
      </c>
      <c r="B6674" s="1" t="n">
        <v>45544</v>
      </c>
      <c r="C6674" s="1" t="n">
        <v>45744</v>
      </c>
      <c r="D6674" t="inlineStr">
        <is>
          <t>SKÅNE LÄN</t>
        </is>
      </c>
      <c r="E6674" t="inlineStr">
        <is>
          <t>PERSTORP</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37967-2024</t>
        </is>
      </c>
      <c r="B6675" s="1" t="n">
        <v>45544</v>
      </c>
      <c r="C6675" s="1" t="n">
        <v>45744</v>
      </c>
      <c r="D6675" t="inlineStr">
        <is>
          <t>SKÅNE LÄN</t>
        </is>
      </c>
      <c r="E6675" t="inlineStr">
        <is>
          <t>KLIPPAN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37983-2024</t>
        </is>
      </c>
      <c r="B6676" s="1" t="n">
        <v>45544</v>
      </c>
      <c r="C6676" s="1" t="n">
        <v>45744</v>
      </c>
      <c r="D6676" t="inlineStr">
        <is>
          <t>SKÅNE LÄN</t>
        </is>
      </c>
      <c r="E6676" t="inlineStr">
        <is>
          <t>KRISTIANSTAD</t>
        </is>
      </c>
      <c r="G6676" t="n">
        <v>7.9</v>
      </c>
      <c r="H6676" t="n">
        <v>0</v>
      </c>
      <c r="I6676" t="n">
        <v>0</v>
      </c>
      <c r="J6676" t="n">
        <v>0</v>
      </c>
      <c r="K6676" t="n">
        <v>0</v>
      </c>
      <c r="L6676" t="n">
        <v>0</v>
      </c>
      <c r="M6676" t="n">
        <v>0</v>
      </c>
      <c r="N6676" t="n">
        <v>0</v>
      </c>
      <c r="O6676" t="n">
        <v>0</v>
      </c>
      <c r="P6676" t="n">
        <v>0</v>
      </c>
      <c r="Q6676" t="n">
        <v>0</v>
      </c>
      <c r="R6676" s="2" t="inlineStr"/>
    </row>
    <row r="6677" ht="15" customHeight="1">
      <c r="A6677" t="inlineStr">
        <is>
          <t>A 37978-2024</t>
        </is>
      </c>
      <c r="B6677" s="1" t="n">
        <v>45544</v>
      </c>
      <c r="C6677" s="1" t="n">
        <v>45744</v>
      </c>
      <c r="D6677" t="inlineStr">
        <is>
          <t>SKÅNE LÄN</t>
        </is>
      </c>
      <c r="E6677" t="inlineStr">
        <is>
          <t>ÖSTRA GÖINGE</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37990-2024</t>
        </is>
      </c>
      <c r="B6678" s="1" t="n">
        <v>45544</v>
      </c>
      <c r="C6678" s="1" t="n">
        <v>45744</v>
      </c>
      <c r="D6678" t="inlineStr">
        <is>
          <t>SKÅNE LÄN</t>
        </is>
      </c>
      <c r="E6678" t="inlineStr">
        <is>
          <t>KRISTIANSTAD</t>
        </is>
      </c>
      <c r="G6678" t="n">
        <v>0.2</v>
      </c>
      <c r="H6678" t="n">
        <v>0</v>
      </c>
      <c r="I6678" t="n">
        <v>0</v>
      </c>
      <c r="J6678" t="n">
        <v>0</v>
      </c>
      <c r="K6678" t="n">
        <v>0</v>
      </c>
      <c r="L6678" t="n">
        <v>0</v>
      </c>
      <c r="M6678" t="n">
        <v>0</v>
      </c>
      <c r="N6678" t="n">
        <v>0</v>
      </c>
      <c r="O6678" t="n">
        <v>0</v>
      </c>
      <c r="P6678" t="n">
        <v>0</v>
      </c>
      <c r="Q6678" t="n">
        <v>0</v>
      </c>
      <c r="R6678" s="2" t="inlineStr"/>
    </row>
    <row r="6679" ht="15" customHeight="1">
      <c r="A6679" t="inlineStr">
        <is>
          <t>A 37999-2024</t>
        </is>
      </c>
      <c r="B6679" s="1" t="n">
        <v>45544</v>
      </c>
      <c r="C6679" s="1" t="n">
        <v>45744</v>
      </c>
      <c r="D6679" t="inlineStr">
        <is>
          <t>SKÅNE LÄN</t>
        </is>
      </c>
      <c r="E6679" t="inlineStr">
        <is>
          <t>KRISTIANSTAD</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38046-2024</t>
        </is>
      </c>
      <c r="B6680" s="1" t="n">
        <v>45544</v>
      </c>
      <c r="C6680" s="1" t="n">
        <v>45744</v>
      </c>
      <c r="D6680" t="inlineStr">
        <is>
          <t>SKÅNE LÄN</t>
        </is>
      </c>
      <c r="E6680" t="inlineStr">
        <is>
          <t>KRISTIANSTAD</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38044-2024</t>
        </is>
      </c>
      <c r="B6681" s="1" t="n">
        <v>45544</v>
      </c>
      <c r="C6681" s="1" t="n">
        <v>45744</v>
      </c>
      <c r="D6681" t="inlineStr">
        <is>
          <t>SKÅNE LÄN</t>
        </is>
      </c>
      <c r="E6681" t="inlineStr">
        <is>
          <t>KRISTIANSTAD</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38101-2024</t>
        </is>
      </c>
      <c r="B6682" s="1" t="n">
        <v>45545</v>
      </c>
      <c r="C6682" s="1" t="n">
        <v>45744</v>
      </c>
      <c r="D6682" t="inlineStr">
        <is>
          <t>SKÅNE LÄN</t>
        </is>
      </c>
      <c r="E6682" t="inlineStr">
        <is>
          <t>ÖRKELLJUNGA</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38077-2024</t>
        </is>
      </c>
      <c r="B6683" s="1" t="n">
        <v>45545</v>
      </c>
      <c r="C6683" s="1" t="n">
        <v>45744</v>
      </c>
      <c r="D6683" t="inlineStr">
        <is>
          <t>SKÅNE LÄN</t>
        </is>
      </c>
      <c r="E6683" t="inlineStr">
        <is>
          <t>HÖRBY</t>
        </is>
      </c>
      <c r="G6683" t="n">
        <v>5.9</v>
      </c>
      <c r="H6683" t="n">
        <v>0</v>
      </c>
      <c r="I6683" t="n">
        <v>0</v>
      </c>
      <c r="J6683" t="n">
        <v>0</v>
      </c>
      <c r="K6683" t="n">
        <v>0</v>
      </c>
      <c r="L6683" t="n">
        <v>0</v>
      </c>
      <c r="M6683" t="n">
        <v>0</v>
      </c>
      <c r="N6683" t="n">
        <v>0</v>
      </c>
      <c r="O6683" t="n">
        <v>0</v>
      </c>
      <c r="P6683" t="n">
        <v>0</v>
      </c>
      <c r="Q6683" t="n">
        <v>0</v>
      </c>
      <c r="R6683" s="2" t="inlineStr"/>
    </row>
    <row r="6684" ht="15" customHeight="1">
      <c r="A6684" t="inlineStr">
        <is>
          <t>A 38182-2024</t>
        </is>
      </c>
      <c r="B6684" s="1" t="n">
        <v>45545</v>
      </c>
      <c r="C6684" s="1" t="n">
        <v>45744</v>
      </c>
      <c r="D6684" t="inlineStr">
        <is>
          <t>SKÅNE LÄN</t>
        </is>
      </c>
      <c r="E6684" t="inlineStr">
        <is>
          <t>BJUV</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38080-2024</t>
        </is>
      </c>
      <c r="B6685" s="1" t="n">
        <v>45545</v>
      </c>
      <c r="C6685" s="1" t="n">
        <v>45744</v>
      </c>
      <c r="D6685" t="inlineStr">
        <is>
          <t>SKÅNE LÄN</t>
        </is>
      </c>
      <c r="E6685" t="inlineStr">
        <is>
          <t>HÖRBY</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38084-2024</t>
        </is>
      </c>
      <c r="B6686" s="1" t="n">
        <v>45545</v>
      </c>
      <c r="C6686" s="1" t="n">
        <v>45744</v>
      </c>
      <c r="D6686" t="inlineStr">
        <is>
          <t>SKÅNE LÄN</t>
        </is>
      </c>
      <c r="E6686" t="inlineStr">
        <is>
          <t>HÖRBY</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38319-2024</t>
        </is>
      </c>
      <c r="B6687" s="1" t="n">
        <v>45545</v>
      </c>
      <c r="C6687" s="1" t="n">
        <v>45744</v>
      </c>
      <c r="D6687" t="inlineStr">
        <is>
          <t>SKÅNE LÄN</t>
        </is>
      </c>
      <c r="E6687" t="inlineStr">
        <is>
          <t>PERSTORP</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38347-2024</t>
        </is>
      </c>
      <c r="B6688" s="1" t="n">
        <v>45545</v>
      </c>
      <c r="C6688" s="1" t="n">
        <v>45744</v>
      </c>
      <c r="D6688" t="inlineStr">
        <is>
          <t>SKÅNE LÄN</t>
        </is>
      </c>
      <c r="E6688" t="inlineStr">
        <is>
          <t>ÖRKELLJUNGA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38358-2024</t>
        </is>
      </c>
      <c r="B6689" s="1" t="n">
        <v>45545</v>
      </c>
      <c r="C6689" s="1" t="n">
        <v>45744</v>
      </c>
      <c r="D6689" t="inlineStr">
        <is>
          <t>SKÅNE LÄN</t>
        </is>
      </c>
      <c r="E6689" t="inlineStr">
        <is>
          <t>HÄSSLEHOLM</t>
        </is>
      </c>
      <c r="G6689" t="n">
        <v>9</v>
      </c>
      <c r="H6689" t="n">
        <v>0</v>
      </c>
      <c r="I6689" t="n">
        <v>0</v>
      </c>
      <c r="J6689" t="n">
        <v>0</v>
      </c>
      <c r="K6689" t="n">
        <v>0</v>
      </c>
      <c r="L6689" t="n">
        <v>0</v>
      </c>
      <c r="M6689" t="n">
        <v>0</v>
      </c>
      <c r="N6689" t="n">
        <v>0</v>
      </c>
      <c r="O6689" t="n">
        <v>0</v>
      </c>
      <c r="P6689" t="n">
        <v>0</v>
      </c>
      <c r="Q6689" t="n">
        <v>0</v>
      </c>
      <c r="R6689" s="2" t="inlineStr"/>
    </row>
    <row r="6690" ht="15" customHeight="1">
      <c r="A6690" t="inlineStr">
        <is>
          <t>A 38362-2024</t>
        </is>
      </c>
      <c r="B6690" s="1" t="n">
        <v>45545</v>
      </c>
      <c r="C6690" s="1" t="n">
        <v>45744</v>
      </c>
      <c r="D6690" t="inlineStr">
        <is>
          <t>SKÅNE LÄN</t>
        </is>
      </c>
      <c r="E6690" t="inlineStr">
        <is>
          <t>HÄSSLEHOLM</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38078-2024</t>
        </is>
      </c>
      <c r="B6691" s="1" t="n">
        <v>45545</v>
      </c>
      <c r="C6691" s="1" t="n">
        <v>45744</v>
      </c>
      <c r="D6691" t="inlineStr">
        <is>
          <t>SKÅNE LÄN</t>
        </is>
      </c>
      <c r="E6691" t="inlineStr">
        <is>
          <t>HÖRBY</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38400-2024</t>
        </is>
      </c>
      <c r="B6692" s="1" t="n">
        <v>45546</v>
      </c>
      <c r="C6692" s="1" t="n">
        <v>45744</v>
      </c>
      <c r="D6692" t="inlineStr">
        <is>
          <t>SKÅNE LÄN</t>
        </is>
      </c>
      <c r="E6692" t="inlineStr">
        <is>
          <t>KRISTIANSTAD</t>
        </is>
      </c>
      <c r="F6692" t="inlineStr">
        <is>
          <t>Övriga Aktiebolag</t>
        </is>
      </c>
      <c r="G6692" t="n">
        <v>19.8</v>
      </c>
      <c r="H6692" t="n">
        <v>0</v>
      </c>
      <c r="I6692" t="n">
        <v>0</v>
      </c>
      <c r="J6692" t="n">
        <v>0</v>
      </c>
      <c r="K6692" t="n">
        <v>0</v>
      </c>
      <c r="L6692" t="n">
        <v>0</v>
      </c>
      <c r="M6692" t="n">
        <v>0</v>
      </c>
      <c r="N6692" t="n">
        <v>0</v>
      </c>
      <c r="O6692" t="n">
        <v>0</v>
      </c>
      <c r="P6692" t="n">
        <v>0</v>
      </c>
      <c r="Q6692" t="n">
        <v>0</v>
      </c>
      <c r="R6692" s="2" t="inlineStr"/>
    </row>
    <row r="6693" ht="15" customHeight="1">
      <c r="A6693" t="inlineStr">
        <is>
          <t>A 38440-2024</t>
        </is>
      </c>
      <c r="B6693" s="1" t="n">
        <v>45546</v>
      </c>
      <c r="C6693" s="1" t="n">
        <v>45744</v>
      </c>
      <c r="D6693" t="inlineStr">
        <is>
          <t>SKÅNE LÄN</t>
        </is>
      </c>
      <c r="E6693" t="inlineStr">
        <is>
          <t>KRISTIANSTAD</t>
        </is>
      </c>
      <c r="G6693" t="n">
        <v>6.2</v>
      </c>
      <c r="H6693" t="n">
        <v>0</v>
      </c>
      <c r="I6693" t="n">
        <v>0</v>
      </c>
      <c r="J6693" t="n">
        <v>0</v>
      </c>
      <c r="K6693" t="n">
        <v>0</v>
      </c>
      <c r="L6693" t="n">
        <v>0</v>
      </c>
      <c r="M6693" t="n">
        <v>0</v>
      </c>
      <c r="N6693" t="n">
        <v>0</v>
      </c>
      <c r="O6693" t="n">
        <v>0</v>
      </c>
      <c r="P6693" t="n">
        <v>0</v>
      </c>
      <c r="Q6693" t="n">
        <v>0</v>
      </c>
      <c r="R6693" s="2" t="inlineStr"/>
    </row>
    <row r="6694" ht="15" customHeight="1">
      <c r="A6694" t="inlineStr">
        <is>
          <t>A 38502-2024</t>
        </is>
      </c>
      <c r="B6694" s="1" t="n">
        <v>45546</v>
      </c>
      <c r="C6694" s="1" t="n">
        <v>45744</v>
      </c>
      <c r="D6694" t="inlineStr">
        <is>
          <t>SKÅNE LÄN</t>
        </is>
      </c>
      <c r="E6694" t="inlineStr">
        <is>
          <t>HÖÖR</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38387-2024</t>
        </is>
      </c>
      <c r="B6695" s="1" t="n">
        <v>45546</v>
      </c>
      <c r="C6695" s="1" t="n">
        <v>45744</v>
      </c>
      <c r="D6695" t="inlineStr">
        <is>
          <t>SKÅNE LÄN</t>
        </is>
      </c>
      <c r="E6695" t="inlineStr">
        <is>
          <t>TOMELILLA</t>
        </is>
      </c>
      <c r="F6695" t="inlineStr">
        <is>
          <t>Sveaskog</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38486-2024</t>
        </is>
      </c>
      <c r="B6696" s="1" t="n">
        <v>45546</v>
      </c>
      <c r="C6696" s="1" t="n">
        <v>45744</v>
      </c>
      <c r="D6696" t="inlineStr">
        <is>
          <t>SKÅNE LÄN</t>
        </is>
      </c>
      <c r="E6696" t="inlineStr">
        <is>
          <t>OSBY</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38559-2024</t>
        </is>
      </c>
      <c r="B6697" s="1" t="n">
        <v>45546</v>
      </c>
      <c r="C6697" s="1" t="n">
        <v>45744</v>
      </c>
      <c r="D6697" t="inlineStr">
        <is>
          <t>SKÅNE LÄN</t>
        </is>
      </c>
      <c r="E6697" t="inlineStr">
        <is>
          <t>HÄSSLEHOLM</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38712-2024</t>
        </is>
      </c>
      <c r="B6698" s="1" t="n">
        <v>45547</v>
      </c>
      <c r="C6698" s="1" t="n">
        <v>45744</v>
      </c>
      <c r="D6698" t="inlineStr">
        <is>
          <t>SKÅNE LÄN</t>
        </is>
      </c>
      <c r="E6698" t="inlineStr">
        <is>
          <t>HÄSSLEHOLM</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38787-2024</t>
        </is>
      </c>
      <c r="B6699" s="1" t="n">
        <v>45547</v>
      </c>
      <c r="C6699" s="1" t="n">
        <v>45744</v>
      </c>
      <c r="D6699" t="inlineStr">
        <is>
          <t>SKÅNE LÄN</t>
        </is>
      </c>
      <c r="E6699" t="inlineStr">
        <is>
          <t>TOMELILLA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38846-2024</t>
        </is>
      </c>
      <c r="B6700" s="1" t="n">
        <v>45547</v>
      </c>
      <c r="C6700" s="1" t="n">
        <v>45744</v>
      </c>
      <c r="D6700" t="inlineStr">
        <is>
          <t>SKÅNE LÄN</t>
        </is>
      </c>
      <c r="E6700" t="inlineStr">
        <is>
          <t>SIMRISHAMN</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38829-2024</t>
        </is>
      </c>
      <c r="B6701" s="1" t="n">
        <v>45547</v>
      </c>
      <c r="C6701" s="1" t="n">
        <v>45744</v>
      </c>
      <c r="D6701" t="inlineStr">
        <is>
          <t>SKÅNE LÄN</t>
        </is>
      </c>
      <c r="E6701" t="inlineStr">
        <is>
          <t>HÄSSLEHOLM</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38808-2024</t>
        </is>
      </c>
      <c r="B6702" s="1" t="n">
        <v>45547</v>
      </c>
      <c r="C6702" s="1" t="n">
        <v>45744</v>
      </c>
      <c r="D6702" t="inlineStr">
        <is>
          <t>SKÅNE LÄN</t>
        </is>
      </c>
      <c r="E6702" t="inlineStr">
        <is>
          <t>HÄSSLEHOLM</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38928-2024</t>
        </is>
      </c>
      <c r="B6703" s="1" t="n">
        <v>45548</v>
      </c>
      <c r="C6703" s="1" t="n">
        <v>45744</v>
      </c>
      <c r="D6703" t="inlineStr">
        <is>
          <t>SKÅNE LÄN</t>
        </is>
      </c>
      <c r="E6703" t="inlineStr">
        <is>
          <t>ÖRKELLJUNGA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38980-2024</t>
        </is>
      </c>
      <c r="B6704" s="1" t="n">
        <v>45548</v>
      </c>
      <c r="C6704" s="1" t="n">
        <v>45744</v>
      </c>
      <c r="D6704" t="inlineStr">
        <is>
          <t>SKÅNE LÄN</t>
        </is>
      </c>
      <c r="E6704" t="inlineStr">
        <is>
          <t>HÄSSLEHOLM</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38998-2024</t>
        </is>
      </c>
      <c r="B6705" s="1" t="n">
        <v>45548</v>
      </c>
      <c r="C6705" s="1" t="n">
        <v>45744</v>
      </c>
      <c r="D6705" t="inlineStr">
        <is>
          <t>SKÅNE LÄN</t>
        </is>
      </c>
      <c r="E6705" t="inlineStr">
        <is>
          <t>OSBY</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39042-2024</t>
        </is>
      </c>
      <c r="B6706" s="1" t="n">
        <v>45548</v>
      </c>
      <c r="C6706" s="1" t="n">
        <v>45744</v>
      </c>
      <c r="D6706" t="inlineStr">
        <is>
          <t>SKÅNE LÄN</t>
        </is>
      </c>
      <c r="E6706" t="inlineStr">
        <is>
          <t>HÄSSLEHOLM</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39097-2024</t>
        </is>
      </c>
      <c r="B6707" s="1" t="n">
        <v>45548</v>
      </c>
      <c r="C6707" s="1" t="n">
        <v>45744</v>
      </c>
      <c r="D6707" t="inlineStr">
        <is>
          <t>SKÅNE LÄN</t>
        </is>
      </c>
      <c r="E6707" t="inlineStr">
        <is>
          <t>KLIPPAN</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39044-2024</t>
        </is>
      </c>
      <c r="B6708" s="1" t="n">
        <v>45548</v>
      </c>
      <c r="C6708" s="1" t="n">
        <v>45744</v>
      </c>
      <c r="D6708" t="inlineStr">
        <is>
          <t>SKÅNE LÄN</t>
        </is>
      </c>
      <c r="E6708" t="inlineStr">
        <is>
          <t>HÄSSLEHOLM</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39241-2024</t>
        </is>
      </c>
      <c r="B6709" s="1" t="n">
        <v>45550</v>
      </c>
      <c r="C6709" s="1" t="n">
        <v>45744</v>
      </c>
      <c r="D6709" t="inlineStr">
        <is>
          <t>SKÅNE LÄN</t>
        </is>
      </c>
      <c r="E6709" t="inlineStr">
        <is>
          <t>HÄSSLEHOLM</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39223-2024</t>
        </is>
      </c>
      <c r="B6710" s="1" t="n">
        <v>45550</v>
      </c>
      <c r="C6710" s="1" t="n">
        <v>45744</v>
      </c>
      <c r="D6710" t="inlineStr">
        <is>
          <t>SKÅNE LÄN</t>
        </is>
      </c>
      <c r="E6710" t="inlineStr">
        <is>
          <t>HÄSSLEHOLM</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39315-2024</t>
        </is>
      </c>
      <c r="B6711" s="1" t="n">
        <v>45551</v>
      </c>
      <c r="C6711" s="1" t="n">
        <v>45744</v>
      </c>
      <c r="D6711" t="inlineStr">
        <is>
          <t>SKÅNE LÄN</t>
        </is>
      </c>
      <c r="E6711" t="inlineStr">
        <is>
          <t>PERSTORP</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39276-2024</t>
        </is>
      </c>
      <c r="B6712" s="1" t="n">
        <v>45551</v>
      </c>
      <c r="C6712" s="1" t="n">
        <v>45744</v>
      </c>
      <c r="D6712" t="inlineStr">
        <is>
          <t>SKÅNE LÄN</t>
        </is>
      </c>
      <c r="E6712" t="inlineStr">
        <is>
          <t>ÖRKELLJUNGA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39397-2024</t>
        </is>
      </c>
      <c r="B6713" s="1" t="n">
        <v>45551</v>
      </c>
      <c r="C6713" s="1" t="n">
        <v>45744</v>
      </c>
      <c r="D6713" t="inlineStr">
        <is>
          <t>SKÅNE LÄN</t>
        </is>
      </c>
      <c r="E6713" t="inlineStr">
        <is>
          <t>SVALÖV</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39376-2024</t>
        </is>
      </c>
      <c r="B6714" s="1" t="n">
        <v>45551</v>
      </c>
      <c r="C6714" s="1" t="n">
        <v>45744</v>
      </c>
      <c r="D6714" t="inlineStr">
        <is>
          <t>SKÅNE LÄN</t>
        </is>
      </c>
      <c r="E6714" t="inlineStr">
        <is>
          <t>KLIPPAN</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39394-2024</t>
        </is>
      </c>
      <c r="B6715" s="1" t="n">
        <v>45551</v>
      </c>
      <c r="C6715" s="1" t="n">
        <v>45744</v>
      </c>
      <c r="D6715" t="inlineStr">
        <is>
          <t>SKÅNE LÄN</t>
        </is>
      </c>
      <c r="E6715" t="inlineStr">
        <is>
          <t>PERSTORP</t>
        </is>
      </c>
      <c r="G6715" t="n">
        <v>10</v>
      </c>
      <c r="H6715" t="n">
        <v>0</v>
      </c>
      <c r="I6715" t="n">
        <v>0</v>
      </c>
      <c r="J6715" t="n">
        <v>0</v>
      </c>
      <c r="K6715" t="n">
        <v>0</v>
      </c>
      <c r="L6715" t="n">
        <v>0</v>
      </c>
      <c r="M6715" t="n">
        <v>0</v>
      </c>
      <c r="N6715" t="n">
        <v>0</v>
      </c>
      <c r="O6715" t="n">
        <v>0</v>
      </c>
      <c r="P6715" t="n">
        <v>0</v>
      </c>
      <c r="Q6715" t="n">
        <v>0</v>
      </c>
      <c r="R6715" s="2" t="inlineStr"/>
    </row>
    <row r="6716" ht="15" customHeight="1">
      <c r="A6716" t="inlineStr">
        <is>
          <t>A 39405-2024</t>
        </is>
      </c>
      <c r="B6716" s="1" t="n">
        <v>45551</v>
      </c>
      <c r="C6716" s="1" t="n">
        <v>45744</v>
      </c>
      <c r="D6716" t="inlineStr">
        <is>
          <t>SKÅNE LÄN</t>
        </is>
      </c>
      <c r="E6716" t="inlineStr">
        <is>
          <t>SVALÖV</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39455-2024</t>
        </is>
      </c>
      <c r="B6717" s="1" t="n">
        <v>45551</v>
      </c>
      <c r="C6717" s="1" t="n">
        <v>45744</v>
      </c>
      <c r="D6717" t="inlineStr">
        <is>
          <t>SKÅNE LÄN</t>
        </is>
      </c>
      <c r="E6717" t="inlineStr">
        <is>
          <t>BROMÖLLA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39497-2024</t>
        </is>
      </c>
      <c r="B6718" s="1" t="n">
        <v>45551</v>
      </c>
      <c r="C6718" s="1" t="n">
        <v>45744</v>
      </c>
      <c r="D6718" t="inlineStr">
        <is>
          <t>SKÅNE LÄN</t>
        </is>
      </c>
      <c r="E6718" t="inlineStr">
        <is>
          <t>HÖRBY</t>
        </is>
      </c>
      <c r="F6718" t="inlineStr">
        <is>
          <t>Sveaskog</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39482-2024</t>
        </is>
      </c>
      <c r="B6719" s="1" t="n">
        <v>45551</v>
      </c>
      <c r="C6719" s="1" t="n">
        <v>45744</v>
      </c>
      <c r="D6719" t="inlineStr">
        <is>
          <t>SKÅNE LÄN</t>
        </is>
      </c>
      <c r="E6719" t="inlineStr">
        <is>
          <t>KRISTIANSTAD</t>
        </is>
      </c>
      <c r="F6719" t="inlineStr">
        <is>
          <t>Sveaskog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39507-2024</t>
        </is>
      </c>
      <c r="B6720" s="1" t="n">
        <v>45551</v>
      </c>
      <c r="C6720" s="1" t="n">
        <v>45744</v>
      </c>
      <c r="D6720" t="inlineStr">
        <is>
          <t>SKÅNE LÄN</t>
        </is>
      </c>
      <c r="E6720" t="inlineStr">
        <is>
          <t>HÖRBY</t>
        </is>
      </c>
      <c r="F6720" t="inlineStr">
        <is>
          <t>Sveaskog</t>
        </is>
      </c>
      <c r="G6720" t="n">
        <v>0.3</v>
      </c>
      <c r="H6720" t="n">
        <v>0</v>
      </c>
      <c r="I6720" t="n">
        <v>0</v>
      </c>
      <c r="J6720" t="n">
        <v>0</v>
      </c>
      <c r="K6720" t="n">
        <v>0</v>
      </c>
      <c r="L6720" t="n">
        <v>0</v>
      </c>
      <c r="M6720" t="n">
        <v>0</v>
      </c>
      <c r="N6720" t="n">
        <v>0</v>
      </c>
      <c r="O6720" t="n">
        <v>0</v>
      </c>
      <c r="P6720" t="n">
        <v>0</v>
      </c>
      <c r="Q6720" t="n">
        <v>0</v>
      </c>
      <c r="R6720" s="2" t="inlineStr"/>
    </row>
    <row r="6721" ht="15" customHeight="1">
      <c r="A6721" t="inlineStr">
        <is>
          <t>A 39545-2024</t>
        </is>
      </c>
      <c r="B6721" s="1" t="n">
        <v>45552</v>
      </c>
      <c r="C6721" s="1" t="n">
        <v>45744</v>
      </c>
      <c r="D6721" t="inlineStr">
        <is>
          <t>SKÅNE LÄN</t>
        </is>
      </c>
      <c r="E6721" t="inlineStr">
        <is>
          <t>OSBY</t>
        </is>
      </c>
      <c r="F6721" t="inlineStr">
        <is>
          <t>Kommuner</t>
        </is>
      </c>
      <c r="G6721" t="n">
        <v>12.5</v>
      </c>
      <c r="H6721" t="n">
        <v>0</v>
      </c>
      <c r="I6721" t="n">
        <v>0</v>
      </c>
      <c r="J6721" t="n">
        <v>0</v>
      </c>
      <c r="K6721" t="n">
        <v>0</v>
      </c>
      <c r="L6721" t="n">
        <v>0</v>
      </c>
      <c r="M6721" t="n">
        <v>0</v>
      </c>
      <c r="N6721" t="n">
        <v>0</v>
      </c>
      <c r="O6721" t="n">
        <v>0</v>
      </c>
      <c r="P6721" t="n">
        <v>0</v>
      </c>
      <c r="Q6721" t="n">
        <v>0</v>
      </c>
      <c r="R6721" s="2" t="inlineStr"/>
    </row>
    <row r="6722" ht="15" customHeight="1">
      <c r="A6722" t="inlineStr">
        <is>
          <t>A 39618-2024</t>
        </is>
      </c>
      <c r="B6722" s="1" t="n">
        <v>45552</v>
      </c>
      <c r="C6722" s="1" t="n">
        <v>45744</v>
      </c>
      <c r="D6722" t="inlineStr">
        <is>
          <t>SKÅNE LÄN</t>
        </is>
      </c>
      <c r="E6722" t="inlineStr">
        <is>
          <t>HÖRBY</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39655-2024</t>
        </is>
      </c>
      <c r="B6723" s="1" t="n">
        <v>45552</v>
      </c>
      <c r="C6723" s="1" t="n">
        <v>45744</v>
      </c>
      <c r="D6723" t="inlineStr">
        <is>
          <t>SKÅNE LÄN</t>
        </is>
      </c>
      <c r="E6723" t="inlineStr">
        <is>
          <t>OSBY</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39933-2024</t>
        </is>
      </c>
      <c r="B6724" s="1" t="n">
        <v>45553</v>
      </c>
      <c r="C6724" s="1" t="n">
        <v>45744</v>
      </c>
      <c r="D6724" t="inlineStr">
        <is>
          <t>SKÅNE LÄN</t>
        </is>
      </c>
      <c r="E6724" t="inlineStr">
        <is>
          <t>KRISTIANSTAD</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39934-2024</t>
        </is>
      </c>
      <c r="B6725" s="1" t="n">
        <v>45553</v>
      </c>
      <c r="C6725" s="1" t="n">
        <v>45744</v>
      </c>
      <c r="D6725" t="inlineStr">
        <is>
          <t>SKÅNE LÄN</t>
        </is>
      </c>
      <c r="E6725" t="inlineStr">
        <is>
          <t>ÖSTRA GÖINGE</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40001-2024</t>
        </is>
      </c>
      <c r="B6726" s="1" t="n">
        <v>45553</v>
      </c>
      <c r="C6726" s="1" t="n">
        <v>45744</v>
      </c>
      <c r="D6726" t="inlineStr">
        <is>
          <t>SKÅNE LÄN</t>
        </is>
      </c>
      <c r="E6726" t="inlineStr">
        <is>
          <t>PERSTORP</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40035-2024</t>
        </is>
      </c>
      <c r="B6727" s="1" t="n">
        <v>45553</v>
      </c>
      <c r="C6727" s="1" t="n">
        <v>45744</v>
      </c>
      <c r="D6727" t="inlineStr">
        <is>
          <t>SKÅNE LÄN</t>
        </is>
      </c>
      <c r="E6727" t="inlineStr">
        <is>
          <t>OSBY</t>
        </is>
      </c>
      <c r="F6727" t="inlineStr">
        <is>
          <t>Kommuner</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39944-2024</t>
        </is>
      </c>
      <c r="B6728" s="1" t="n">
        <v>45553</v>
      </c>
      <c r="C6728" s="1" t="n">
        <v>45744</v>
      </c>
      <c r="D6728" t="inlineStr">
        <is>
          <t>SKÅNE LÄN</t>
        </is>
      </c>
      <c r="E6728" t="inlineStr">
        <is>
          <t>KRISTIANSTAD</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40152-2024</t>
        </is>
      </c>
      <c r="B6729" s="1" t="n">
        <v>45554</v>
      </c>
      <c r="C6729" s="1" t="n">
        <v>45744</v>
      </c>
      <c r="D6729" t="inlineStr">
        <is>
          <t>SKÅNE LÄN</t>
        </is>
      </c>
      <c r="E6729" t="inlineStr">
        <is>
          <t>HÄSSLEHOLM</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40156-2024</t>
        </is>
      </c>
      <c r="B6730" s="1" t="n">
        <v>45554</v>
      </c>
      <c r="C6730" s="1" t="n">
        <v>45744</v>
      </c>
      <c r="D6730" t="inlineStr">
        <is>
          <t>SKÅNE LÄN</t>
        </is>
      </c>
      <c r="E6730" t="inlineStr">
        <is>
          <t>ÖSTRA GÖINGE</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40166-2024</t>
        </is>
      </c>
      <c r="B6731" s="1" t="n">
        <v>45554</v>
      </c>
      <c r="C6731" s="1" t="n">
        <v>45744</v>
      </c>
      <c r="D6731" t="inlineStr">
        <is>
          <t>SKÅNE LÄN</t>
        </is>
      </c>
      <c r="E6731" t="inlineStr">
        <is>
          <t>ÖSTRA GÖINGE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40178-2024</t>
        </is>
      </c>
      <c r="B6732" s="1" t="n">
        <v>45554</v>
      </c>
      <c r="C6732" s="1" t="n">
        <v>45744</v>
      </c>
      <c r="D6732" t="inlineStr">
        <is>
          <t>SKÅNE LÄN</t>
        </is>
      </c>
      <c r="E6732" t="inlineStr">
        <is>
          <t>ÖSTRA GÖINGE</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40300-2024</t>
        </is>
      </c>
      <c r="B6733" s="1" t="n">
        <v>45554</v>
      </c>
      <c r="C6733" s="1" t="n">
        <v>45744</v>
      </c>
      <c r="D6733" t="inlineStr">
        <is>
          <t>SKÅNE LÄN</t>
        </is>
      </c>
      <c r="E6733" t="inlineStr">
        <is>
          <t>KRISTIANSTAD</t>
        </is>
      </c>
      <c r="G6733" t="n">
        <v>12.6</v>
      </c>
      <c r="H6733" t="n">
        <v>0</v>
      </c>
      <c r="I6733" t="n">
        <v>0</v>
      </c>
      <c r="J6733" t="n">
        <v>0</v>
      </c>
      <c r="K6733" t="n">
        <v>0</v>
      </c>
      <c r="L6733" t="n">
        <v>0</v>
      </c>
      <c r="M6733" t="n">
        <v>0</v>
      </c>
      <c r="N6733" t="n">
        <v>0</v>
      </c>
      <c r="O6733" t="n">
        <v>0</v>
      </c>
      <c r="P6733" t="n">
        <v>0</v>
      </c>
      <c r="Q6733" t="n">
        <v>0</v>
      </c>
      <c r="R6733" s="2" t="inlineStr"/>
    </row>
    <row r="6734" ht="15" customHeight="1">
      <c r="A6734" t="inlineStr">
        <is>
          <t>A 40302-2024</t>
        </is>
      </c>
      <c r="B6734" s="1" t="n">
        <v>45554</v>
      </c>
      <c r="C6734" s="1" t="n">
        <v>45744</v>
      </c>
      <c r="D6734" t="inlineStr">
        <is>
          <t>SKÅNE LÄN</t>
        </is>
      </c>
      <c r="E6734" t="inlineStr">
        <is>
          <t>KRISTIANSTAD</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40145-2024</t>
        </is>
      </c>
      <c r="B6735" s="1" t="n">
        <v>45554</v>
      </c>
      <c r="C6735" s="1" t="n">
        <v>45744</v>
      </c>
      <c r="D6735" t="inlineStr">
        <is>
          <t>SKÅNE LÄN</t>
        </is>
      </c>
      <c r="E6735" t="inlineStr">
        <is>
          <t>KRISTIANSTAD</t>
        </is>
      </c>
      <c r="G6735" t="n">
        <v>7.5</v>
      </c>
      <c r="H6735" t="n">
        <v>0</v>
      </c>
      <c r="I6735" t="n">
        <v>0</v>
      </c>
      <c r="J6735" t="n">
        <v>0</v>
      </c>
      <c r="K6735" t="n">
        <v>0</v>
      </c>
      <c r="L6735" t="n">
        <v>0</v>
      </c>
      <c r="M6735" t="n">
        <v>0</v>
      </c>
      <c r="N6735" t="n">
        <v>0</v>
      </c>
      <c r="O6735" t="n">
        <v>0</v>
      </c>
      <c r="P6735" t="n">
        <v>0</v>
      </c>
      <c r="Q6735" t="n">
        <v>0</v>
      </c>
      <c r="R6735" s="2" t="inlineStr"/>
    </row>
    <row r="6736" ht="15" customHeight="1">
      <c r="A6736" t="inlineStr">
        <is>
          <t>A 40149-2024</t>
        </is>
      </c>
      <c r="B6736" s="1" t="n">
        <v>45554</v>
      </c>
      <c r="C6736" s="1" t="n">
        <v>45744</v>
      </c>
      <c r="D6736" t="inlineStr">
        <is>
          <t>SKÅNE LÄN</t>
        </is>
      </c>
      <c r="E6736" t="inlineStr">
        <is>
          <t>KRISTIANSTAD</t>
        </is>
      </c>
      <c r="G6736" t="n">
        <v>9.1</v>
      </c>
      <c r="H6736" t="n">
        <v>0</v>
      </c>
      <c r="I6736" t="n">
        <v>0</v>
      </c>
      <c r="J6736" t="n">
        <v>0</v>
      </c>
      <c r="K6736" t="n">
        <v>0</v>
      </c>
      <c r="L6736" t="n">
        <v>0</v>
      </c>
      <c r="M6736" t="n">
        <v>0</v>
      </c>
      <c r="N6736" t="n">
        <v>0</v>
      </c>
      <c r="O6736" t="n">
        <v>0</v>
      </c>
      <c r="P6736" t="n">
        <v>0</v>
      </c>
      <c r="Q6736" t="n">
        <v>0</v>
      </c>
      <c r="R6736" s="2" t="inlineStr"/>
    </row>
    <row r="6737" ht="15" customHeight="1">
      <c r="A6737" t="inlineStr">
        <is>
          <t>A 40161-2024</t>
        </is>
      </c>
      <c r="B6737" s="1" t="n">
        <v>45554</v>
      </c>
      <c r="C6737" s="1" t="n">
        <v>45744</v>
      </c>
      <c r="D6737" t="inlineStr">
        <is>
          <t>SKÅNE LÄN</t>
        </is>
      </c>
      <c r="E6737" t="inlineStr">
        <is>
          <t>KLIPPAN</t>
        </is>
      </c>
      <c r="F6737" t="inlineStr">
        <is>
          <t>Sveaskog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40173-2024</t>
        </is>
      </c>
      <c r="B6738" s="1" t="n">
        <v>45554</v>
      </c>
      <c r="C6738" s="1" t="n">
        <v>45744</v>
      </c>
      <c r="D6738" t="inlineStr">
        <is>
          <t>SKÅNE LÄN</t>
        </is>
      </c>
      <c r="E6738" t="inlineStr">
        <is>
          <t>KLIPPAN</t>
        </is>
      </c>
      <c r="F6738" t="inlineStr">
        <is>
          <t>Sveaskog</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40254-2024</t>
        </is>
      </c>
      <c r="B6739" s="1" t="n">
        <v>45554</v>
      </c>
      <c r="C6739" s="1" t="n">
        <v>45744</v>
      </c>
      <c r="D6739" t="inlineStr">
        <is>
          <t>SKÅNE LÄN</t>
        </is>
      </c>
      <c r="E6739" t="inlineStr">
        <is>
          <t>HÄSSLEHOLM</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40371-2024</t>
        </is>
      </c>
      <c r="B6740" s="1" t="n">
        <v>45555</v>
      </c>
      <c r="C6740" s="1" t="n">
        <v>45744</v>
      </c>
      <c r="D6740" t="inlineStr">
        <is>
          <t>SKÅNE LÄN</t>
        </is>
      </c>
      <c r="E6740" t="inlineStr">
        <is>
          <t>KRISTIANSTAD</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40388-2024</t>
        </is>
      </c>
      <c r="B6741" s="1" t="n">
        <v>45555</v>
      </c>
      <c r="C6741" s="1" t="n">
        <v>45744</v>
      </c>
      <c r="D6741" t="inlineStr">
        <is>
          <t>SKÅNE LÄN</t>
        </is>
      </c>
      <c r="E6741" t="inlineStr">
        <is>
          <t>OSBY</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40395-2024</t>
        </is>
      </c>
      <c r="B6742" s="1" t="n">
        <v>45555</v>
      </c>
      <c r="C6742" s="1" t="n">
        <v>45744</v>
      </c>
      <c r="D6742" t="inlineStr">
        <is>
          <t>SKÅNE LÄN</t>
        </is>
      </c>
      <c r="E6742" t="inlineStr">
        <is>
          <t>OSBY</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40536-2024</t>
        </is>
      </c>
      <c r="B6743" s="1" t="n">
        <v>45555</v>
      </c>
      <c r="C6743" s="1" t="n">
        <v>45744</v>
      </c>
      <c r="D6743" t="inlineStr">
        <is>
          <t>SKÅNE LÄN</t>
        </is>
      </c>
      <c r="E6743" t="inlineStr">
        <is>
          <t>HÄSSLEHOLM</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40540-2024</t>
        </is>
      </c>
      <c r="B6744" s="1" t="n">
        <v>45555</v>
      </c>
      <c r="C6744" s="1" t="n">
        <v>45744</v>
      </c>
      <c r="D6744" t="inlineStr">
        <is>
          <t>SKÅNE LÄN</t>
        </is>
      </c>
      <c r="E6744" t="inlineStr">
        <is>
          <t>KRISTIANSTAD</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40584-2024</t>
        </is>
      </c>
      <c r="B6745" s="1" t="n">
        <v>45555</v>
      </c>
      <c r="C6745" s="1" t="n">
        <v>45744</v>
      </c>
      <c r="D6745" t="inlineStr">
        <is>
          <t>SKÅNE LÄN</t>
        </is>
      </c>
      <c r="E6745" t="inlineStr">
        <is>
          <t>SIMRISHAMN</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40419-2024</t>
        </is>
      </c>
      <c r="B6746" s="1" t="n">
        <v>45555</v>
      </c>
      <c r="C6746" s="1" t="n">
        <v>45744</v>
      </c>
      <c r="D6746" t="inlineStr">
        <is>
          <t>SKÅNE LÄN</t>
        </is>
      </c>
      <c r="E6746" t="inlineStr">
        <is>
          <t>KRISTIANSTAD</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40423-2024</t>
        </is>
      </c>
      <c r="B6747" s="1" t="n">
        <v>45555</v>
      </c>
      <c r="C6747" s="1" t="n">
        <v>45744</v>
      </c>
      <c r="D6747" t="inlineStr">
        <is>
          <t>SKÅNE LÄN</t>
        </is>
      </c>
      <c r="E6747" t="inlineStr">
        <is>
          <t>KRISTIANSTAD</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40668-2024</t>
        </is>
      </c>
      <c r="B6748" s="1" t="n">
        <v>45558</v>
      </c>
      <c r="C6748" s="1" t="n">
        <v>45744</v>
      </c>
      <c r="D6748" t="inlineStr">
        <is>
          <t>SKÅNE LÄN</t>
        </is>
      </c>
      <c r="E6748" t="inlineStr">
        <is>
          <t>KRISTIANSTAD</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40739-2024</t>
        </is>
      </c>
      <c r="B6749" s="1" t="n">
        <v>45558</v>
      </c>
      <c r="C6749" s="1" t="n">
        <v>45744</v>
      </c>
      <c r="D6749" t="inlineStr">
        <is>
          <t>SKÅNE LÄN</t>
        </is>
      </c>
      <c r="E6749" t="inlineStr">
        <is>
          <t>HÄSSLEHOLM</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40747-2024</t>
        </is>
      </c>
      <c r="B6750" s="1" t="n">
        <v>45558</v>
      </c>
      <c r="C6750" s="1" t="n">
        <v>45744</v>
      </c>
      <c r="D6750" t="inlineStr">
        <is>
          <t>SKÅNE LÄN</t>
        </is>
      </c>
      <c r="E6750" t="inlineStr">
        <is>
          <t>KRISTIANSTAD</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40734-2024</t>
        </is>
      </c>
      <c r="B6751" s="1" t="n">
        <v>45558</v>
      </c>
      <c r="C6751" s="1" t="n">
        <v>45744</v>
      </c>
      <c r="D6751" t="inlineStr">
        <is>
          <t>SKÅNE LÄN</t>
        </is>
      </c>
      <c r="E6751" t="inlineStr">
        <is>
          <t>HÄSSLEHOLM</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40738-2024</t>
        </is>
      </c>
      <c r="B6752" s="1" t="n">
        <v>45558</v>
      </c>
      <c r="C6752" s="1" t="n">
        <v>45744</v>
      </c>
      <c r="D6752" t="inlineStr">
        <is>
          <t>SKÅNE LÄN</t>
        </is>
      </c>
      <c r="E6752" t="inlineStr">
        <is>
          <t>HÄSSLEHOLM</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40938-2024</t>
        </is>
      </c>
      <c r="B6753" s="1" t="n">
        <v>45558</v>
      </c>
      <c r="C6753" s="1" t="n">
        <v>45744</v>
      </c>
      <c r="D6753" t="inlineStr">
        <is>
          <t>SKÅNE LÄN</t>
        </is>
      </c>
      <c r="E6753" t="inlineStr">
        <is>
          <t>ÖSTRA GÖINGE</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40975-2024</t>
        </is>
      </c>
      <c r="B6754" s="1" t="n">
        <v>45558</v>
      </c>
      <c r="C6754" s="1" t="n">
        <v>45744</v>
      </c>
      <c r="D6754" t="inlineStr">
        <is>
          <t>SKÅNE LÄN</t>
        </is>
      </c>
      <c r="E6754" t="inlineStr">
        <is>
          <t>KRISTIANSTAD</t>
        </is>
      </c>
      <c r="F6754" t="inlineStr">
        <is>
          <t>Övriga Aktiebolag</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40884-2024</t>
        </is>
      </c>
      <c r="B6755" s="1" t="n">
        <v>45558</v>
      </c>
      <c r="C6755" s="1" t="n">
        <v>45744</v>
      </c>
      <c r="D6755" t="inlineStr">
        <is>
          <t>SKÅNE LÄN</t>
        </is>
      </c>
      <c r="E6755" t="inlineStr">
        <is>
          <t>KRISTIANSTAD</t>
        </is>
      </c>
      <c r="F6755" t="inlineStr">
        <is>
          <t>Övriga Aktiebolag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40962-2024</t>
        </is>
      </c>
      <c r="B6756" s="1" t="n">
        <v>45558</v>
      </c>
      <c r="C6756" s="1" t="n">
        <v>45744</v>
      </c>
      <c r="D6756" t="inlineStr">
        <is>
          <t>SKÅNE LÄN</t>
        </is>
      </c>
      <c r="E6756" t="inlineStr">
        <is>
          <t>KRISTIANSTAD</t>
        </is>
      </c>
      <c r="F6756" t="inlineStr">
        <is>
          <t>Övriga Aktiebolag</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40896-2024</t>
        </is>
      </c>
      <c r="B6757" s="1" t="n">
        <v>45558</v>
      </c>
      <c r="C6757" s="1" t="n">
        <v>45744</v>
      </c>
      <c r="D6757" t="inlineStr">
        <is>
          <t>SKÅNE LÄN</t>
        </is>
      </c>
      <c r="E6757" t="inlineStr">
        <is>
          <t>KRISTIANSTAD</t>
        </is>
      </c>
      <c r="F6757" t="inlineStr">
        <is>
          <t>Övriga Aktiebolag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40900-2024</t>
        </is>
      </c>
      <c r="B6758" s="1" t="n">
        <v>45558</v>
      </c>
      <c r="C6758" s="1" t="n">
        <v>45744</v>
      </c>
      <c r="D6758" t="inlineStr">
        <is>
          <t>SKÅNE LÄN</t>
        </is>
      </c>
      <c r="E6758" t="inlineStr">
        <is>
          <t>ÖSTRA GÖINGE</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40916-2024</t>
        </is>
      </c>
      <c r="B6759" s="1" t="n">
        <v>45558</v>
      </c>
      <c r="C6759" s="1" t="n">
        <v>45744</v>
      </c>
      <c r="D6759" t="inlineStr">
        <is>
          <t>SKÅNE LÄN</t>
        </is>
      </c>
      <c r="E6759" t="inlineStr">
        <is>
          <t>KRISTIANSTAD</t>
        </is>
      </c>
      <c r="F6759" t="inlineStr">
        <is>
          <t>Övriga Aktiebolag</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40973-2024</t>
        </is>
      </c>
      <c r="B6760" s="1" t="n">
        <v>45558</v>
      </c>
      <c r="C6760" s="1" t="n">
        <v>45744</v>
      </c>
      <c r="D6760" t="inlineStr">
        <is>
          <t>SKÅNE LÄN</t>
        </is>
      </c>
      <c r="E6760" t="inlineStr">
        <is>
          <t>KRISTIANSTAD</t>
        </is>
      </c>
      <c r="F6760" t="inlineStr">
        <is>
          <t>Övriga Aktiebolag</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40866-2024</t>
        </is>
      </c>
      <c r="B6761" s="1" t="n">
        <v>45558</v>
      </c>
      <c r="C6761" s="1" t="n">
        <v>45744</v>
      </c>
      <c r="D6761" t="inlineStr">
        <is>
          <t>SKÅNE LÄN</t>
        </is>
      </c>
      <c r="E6761" t="inlineStr">
        <is>
          <t>KRISTIANSTAD</t>
        </is>
      </c>
      <c r="F6761" t="inlineStr">
        <is>
          <t>Övriga Aktiebolag</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40882-2024</t>
        </is>
      </c>
      <c r="B6762" s="1" t="n">
        <v>45558</v>
      </c>
      <c r="C6762" s="1" t="n">
        <v>45744</v>
      </c>
      <c r="D6762" t="inlineStr">
        <is>
          <t>SKÅNE LÄN</t>
        </is>
      </c>
      <c r="E6762" t="inlineStr">
        <is>
          <t>OSBY</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40903-2024</t>
        </is>
      </c>
      <c r="B6763" s="1" t="n">
        <v>45558</v>
      </c>
      <c r="C6763" s="1" t="n">
        <v>45744</v>
      </c>
      <c r="D6763" t="inlineStr">
        <is>
          <t>SKÅNE LÄN</t>
        </is>
      </c>
      <c r="E6763" t="inlineStr">
        <is>
          <t>KRISTIANSTAD</t>
        </is>
      </c>
      <c r="F6763" t="inlineStr">
        <is>
          <t>Övriga Aktiebolag</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41005-2024</t>
        </is>
      </c>
      <c r="B6764" s="1" t="n">
        <v>45559</v>
      </c>
      <c r="C6764" s="1" t="n">
        <v>45744</v>
      </c>
      <c r="D6764" t="inlineStr">
        <is>
          <t>SKÅNE LÄN</t>
        </is>
      </c>
      <c r="E6764" t="inlineStr">
        <is>
          <t>OSBY</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41273-2024</t>
        </is>
      </c>
      <c r="B6765" s="1" t="n">
        <v>45559</v>
      </c>
      <c r="C6765" s="1" t="n">
        <v>45744</v>
      </c>
      <c r="D6765" t="inlineStr">
        <is>
          <t>SKÅNE LÄN</t>
        </is>
      </c>
      <c r="E6765" t="inlineStr">
        <is>
          <t>PERSTORP</t>
        </is>
      </c>
      <c r="F6765" t="inlineStr">
        <is>
          <t>Övriga Aktiebolag</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41697-2024</t>
        </is>
      </c>
      <c r="B6766" s="1" t="n">
        <v>45560</v>
      </c>
      <c r="C6766" s="1" t="n">
        <v>45744</v>
      </c>
      <c r="D6766" t="inlineStr">
        <is>
          <t>SKÅNE LÄN</t>
        </is>
      </c>
      <c r="E6766" t="inlineStr">
        <is>
          <t>HÄSSLEHOLM</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41693-2024</t>
        </is>
      </c>
      <c r="B6767" s="1" t="n">
        <v>45560</v>
      </c>
      <c r="C6767" s="1" t="n">
        <v>45744</v>
      </c>
      <c r="D6767" t="inlineStr">
        <is>
          <t>SKÅNE LÄN</t>
        </is>
      </c>
      <c r="E6767" t="inlineStr">
        <is>
          <t>HÄSSLEHOLM</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41694-2024</t>
        </is>
      </c>
      <c r="B6768" s="1" t="n">
        <v>45560</v>
      </c>
      <c r="C6768" s="1" t="n">
        <v>45744</v>
      </c>
      <c r="D6768" t="inlineStr">
        <is>
          <t>SKÅNE LÄN</t>
        </is>
      </c>
      <c r="E6768" t="inlineStr">
        <is>
          <t>HÄSSLEHOLM</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41680-2024</t>
        </is>
      </c>
      <c r="B6769" s="1" t="n">
        <v>45560</v>
      </c>
      <c r="C6769" s="1" t="n">
        <v>45744</v>
      </c>
      <c r="D6769" t="inlineStr">
        <is>
          <t>SKÅNE LÄN</t>
        </is>
      </c>
      <c r="E6769" t="inlineStr">
        <is>
          <t>HÄSSLEHOLM</t>
        </is>
      </c>
      <c r="G6769" t="n">
        <v>0.2</v>
      </c>
      <c r="H6769" t="n">
        <v>0</v>
      </c>
      <c r="I6769" t="n">
        <v>0</v>
      </c>
      <c r="J6769" t="n">
        <v>0</v>
      </c>
      <c r="K6769" t="n">
        <v>0</v>
      </c>
      <c r="L6769" t="n">
        <v>0</v>
      </c>
      <c r="M6769" t="n">
        <v>0</v>
      </c>
      <c r="N6769" t="n">
        <v>0</v>
      </c>
      <c r="O6769" t="n">
        <v>0</v>
      </c>
      <c r="P6769" t="n">
        <v>0</v>
      </c>
      <c r="Q6769" t="n">
        <v>0</v>
      </c>
      <c r="R6769" s="2" t="inlineStr"/>
    </row>
    <row r="6770" ht="15" customHeight="1">
      <c r="A6770" t="inlineStr">
        <is>
          <t>A 41913-2024</t>
        </is>
      </c>
      <c r="B6770" s="1" t="n">
        <v>45561</v>
      </c>
      <c r="C6770" s="1" t="n">
        <v>45744</v>
      </c>
      <c r="D6770" t="inlineStr">
        <is>
          <t>SKÅNE LÄN</t>
        </is>
      </c>
      <c r="E6770" t="inlineStr">
        <is>
          <t>HÄSSLEHOLM</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42013-2024</t>
        </is>
      </c>
      <c r="B6771" s="1" t="n">
        <v>45561</v>
      </c>
      <c r="C6771" s="1" t="n">
        <v>45744</v>
      </c>
      <c r="D6771" t="inlineStr">
        <is>
          <t>SKÅNE LÄN</t>
        </is>
      </c>
      <c r="E6771" t="inlineStr">
        <is>
          <t>KRISTIANSTAD</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41809-2024</t>
        </is>
      </c>
      <c r="B6772" s="1" t="n">
        <v>45561</v>
      </c>
      <c r="C6772" s="1" t="n">
        <v>45744</v>
      </c>
      <c r="D6772" t="inlineStr">
        <is>
          <t>SKÅNE LÄN</t>
        </is>
      </c>
      <c r="E6772" t="inlineStr">
        <is>
          <t>KRISTIANSTAD</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41874-2024</t>
        </is>
      </c>
      <c r="B6773" s="1" t="n">
        <v>45561</v>
      </c>
      <c r="C6773" s="1" t="n">
        <v>45744</v>
      </c>
      <c r="D6773" t="inlineStr">
        <is>
          <t>SKÅNE LÄN</t>
        </is>
      </c>
      <c r="E6773" t="inlineStr">
        <is>
          <t>HÄSSLEHOLM</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42061-2024</t>
        </is>
      </c>
      <c r="B6774" s="1" t="n">
        <v>45561</v>
      </c>
      <c r="C6774" s="1" t="n">
        <v>45744</v>
      </c>
      <c r="D6774" t="inlineStr">
        <is>
          <t>SKÅNE LÄN</t>
        </is>
      </c>
      <c r="E6774" t="inlineStr">
        <is>
          <t>KRISTIANSTAD</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42261-2024</t>
        </is>
      </c>
      <c r="B6775" s="1" t="n">
        <v>45562</v>
      </c>
      <c r="C6775" s="1" t="n">
        <v>45744</v>
      </c>
      <c r="D6775" t="inlineStr">
        <is>
          <t>SKÅNE LÄN</t>
        </is>
      </c>
      <c r="E6775" t="inlineStr">
        <is>
          <t>TOMELILLA</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42275-2024</t>
        </is>
      </c>
      <c r="B6776" s="1" t="n">
        <v>45562</v>
      </c>
      <c r="C6776" s="1" t="n">
        <v>45744</v>
      </c>
      <c r="D6776" t="inlineStr">
        <is>
          <t>SKÅNE LÄN</t>
        </is>
      </c>
      <c r="E6776" t="inlineStr">
        <is>
          <t>KLIPPAN</t>
        </is>
      </c>
      <c r="F6776" t="inlineStr">
        <is>
          <t>Sveaskog</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42145-2024</t>
        </is>
      </c>
      <c r="B6777" s="1" t="n">
        <v>45562</v>
      </c>
      <c r="C6777" s="1" t="n">
        <v>45744</v>
      </c>
      <c r="D6777" t="inlineStr">
        <is>
          <t>SKÅNE LÄN</t>
        </is>
      </c>
      <c r="E6777" t="inlineStr">
        <is>
          <t>SVALÖV</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42319-2024</t>
        </is>
      </c>
      <c r="B6778" s="1" t="n">
        <v>45562</v>
      </c>
      <c r="C6778" s="1" t="n">
        <v>45744</v>
      </c>
      <c r="D6778" t="inlineStr">
        <is>
          <t>SKÅNE LÄN</t>
        </is>
      </c>
      <c r="E6778" t="inlineStr">
        <is>
          <t>ÖSTRA GÖINGE</t>
        </is>
      </c>
      <c r="F6778" t="inlineStr">
        <is>
          <t>Sveaskog</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42284-2024</t>
        </is>
      </c>
      <c r="B6779" s="1" t="n">
        <v>45562</v>
      </c>
      <c r="C6779" s="1" t="n">
        <v>45744</v>
      </c>
      <c r="D6779" t="inlineStr">
        <is>
          <t>SKÅNE LÄN</t>
        </is>
      </c>
      <c r="E6779" t="inlineStr">
        <is>
          <t>KLIPPAN</t>
        </is>
      </c>
      <c r="F6779" t="inlineStr">
        <is>
          <t>Sveaskog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42281-2024</t>
        </is>
      </c>
      <c r="B6780" s="1" t="n">
        <v>45562</v>
      </c>
      <c r="C6780" s="1" t="n">
        <v>45744</v>
      </c>
      <c r="D6780" t="inlineStr">
        <is>
          <t>SKÅNE LÄN</t>
        </is>
      </c>
      <c r="E6780" t="inlineStr">
        <is>
          <t>KLIPPAN</t>
        </is>
      </c>
      <c r="F6780" t="inlineStr">
        <is>
          <t>Sveaskog</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42313-2024</t>
        </is>
      </c>
      <c r="B6781" s="1" t="n">
        <v>45562</v>
      </c>
      <c r="C6781" s="1" t="n">
        <v>45744</v>
      </c>
      <c r="D6781" t="inlineStr">
        <is>
          <t>SKÅNE LÄN</t>
        </is>
      </c>
      <c r="E6781" t="inlineStr">
        <is>
          <t>ÖSTRA GÖINGE</t>
        </is>
      </c>
      <c r="F6781" t="inlineStr">
        <is>
          <t>Sveaskog</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42317-2024</t>
        </is>
      </c>
      <c r="B6782" s="1" t="n">
        <v>45562</v>
      </c>
      <c r="C6782" s="1" t="n">
        <v>45744</v>
      </c>
      <c r="D6782" t="inlineStr">
        <is>
          <t>SKÅNE LÄN</t>
        </is>
      </c>
      <c r="E6782" t="inlineStr">
        <is>
          <t>ÖSTRA GÖINGE</t>
        </is>
      </c>
      <c r="F6782" t="inlineStr">
        <is>
          <t>Sveaskog</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42303-2024</t>
        </is>
      </c>
      <c r="B6783" s="1" t="n">
        <v>45562</v>
      </c>
      <c r="C6783" s="1" t="n">
        <v>45744</v>
      </c>
      <c r="D6783" t="inlineStr">
        <is>
          <t>SKÅNE LÄN</t>
        </is>
      </c>
      <c r="E6783" t="inlineStr">
        <is>
          <t>KLIPPAN</t>
        </is>
      </c>
      <c r="F6783" t="inlineStr">
        <is>
          <t>Sveaskog</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42373-2024</t>
        </is>
      </c>
      <c r="B6784" s="1" t="n">
        <v>45564</v>
      </c>
      <c r="C6784" s="1" t="n">
        <v>45744</v>
      </c>
      <c r="D6784" t="inlineStr">
        <is>
          <t>SKÅNE LÄN</t>
        </is>
      </c>
      <c r="E6784" t="inlineStr">
        <is>
          <t>ÖSTRA GÖINGE</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42372-2024</t>
        </is>
      </c>
      <c r="B6785" s="1" t="n">
        <v>45564</v>
      </c>
      <c r="C6785" s="1" t="n">
        <v>45744</v>
      </c>
      <c r="D6785" t="inlineStr">
        <is>
          <t>SKÅNE LÄN</t>
        </is>
      </c>
      <c r="E6785" t="inlineStr">
        <is>
          <t>HÄSSLEHOLM</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42371-2024</t>
        </is>
      </c>
      <c r="B6786" s="1" t="n">
        <v>45564</v>
      </c>
      <c r="C6786" s="1" t="n">
        <v>45744</v>
      </c>
      <c r="D6786" t="inlineStr">
        <is>
          <t>SKÅNE LÄN</t>
        </is>
      </c>
      <c r="E6786" t="inlineStr">
        <is>
          <t>HÄSSLEHOLM</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42389-2024</t>
        </is>
      </c>
      <c r="B6787" s="1" t="n">
        <v>45565</v>
      </c>
      <c r="C6787" s="1" t="n">
        <v>45744</v>
      </c>
      <c r="D6787" t="inlineStr">
        <is>
          <t>SKÅNE LÄN</t>
        </is>
      </c>
      <c r="E6787" t="inlineStr">
        <is>
          <t>HÄSSLEHOLM</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42435-2024</t>
        </is>
      </c>
      <c r="B6788" s="1" t="n">
        <v>45565</v>
      </c>
      <c r="C6788" s="1" t="n">
        <v>45744</v>
      </c>
      <c r="D6788" t="inlineStr">
        <is>
          <t>SKÅNE LÄN</t>
        </is>
      </c>
      <c r="E6788" t="inlineStr">
        <is>
          <t>PERSTORP</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42433-2024</t>
        </is>
      </c>
      <c r="B6789" s="1" t="n">
        <v>45565</v>
      </c>
      <c r="C6789" s="1" t="n">
        <v>45744</v>
      </c>
      <c r="D6789" t="inlineStr">
        <is>
          <t>SKÅNE LÄN</t>
        </is>
      </c>
      <c r="E6789" t="inlineStr">
        <is>
          <t>PERSTORP</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42472-2024</t>
        </is>
      </c>
      <c r="B6790" s="1" t="n">
        <v>45565</v>
      </c>
      <c r="C6790" s="1" t="n">
        <v>45744</v>
      </c>
      <c r="D6790" t="inlineStr">
        <is>
          <t>SKÅNE LÄN</t>
        </is>
      </c>
      <c r="E6790" t="inlineStr">
        <is>
          <t>KRISTIANSTAD</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42454-2024</t>
        </is>
      </c>
      <c r="B6791" s="1" t="n">
        <v>45565</v>
      </c>
      <c r="C6791" s="1" t="n">
        <v>45744</v>
      </c>
      <c r="D6791" t="inlineStr">
        <is>
          <t>SKÅNE LÄN</t>
        </is>
      </c>
      <c r="E6791" t="inlineStr">
        <is>
          <t>PERSTORP</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42805-2024</t>
        </is>
      </c>
      <c r="B6792" s="1" t="n">
        <v>45566</v>
      </c>
      <c r="C6792" s="1" t="n">
        <v>45744</v>
      </c>
      <c r="D6792" t="inlineStr">
        <is>
          <t>SKÅNE LÄN</t>
        </is>
      </c>
      <c r="E6792" t="inlineStr">
        <is>
          <t>KRISTIANSTAD</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42797-2024</t>
        </is>
      </c>
      <c r="B6793" s="1" t="n">
        <v>45566</v>
      </c>
      <c r="C6793" s="1" t="n">
        <v>45744</v>
      </c>
      <c r="D6793" t="inlineStr">
        <is>
          <t>SKÅNE LÄN</t>
        </is>
      </c>
      <c r="E6793" t="inlineStr">
        <is>
          <t>KRISTIANSTAD</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42735-2024</t>
        </is>
      </c>
      <c r="B6794" s="1" t="n">
        <v>45566</v>
      </c>
      <c r="C6794" s="1" t="n">
        <v>45744</v>
      </c>
      <c r="D6794" t="inlineStr">
        <is>
          <t>SKÅNE LÄN</t>
        </is>
      </c>
      <c r="E6794" t="inlineStr">
        <is>
          <t>HÄSSLEHOLM</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42919-2024</t>
        </is>
      </c>
      <c r="B6795" s="1" t="n">
        <v>45566</v>
      </c>
      <c r="C6795" s="1" t="n">
        <v>45744</v>
      </c>
      <c r="D6795" t="inlineStr">
        <is>
          <t>SKÅNE LÄN</t>
        </is>
      </c>
      <c r="E6795" t="inlineStr">
        <is>
          <t>KRISTIANSTAD</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42794-2024</t>
        </is>
      </c>
      <c r="B6796" s="1" t="n">
        <v>45566</v>
      </c>
      <c r="C6796" s="1" t="n">
        <v>45744</v>
      </c>
      <c r="D6796" t="inlineStr">
        <is>
          <t>SKÅNE LÄN</t>
        </is>
      </c>
      <c r="E6796" t="inlineStr">
        <is>
          <t>TOMELILLA</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42790-2024</t>
        </is>
      </c>
      <c r="B6797" s="1" t="n">
        <v>45566</v>
      </c>
      <c r="C6797" s="1" t="n">
        <v>45744</v>
      </c>
      <c r="D6797" t="inlineStr">
        <is>
          <t>SKÅNE LÄN</t>
        </is>
      </c>
      <c r="E6797" t="inlineStr">
        <is>
          <t>KRISTIANSTAD</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42916-2024</t>
        </is>
      </c>
      <c r="B6798" s="1" t="n">
        <v>45566</v>
      </c>
      <c r="C6798" s="1" t="n">
        <v>45744</v>
      </c>
      <c r="D6798" t="inlineStr">
        <is>
          <t>SKÅNE LÄN</t>
        </is>
      </c>
      <c r="E6798" t="inlineStr">
        <is>
          <t>KRISTIANSTAD</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42912-2024</t>
        </is>
      </c>
      <c r="B6799" s="1" t="n">
        <v>45566</v>
      </c>
      <c r="C6799" s="1" t="n">
        <v>45744</v>
      </c>
      <c r="D6799" t="inlineStr">
        <is>
          <t>SKÅNE LÄN</t>
        </is>
      </c>
      <c r="E6799" t="inlineStr">
        <is>
          <t>BROMÖLLA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42909-2024</t>
        </is>
      </c>
      <c r="B6800" s="1" t="n">
        <v>45566</v>
      </c>
      <c r="C6800" s="1" t="n">
        <v>45744</v>
      </c>
      <c r="D6800" t="inlineStr">
        <is>
          <t>SKÅNE LÄN</t>
        </is>
      </c>
      <c r="E6800" t="inlineStr">
        <is>
          <t>BROMÖLLA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42653-2024</t>
        </is>
      </c>
      <c r="B6801" s="1" t="n">
        <v>45566</v>
      </c>
      <c r="C6801" s="1" t="n">
        <v>45744</v>
      </c>
      <c r="D6801" t="inlineStr">
        <is>
          <t>SKÅNE LÄN</t>
        </is>
      </c>
      <c r="E6801" t="inlineStr">
        <is>
          <t>ÖRKELLJUNGA</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43061-2024</t>
        </is>
      </c>
      <c r="B6802" s="1" t="n">
        <v>45567</v>
      </c>
      <c r="C6802" s="1" t="n">
        <v>45744</v>
      </c>
      <c r="D6802" t="inlineStr">
        <is>
          <t>SKÅNE LÄN</t>
        </is>
      </c>
      <c r="E6802" t="inlineStr">
        <is>
          <t>HÄSSLEHOLM</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43224-2024</t>
        </is>
      </c>
      <c r="B6803" s="1" t="n">
        <v>45567</v>
      </c>
      <c r="C6803" s="1" t="n">
        <v>45744</v>
      </c>
      <c r="D6803" t="inlineStr">
        <is>
          <t>SKÅNE LÄN</t>
        </is>
      </c>
      <c r="E6803" t="inlineStr">
        <is>
          <t>ÖSTRA GÖINGE</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43136-2024</t>
        </is>
      </c>
      <c r="B6804" s="1" t="n">
        <v>45567</v>
      </c>
      <c r="C6804" s="1" t="n">
        <v>45744</v>
      </c>
      <c r="D6804" t="inlineStr">
        <is>
          <t>SKÅNE LÄN</t>
        </is>
      </c>
      <c r="E6804" t="inlineStr">
        <is>
          <t>HÄSSLEHOLM</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43447-2024</t>
        </is>
      </c>
      <c r="B6805" s="1" t="n">
        <v>45568</v>
      </c>
      <c r="C6805" s="1" t="n">
        <v>45744</v>
      </c>
      <c r="D6805" t="inlineStr">
        <is>
          <t>SKÅNE LÄN</t>
        </is>
      </c>
      <c r="E6805" t="inlineStr">
        <is>
          <t>ÖSTRA GÖINGE</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43469-2024</t>
        </is>
      </c>
      <c r="B6806" s="1" t="n">
        <v>45568</v>
      </c>
      <c r="C6806" s="1" t="n">
        <v>45744</v>
      </c>
      <c r="D6806" t="inlineStr">
        <is>
          <t>SKÅNE LÄN</t>
        </is>
      </c>
      <c r="E6806" t="inlineStr">
        <is>
          <t>HÖÖR</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43395-2024</t>
        </is>
      </c>
      <c r="B6807" s="1" t="n">
        <v>45568</v>
      </c>
      <c r="C6807" s="1" t="n">
        <v>45744</v>
      </c>
      <c r="D6807" t="inlineStr">
        <is>
          <t>SKÅNE LÄN</t>
        </is>
      </c>
      <c r="E6807" t="inlineStr">
        <is>
          <t>ÖSTRA GÖINGE</t>
        </is>
      </c>
      <c r="G6807" t="n">
        <v>4.9</v>
      </c>
      <c r="H6807" t="n">
        <v>0</v>
      </c>
      <c r="I6807" t="n">
        <v>0</v>
      </c>
      <c r="J6807" t="n">
        <v>0</v>
      </c>
      <c r="K6807" t="n">
        <v>0</v>
      </c>
      <c r="L6807" t="n">
        <v>0</v>
      </c>
      <c r="M6807" t="n">
        <v>0</v>
      </c>
      <c r="N6807" t="n">
        <v>0</v>
      </c>
      <c r="O6807" t="n">
        <v>0</v>
      </c>
      <c r="P6807" t="n">
        <v>0</v>
      </c>
      <c r="Q6807" t="n">
        <v>0</v>
      </c>
      <c r="R6807" s="2" t="inlineStr"/>
    </row>
    <row r="6808" ht="15" customHeight="1">
      <c r="A6808" t="inlineStr">
        <is>
          <t>A 43454-2024</t>
        </is>
      </c>
      <c r="B6808" s="1" t="n">
        <v>45568</v>
      </c>
      <c r="C6808" s="1" t="n">
        <v>45744</v>
      </c>
      <c r="D6808" t="inlineStr">
        <is>
          <t>SKÅNE LÄN</t>
        </is>
      </c>
      <c r="E6808" t="inlineStr">
        <is>
          <t>ÖSTRA GÖINGE</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43348-2024</t>
        </is>
      </c>
      <c r="B6809" s="1" t="n">
        <v>45568</v>
      </c>
      <c r="C6809" s="1" t="n">
        <v>45744</v>
      </c>
      <c r="D6809" t="inlineStr">
        <is>
          <t>SKÅNE LÄN</t>
        </is>
      </c>
      <c r="E6809" t="inlineStr">
        <is>
          <t>KRISTIANSTAD</t>
        </is>
      </c>
      <c r="F6809" t="inlineStr">
        <is>
          <t>Kyrkan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43347-2024</t>
        </is>
      </c>
      <c r="B6810" s="1" t="n">
        <v>45568</v>
      </c>
      <c r="C6810" s="1" t="n">
        <v>45744</v>
      </c>
      <c r="D6810" t="inlineStr">
        <is>
          <t>SKÅNE LÄN</t>
        </is>
      </c>
      <c r="E6810" t="inlineStr">
        <is>
          <t>KRISTIANSTAD</t>
        </is>
      </c>
      <c r="F6810" t="inlineStr">
        <is>
          <t>Kyrkan</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43401-2024</t>
        </is>
      </c>
      <c r="B6811" s="1" t="n">
        <v>45568</v>
      </c>
      <c r="C6811" s="1" t="n">
        <v>45744</v>
      </c>
      <c r="D6811" t="inlineStr">
        <is>
          <t>SKÅNE LÄN</t>
        </is>
      </c>
      <c r="E6811" t="inlineStr">
        <is>
          <t>ÖSTRA GÖINGE</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43338-2024</t>
        </is>
      </c>
      <c r="B6812" s="1" t="n">
        <v>45568</v>
      </c>
      <c r="C6812" s="1" t="n">
        <v>45744</v>
      </c>
      <c r="D6812" t="inlineStr">
        <is>
          <t>SKÅNE LÄN</t>
        </is>
      </c>
      <c r="E6812" t="inlineStr">
        <is>
          <t>OSBY</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43314-2024</t>
        </is>
      </c>
      <c r="B6813" s="1" t="n">
        <v>45568</v>
      </c>
      <c r="C6813" s="1" t="n">
        <v>45744</v>
      </c>
      <c r="D6813" t="inlineStr">
        <is>
          <t>SKÅNE LÄN</t>
        </is>
      </c>
      <c r="E6813" t="inlineStr">
        <is>
          <t>KRISTIANSTAD</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43312-2024</t>
        </is>
      </c>
      <c r="B6814" s="1" t="n">
        <v>45568</v>
      </c>
      <c r="C6814" s="1" t="n">
        <v>45744</v>
      </c>
      <c r="D6814" t="inlineStr">
        <is>
          <t>SKÅNE LÄN</t>
        </is>
      </c>
      <c r="E6814" t="inlineStr">
        <is>
          <t>KRISTIANSTAD</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43656-2024</t>
        </is>
      </c>
      <c r="B6815" s="1" t="n">
        <v>45569</v>
      </c>
      <c r="C6815" s="1" t="n">
        <v>45744</v>
      </c>
      <c r="D6815" t="inlineStr">
        <is>
          <t>SKÅNE LÄN</t>
        </is>
      </c>
      <c r="E6815" t="inlineStr">
        <is>
          <t>HÄSSLEHOLM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43660-2024</t>
        </is>
      </c>
      <c r="B6816" s="1" t="n">
        <v>45569</v>
      </c>
      <c r="C6816" s="1" t="n">
        <v>45744</v>
      </c>
      <c r="D6816" t="inlineStr">
        <is>
          <t>SKÅNE LÄN</t>
        </is>
      </c>
      <c r="E6816" t="inlineStr">
        <is>
          <t>ÖSTRA GÖINGE</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43696-2024</t>
        </is>
      </c>
      <c r="B6817" s="1" t="n">
        <v>45569</v>
      </c>
      <c r="C6817" s="1" t="n">
        <v>45744</v>
      </c>
      <c r="D6817" t="inlineStr">
        <is>
          <t>SKÅNE LÄN</t>
        </is>
      </c>
      <c r="E6817" t="inlineStr">
        <is>
          <t>HÄSSLEHOLM</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43512-2024</t>
        </is>
      </c>
      <c r="B6818" s="1" t="n">
        <v>45569</v>
      </c>
      <c r="C6818" s="1" t="n">
        <v>45744</v>
      </c>
      <c r="D6818" t="inlineStr">
        <is>
          <t>SKÅNE LÄN</t>
        </is>
      </c>
      <c r="E6818" t="inlineStr">
        <is>
          <t>LUND</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43724-2024</t>
        </is>
      </c>
      <c r="B6819" s="1" t="n">
        <v>45569</v>
      </c>
      <c r="C6819" s="1" t="n">
        <v>45744</v>
      </c>
      <c r="D6819" t="inlineStr">
        <is>
          <t>SKÅNE LÄN</t>
        </is>
      </c>
      <c r="E6819" t="inlineStr">
        <is>
          <t>SIMRISHAMN</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43657-2024</t>
        </is>
      </c>
      <c r="B6820" s="1" t="n">
        <v>45569</v>
      </c>
      <c r="C6820" s="1" t="n">
        <v>45744</v>
      </c>
      <c r="D6820" t="inlineStr">
        <is>
          <t>SKÅNE LÄN</t>
        </is>
      </c>
      <c r="E6820" t="inlineStr">
        <is>
          <t>HÄSSLEHOLM</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43687-2024</t>
        </is>
      </c>
      <c r="B6821" s="1" t="n">
        <v>45569</v>
      </c>
      <c r="C6821" s="1" t="n">
        <v>45744</v>
      </c>
      <c r="D6821" t="inlineStr">
        <is>
          <t>SKÅNE LÄN</t>
        </is>
      </c>
      <c r="E6821" t="inlineStr">
        <is>
          <t>KRISTIANSTAD</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43711-2024</t>
        </is>
      </c>
      <c r="B6822" s="1" t="n">
        <v>45569</v>
      </c>
      <c r="C6822" s="1" t="n">
        <v>45744</v>
      </c>
      <c r="D6822" t="inlineStr">
        <is>
          <t>SKÅNE LÄN</t>
        </is>
      </c>
      <c r="E6822" t="inlineStr">
        <is>
          <t>HÖRBY</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43808-2024</t>
        </is>
      </c>
      <c r="B6823" s="1" t="n">
        <v>45571</v>
      </c>
      <c r="C6823" s="1" t="n">
        <v>45744</v>
      </c>
      <c r="D6823" t="inlineStr">
        <is>
          <t>SKÅNE LÄN</t>
        </is>
      </c>
      <c r="E6823" t="inlineStr">
        <is>
          <t>ESLÖV</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43828-2024</t>
        </is>
      </c>
      <c r="B6824" s="1" t="n">
        <v>45572</v>
      </c>
      <c r="C6824" s="1" t="n">
        <v>45744</v>
      </c>
      <c r="D6824" t="inlineStr">
        <is>
          <t>SKÅNE LÄN</t>
        </is>
      </c>
      <c r="E6824" t="inlineStr">
        <is>
          <t>HÖRBY</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43851-2024</t>
        </is>
      </c>
      <c r="B6825" s="1" t="n">
        <v>45572</v>
      </c>
      <c r="C6825" s="1" t="n">
        <v>45744</v>
      </c>
      <c r="D6825" t="inlineStr">
        <is>
          <t>SKÅNE LÄN</t>
        </is>
      </c>
      <c r="E6825" t="inlineStr">
        <is>
          <t>SIMRISHAMN</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44003-2024</t>
        </is>
      </c>
      <c r="B6826" s="1" t="n">
        <v>45572</v>
      </c>
      <c r="C6826" s="1" t="n">
        <v>45744</v>
      </c>
      <c r="D6826" t="inlineStr">
        <is>
          <t>SKÅNE LÄN</t>
        </is>
      </c>
      <c r="E6826" t="inlineStr">
        <is>
          <t>ÖSTRA GÖINGE</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44163-2024</t>
        </is>
      </c>
      <c r="B6827" s="1" t="n">
        <v>45572</v>
      </c>
      <c r="C6827" s="1" t="n">
        <v>45744</v>
      </c>
      <c r="D6827" t="inlineStr">
        <is>
          <t>SKÅNE LÄN</t>
        </is>
      </c>
      <c r="E6827" t="inlineStr">
        <is>
          <t>HÖÖR</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43895-2024</t>
        </is>
      </c>
      <c r="B6828" s="1" t="n">
        <v>45572</v>
      </c>
      <c r="C6828" s="1" t="n">
        <v>45744</v>
      </c>
      <c r="D6828" t="inlineStr">
        <is>
          <t>SKÅNE LÄN</t>
        </is>
      </c>
      <c r="E6828" t="inlineStr">
        <is>
          <t>PERSTORP</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44169-2024</t>
        </is>
      </c>
      <c r="B6829" s="1" t="n">
        <v>45572</v>
      </c>
      <c r="C6829" s="1" t="n">
        <v>45744</v>
      </c>
      <c r="D6829" t="inlineStr">
        <is>
          <t>SKÅNE LÄN</t>
        </is>
      </c>
      <c r="E6829" t="inlineStr">
        <is>
          <t>HÖÖR</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44161-2024</t>
        </is>
      </c>
      <c r="B6830" s="1" t="n">
        <v>45572</v>
      </c>
      <c r="C6830" s="1" t="n">
        <v>45744</v>
      </c>
      <c r="D6830" t="inlineStr">
        <is>
          <t>SKÅNE LÄN</t>
        </is>
      </c>
      <c r="E6830" t="inlineStr">
        <is>
          <t>BÅSTAD</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44157-2024</t>
        </is>
      </c>
      <c r="B6831" s="1" t="n">
        <v>45572</v>
      </c>
      <c r="C6831" s="1" t="n">
        <v>45744</v>
      </c>
      <c r="D6831" t="inlineStr">
        <is>
          <t>SKÅNE LÄN</t>
        </is>
      </c>
      <c r="E6831" t="inlineStr">
        <is>
          <t>HÖÖR</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44135-2024</t>
        </is>
      </c>
      <c r="B6832" s="1" t="n">
        <v>45572</v>
      </c>
      <c r="C6832" s="1" t="n">
        <v>45744</v>
      </c>
      <c r="D6832" t="inlineStr">
        <is>
          <t>SKÅNE LÄN</t>
        </is>
      </c>
      <c r="E6832" t="inlineStr">
        <is>
          <t>HÖRBY</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44065-2024</t>
        </is>
      </c>
      <c r="B6833" s="1" t="n">
        <v>45572</v>
      </c>
      <c r="C6833" s="1" t="n">
        <v>45744</v>
      </c>
      <c r="D6833" t="inlineStr">
        <is>
          <t>SKÅNE LÄN</t>
        </is>
      </c>
      <c r="E6833" t="inlineStr">
        <is>
          <t>TOMELILLA</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44073-2024</t>
        </is>
      </c>
      <c r="B6834" s="1" t="n">
        <v>45572</v>
      </c>
      <c r="C6834" s="1" t="n">
        <v>45744</v>
      </c>
      <c r="D6834" t="inlineStr">
        <is>
          <t>SKÅNE LÄN</t>
        </is>
      </c>
      <c r="E6834" t="inlineStr">
        <is>
          <t>HÖRBY</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43947-2024</t>
        </is>
      </c>
      <c r="B6835" s="1" t="n">
        <v>45572</v>
      </c>
      <c r="C6835" s="1" t="n">
        <v>45744</v>
      </c>
      <c r="D6835" t="inlineStr">
        <is>
          <t>SKÅNE LÄN</t>
        </is>
      </c>
      <c r="E6835" t="inlineStr">
        <is>
          <t>OSBY</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44196-2024</t>
        </is>
      </c>
      <c r="B6836" s="1" t="n">
        <v>45573</v>
      </c>
      <c r="C6836" s="1" t="n">
        <v>45744</v>
      </c>
      <c r="D6836" t="inlineStr">
        <is>
          <t>SKÅNE LÄN</t>
        </is>
      </c>
      <c r="E6836" t="inlineStr">
        <is>
          <t>SVALÖV</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44429-2024</t>
        </is>
      </c>
      <c r="B6837" s="1" t="n">
        <v>45574</v>
      </c>
      <c r="C6837" s="1" t="n">
        <v>45744</v>
      </c>
      <c r="D6837" t="inlineStr">
        <is>
          <t>SKÅNE LÄN</t>
        </is>
      </c>
      <c r="E6837" t="inlineStr">
        <is>
          <t>OSBY</t>
        </is>
      </c>
      <c r="G6837" t="n">
        <v>0.1</v>
      </c>
      <c r="H6837" t="n">
        <v>0</v>
      </c>
      <c r="I6837" t="n">
        <v>0</v>
      </c>
      <c r="J6837" t="n">
        <v>0</v>
      </c>
      <c r="K6837" t="n">
        <v>0</v>
      </c>
      <c r="L6837" t="n">
        <v>0</v>
      </c>
      <c r="M6837" t="n">
        <v>0</v>
      </c>
      <c r="N6837" t="n">
        <v>0</v>
      </c>
      <c r="O6837" t="n">
        <v>0</v>
      </c>
      <c r="P6837" t="n">
        <v>0</v>
      </c>
      <c r="Q6837" t="n">
        <v>0</v>
      </c>
      <c r="R6837" s="2" t="inlineStr"/>
    </row>
    <row r="6838" ht="15" customHeight="1">
      <c r="A6838" t="inlineStr">
        <is>
          <t>A 44428-2024</t>
        </is>
      </c>
      <c r="B6838" s="1" t="n">
        <v>45574</v>
      </c>
      <c r="C6838" s="1" t="n">
        <v>45744</v>
      </c>
      <c r="D6838" t="inlineStr">
        <is>
          <t>SKÅNE LÄN</t>
        </is>
      </c>
      <c r="E6838" t="inlineStr">
        <is>
          <t>OSBY</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44430-2024</t>
        </is>
      </c>
      <c r="B6839" s="1" t="n">
        <v>45574</v>
      </c>
      <c r="C6839" s="1" t="n">
        <v>45744</v>
      </c>
      <c r="D6839" t="inlineStr">
        <is>
          <t>SKÅNE LÄN</t>
        </is>
      </c>
      <c r="E6839" t="inlineStr">
        <is>
          <t>OSBY</t>
        </is>
      </c>
      <c r="G6839" t="n">
        <v>0.1</v>
      </c>
      <c r="H6839" t="n">
        <v>0</v>
      </c>
      <c r="I6839" t="n">
        <v>0</v>
      </c>
      <c r="J6839" t="n">
        <v>0</v>
      </c>
      <c r="K6839" t="n">
        <v>0</v>
      </c>
      <c r="L6839" t="n">
        <v>0</v>
      </c>
      <c r="M6839" t="n">
        <v>0</v>
      </c>
      <c r="N6839" t="n">
        <v>0</v>
      </c>
      <c r="O6839" t="n">
        <v>0</v>
      </c>
      <c r="P6839" t="n">
        <v>0</v>
      </c>
      <c r="Q6839" t="n">
        <v>0</v>
      </c>
      <c r="R6839" s="2" t="inlineStr"/>
    </row>
    <row r="6840" ht="15" customHeight="1">
      <c r="A6840" t="inlineStr">
        <is>
          <t>A 44378-2024</t>
        </is>
      </c>
      <c r="B6840" s="1" t="n">
        <v>45573</v>
      </c>
      <c r="C6840" s="1" t="n">
        <v>45744</v>
      </c>
      <c r="D6840" t="inlineStr">
        <is>
          <t>SKÅNE LÄN</t>
        </is>
      </c>
      <c r="E6840" t="inlineStr">
        <is>
          <t>KRISTIANSTAD</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44363-2024</t>
        </is>
      </c>
      <c r="B6841" s="1" t="n">
        <v>45573</v>
      </c>
      <c r="C6841" s="1" t="n">
        <v>45744</v>
      </c>
      <c r="D6841" t="inlineStr">
        <is>
          <t>SKÅNE LÄN</t>
        </is>
      </c>
      <c r="E6841" t="inlineStr">
        <is>
          <t>KRISTIANSTAD</t>
        </is>
      </c>
      <c r="F6841" t="inlineStr">
        <is>
          <t>Sveaskog</t>
        </is>
      </c>
      <c r="G6841" t="n">
        <v>5.1</v>
      </c>
      <c r="H6841" t="n">
        <v>0</v>
      </c>
      <c r="I6841" t="n">
        <v>0</v>
      </c>
      <c r="J6841" t="n">
        <v>0</v>
      </c>
      <c r="K6841" t="n">
        <v>0</v>
      </c>
      <c r="L6841" t="n">
        <v>0</v>
      </c>
      <c r="M6841" t="n">
        <v>0</v>
      </c>
      <c r="N6841" t="n">
        <v>0</v>
      </c>
      <c r="O6841" t="n">
        <v>0</v>
      </c>
      <c r="P6841" t="n">
        <v>0</v>
      </c>
      <c r="Q6841" t="n">
        <v>0</v>
      </c>
      <c r="R6841" s="2" t="inlineStr"/>
    </row>
    <row r="6842" ht="15" customHeight="1">
      <c r="A6842" t="inlineStr">
        <is>
          <t>A 44228-2024</t>
        </is>
      </c>
      <c r="B6842" s="1" t="n">
        <v>45573</v>
      </c>
      <c r="C6842" s="1" t="n">
        <v>45744</v>
      </c>
      <c r="D6842" t="inlineStr">
        <is>
          <t>SKÅNE LÄN</t>
        </is>
      </c>
      <c r="E6842" t="inlineStr">
        <is>
          <t>KLIPPAN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44538-2024</t>
        </is>
      </c>
      <c r="B6843" s="1" t="n">
        <v>45574</v>
      </c>
      <c r="C6843" s="1" t="n">
        <v>45744</v>
      </c>
      <c r="D6843" t="inlineStr">
        <is>
          <t>SKÅNE LÄN</t>
        </is>
      </c>
      <c r="E6843" t="inlineStr">
        <is>
          <t>KRISTIANSTAD</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44676-2024</t>
        </is>
      </c>
      <c r="B6844" s="1" t="n">
        <v>45574</v>
      </c>
      <c r="C6844" s="1" t="n">
        <v>45744</v>
      </c>
      <c r="D6844" t="inlineStr">
        <is>
          <t>SKÅNE LÄN</t>
        </is>
      </c>
      <c r="E6844" t="inlineStr">
        <is>
          <t>HÄSSLEHOLM</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44739-2024</t>
        </is>
      </c>
      <c r="B6845" s="1" t="n">
        <v>45574</v>
      </c>
      <c r="C6845" s="1" t="n">
        <v>45744</v>
      </c>
      <c r="D6845" t="inlineStr">
        <is>
          <t>SKÅNE LÄN</t>
        </is>
      </c>
      <c r="E6845" t="inlineStr">
        <is>
          <t>HÖÖR</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44675-2024</t>
        </is>
      </c>
      <c r="B6846" s="1" t="n">
        <v>45574</v>
      </c>
      <c r="C6846" s="1" t="n">
        <v>45744</v>
      </c>
      <c r="D6846" t="inlineStr">
        <is>
          <t>SKÅNE LÄN</t>
        </is>
      </c>
      <c r="E6846" t="inlineStr">
        <is>
          <t>TOMELILLA</t>
        </is>
      </c>
      <c r="F6846" t="inlineStr">
        <is>
          <t>Sveaskog</t>
        </is>
      </c>
      <c r="G6846" t="n">
        <v>11.2</v>
      </c>
      <c r="H6846" t="n">
        <v>0</v>
      </c>
      <c r="I6846" t="n">
        <v>0</v>
      </c>
      <c r="J6846" t="n">
        <v>0</v>
      </c>
      <c r="K6846" t="n">
        <v>0</v>
      </c>
      <c r="L6846" t="n">
        <v>0</v>
      </c>
      <c r="M6846" t="n">
        <v>0</v>
      </c>
      <c r="N6846" t="n">
        <v>0</v>
      </c>
      <c r="O6846" t="n">
        <v>0</v>
      </c>
      <c r="P6846" t="n">
        <v>0</v>
      </c>
      <c r="Q6846" t="n">
        <v>0</v>
      </c>
      <c r="R6846" s="2" t="inlineStr"/>
    </row>
    <row r="6847" ht="15" customHeight="1">
      <c r="A6847" t="inlineStr">
        <is>
          <t>A 44728-2024</t>
        </is>
      </c>
      <c r="B6847" s="1" t="n">
        <v>45574</v>
      </c>
      <c r="C6847" s="1" t="n">
        <v>45744</v>
      </c>
      <c r="D6847" t="inlineStr">
        <is>
          <t>SKÅNE LÄN</t>
        </is>
      </c>
      <c r="E6847" t="inlineStr">
        <is>
          <t>HÖÖR</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44853-2024</t>
        </is>
      </c>
      <c r="B6848" s="1" t="n">
        <v>45574</v>
      </c>
      <c r="C6848" s="1" t="n">
        <v>45744</v>
      </c>
      <c r="D6848" t="inlineStr">
        <is>
          <t>SKÅNE LÄN</t>
        </is>
      </c>
      <c r="E6848" t="inlineStr">
        <is>
          <t>ÖSTRA GÖINGE</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44678-2024</t>
        </is>
      </c>
      <c r="B6849" s="1" t="n">
        <v>45574</v>
      </c>
      <c r="C6849" s="1" t="n">
        <v>45744</v>
      </c>
      <c r="D6849" t="inlineStr">
        <is>
          <t>SKÅNE LÄN</t>
        </is>
      </c>
      <c r="E6849" t="inlineStr">
        <is>
          <t>HÄSSLEHOLM</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44817-2024</t>
        </is>
      </c>
      <c r="B6850" s="1" t="n">
        <v>45574</v>
      </c>
      <c r="C6850" s="1" t="n">
        <v>45744</v>
      </c>
      <c r="D6850" t="inlineStr">
        <is>
          <t>SKÅNE LÄN</t>
        </is>
      </c>
      <c r="E6850" t="inlineStr">
        <is>
          <t>KRISTIANSTAD</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44842-2024</t>
        </is>
      </c>
      <c r="B6851" s="1" t="n">
        <v>45574</v>
      </c>
      <c r="C6851" s="1" t="n">
        <v>45744</v>
      </c>
      <c r="D6851" t="inlineStr">
        <is>
          <t>SKÅNE LÄN</t>
        </is>
      </c>
      <c r="E6851" t="inlineStr">
        <is>
          <t>ÖSTRA GÖINGE</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45092-2024</t>
        </is>
      </c>
      <c r="B6852" s="1" t="n">
        <v>45575</v>
      </c>
      <c r="C6852" s="1" t="n">
        <v>45744</v>
      </c>
      <c r="D6852" t="inlineStr">
        <is>
          <t>SKÅNE LÄN</t>
        </is>
      </c>
      <c r="E6852" t="inlineStr">
        <is>
          <t>HÖÖR</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45128-2024</t>
        </is>
      </c>
      <c r="B6853" s="1" t="n">
        <v>45575</v>
      </c>
      <c r="C6853" s="1" t="n">
        <v>45744</v>
      </c>
      <c r="D6853" t="inlineStr">
        <is>
          <t>SKÅNE LÄN</t>
        </is>
      </c>
      <c r="E6853" t="inlineStr">
        <is>
          <t>HÄSSLEHOLM</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45169-2024</t>
        </is>
      </c>
      <c r="B6854" s="1" t="n">
        <v>45575</v>
      </c>
      <c r="C6854" s="1" t="n">
        <v>45744</v>
      </c>
      <c r="D6854" t="inlineStr">
        <is>
          <t>SKÅNE LÄN</t>
        </is>
      </c>
      <c r="E6854" t="inlineStr">
        <is>
          <t>KRISTIANSTAD</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45191-2024</t>
        </is>
      </c>
      <c r="B6855" s="1" t="n">
        <v>45575</v>
      </c>
      <c r="C6855" s="1" t="n">
        <v>45744</v>
      </c>
      <c r="D6855" t="inlineStr">
        <is>
          <t>SKÅNE LÄN</t>
        </is>
      </c>
      <c r="E6855" t="inlineStr">
        <is>
          <t>OSBY</t>
        </is>
      </c>
      <c r="G6855" t="n">
        <v>6.4</v>
      </c>
      <c r="H6855" t="n">
        <v>0</v>
      </c>
      <c r="I6855" t="n">
        <v>0</v>
      </c>
      <c r="J6855" t="n">
        <v>0</v>
      </c>
      <c r="K6855" t="n">
        <v>0</v>
      </c>
      <c r="L6855" t="n">
        <v>0</v>
      </c>
      <c r="M6855" t="n">
        <v>0</v>
      </c>
      <c r="N6855" t="n">
        <v>0</v>
      </c>
      <c r="O6855" t="n">
        <v>0</v>
      </c>
      <c r="P6855" t="n">
        <v>0</v>
      </c>
      <c r="Q6855" t="n">
        <v>0</v>
      </c>
      <c r="R6855" s="2" t="inlineStr"/>
    </row>
    <row r="6856" ht="15" customHeight="1">
      <c r="A6856" t="inlineStr">
        <is>
          <t>A 44893-2024</t>
        </is>
      </c>
      <c r="B6856" s="1" t="n">
        <v>45575</v>
      </c>
      <c r="C6856" s="1" t="n">
        <v>45744</v>
      </c>
      <c r="D6856" t="inlineStr">
        <is>
          <t>SKÅNE LÄN</t>
        </is>
      </c>
      <c r="E6856" t="inlineStr">
        <is>
          <t>SJÖBO</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45003-2024</t>
        </is>
      </c>
      <c r="B6857" s="1" t="n">
        <v>45575</v>
      </c>
      <c r="C6857" s="1" t="n">
        <v>45744</v>
      </c>
      <c r="D6857" t="inlineStr">
        <is>
          <t>SKÅNE LÄN</t>
        </is>
      </c>
      <c r="E6857" t="inlineStr">
        <is>
          <t>KLIPPAN</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45392-2024</t>
        </is>
      </c>
      <c r="B6858" s="1" t="n">
        <v>45576</v>
      </c>
      <c r="C6858" s="1" t="n">
        <v>45744</v>
      </c>
      <c r="D6858" t="inlineStr">
        <is>
          <t>SKÅNE LÄN</t>
        </is>
      </c>
      <c r="E6858" t="inlineStr">
        <is>
          <t>HÄSSLEHOLM</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45398-2024</t>
        </is>
      </c>
      <c r="B6859" s="1" t="n">
        <v>45576</v>
      </c>
      <c r="C6859" s="1" t="n">
        <v>45744</v>
      </c>
      <c r="D6859" t="inlineStr">
        <is>
          <t>SKÅNE LÄN</t>
        </is>
      </c>
      <c r="E6859" t="inlineStr">
        <is>
          <t>HÄSSLEHOLM</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45353-2024</t>
        </is>
      </c>
      <c r="B6860" s="1" t="n">
        <v>45576</v>
      </c>
      <c r="C6860" s="1" t="n">
        <v>45744</v>
      </c>
      <c r="D6860" t="inlineStr">
        <is>
          <t>SKÅNE LÄN</t>
        </is>
      </c>
      <c r="E6860" t="inlineStr">
        <is>
          <t>SJÖBO</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45348-2024</t>
        </is>
      </c>
      <c r="B6861" s="1" t="n">
        <v>45576</v>
      </c>
      <c r="C6861" s="1" t="n">
        <v>45744</v>
      </c>
      <c r="D6861" t="inlineStr">
        <is>
          <t>SKÅNE LÄN</t>
        </is>
      </c>
      <c r="E6861" t="inlineStr">
        <is>
          <t>SJÖBO</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45299-2024</t>
        </is>
      </c>
      <c r="B6862" s="1" t="n">
        <v>45576</v>
      </c>
      <c r="C6862" s="1" t="n">
        <v>45744</v>
      </c>
      <c r="D6862" t="inlineStr">
        <is>
          <t>SKÅNE LÄN</t>
        </is>
      </c>
      <c r="E6862" t="inlineStr">
        <is>
          <t>HÄSSLEHOLM</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45495-2024</t>
        </is>
      </c>
      <c r="B6863" s="1" t="n">
        <v>45577</v>
      </c>
      <c r="C6863" s="1" t="n">
        <v>45744</v>
      </c>
      <c r="D6863" t="inlineStr">
        <is>
          <t>SKÅNE LÄN</t>
        </is>
      </c>
      <c r="E6863" t="inlineStr">
        <is>
          <t>KRISTIANSTAD</t>
        </is>
      </c>
      <c r="G6863" t="n">
        <v>9.1</v>
      </c>
      <c r="H6863" t="n">
        <v>0</v>
      </c>
      <c r="I6863" t="n">
        <v>0</v>
      </c>
      <c r="J6863" t="n">
        <v>0</v>
      </c>
      <c r="K6863" t="n">
        <v>0</v>
      </c>
      <c r="L6863" t="n">
        <v>0</v>
      </c>
      <c r="M6863" t="n">
        <v>0</v>
      </c>
      <c r="N6863" t="n">
        <v>0</v>
      </c>
      <c r="O6863" t="n">
        <v>0</v>
      </c>
      <c r="P6863" t="n">
        <v>0</v>
      </c>
      <c r="Q6863" t="n">
        <v>0</v>
      </c>
      <c r="R6863" s="2" t="inlineStr"/>
    </row>
    <row r="6864" ht="15" customHeight="1">
      <c r="A6864" t="inlineStr">
        <is>
          <t>A 45493-2024</t>
        </is>
      </c>
      <c r="B6864" s="1" t="n">
        <v>45577</v>
      </c>
      <c r="C6864" s="1" t="n">
        <v>45744</v>
      </c>
      <c r="D6864" t="inlineStr">
        <is>
          <t>SKÅNE LÄN</t>
        </is>
      </c>
      <c r="E6864" t="inlineStr">
        <is>
          <t>KRISTIANSTAD</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45494-2024</t>
        </is>
      </c>
      <c r="B6865" s="1" t="n">
        <v>45577</v>
      </c>
      <c r="C6865" s="1" t="n">
        <v>45744</v>
      </c>
      <c r="D6865" t="inlineStr">
        <is>
          <t>SKÅNE LÄN</t>
        </is>
      </c>
      <c r="E6865" t="inlineStr">
        <is>
          <t>KRISTIANSTAD</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45496-2024</t>
        </is>
      </c>
      <c r="B6866" s="1" t="n">
        <v>45577</v>
      </c>
      <c r="C6866" s="1" t="n">
        <v>45744</v>
      </c>
      <c r="D6866" t="inlineStr">
        <is>
          <t>SKÅNE LÄN</t>
        </is>
      </c>
      <c r="E6866" t="inlineStr">
        <is>
          <t>KRISTIANSTAD</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45661-2024</t>
        </is>
      </c>
      <c r="B6867" s="1" t="n">
        <v>45579</v>
      </c>
      <c r="C6867" s="1" t="n">
        <v>45744</v>
      </c>
      <c r="D6867" t="inlineStr">
        <is>
          <t>SKÅNE LÄN</t>
        </is>
      </c>
      <c r="E6867" t="inlineStr">
        <is>
          <t>ÄNGELHOLM</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45653-2024</t>
        </is>
      </c>
      <c r="B6868" s="1" t="n">
        <v>45579</v>
      </c>
      <c r="C6868" s="1" t="n">
        <v>45744</v>
      </c>
      <c r="D6868" t="inlineStr">
        <is>
          <t>SKÅNE LÄN</t>
        </is>
      </c>
      <c r="E6868" t="inlineStr">
        <is>
          <t>HÄSSLEHOLM</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45658-2024</t>
        </is>
      </c>
      <c r="B6869" s="1" t="n">
        <v>45579</v>
      </c>
      <c r="C6869" s="1" t="n">
        <v>45744</v>
      </c>
      <c r="D6869" t="inlineStr">
        <is>
          <t>SKÅNE LÄN</t>
        </is>
      </c>
      <c r="E6869" t="inlineStr">
        <is>
          <t>KRISTIANSTAD</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45729-2024</t>
        </is>
      </c>
      <c r="B6870" s="1" t="n">
        <v>45579</v>
      </c>
      <c r="C6870" s="1" t="n">
        <v>45744</v>
      </c>
      <c r="D6870" t="inlineStr">
        <is>
          <t>SKÅNE LÄN</t>
        </is>
      </c>
      <c r="E6870" t="inlineStr">
        <is>
          <t>TOMELILLA</t>
        </is>
      </c>
      <c r="G6870" t="n">
        <v>10.1</v>
      </c>
      <c r="H6870" t="n">
        <v>0</v>
      </c>
      <c r="I6870" t="n">
        <v>0</v>
      </c>
      <c r="J6870" t="n">
        <v>0</v>
      </c>
      <c r="K6870" t="n">
        <v>0</v>
      </c>
      <c r="L6870" t="n">
        <v>0</v>
      </c>
      <c r="M6870" t="n">
        <v>0</v>
      </c>
      <c r="N6870" t="n">
        <v>0</v>
      </c>
      <c r="O6870" t="n">
        <v>0</v>
      </c>
      <c r="P6870" t="n">
        <v>0</v>
      </c>
      <c r="Q6870" t="n">
        <v>0</v>
      </c>
      <c r="R6870" s="2" t="inlineStr"/>
    </row>
    <row r="6871" ht="15" customHeight="1">
      <c r="A6871" t="inlineStr">
        <is>
          <t>A 45596-2024</t>
        </is>
      </c>
      <c r="B6871" s="1" t="n">
        <v>45579</v>
      </c>
      <c r="C6871" s="1" t="n">
        <v>45744</v>
      </c>
      <c r="D6871" t="inlineStr">
        <is>
          <t>SKÅNE LÄN</t>
        </is>
      </c>
      <c r="E6871" t="inlineStr">
        <is>
          <t>KLIPPAN</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45907-2024</t>
        </is>
      </c>
      <c r="B6872" s="1" t="n">
        <v>45580</v>
      </c>
      <c r="C6872" s="1" t="n">
        <v>45744</v>
      </c>
      <c r="D6872" t="inlineStr">
        <is>
          <t>SKÅNE LÄN</t>
        </is>
      </c>
      <c r="E6872" t="inlineStr">
        <is>
          <t>KRISTIANSTAD</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45844-2024</t>
        </is>
      </c>
      <c r="B6873" s="1" t="n">
        <v>45580</v>
      </c>
      <c r="C6873" s="1" t="n">
        <v>45744</v>
      </c>
      <c r="D6873" t="inlineStr">
        <is>
          <t>SKÅNE LÄN</t>
        </is>
      </c>
      <c r="E6873" t="inlineStr">
        <is>
          <t>HÄSSLEHOLM</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45908-2024</t>
        </is>
      </c>
      <c r="B6874" s="1" t="n">
        <v>45580</v>
      </c>
      <c r="C6874" s="1" t="n">
        <v>45744</v>
      </c>
      <c r="D6874" t="inlineStr">
        <is>
          <t>SKÅNE LÄN</t>
        </is>
      </c>
      <c r="E6874" t="inlineStr">
        <is>
          <t>KRISTIANSTAD</t>
        </is>
      </c>
      <c r="G6874" t="n">
        <v>14.1</v>
      </c>
      <c r="H6874" t="n">
        <v>0</v>
      </c>
      <c r="I6874" t="n">
        <v>0</v>
      </c>
      <c r="J6874" t="n">
        <v>0</v>
      </c>
      <c r="K6874" t="n">
        <v>0</v>
      </c>
      <c r="L6874" t="n">
        <v>0</v>
      </c>
      <c r="M6874" t="n">
        <v>0</v>
      </c>
      <c r="N6874" t="n">
        <v>0</v>
      </c>
      <c r="O6874" t="n">
        <v>0</v>
      </c>
      <c r="P6874" t="n">
        <v>0</v>
      </c>
      <c r="Q6874" t="n">
        <v>0</v>
      </c>
      <c r="R6874" s="2" t="inlineStr"/>
    </row>
    <row r="6875" ht="15" customHeight="1">
      <c r="A6875" t="inlineStr">
        <is>
          <t>A 46069-2024</t>
        </is>
      </c>
      <c r="B6875" s="1" t="n">
        <v>45580</v>
      </c>
      <c r="C6875" s="1" t="n">
        <v>45744</v>
      </c>
      <c r="D6875" t="inlineStr">
        <is>
          <t>SKÅNE LÄN</t>
        </is>
      </c>
      <c r="E6875" t="inlineStr">
        <is>
          <t>KRISTIANSTAD</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46070-2024</t>
        </is>
      </c>
      <c r="B6876" s="1" t="n">
        <v>45580</v>
      </c>
      <c r="C6876" s="1" t="n">
        <v>45744</v>
      </c>
      <c r="D6876" t="inlineStr">
        <is>
          <t>SKÅNE LÄN</t>
        </is>
      </c>
      <c r="E6876" t="inlineStr">
        <is>
          <t>KRISTIANSTAD</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46068-2024</t>
        </is>
      </c>
      <c r="B6877" s="1" t="n">
        <v>45580</v>
      </c>
      <c r="C6877" s="1" t="n">
        <v>45744</v>
      </c>
      <c r="D6877" t="inlineStr">
        <is>
          <t>SKÅNE LÄN</t>
        </is>
      </c>
      <c r="E6877" t="inlineStr">
        <is>
          <t>KRISTIANSTAD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46194-2024</t>
        </is>
      </c>
      <c r="B6878" s="1" t="n">
        <v>45581</v>
      </c>
      <c r="C6878" s="1" t="n">
        <v>45744</v>
      </c>
      <c r="D6878" t="inlineStr">
        <is>
          <t>SKÅNE LÄN</t>
        </is>
      </c>
      <c r="E6878" t="inlineStr">
        <is>
          <t>KRISTIANSTAD</t>
        </is>
      </c>
      <c r="F6878" t="inlineStr">
        <is>
          <t>Övriga Aktiebolag</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46182-2024</t>
        </is>
      </c>
      <c r="B6879" s="1" t="n">
        <v>45581</v>
      </c>
      <c r="C6879" s="1" t="n">
        <v>45744</v>
      </c>
      <c r="D6879" t="inlineStr">
        <is>
          <t>SKÅNE LÄN</t>
        </is>
      </c>
      <c r="E6879" t="inlineStr">
        <is>
          <t>KRISTIANSTAD</t>
        </is>
      </c>
      <c r="F6879" t="inlineStr">
        <is>
          <t>Övriga Aktiebolag</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46179-2024</t>
        </is>
      </c>
      <c r="B6880" s="1" t="n">
        <v>45581</v>
      </c>
      <c r="C6880" s="1" t="n">
        <v>45744</v>
      </c>
      <c r="D6880" t="inlineStr">
        <is>
          <t>SKÅNE LÄN</t>
        </is>
      </c>
      <c r="E6880" t="inlineStr">
        <is>
          <t>TOMELILLA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46123-2024</t>
        </is>
      </c>
      <c r="B6881" s="1" t="n">
        <v>45581</v>
      </c>
      <c r="C6881" s="1" t="n">
        <v>45744</v>
      </c>
      <c r="D6881" t="inlineStr">
        <is>
          <t>SKÅNE LÄN</t>
        </is>
      </c>
      <c r="E6881" t="inlineStr">
        <is>
          <t>KRISTIANSTAD</t>
        </is>
      </c>
      <c r="F6881" t="inlineStr">
        <is>
          <t>Övriga Aktiebolag</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46260-2024</t>
        </is>
      </c>
      <c r="B6882" s="1" t="n">
        <v>45581</v>
      </c>
      <c r="C6882" s="1" t="n">
        <v>45744</v>
      </c>
      <c r="D6882" t="inlineStr">
        <is>
          <t>SKÅNE LÄN</t>
        </is>
      </c>
      <c r="E6882" t="inlineStr">
        <is>
          <t>KLIPPAN</t>
        </is>
      </c>
      <c r="F6882" t="inlineStr">
        <is>
          <t>Sveaskog</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46286-2024</t>
        </is>
      </c>
      <c r="B6883" s="1" t="n">
        <v>45581</v>
      </c>
      <c r="C6883" s="1" t="n">
        <v>45744</v>
      </c>
      <c r="D6883" t="inlineStr">
        <is>
          <t>SKÅNE LÄN</t>
        </is>
      </c>
      <c r="E6883" t="inlineStr">
        <is>
          <t>ÄNGELHOLM</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46257-2024</t>
        </is>
      </c>
      <c r="B6884" s="1" t="n">
        <v>45581</v>
      </c>
      <c r="C6884" s="1" t="n">
        <v>45744</v>
      </c>
      <c r="D6884" t="inlineStr">
        <is>
          <t>SKÅNE LÄN</t>
        </is>
      </c>
      <c r="E6884" t="inlineStr">
        <is>
          <t>KLIPPAN</t>
        </is>
      </c>
      <c r="F6884" t="inlineStr">
        <is>
          <t>Sveaskog</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46253-2024</t>
        </is>
      </c>
      <c r="B6885" s="1" t="n">
        <v>45581</v>
      </c>
      <c r="C6885" s="1" t="n">
        <v>45744</v>
      </c>
      <c r="D6885" t="inlineStr">
        <is>
          <t>SKÅNE LÄN</t>
        </is>
      </c>
      <c r="E6885" t="inlineStr">
        <is>
          <t>KLIPPAN</t>
        </is>
      </c>
      <c r="F6885" t="inlineStr">
        <is>
          <t>Sveaskog</t>
        </is>
      </c>
      <c r="G6885" t="n">
        <v>9.300000000000001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46279-2024</t>
        </is>
      </c>
      <c r="B6886" s="1" t="n">
        <v>45581</v>
      </c>
      <c r="C6886" s="1" t="n">
        <v>45744</v>
      </c>
      <c r="D6886" t="inlineStr">
        <is>
          <t>SKÅNE LÄN</t>
        </is>
      </c>
      <c r="E6886" t="inlineStr">
        <is>
          <t>ÖSTRA GÖINGE</t>
        </is>
      </c>
      <c r="F6886" t="inlineStr">
        <is>
          <t>Sveaskog</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46487-2024</t>
        </is>
      </c>
      <c r="B6887" s="1" t="n">
        <v>45582</v>
      </c>
      <c r="C6887" s="1" t="n">
        <v>45744</v>
      </c>
      <c r="D6887" t="inlineStr">
        <is>
          <t>SKÅNE LÄN</t>
        </is>
      </c>
      <c r="E6887" t="inlineStr">
        <is>
          <t>ÄNGELHOLM</t>
        </is>
      </c>
      <c r="G6887" t="n">
        <v>5.8</v>
      </c>
      <c r="H6887" t="n">
        <v>0</v>
      </c>
      <c r="I6887" t="n">
        <v>0</v>
      </c>
      <c r="J6887" t="n">
        <v>0</v>
      </c>
      <c r="K6887" t="n">
        <v>0</v>
      </c>
      <c r="L6887" t="n">
        <v>0</v>
      </c>
      <c r="M6887" t="n">
        <v>0</v>
      </c>
      <c r="N6887" t="n">
        <v>0</v>
      </c>
      <c r="O6887" t="n">
        <v>0</v>
      </c>
      <c r="P6887" t="n">
        <v>0</v>
      </c>
      <c r="Q6887" t="n">
        <v>0</v>
      </c>
      <c r="R6887" s="2" t="inlineStr"/>
    </row>
    <row r="6888" ht="15" customHeight="1">
      <c r="A6888" t="inlineStr">
        <is>
          <t>A 46469-2024</t>
        </is>
      </c>
      <c r="B6888" s="1" t="n">
        <v>45582</v>
      </c>
      <c r="C6888" s="1" t="n">
        <v>45744</v>
      </c>
      <c r="D6888" t="inlineStr">
        <is>
          <t>SKÅNE LÄN</t>
        </is>
      </c>
      <c r="E6888" t="inlineStr">
        <is>
          <t>KRISTIANSTAD</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46348-2024</t>
        </is>
      </c>
      <c r="B6889" s="1" t="n">
        <v>45582</v>
      </c>
      <c r="C6889" s="1" t="n">
        <v>45744</v>
      </c>
      <c r="D6889" t="inlineStr">
        <is>
          <t>SKÅNE LÄN</t>
        </is>
      </c>
      <c r="E6889" t="inlineStr">
        <is>
          <t>HÄSSLEHOLM</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46615-2024</t>
        </is>
      </c>
      <c r="B6890" s="1" t="n">
        <v>45583</v>
      </c>
      <c r="C6890" s="1" t="n">
        <v>45744</v>
      </c>
      <c r="D6890" t="inlineStr">
        <is>
          <t>SKÅNE LÄN</t>
        </is>
      </c>
      <c r="E6890" t="inlineStr">
        <is>
          <t>KLIPPAN</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46840-2024</t>
        </is>
      </c>
      <c r="B6891" s="1" t="n">
        <v>45583</v>
      </c>
      <c r="C6891" s="1" t="n">
        <v>45744</v>
      </c>
      <c r="D6891" t="inlineStr">
        <is>
          <t>SKÅNE LÄN</t>
        </is>
      </c>
      <c r="E6891" t="inlineStr">
        <is>
          <t>HÄSSLEHOLM</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46709-2024</t>
        </is>
      </c>
      <c r="B6892" s="1" t="n">
        <v>45583</v>
      </c>
      <c r="C6892" s="1" t="n">
        <v>45744</v>
      </c>
      <c r="D6892" t="inlineStr">
        <is>
          <t>SKÅNE LÄN</t>
        </is>
      </c>
      <c r="E6892" t="inlineStr">
        <is>
          <t>ÖSTRA GÖINGE</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46737-2024</t>
        </is>
      </c>
      <c r="B6893" s="1" t="n">
        <v>45583</v>
      </c>
      <c r="C6893" s="1" t="n">
        <v>45744</v>
      </c>
      <c r="D6893" t="inlineStr">
        <is>
          <t>SKÅNE LÄN</t>
        </is>
      </c>
      <c r="E6893" t="inlineStr">
        <is>
          <t>PERSTORP</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46777-2024</t>
        </is>
      </c>
      <c r="B6894" s="1" t="n">
        <v>45583</v>
      </c>
      <c r="C6894" s="1" t="n">
        <v>45744</v>
      </c>
      <c r="D6894" t="inlineStr">
        <is>
          <t>SKÅNE LÄN</t>
        </is>
      </c>
      <c r="E6894" t="inlineStr">
        <is>
          <t>HÖÖR</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46723-2024</t>
        </is>
      </c>
      <c r="B6895" s="1" t="n">
        <v>45583</v>
      </c>
      <c r="C6895" s="1" t="n">
        <v>45744</v>
      </c>
      <c r="D6895" t="inlineStr">
        <is>
          <t>SKÅNE LÄN</t>
        </is>
      </c>
      <c r="E6895" t="inlineStr">
        <is>
          <t>ÖRKELLJUNGA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46813-2024</t>
        </is>
      </c>
      <c r="B6896" s="1" t="n">
        <v>45583</v>
      </c>
      <c r="C6896" s="1" t="n">
        <v>45744</v>
      </c>
      <c r="D6896" t="inlineStr">
        <is>
          <t>SKÅNE LÄN</t>
        </is>
      </c>
      <c r="E6896" t="inlineStr">
        <is>
          <t>HÄSSLEHOLM</t>
        </is>
      </c>
      <c r="G6896" t="n">
        <v>14.9</v>
      </c>
      <c r="H6896" t="n">
        <v>0</v>
      </c>
      <c r="I6896" t="n">
        <v>0</v>
      </c>
      <c r="J6896" t="n">
        <v>0</v>
      </c>
      <c r="K6896" t="n">
        <v>0</v>
      </c>
      <c r="L6896" t="n">
        <v>0</v>
      </c>
      <c r="M6896" t="n">
        <v>0</v>
      </c>
      <c r="N6896" t="n">
        <v>0</v>
      </c>
      <c r="O6896" t="n">
        <v>0</v>
      </c>
      <c r="P6896" t="n">
        <v>0</v>
      </c>
      <c r="Q6896" t="n">
        <v>0</v>
      </c>
      <c r="R6896" s="2" t="inlineStr"/>
    </row>
    <row r="6897" ht="15" customHeight="1">
      <c r="A6897" t="inlineStr">
        <is>
          <t>A 46627-2024</t>
        </is>
      </c>
      <c r="B6897" s="1" t="n">
        <v>45583</v>
      </c>
      <c r="C6897" s="1" t="n">
        <v>45744</v>
      </c>
      <c r="D6897" t="inlineStr">
        <is>
          <t>SKÅNE LÄN</t>
        </is>
      </c>
      <c r="E6897" t="inlineStr">
        <is>
          <t>KRISTIANSTAD</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46619-2024</t>
        </is>
      </c>
      <c r="B6898" s="1" t="n">
        <v>45583</v>
      </c>
      <c r="C6898" s="1" t="n">
        <v>45744</v>
      </c>
      <c r="D6898" t="inlineStr">
        <is>
          <t>SKÅNE LÄN</t>
        </is>
      </c>
      <c r="E6898" t="inlineStr">
        <is>
          <t>KLIPPAN</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46734-2024</t>
        </is>
      </c>
      <c r="B6899" s="1" t="n">
        <v>45583</v>
      </c>
      <c r="C6899" s="1" t="n">
        <v>45744</v>
      </c>
      <c r="D6899" t="inlineStr">
        <is>
          <t>SKÅNE LÄN</t>
        </is>
      </c>
      <c r="E6899" t="inlineStr">
        <is>
          <t>PERSTORP</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46613-2024</t>
        </is>
      </c>
      <c r="B6900" s="1" t="n">
        <v>45583</v>
      </c>
      <c r="C6900" s="1" t="n">
        <v>45744</v>
      </c>
      <c r="D6900" t="inlineStr">
        <is>
          <t>SKÅNE LÄN</t>
        </is>
      </c>
      <c r="E6900" t="inlineStr">
        <is>
          <t>ÄNGELHOLM</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46702-2024</t>
        </is>
      </c>
      <c r="B6901" s="1" t="n">
        <v>45583</v>
      </c>
      <c r="C6901" s="1" t="n">
        <v>45744</v>
      </c>
      <c r="D6901" t="inlineStr">
        <is>
          <t>SKÅNE LÄN</t>
        </is>
      </c>
      <c r="E6901" t="inlineStr">
        <is>
          <t>ÄNGELHOLM</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46941-2024</t>
        </is>
      </c>
      <c r="B6902" s="1" t="n">
        <v>45585</v>
      </c>
      <c r="C6902" s="1" t="n">
        <v>45744</v>
      </c>
      <c r="D6902" t="inlineStr">
        <is>
          <t>SKÅNE LÄN</t>
        </is>
      </c>
      <c r="E6902" t="inlineStr">
        <is>
          <t>HÄSSLEHOLM</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46942-2024</t>
        </is>
      </c>
      <c r="B6903" s="1" t="n">
        <v>45585</v>
      </c>
      <c r="C6903" s="1" t="n">
        <v>45744</v>
      </c>
      <c r="D6903" t="inlineStr">
        <is>
          <t>SKÅNE LÄN</t>
        </is>
      </c>
      <c r="E6903" t="inlineStr">
        <is>
          <t>HÄSSLEHOLM</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47237-2024</t>
        </is>
      </c>
      <c r="B6904" s="1" t="n">
        <v>45586</v>
      </c>
      <c r="C6904" s="1" t="n">
        <v>45744</v>
      </c>
      <c r="D6904" t="inlineStr">
        <is>
          <t>SKÅNE LÄN</t>
        </is>
      </c>
      <c r="E6904" t="inlineStr">
        <is>
          <t>KRISTIANSTAD</t>
        </is>
      </c>
      <c r="F6904" t="inlineStr">
        <is>
          <t>Övriga Aktiebolag</t>
        </is>
      </c>
      <c r="G6904" t="n">
        <v>11.2</v>
      </c>
      <c r="H6904" t="n">
        <v>0</v>
      </c>
      <c r="I6904" t="n">
        <v>0</v>
      </c>
      <c r="J6904" t="n">
        <v>0</v>
      </c>
      <c r="K6904" t="n">
        <v>0</v>
      </c>
      <c r="L6904" t="n">
        <v>0</v>
      </c>
      <c r="M6904" t="n">
        <v>0</v>
      </c>
      <c r="N6904" t="n">
        <v>0</v>
      </c>
      <c r="O6904" t="n">
        <v>0</v>
      </c>
      <c r="P6904" t="n">
        <v>0</v>
      </c>
      <c r="Q6904" t="n">
        <v>0</v>
      </c>
      <c r="R6904" s="2" t="inlineStr"/>
    </row>
    <row r="6905" ht="15" customHeight="1">
      <c r="A6905" t="inlineStr">
        <is>
          <t>A 47231-2024</t>
        </is>
      </c>
      <c r="B6905" s="1" t="n">
        <v>45586</v>
      </c>
      <c r="C6905" s="1" t="n">
        <v>45744</v>
      </c>
      <c r="D6905" t="inlineStr">
        <is>
          <t>SKÅNE LÄN</t>
        </is>
      </c>
      <c r="E6905" t="inlineStr">
        <is>
          <t>KRISTIANSTAD</t>
        </is>
      </c>
      <c r="F6905" t="inlineStr">
        <is>
          <t>Övriga Aktiebolag</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47235-2024</t>
        </is>
      </c>
      <c r="B6906" s="1" t="n">
        <v>45586</v>
      </c>
      <c r="C6906" s="1" t="n">
        <v>45744</v>
      </c>
      <c r="D6906" t="inlineStr">
        <is>
          <t>SKÅNE LÄN</t>
        </is>
      </c>
      <c r="E6906" t="inlineStr">
        <is>
          <t>KRISTIANSTAD</t>
        </is>
      </c>
      <c r="F6906" t="inlineStr">
        <is>
          <t>Övriga Aktiebolag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47120-2024</t>
        </is>
      </c>
      <c r="B6907" s="1" t="n">
        <v>45586</v>
      </c>
      <c r="C6907" s="1" t="n">
        <v>45744</v>
      </c>
      <c r="D6907" t="inlineStr">
        <is>
          <t>SKÅNE LÄN</t>
        </is>
      </c>
      <c r="E6907" t="inlineStr">
        <is>
          <t>ÖSTRA GÖINGE</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47232-2024</t>
        </is>
      </c>
      <c r="B6908" s="1" t="n">
        <v>45586</v>
      </c>
      <c r="C6908" s="1" t="n">
        <v>45744</v>
      </c>
      <c r="D6908" t="inlineStr">
        <is>
          <t>SKÅNE LÄN</t>
        </is>
      </c>
      <c r="E6908" t="inlineStr">
        <is>
          <t>KRISTIANSTAD</t>
        </is>
      </c>
      <c r="F6908" t="inlineStr">
        <is>
          <t>Övriga Aktiebolag</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47228-2024</t>
        </is>
      </c>
      <c r="B6909" s="1" t="n">
        <v>45586</v>
      </c>
      <c r="C6909" s="1" t="n">
        <v>45744</v>
      </c>
      <c r="D6909" t="inlineStr">
        <is>
          <t>SKÅNE LÄN</t>
        </is>
      </c>
      <c r="E6909" t="inlineStr">
        <is>
          <t>KRISTIANSTAD</t>
        </is>
      </c>
      <c r="F6909" t="inlineStr">
        <is>
          <t>Övriga Aktiebolag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47223-2024</t>
        </is>
      </c>
      <c r="B6910" s="1" t="n">
        <v>45586</v>
      </c>
      <c r="C6910" s="1" t="n">
        <v>45744</v>
      </c>
      <c r="D6910" t="inlineStr">
        <is>
          <t>SKÅNE LÄN</t>
        </is>
      </c>
      <c r="E6910" t="inlineStr">
        <is>
          <t>KRISTIANSTAD</t>
        </is>
      </c>
      <c r="F6910" t="inlineStr">
        <is>
          <t>Övriga Aktiebolag</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46959-2024</t>
        </is>
      </c>
      <c r="B6911" s="1" t="n">
        <v>45586</v>
      </c>
      <c r="C6911" s="1" t="n">
        <v>45744</v>
      </c>
      <c r="D6911" t="inlineStr">
        <is>
          <t>SKÅNE LÄN</t>
        </is>
      </c>
      <c r="E6911" t="inlineStr">
        <is>
          <t>KRISTIANSTAD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47508-2024</t>
        </is>
      </c>
      <c r="B6912" s="1" t="n">
        <v>45587</v>
      </c>
      <c r="C6912" s="1" t="n">
        <v>45744</v>
      </c>
      <c r="D6912" t="inlineStr">
        <is>
          <t>SKÅNE LÄN</t>
        </is>
      </c>
      <c r="E6912" t="inlineStr">
        <is>
          <t>OSBY</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47390-2024</t>
        </is>
      </c>
      <c r="B6913" s="1" t="n">
        <v>45587</v>
      </c>
      <c r="C6913" s="1" t="n">
        <v>45744</v>
      </c>
      <c r="D6913" t="inlineStr">
        <is>
          <t>SKÅNE LÄN</t>
        </is>
      </c>
      <c r="E6913" t="inlineStr">
        <is>
          <t>OSBY</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47757-2024</t>
        </is>
      </c>
      <c r="B6914" s="1" t="n">
        <v>45588</v>
      </c>
      <c r="C6914" s="1" t="n">
        <v>45744</v>
      </c>
      <c r="D6914" t="inlineStr">
        <is>
          <t>SKÅNE LÄN</t>
        </is>
      </c>
      <c r="E6914" t="inlineStr">
        <is>
          <t>HÄSSLEHOLM</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47696-2024</t>
        </is>
      </c>
      <c r="B6915" s="1" t="n">
        <v>45588</v>
      </c>
      <c r="C6915" s="1" t="n">
        <v>45744</v>
      </c>
      <c r="D6915" t="inlineStr">
        <is>
          <t>SKÅNE LÄN</t>
        </is>
      </c>
      <c r="E6915" t="inlineStr">
        <is>
          <t>SVALÖV</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47687-2024</t>
        </is>
      </c>
      <c r="B6916" s="1" t="n">
        <v>45588</v>
      </c>
      <c r="C6916" s="1" t="n">
        <v>45744</v>
      </c>
      <c r="D6916" t="inlineStr">
        <is>
          <t>SKÅNE LÄN</t>
        </is>
      </c>
      <c r="E6916" t="inlineStr">
        <is>
          <t>SVALÖV</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47647-2024</t>
        </is>
      </c>
      <c r="B6917" s="1" t="n">
        <v>45588</v>
      </c>
      <c r="C6917" s="1" t="n">
        <v>45744</v>
      </c>
      <c r="D6917" t="inlineStr">
        <is>
          <t>SKÅNE LÄN</t>
        </is>
      </c>
      <c r="E6917" t="inlineStr">
        <is>
          <t>HÄSSLEHOLM</t>
        </is>
      </c>
      <c r="G6917" t="n">
        <v>6.5</v>
      </c>
      <c r="H6917" t="n">
        <v>0</v>
      </c>
      <c r="I6917" t="n">
        <v>0</v>
      </c>
      <c r="J6917" t="n">
        <v>0</v>
      </c>
      <c r="K6917" t="n">
        <v>0</v>
      </c>
      <c r="L6917" t="n">
        <v>0</v>
      </c>
      <c r="M6917" t="n">
        <v>0</v>
      </c>
      <c r="N6917" t="n">
        <v>0</v>
      </c>
      <c r="O6917" t="n">
        <v>0</v>
      </c>
      <c r="P6917" t="n">
        <v>0</v>
      </c>
      <c r="Q6917" t="n">
        <v>0</v>
      </c>
      <c r="R6917" s="2" t="inlineStr"/>
    </row>
    <row r="6918" ht="15" customHeight="1">
      <c r="A6918" t="inlineStr">
        <is>
          <t>A 47849-2024</t>
        </is>
      </c>
      <c r="B6918" s="1" t="n">
        <v>45588</v>
      </c>
      <c r="C6918" s="1" t="n">
        <v>45744</v>
      </c>
      <c r="D6918" t="inlineStr">
        <is>
          <t>SKÅNE LÄN</t>
        </is>
      </c>
      <c r="E6918" t="inlineStr">
        <is>
          <t>KLIPPAN</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47856-2024</t>
        </is>
      </c>
      <c r="B6919" s="1" t="n">
        <v>45588</v>
      </c>
      <c r="C6919" s="1" t="n">
        <v>45744</v>
      </c>
      <c r="D6919" t="inlineStr">
        <is>
          <t>SKÅNE LÄN</t>
        </is>
      </c>
      <c r="E6919" t="inlineStr">
        <is>
          <t>KLIPPAN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47843-2024</t>
        </is>
      </c>
      <c r="B6920" s="1" t="n">
        <v>45588</v>
      </c>
      <c r="C6920" s="1" t="n">
        <v>45744</v>
      </c>
      <c r="D6920" t="inlineStr">
        <is>
          <t>SKÅNE LÄN</t>
        </is>
      </c>
      <c r="E6920" t="inlineStr">
        <is>
          <t>OSBY</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47879-2024</t>
        </is>
      </c>
      <c r="B6921" s="1" t="n">
        <v>45588</v>
      </c>
      <c r="C6921" s="1" t="n">
        <v>45744</v>
      </c>
      <c r="D6921" t="inlineStr">
        <is>
          <t>SKÅNE LÄN</t>
        </is>
      </c>
      <c r="E6921" t="inlineStr">
        <is>
          <t>OSBY</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47880-2024</t>
        </is>
      </c>
      <c r="B6922" s="1" t="n">
        <v>45588</v>
      </c>
      <c r="C6922" s="1" t="n">
        <v>45744</v>
      </c>
      <c r="D6922" t="inlineStr">
        <is>
          <t>SKÅNE LÄN</t>
        </is>
      </c>
      <c r="E6922" t="inlineStr">
        <is>
          <t>OSBY</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47844-2024</t>
        </is>
      </c>
      <c r="B6923" s="1" t="n">
        <v>45588</v>
      </c>
      <c r="C6923" s="1" t="n">
        <v>45744</v>
      </c>
      <c r="D6923" t="inlineStr">
        <is>
          <t>SKÅNE LÄN</t>
        </is>
      </c>
      <c r="E6923" t="inlineStr">
        <is>
          <t>OSBY</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48126-2024</t>
        </is>
      </c>
      <c r="B6924" s="1" t="n">
        <v>45589</v>
      </c>
      <c r="C6924" s="1" t="n">
        <v>45744</v>
      </c>
      <c r="D6924" t="inlineStr">
        <is>
          <t>SKÅNE LÄN</t>
        </is>
      </c>
      <c r="E6924" t="inlineStr">
        <is>
          <t>OSBY</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48103-2024</t>
        </is>
      </c>
      <c r="B6925" s="1" t="n">
        <v>45589</v>
      </c>
      <c r="C6925" s="1" t="n">
        <v>45744</v>
      </c>
      <c r="D6925" t="inlineStr">
        <is>
          <t>SKÅNE LÄN</t>
        </is>
      </c>
      <c r="E6925" t="inlineStr">
        <is>
          <t>HÄSSLEHOLM</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48137-2024</t>
        </is>
      </c>
      <c r="B6926" s="1" t="n">
        <v>45589</v>
      </c>
      <c r="C6926" s="1" t="n">
        <v>45744</v>
      </c>
      <c r="D6926" t="inlineStr">
        <is>
          <t>SKÅNE LÄN</t>
        </is>
      </c>
      <c r="E6926" t="inlineStr">
        <is>
          <t>OSBY</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48169-2024</t>
        </is>
      </c>
      <c r="B6927" s="1" t="n">
        <v>45589</v>
      </c>
      <c r="C6927" s="1" t="n">
        <v>45744</v>
      </c>
      <c r="D6927" t="inlineStr">
        <is>
          <t>SKÅNE LÄN</t>
        </is>
      </c>
      <c r="E6927" t="inlineStr">
        <is>
          <t>HÖRBY</t>
        </is>
      </c>
      <c r="G6927" t="n">
        <v>13.7</v>
      </c>
      <c r="H6927" t="n">
        <v>0</v>
      </c>
      <c r="I6927" t="n">
        <v>0</v>
      </c>
      <c r="J6927" t="n">
        <v>0</v>
      </c>
      <c r="K6927" t="n">
        <v>0</v>
      </c>
      <c r="L6927" t="n">
        <v>0</v>
      </c>
      <c r="M6927" t="n">
        <v>0</v>
      </c>
      <c r="N6927" t="n">
        <v>0</v>
      </c>
      <c r="O6927" t="n">
        <v>0</v>
      </c>
      <c r="P6927" t="n">
        <v>0</v>
      </c>
      <c r="Q6927" t="n">
        <v>0</v>
      </c>
      <c r="R6927" s="2" t="inlineStr"/>
    </row>
    <row r="6928" ht="15" customHeight="1">
      <c r="A6928" t="inlineStr">
        <is>
          <t>A 48173-2024</t>
        </is>
      </c>
      <c r="B6928" s="1" t="n">
        <v>45589</v>
      </c>
      <c r="C6928" s="1" t="n">
        <v>45744</v>
      </c>
      <c r="D6928" t="inlineStr">
        <is>
          <t>SKÅNE LÄN</t>
        </is>
      </c>
      <c r="E6928" t="inlineStr">
        <is>
          <t>KRISTIANSTAD</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48181-2024</t>
        </is>
      </c>
      <c r="B6929" s="1" t="n">
        <v>45589</v>
      </c>
      <c r="C6929" s="1" t="n">
        <v>45744</v>
      </c>
      <c r="D6929" t="inlineStr">
        <is>
          <t>SKÅNE LÄN</t>
        </is>
      </c>
      <c r="E6929" t="inlineStr">
        <is>
          <t>BÅSTAD</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48112-2024</t>
        </is>
      </c>
      <c r="B6930" s="1" t="n">
        <v>45589</v>
      </c>
      <c r="C6930" s="1" t="n">
        <v>45744</v>
      </c>
      <c r="D6930" t="inlineStr">
        <is>
          <t>SKÅNE LÄN</t>
        </is>
      </c>
      <c r="E6930" t="inlineStr">
        <is>
          <t>HÄSSLEHOLM</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48132-2024</t>
        </is>
      </c>
      <c r="B6931" s="1" t="n">
        <v>45589</v>
      </c>
      <c r="C6931" s="1" t="n">
        <v>45744</v>
      </c>
      <c r="D6931" t="inlineStr">
        <is>
          <t>SKÅNE LÄN</t>
        </is>
      </c>
      <c r="E6931" t="inlineStr">
        <is>
          <t>OSBY</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48097-2024</t>
        </is>
      </c>
      <c r="B6932" s="1" t="n">
        <v>45589</v>
      </c>
      <c r="C6932" s="1" t="n">
        <v>45744</v>
      </c>
      <c r="D6932" t="inlineStr">
        <is>
          <t>SKÅNE LÄN</t>
        </is>
      </c>
      <c r="E6932" t="inlineStr">
        <is>
          <t>HÄSSLEHOLM</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47912-2024</t>
        </is>
      </c>
      <c r="B6933" s="1" t="n">
        <v>45589</v>
      </c>
      <c r="C6933" s="1" t="n">
        <v>45744</v>
      </c>
      <c r="D6933" t="inlineStr">
        <is>
          <t>SKÅNE LÄN</t>
        </is>
      </c>
      <c r="E6933" t="inlineStr">
        <is>
          <t>SJÖBO</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48180-2024</t>
        </is>
      </c>
      <c r="B6934" s="1" t="n">
        <v>45589</v>
      </c>
      <c r="C6934" s="1" t="n">
        <v>45744</v>
      </c>
      <c r="D6934" t="inlineStr">
        <is>
          <t>SKÅNE LÄN</t>
        </is>
      </c>
      <c r="E6934" t="inlineStr">
        <is>
          <t>KLIPPAN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48197-2024</t>
        </is>
      </c>
      <c r="B6935" s="1" t="n">
        <v>45590</v>
      </c>
      <c r="C6935" s="1" t="n">
        <v>45744</v>
      </c>
      <c r="D6935" t="inlineStr">
        <is>
          <t>SKÅNE LÄN</t>
        </is>
      </c>
      <c r="E6935" t="inlineStr">
        <is>
          <t>ÄNGELHOLM</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48617-2024</t>
        </is>
      </c>
      <c r="B6936" s="1" t="n">
        <v>45593</v>
      </c>
      <c r="C6936" s="1" t="n">
        <v>45744</v>
      </c>
      <c r="D6936" t="inlineStr">
        <is>
          <t>SKÅNE LÄN</t>
        </is>
      </c>
      <c r="E6936" t="inlineStr">
        <is>
          <t>SVEDALA</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48693-2024</t>
        </is>
      </c>
      <c r="B6937" s="1" t="n">
        <v>45593</v>
      </c>
      <c r="C6937" s="1" t="n">
        <v>45744</v>
      </c>
      <c r="D6937" t="inlineStr">
        <is>
          <t>SKÅNE LÄN</t>
        </is>
      </c>
      <c r="E6937" t="inlineStr">
        <is>
          <t>KRISTIANSTAD</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48556-2024</t>
        </is>
      </c>
      <c r="B6938" s="1" t="n">
        <v>45593</v>
      </c>
      <c r="C6938" s="1" t="n">
        <v>45744</v>
      </c>
      <c r="D6938" t="inlineStr">
        <is>
          <t>SKÅNE LÄN</t>
        </is>
      </c>
      <c r="E6938" t="inlineStr">
        <is>
          <t>HÄSSLEHOLM</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48733-2024</t>
        </is>
      </c>
      <c r="B6939" s="1" t="n">
        <v>45593</v>
      </c>
      <c r="C6939" s="1" t="n">
        <v>45744</v>
      </c>
      <c r="D6939" t="inlineStr">
        <is>
          <t>SKÅNE LÄN</t>
        </is>
      </c>
      <c r="E6939" t="inlineStr">
        <is>
          <t>KRISTIANSTAD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48771-2024</t>
        </is>
      </c>
      <c r="B6940" s="1" t="n">
        <v>45593</v>
      </c>
      <c r="C6940" s="1" t="n">
        <v>45744</v>
      </c>
      <c r="D6940" t="inlineStr">
        <is>
          <t>SKÅNE LÄN</t>
        </is>
      </c>
      <c r="E6940" t="inlineStr">
        <is>
          <t>HÄSSLEHOLM</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48795-2024</t>
        </is>
      </c>
      <c r="B6941" s="1" t="n">
        <v>45593</v>
      </c>
      <c r="C6941" s="1" t="n">
        <v>45744</v>
      </c>
      <c r="D6941" t="inlineStr">
        <is>
          <t>SKÅNE LÄN</t>
        </is>
      </c>
      <c r="E6941" t="inlineStr">
        <is>
          <t>HÄSSLEHOLM</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48743-2024</t>
        </is>
      </c>
      <c r="B6942" s="1" t="n">
        <v>45593</v>
      </c>
      <c r="C6942" s="1" t="n">
        <v>45744</v>
      </c>
      <c r="D6942" t="inlineStr">
        <is>
          <t>SKÅNE LÄN</t>
        </is>
      </c>
      <c r="E6942" t="inlineStr">
        <is>
          <t>ÄNGELHOLM</t>
        </is>
      </c>
      <c r="G6942" t="n">
        <v>11.3</v>
      </c>
      <c r="H6942" t="n">
        <v>0</v>
      </c>
      <c r="I6942" t="n">
        <v>0</v>
      </c>
      <c r="J6942" t="n">
        <v>0</v>
      </c>
      <c r="K6942" t="n">
        <v>0</v>
      </c>
      <c r="L6942" t="n">
        <v>0</v>
      </c>
      <c r="M6942" t="n">
        <v>0</v>
      </c>
      <c r="N6942" t="n">
        <v>0</v>
      </c>
      <c r="O6942" t="n">
        <v>0</v>
      </c>
      <c r="P6942" t="n">
        <v>0</v>
      </c>
      <c r="Q6942" t="n">
        <v>0</v>
      </c>
      <c r="R6942" s="2" t="inlineStr"/>
    </row>
    <row r="6943" ht="15" customHeight="1">
      <c r="A6943" t="inlineStr">
        <is>
          <t>A 48663-2024</t>
        </is>
      </c>
      <c r="B6943" s="1" t="n">
        <v>45593</v>
      </c>
      <c r="C6943" s="1" t="n">
        <v>45744</v>
      </c>
      <c r="D6943" t="inlineStr">
        <is>
          <t>SKÅNE LÄN</t>
        </is>
      </c>
      <c r="E6943" t="inlineStr">
        <is>
          <t>HÄSSLEHOLM</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48877-2024</t>
        </is>
      </c>
      <c r="B6944" s="1" t="n">
        <v>45594</v>
      </c>
      <c r="C6944" s="1" t="n">
        <v>45744</v>
      </c>
      <c r="D6944" t="inlineStr">
        <is>
          <t>SKÅNE LÄN</t>
        </is>
      </c>
      <c r="E6944" t="inlineStr">
        <is>
          <t>HÄSSLEHOLM</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48889-2024</t>
        </is>
      </c>
      <c r="B6945" s="1" t="n">
        <v>45594</v>
      </c>
      <c r="C6945" s="1" t="n">
        <v>45744</v>
      </c>
      <c r="D6945" t="inlineStr">
        <is>
          <t>SKÅNE LÄN</t>
        </is>
      </c>
      <c r="E6945" t="inlineStr">
        <is>
          <t>HÄSSLEHOLM</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48909-2024</t>
        </is>
      </c>
      <c r="B6946" s="1" t="n">
        <v>45594</v>
      </c>
      <c r="C6946" s="1" t="n">
        <v>45744</v>
      </c>
      <c r="D6946" t="inlineStr">
        <is>
          <t>SKÅNE LÄN</t>
        </is>
      </c>
      <c r="E6946" t="inlineStr">
        <is>
          <t>HÖÖR</t>
        </is>
      </c>
      <c r="G6946" t="n">
        <v>28.4</v>
      </c>
      <c r="H6946" t="n">
        <v>0</v>
      </c>
      <c r="I6946" t="n">
        <v>0</v>
      </c>
      <c r="J6946" t="n">
        <v>0</v>
      </c>
      <c r="K6946" t="n">
        <v>0</v>
      </c>
      <c r="L6946" t="n">
        <v>0</v>
      </c>
      <c r="M6946" t="n">
        <v>0</v>
      </c>
      <c r="N6946" t="n">
        <v>0</v>
      </c>
      <c r="O6946" t="n">
        <v>0</v>
      </c>
      <c r="P6946" t="n">
        <v>0</v>
      </c>
      <c r="Q6946" t="n">
        <v>0</v>
      </c>
      <c r="R6946" s="2" t="inlineStr"/>
    </row>
    <row r="6947" ht="15" customHeight="1">
      <c r="A6947" t="inlineStr">
        <is>
          <t>A 48921-2024</t>
        </is>
      </c>
      <c r="B6947" s="1" t="n">
        <v>45594</v>
      </c>
      <c r="C6947" s="1" t="n">
        <v>45744</v>
      </c>
      <c r="D6947" t="inlineStr">
        <is>
          <t>SKÅNE LÄN</t>
        </is>
      </c>
      <c r="E6947" t="inlineStr">
        <is>
          <t>HÖÖR</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49073-2024</t>
        </is>
      </c>
      <c r="B6948" s="1" t="n">
        <v>45594</v>
      </c>
      <c r="C6948" s="1" t="n">
        <v>45744</v>
      </c>
      <c r="D6948" t="inlineStr">
        <is>
          <t>SKÅNE LÄN</t>
        </is>
      </c>
      <c r="E6948" t="inlineStr">
        <is>
          <t>KLIPPAN</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49137-2024</t>
        </is>
      </c>
      <c r="B6949" s="1" t="n">
        <v>45594</v>
      </c>
      <c r="C6949" s="1" t="n">
        <v>45744</v>
      </c>
      <c r="D6949" t="inlineStr">
        <is>
          <t>SKÅNE LÄN</t>
        </is>
      </c>
      <c r="E6949" t="inlineStr">
        <is>
          <t>ESLÖV</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49181-2024</t>
        </is>
      </c>
      <c r="B6950" s="1" t="n">
        <v>45595</v>
      </c>
      <c r="C6950" s="1" t="n">
        <v>45744</v>
      </c>
      <c r="D6950" t="inlineStr">
        <is>
          <t>SKÅNE LÄN</t>
        </is>
      </c>
      <c r="E6950" t="inlineStr">
        <is>
          <t>HÄSSLEHOLM</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49193-2024</t>
        </is>
      </c>
      <c r="B6951" s="1" t="n">
        <v>45595</v>
      </c>
      <c r="C6951" s="1" t="n">
        <v>45744</v>
      </c>
      <c r="D6951" t="inlineStr">
        <is>
          <t>SKÅNE LÄN</t>
        </is>
      </c>
      <c r="E6951" t="inlineStr">
        <is>
          <t>HÄSSLEHOLM</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49206-2024</t>
        </is>
      </c>
      <c r="B6952" s="1" t="n">
        <v>45595</v>
      </c>
      <c r="C6952" s="1" t="n">
        <v>45744</v>
      </c>
      <c r="D6952" t="inlineStr">
        <is>
          <t>SKÅNE LÄN</t>
        </is>
      </c>
      <c r="E6952" t="inlineStr">
        <is>
          <t>ÄNGELHOLM</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49200-2024</t>
        </is>
      </c>
      <c r="B6953" s="1" t="n">
        <v>45595</v>
      </c>
      <c r="C6953" s="1" t="n">
        <v>45744</v>
      </c>
      <c r="D6953" t="inlineStr">
        <is>
          <t>SKÅNE LÄN</t>
        </is>
      </c>
      <c r="E6953" t="inlineStr">
        <is>
          <t>ÄNGELHOLM</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49199-2024</t>
        </is>
      </c>
      <c r="B6954" s="1" t="n">
        <v>45595</v>
      </c>
      <c r="C6954" s="1" t="n">
        <v>45744</v>
      </c>
      <c r="D6954" t="inlineStr">
        <is>
          <t>SKÅNE LÄN</t>
        </is>
      </c>
      <c r="E6954" t="inlineStr">
        <is>
          <t>HÄSSLEHOLM</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49219-2024</t>
        </is>
      </c>
      <c r="B6955" s="1" t="n">
        <v>45595</v>
      </c>
      <c r="C6955" s="1" t="n">
        <v>45744</v>
      </c>
      <c r="D6955" t="inlineStr">
        <is>
          <t>SKÅNE LÄN</t>
        </is>
      </c>
      <c r="E6955" t="inlineStr">
        <is>
          <t>HÄSSLEHOLM</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49362-2024</t>
        </is>
      </c>
      <c r="B6956" s="1" t="n">
        <v>45595</v>
      </c>
      <c r="C6956" s="1" t="n">
        <v>45744</v>
      </c>
      <c r="D6956" t="inlineStr">
        <is>
          <t>SKÅNE LÄN</t>
        </is>
      </c>
      <c r="E6956" t="inlineStr">
        <is>
          <t>ÖRKELLJUNGA</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49714-2024</t>
        </is>
      </c>
      <c r="B6957" s="1" t="n">
        <v>45596</v>
      </c>
      <c r="C6957" s="1" t="n">
        <v>45744</v>
      </c>
      <c r="D6957" t="inlineStr">
        <is>
          <t>SKÅNE LÄN</t>
        </is>
      </c>
      <c r="E6957" t="inlineStr">
        <is>
          <t>ÖSTRA GÖINGE</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49610-2024</t>
        </is>
      </c>
      <c r="B6958" s="1" t="n">
        <v>45596</v>
      </c>
      <c r="C6958" s="1" t="n">
        <v>45744</v>
      </c>
      <c r="D6958" t="inlineStr">
        <is>
          <t>SKÅNE LÄN</t>
        </is>
      </c>
      <c r="E6958" t="inlineStr">
        <is>
          <t>ÄNGELHOLM</t>
        </is>
      </c>
      <c r="G6958" t="n">
        <v>6.4</v>
      </c>
      <c r="H6958" t="n">
        <v>0</v>
      </c>
      <c r="I6958" t="n">
        <v>0</v>
      </c>
      <c r="J6958" t="n">
        <v>0</v>
      </c>
      <c r="K6958" t="n">
        <v>0</v>
      </c>
      <c r="L6958" t="n">
        <v>0</v>
      </c>
      <c r="M6958" t="n">
        <v>0</v>
      </c>
      <c r="N6958" t="n">
        <v>0</v>
      </c>
      <c r="O6958" t="n">
        <v>0</v>
      </c>
      <c r="P6958" t="n">
        <v>0</v>
      </c>
      <c r="Q6958" t="n">
        <v>0</v>
      </c>
      <c r="R6958" s="2" t="inlineStr"/>
    </row>
    <row r="6959" ht="15" customHeight="1">
      <c r="A6959" t="inlineStr">
        <is>
          <t>A 49559-2024</t>
        </is>
      </c>
      <c r="B6959" s="1" t="n">
        <v>45596</v>
      </c>
      <c r="C6959" s="1" t="n">
        <v>45744</v>
      </c>
      <c r="D6959" t="inlineStr">
        <is>
          <t>SKÅNE LÄN</t>
        </is>
      </c>
      <c r="E6959" t="inlineStr">
        <is>
          <t>HÄSSLEHOLM</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49824-2024</t>
        </is>
      </c>
      <c r="B6960" s="1" t="n">
        <v>45597</v>
      </c>
      <c r="C6960" s="1" t="n">
        <v>45744</v>
      </c>
      <c r="D6960" t="inlineStr">
        <is>
          <t>SKÅNE LÄN</t>
        </is>
      </c>
      <c r="E6960" t="inlineStr">
        <is>
          <t>HÄSSLEHOLM</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49751-2024</t>
        </is>
      </c>
      <c r="B6961" s="1" t="n">
        <v>45597</v>
      </c>
      <c r="C6961" s="1" t="n">
        <v>45744</v>
      </c>
      <c r="D6961" t="inlineStr">
        <is>
          <t>SKÅNE LÄN</t>
        </is>
      </c>
      <c r="E6961" t="inlineStr">
        <is>
          <t>SJÖBO</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49749-2024</t>
        </is>
      </c>
      <c r="B6962" s="1" t="n">
        <v>45597</v>
      </c>
      <c r="C6962" s="1" t="n">
        <v>45744</v>
      </c>
      <c r="D6962" t="inlineStr">
        <is>
          <t>SKÅNE LÄN</t>
        </is>
      </c>
      <c r="E6962" t="inlineStr">
        <is>
          <t>SJÖBO</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49851-2024</t>
        </is>
      </c>
      <c r="B6963" s="1" t="n">
        <v>45597</v>
      </c>
      <c r="C6963" s="1" t="n">
        <v>45744</v>
      </c>
      <c r="D6963" t="inlineStr">
        <is>
          <t>SKÅNE LÄN</t>
        </is>
      </c>
      <c r="E6963" t="inlineStr">
        <is>
          <t>OSBY</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49989-2024</t>
        </is>
      </c>
      <c r="B6964" s="1" t="n">
        <v>45597</v>
      </c>
      <c r="C6964" s="1" t="n">
        <v>45744</v>
      </c>
      <c r="D6964" t="inlineStr">
        <is>
          <t>SKÅNE LÄN</t>
        </is>
      </c>
      <c r="E6964" t="inlineStr">
        <is>
          <t>KLIPPAN</t>
        </is>
      </c>
      <c r="G6964" t="n">
        <v>6.1</v>
      </c>
      <c r="H6964" t="n">
        <v>0</v>
      </c>
      <c r="I6964" t="n">
        <v>0</v>
      </c>
      <c r="J6964" t="n">
        <v>0</v>
      </c>
      <c r="K6964" t="n">
        <v>0</v>
      </c>
      <c r="L6964" t="n">
        <v>0</v>
      </c>
      <c r="M6964" t="n">
        <v>0</v>
      </c>
      <c r="N6964" t="n">
        <v>0</v>
      </c>
      <c r="O6964" t="n">
        <v>0</v>
      </c>
      <c r="P6964" t="n">
        <v>0</v>
      </c>
      <c r="Q6964" t="n">
        <v>0</v>
      </c>
      <c r="R6964" s="2" t="inlineStr"/>
    </row>
    <row r="6965" ht="15" customHeight="1">
      <c r="A6965" t="inlineStr">
        <is>
          <t>A 49909-2024</t>
        </is>
      </c>
      <c r="B6965" s="1" t="n">
        <v>45597</v>
      </c>
      <c r="C6965" s="1" t="n">
        <v>45744</v>
      </c>
      <c r="D6965" t="inlineStr">
        <is>
          <t>SKÅNE LÄN</t>
        </is>
      </c>
      <c r="E6965" t="inlineStr">
        <is>
          <t>HÖÖR</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49791-2024</t>
        </is>
      </c>
      <c r="B6966" s="1" t="n">
        <v>45597</v>
      </c>
      <c r="C6966" s="1" t="n">
        <v>45744</v>
      </c>
      <c r="D6966" t="inlineStr">
        <is>
          <t>SKÅNE LÄN</t>
        </is>
      </c>
      <c r="E6966" t="inlineStr">
        <is>
          <t>HÄSSLEHOLM</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49746-2024</t>
        </is>
      </c>
      <c r="B6967" s="1" t="n">
        <v>45597</v>
      </c>
      <c r="C6967" s="1" t="n">
        <v>45744</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49750-2024</t>
        </is>
      </c>
      <c r="B6968" s="1" t="n">
        <v>45597</v>
      </c>
      <c r="C6968" s="1" t="n">
        <v>45744</v>
      </c>
      <c r="D6968" t="inlineStr">
        <is>
          <t>SKÅNE LÄN</t>
        </is>
      </c>
      <c r="E6968" t="inlineStr">
        <is>
          <t>SJÖBO</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50250-2024</t>
        </is>
      </c>
      <c r="B6969" s="1" t="n">
        <v>45600</v>
      </c>
      <c r="C6969" s="1" t="n">
        <v>45744</v>
      </c>
      <c r="D6969" t="inlineStr">
        <is>
          <t>SKÅNE LÄN</t>
        </is>
      </c>
      <c r="E6969" t="inlineStr">
        <is>
          <t>HÖÖR</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50244-2024</t>
        </is>
      </c>
      <c r="B6970" s="1" t="n">
        <v>45600</v>
      </c>
      <c r="C6970" s="1" t="n">
        <v>45744</v>
      </c>
      <c r="D6970" t="inlineStr">
        <is>
          <t>SKÅNE LÄN</t>
        </is>
      </c>
      <c r="E6970" t="inlineStr">
        <is>
          <t>HÄSSLEHOLM</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50134-2024</t>
        </is>
      </c>
      <c r="B6971" s="1" t="n">
        <v>45600</v>
      </c>
      <c r="C6971" s="1" t="n">
        <v>45744</v>
      </c>
      <c r="D6971" t="inlineStr">
        <is>
          <t>SKÅNE LÄN</t>
        </is>
      </c>
      <c r="E6971" t="inlineStr">
        <is>
          <t>SIMRISHAMN</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50138-2024</t>
        </is>
      </c>
      <c r="B6972" s="1" t="n">
        <v>45600</v>
      </c>
      <c r="C6972" s="1" t="n">
        <v>45744</v>
      </c>
      <c r="D6972" t="inlineStr">
        <is>
          <t>SKÅNE LÄN</t>
        </is>
      </c>
      <c r="E6972" t="inlineStr">
        <is>
          <t>SIMRISHAMN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50249-2024</t>
        </is>
      </c>
      <c r="B6973" s="1" t="n">
        <v>45600</v>
      </c>
      <c r="C6973" s="1" t="n">
        <v>45744</v>
      </c>
      <c r="D6973" t="inlineStr">
        <is>
          <t>SKÅNE LÄN</t>
        </is>
      </c>
      <c r="E6973" t="inlineStr">
        <is>
          <t>HÄSSLEHOLM</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50294-2024</t>
        </is>
      </c>
      <c r="B6974" s="1" t="n">
        <v>45600</v>
      </c>
      <c r="C6974" s="1" t="n">
        <v>45744</v>
      </c>
      <c r="D6974" t="inlineStr">
        <is>
          <t>SKÅNE LÄN</t>
        </is>
      </c>
      <c r="E6974" t="inlineStr">
        <is>
          <t>KRISTIANSTAD</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50543-2024</t>
        </is>
      </c>
      <c r="B6975" s="1" t="n">
        <v>45600</v>
      </c>
      <c r="C6975" s="1" t="n">
        <v>45744</v>
      </c>
      <c r="D6975" t="inlineStr">
        <is>
          <t>SKÅNE LÄN</t>
        </is>
      </c>
      <c r="E6975" t="inlineStr">
        <is>
          <t>KRISTIANSTAD</t>
        </is>
      </c>
      <c r="G6975" t="n">
        <v>9.5</v>
      </c>
      <c r="H6975" t="n">
        <v>0</v>
      </c>
      <c r="I6975" t="n">
        <v>0</v>
      </c>
      <c r="J6975" t="n">
        <v>0</v>
      </c>
      <c r="K6975" t="n">
        <v>0</v>
      </c>
      <c r="L6975" t="n">
        <v>0</v>
      </c>
      <c r="M6975" t="n">
        <v>0</v>
      </c>
      <c r="N6975" t="n">
        <v>0</v>
      </c>
      <c r="O6975" t="n">
        <v>0</v>
      </c>
      <c r="P6975" t="n">
        <v>0</v>
      </c>
      <c r="Q6975" t="n">
        <v>0</v>
      </c>
      <c r="R6975" s="2" t="inlineStr"/>
    </row>
    <row r="6976" ht="15" customHeight="1">
      <c r="A6976" t="inlineStr">
        <is>
          <t>A 50370-2024</t>
        </is>
      </c>
      <c r="B6976" s="1" t="n">
        <v>45601</v>
      </c>
      <c r="C6976" s="1" t="n">
        <v>45744</v>
      </c>
      <c r="D6976" t="inlineStr">
        <is>
          <t>SKÅNE LÄN</t>
        </is>
      </c>
      <c r="E6976" t="inlineStr">
        <is>
          <t>ÖSTRA GÖINGE</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50371-2024</t>
        </is>
      </c>
      <c r="B6977" s="1" t="n">
        <v>45601</v>
      </c>
      <c r="C6977" s="1" t="n">
        <v>45744</v>
      </c>
      <c r="D6977" t="inlineStr">
        <is>
          <t>SKÅNE LÄN</t>
        </is>
      </c>
      <c r="E6977" t="inlineStr">
        <is>
          <t>ÖSTRA GÖINGE</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50663-2024</t>
        </is>
      </c>
      <c r="B6978" s="1" t="n">
        <v>45601</v>
      </c>
      <c r="C6978" s="1" t="n">
        <v>45744</v>
      </c>
      <c r="D6978" t="inlineStr">
        <is>
          <t>SKÅNE LÄN</t>
        </is>
      </c>
      <c r="E6978" t="inlineStr">
        <is>
          <t>ÖSTRA GÖINGE</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50525-2024</t>
        </is>
      </c>
      <c r="B6979" s="1" t="n">
        <v>45601</v>
      </c>
      <c r="C6979" s="1" t="n">
        <v>45744</v>
      </c>
      <c r="D6979" t="inlineStr">
        <is>
          <t>SKÅNE LÄN</t>
        </is>
      </c>
      <c r="E6979" t="inlineStr">
        <is>
          <t>HÄSSLEHOLM</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50393-2024</t>
        </is>
      </c>
      <c r="B6980" s="1" t="n">
        <v>45601</v>
      </c>
      <c r="C6980" s="1" t="n">
        <v>45744</v>
      </c>
      <c r="D6980" t="inlineStr">
        <is>
          <t>SKÅNE LÄN</t>
        </is>
      </c>
      <c r="E6980" t="inlineStr">
        <is>
          <t>HÄSSLEHOLM</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50715-2024</t>
        </is>
      </c>
      <c r="B6981" s="1" t="n">
        <v>45602</v>
      </c>
      <c r="C6981" s="1" t="n">
        <v>45744</v>
      </c>
      <c r="D6981" t="inlineStr">
        <is>
          <t>SKÅNE LÄN</t>
        </is>
      </c>
      <c r="E6981" t="inlineStr">
        <is>
          <t>HÖRBY</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50899-2024</t>
        </is>
      </c>
      <c r="B6982" s="1" t="n">
        <v>45602</v>
      </c>
      <c r="C6982" s="1" t="n">
        <v>45744</v>
      </c>
      <c r="D6982" t="inlineStr">
        <is>
          <t>SKÅNE LÄN</t>
        </is>
      </c>
      <c r="E6982" t="inlineStr">
        <is>
          <t>HÄSSLEHOLM</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51250-2024</t>
        </is>
      </c>
      <c r="B6983" s="1" t="n">
        <v>45602</v>
      </c>
      <c r="C6983" s="1" t="n">
        <v>45744</v>
      </c>
      <c r="D6983" t="inlineStr">
        <is>
          <t>SKÅNE LÄN</t>
        </is>
      </c>
      <c r="E6983" t="inlineStr">
        <is>
          <t>PERSTORP</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50869-2024</t>
        </is>
      </c>
      <c r="B6984" s="1" t="n">
        <v>45602</v>
      </c>
      <c r="C6984" s="1" t="n">
        <v>45744</v>
      </c>
      <c r="D6984" t="inlineStr">
        <is>
          <t>SKÅNE LÄN</t>
        </is>
      </c>
      <c r="E6984" t="inlineStr">
        <is>
          <t>ÄNGELHOLM</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50897-2024</t>
        </is>
      </c>
      <c r="B6985" s="1" t="n">
        <v>45602</v>
      </c>
      <c r="C6985" s="1" t="n">
        <v>45744</v>
      </c>
      <c r="D6985" t="inlineStr">
        <is>
          <t>SKÅNE LÄN</t>
        </is>
      </c>
      <c r="E6985" t="inlineStr">
        <is>
          <t>ÖSTRA GÖINGE</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50917-2024</t>
        </is>
      </c>
      <c r="B6986" s="1" t="n">
        <v>45602</v>
      </c>
      <c r="C6986" s="1" t="n">
        <v>45744</v>
      </c>
      <c r="D6986" t="inlineStr">
        <is>
          <t>SKÅNE LÄN</t>
        </is>
      </c>
      <c r="E6986" t="inlineStr">
        <is>
          <t>PERSTORP</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51153-2024</t>
        </is>
      </c>
      <c r="B6987" s="1" t="n">
        <v>45603</v>
      </c>
      <c r="C6987" s="1" t="n">
        <v>45744</v>
      </c>
      <c r="D6987" t="inlineStr">
        <is>
          <t>SKÅNE LÄN</t>
        </is>
      </c>
      <c r="E6987" t="inlineStr">
        <is>
          <t>SJÖBO</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51212-2024</t>
        </is>
      </c>
      <c r="B6988" s="1" t="n">
        <v>45603</v>
      </c>
      <c r="C6988" s="1" t="n">
        <v>45744</v>
      </c>
      <c r="D6988" t="inlineStr">
        <is>
          <t>SKÅNE LÄN</t>
        </is>
      </c>
      <c r="E6988" t="inlineStr">
        <is>
          <t>PERSTORP</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51248-2024</t>
        </is>
      </c>
      <c r="B6989" s="1" t="n">
        <v>45603</v>
      </c>
      <c r="C6989" s="1" t="n">
        <v>45744</v>
      </c>
      <c r="D6989" t="inlineStr">
        <is>
          <t>SKÅNE LÄN</t>
        </is>
      </c>
      <c r="E6989" t="inlineStr">
        <is>
          <t>KRISTIANSTAD</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51262-2024</t>
        </is>
      </c>
      <c r="B6990" s="1" t="n">
        <v>45603</v>
      </c>
      <c r="C6990" s="1" t="n">
        <v>45744</v>
      </c>
      <c r="D6990" t="inlineStr">
        <is>
          <t>SKÅNE LÄN</t>
        </is>
      </c>
      <c r="E6990" t="inlineStr">
        <is>
          <t>OSBY</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51263-2024</t>
        </is>
      </c>
      <c r="B6991" s="1" t="n">
        <v>45603</v>
      </c>
      <c r="C6991" s="1" t="n">
        <v>45744</v>
      </c>
      <c r="D6991" t="inlineStr">
        <is>
          <t>SKÅNE LÄN</t>
        </is>
      </c>
      <c r="E6991" t="inlineStr">
        <is>
          <t>OSBY</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51040-2024</t>
        </is>
      </c>
      <c r="B6992" s="1" t="n">
        <v>45603</v>
      </c>
      <c r="C6992" s="1" t="n">
        <v>45744</v>
      </c>
      <c r="D6992" t="inlineStr">
        <is>
          <t>SKÅNE LÄN</t>
        </is>
      </c>
      <c r="E6992" t="inlineStr">
        <is>
          <t>HÄSSLEHOLM</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51276-2024</t>
        </is>
      </c>
      <c r="B6993" s="1" t="n">
        <v>45603</v>
      </c>
      <c r="C6993" s="1" t="n">
        <v>45744</v>
      </c>
      <c r="D6993" t="inlineStr">
        <is>
          <t>SKÅNE LÄN</t>
        </is>
      </c>
      <c r="E6993" t="inlineStr">
        <is>
          <t>KLIPPAN</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51129-2024</t>
        </is>
      </c>
      <c r="B6994" s="1" t="n">
        <v>45603</v>
      </c>
      <c r="C6994" s="1" t="n">
        <v>45744</v>
      </c>
      <c r="D6994" t="inlineStr">
        <is>
          <t>SKÅNE LÄN</t>
        </is>
      </c>
      <c r="E6994" t="inlineStr">
        <is>
          <t>ÄNGELHOLM</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51301-2024</t>
        </is>
      </c>
      <c r="B6995" s="1" t="n">
        <v>45604</v>
      </c>
      <c r="C6995" s="1" t="n">
        <v>45744</v>
      </c>
      <c r="D6995" t="inlineStr">
        <is>
          <t>SKÅNE LÄN</t>
        </is>
      </c>
      <c r="E6995" t="inlineStr">
        <is>
          <t>HÖÖR</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51358-2024</t>
        </is>
      </c>
      <c r="B6996" s="1" t="n">
        <v>45604</v>
      </c>
      <c r="C6996" s="1" t="n">
        <v>45744</v>
      </c>
      <c r="D6996" t="inlineStr">
        <is>
          <t>SKÅNE LÄN</t>
        </is>
      </c>
      <c r="E6996" t="inlineStr">
        <is>
          <t>HÄSSLEHOLM</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51618-2024</t>
        </is>
      </c>
      <c r="B6997" s="1" t="n">
        <v>45604</v>
      </c>
      <c r="C6997" s="1" t="n">
        <v>45744</v>
      </c>
      <c r="D6997" t="inlineStr">
        <is>
          <t>SKÅNE LÄN</t>
        </is>
      </c>
      <c r="E6997" t="inlineStr">
        <is>
          <t>HÄSSLEHOLM</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51633-2024</t>
        </is>
      </c>
      <c r="B6998" s="1" t="n">
        <v>45605</v>
      </c>
      <c r="C6998" s="1" t="n">
        <v>45744</v>
      </c>
      <c r="D6998" t="inlineStr">
        <is>
          <t>SKÅNE LÄN</t>
        </is>
      </c>
      <c r="E6998" t="inlineStr">
        <is>
          <t>OSBY</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51632-2024</t>
        </is>
      </c>
      <c r="B6999" s="1" t="n">
        <v>45605</v>
      </c>
      <c r="C6999" s="1" t="n">
        <v>45744</v>
      </c>
      <c r="D6999" t="inlineStr">
        <is>
          <t>SKÅNE LÄN</t>
        </is>
      </c>
      <c r="E6999" t="inlineStr">
        <is>
          <t>OSBY</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51646-2024</t>
        </is>
      </c>
      <c r="B7000" s="1" t="n">
        <v>45606</v>
      </c>
      <c r="C7000" s="1" t="n">
        <v>45744</v>
      </c>
      <c r="D7000" t="inlineStr">
        <is>
          <t>SKÅNE LÄN</t>
        </is>
      </c>
      <c r="E7000" t="inlineStr">
        <is>
          <t>OSBY</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51955-2024</t>
        </is>
      </c>
      <c r="B7001" s="1" t="n">
        <v>45607</v>
      </c>
      <c r="C7001" s="1" t="n">
        <v>45744</v>
      </c>
      <c r="D7001" t="inlineStr">
        <is>
          <t>SKÅNE LÄN</t>
        </is>
      </c>
      <c r="E7001" t="inlineStr">
        <is>
          <t>ÖSTRA GÖINGE</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52021-2024</t>
        </is>
      </c>
      <c r="B7002" s="1" t="n">
        <v>45607</v>
      </c>
      <c r="C7002" s="1" t="n">
        <v>45744</v>
      </c>
      <c r="D7002" t="inlineStr">
        <is>
          <t>SKÅNE LÄN</t>
        </is>
      </c>
      <c r="E7002" t="inlineStr">
        <is>
          <t>ÖSTRA GÖINGE</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52012-2024</t>
        </is>
      </c>
      <c r="B7003" s="1" t="n">
        <v>45607</v>
      </c>
      <c r="C7003" s="1" t="n">
        <v>45744</v>
      </c>
      <c r="D7003" t="inlineStr">
        <is>
          <t>SKÅNE LÄN</t>
        </is>
      </c>
      <c r="E7003" t="inlineStr">
        <is>
          <t>KRISTIANSTAD</t>
        </is>
      </c>
      <c r="F7003" t="inlineStr">
        <is>
          <t>Övriga Aktiebolag</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51859-2024</t>
        </is>
      </c>
      <c r="B7004" s="1" t="n">
        <v>45607</v>
      </c>
      <c r="C7004" s="1" t="n">
        <v>45744</v>
      </c>
      <c r="D7004" t="inlineStr">
        <is>
          <t>SKÅNE LÄN</t>
        </is>
      </c>
      <c r="E7004" t="inlineStr">
        <is>
          <t>OSBY</t>
        </is>
      </c>
      <c r="F7004" t="inlineStr">
        <is>
          <t>Sveaskog</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51917-2024</t>
        </is>
      </c>
      <c r="B7005" s="1" t="n">
        <v>45607</v>
      </c>
      <c r="C7005" s="1" t="n">
        <v>45744</v>
      </c>
      <c r="D7005" t="inlineStr">
        <is>
          <t>SKÅNE LÄN</t>
        </is>
      </c>
      <c r="E7005" t="inlineStr">
        <is>
          <t>KRISTIANSTAD</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52014-2024</t>
        </is>
      </c>
      <c r="B7006" s="1" t="n">
        <v>45607</v>
      </c>
      <c r="C7006" s="1" t="n">
        <v>45744</v>
      </c>
      <c r="D7006" t="inlineStr">
        <is>
          <t>SKÅNE LÄN</t>
        </is>
      </c>
      <c r="E7006" t="inlineStr">
        <is>
          <t>KRISTIANSTAD</t>
        </is>
      </c>
      <c r="F7006" t="inlineStr">
        <is>
          <t>Övriga Aktiebolag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51903-2024</t>
        </is>
      </c>
      <c r="B7007" s="1" t="n">
        <v>45607</v>
      </c>
      <c r="C7007" s="1" t="n">
        <v>45744</v>
      </c>
      <c r="D7007" t="inlineStr">
        <is>
          <t>SKÅNE LÄN</t>
        </is>
      </c>
      <c r="E7007" t="inlineStr">
        <is>
          <t>KRISTIANSTAD</t>
        </is>
      </c>
      <c r="F7007" t="inlineStr">
        <is>
          <t>Övriga Aktiebolag</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51898-2024</t>
        </is>
      </c>
      <c r="B7008" s="1" t="n">
        <v>45607</v>
      </c>
      <c r="C7008" s="1" t="n">
        <v>45744</v>
      </c>
      <c r="D7008" t="inlineStr">
        <is>
          <t>SKÅNE LÄN</t>
        </is>
      </c>
      <c r="E7008" t="inlineStr">
        <is>
          <t>KRISTIANSTAD</t>
        </is>
      </c>
      <c r="F7008" t="inlineStr">
        <is>
          <t>Övriga Aktiebolag</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51861-2024</t>
        </is>
      </c>
      <c r="B7009" s="1" t="n">
        <v>45607</v>
      </c>
      <c r="C7009" s="1" t="n">
        <v>45744</v>
      </c>
      <c r="D7009" t="inlineStr">
        <is>
          <t>SKÅNE LÄN</t>
        </is>
      </c>
      <c r="E7009" t="inlineStr">
        <is>
          <t>OSBY</t>
        </is>
      </c>
      <c r="F7009" t="inlineStr">
        <is>
          <t>Sveaskog</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51700-2024</t>
        </is>
      </c>
      <c r="B7010" s="1" t="n">
        <v>45607</v>
      </c>
      <c r="C7010" s="1" t="n">
        <v>45744</v>
      </c>
      <c r="D7010" t="inlineStr">
        <is>
          <t>SKÅNE LÄN</t>
        </is>
      </c>
      <c r="E7010" t="inlineStr">
        <is>
          <t>HÄSSLEHOLM</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51678-2024</t>
        </is>
      </c>
      <c r="B7011" s="1" t="n">
        <v>45607</v>
      </c>
      <c r="C7011" s="1" t="n">
        <v>45744</v>
      </c>
      <c r="D7011" t="inlineStr">
        <is>
          <t>SKÅNE LÄN</t>
        </is>
      </c>
      <c r="E7011" t="inlineStr">
        <is>
          <t>KRISTIANSTAD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52281-2024</t>
        </is>
      </c>
      <c r="B7012" s="1" t="n">
        <v>45608</v>
      </c>
      <c r="C7012" s="1" t="n">
        <v>45744</v>
      </c>
      <c r="D7012" t="inlineStr">
        <is>
          <t>SKÅNE LÄN</t>
        </is>
      </c>
      <c r="E7012" t="inlineStr">
        <is>
          <t>HÖÖR</t>
        </is>
      </c>
      <c r="G7012" t="n">
        <v>12.3</v>
      </c>
      <c r="H7012" t="n">
        <v>0</v>
      </c>
      <c r="I7012" t="n">
        <v>0</v>
      </c>
      <c r="J7012" t="n">
        <v>0</v>
      </c>
      <c r="K7012" t="n">
        <v>0</v>
      </c>
      <c r="L7012" t="n">
        <v>0</v>
      </c>
      <c r="M7012" t="n">
        <v>0</v>
      </c>
      <c r="N7012" t="n">
        <v>0</v>
      </c>
      <c r="O7012" t="n">
        <v>0</v>
      </c>
      <c r="P7012" t="n">
        <v>0</v>
      </c>
      <c r="Q7012" t="n">
        <v>0</v>
      </c>
      <c r="R7012" s="2" t="inlineStr"/>
    </row>
    <row r="7013" ht="15" customHeight="1">
      <c r="A7013" t="inlineStr">
        <is>
          <t>A 52282-2024</t>
        </is>
      </c>
      <c r="B7013" s="1" t="n">
        <v>45608</v>
      </c>
      <c r="C7013" s="1" t="n">
        <v>45744</v>
      </c>
      <c r="D7013" t="inlineStr">
        <is>
          <t>SKÅNE LÄN</t>
        </is>
      </c>
      <c r="E7013" t="inlineStr">
        <is>
          <t>OSBY</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52315-2024</t>
        </is>
      </c>
      <c r="B7014" s="1" t="n">
        <v>45608</v>
      </c>
      <c r="C7014" s="1" t="n">
        <v>45744</v>
      </c>
      <c r="D7014" t="inlineStr">
        <is>
          <t>SKÅNE LÄN</t>
        </is>
      </c>
      <c r="E7014" t="inlineStr">
        <is>
          <t>PERSTORP</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52107-2024</t>
        </is>
      </c>
      <c r="B7015" s="1" t="n">
        <v>45608</v>
      </c>
      <c r="C7015" s="1" t="n">
        <v>45744</v>
      </c>
      <c r="D7015" t="inlineStr">
        <is>
          <t>SKÅNE LÄN</t>
        </is>
      </c>
      <c r="E7015" t="inlineStr">
        <is>
          <t>KLIPPAN</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52067-2024</t>
        </is>
      </c>
      <c r="B7016" s="1" t="n">
        <v>45608</v>
      </c>
      <c r="C7016" s="1" t="n">
        <v>45744</v>
      </c>
      <c r="D7016" t="inlineStr">
        <is>
          <t>SKÅNE LÄN</t>
        </is>
      </c>
      <c r="E7016" t="inlineStr">
        <is>
          <t>KRISTIANSTAD</t>
        </is>
      </c>
      <c r="G7016" t="n">
        <v>9.699999999999999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52065-2024</t>
        </is>
      </c>
      <c r="B7017" s="1" t="n">
        <v>45608</v>
      </c>
      <c r="C7017" s="1" t="n">
        <v>45744</v>
      </c>
      <c r="D7017" t="inlineStr">
        <is>
          <t>SKÅNE LÄN</t>
        </is>
      </c>
      <c r="E7017" t="inlineStr">
        <is>
          <t>KRISTIANSTAD</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52060-2024</t>
        </is>
      </c>
      <c r="B7018" s="1" t="n">
        <v>45608</v>
      </c>
      <c r="C7018" s="1" t="n">
        <v>45744</v>
      </c>
      <c r="D7018" t="inlineStr">
        <is>
          <t>SKÅNE LÄN</t>
        </is>
      </c>
      <c r="E7018" t="inlineStr">
        <is>
          <t>KRISTIANSTAD</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52064-2024</t>
        </is>
      </c>
      <c r="B7019" s="1" t="n">
        <v>45608</v>
      </c>
      <c r="C7019" s="1" t="n">
        <v>45744</v>
      </c>
      <c r="D7019" t="inlineStr">
        <is>
          <t>SKÅNE LÄN</t>
        </is>
      </c>
      <c r="E7019" t="inlineStr">
        <is>
          <t>KRISTIANSTAD</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52316-2024</t>
        </is>
      </c>
      <c r="B7020" s="1" t="n">
        <v>45608</v>
      </c>
      <c r="C7020" s="1" t="n">
        <v>45744</v>
      </c>
      <c r="D7020" t="inlineStr">
        <is>
          <t>SKÅNE LÄN</t>
        </is>
      </c>
      <c r="E7020" t="inlineStr">
        <is>
          <t>ÖSTRA GÖINGE</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52409-2024</t>
        </is>
      </c>
      <c r="B7021" s="1" t="n">
        <v>45609</v>
      </c>
      <c r="C7021" s="1" t="n">
        <v>45744</v>
      </c>
      <c r="D7021" t="inlineStr">
        <is>
          <t>SKÅNE LÄN</t>
        </is>
      </c>
      <c r="E7021" t="inlineStr">
        <is>
          <t>OSBY</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52495-2024</t>
        </is>
      </c>
      <c r="B7022" s="1" t="n">
        <v>45609</v>
      </c>
      <c r="C7022" s="1" t="n">
        <v>45744</v>
      </c>
      <c r="D7022" t="inlineStr">
        <is>
          <t>SKÅNE LÄN</t>
        </is>
      </c>
      <c r="E7022" t="inlineStr">
        <is>
          <t>KRISTIANSTAD</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52412-2024</t>
        </is>
      </c>
      <c r="B7023" s="1" t="n">
        <v>45609</v>
      </c>
      <c r="C7023" s="1" t="n">
        <v>45744</v>
      </c>
      <c r="D7023" t="inlineStr">
        <is>
          <t>SKÅNE LÄN</t>
        </is>
      </c>
      <c r="E7023" t="inlineStr">
        <is>
          <t>OSBY</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52560-2024</t>
        </is>
      </c>
      <c r="B7024" s="1" t="n">
        <v>45609</v>
      </c>
      <c r="C7024" s="1" t="n">
        <v>45744</v>
      </c>
      <c r="D7024" t="inlineStr">
        <is>
          <t>SKÅNE LÄN</t>
        </is>
      </c>
      <c r="E7024" t="inlineStr">
        <is>
          <t>HÄSSLEHOLM</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52740-2024</t>
        </is>
      </c>
      <c r="B7025" s="1" t="n">
        <v>45610</v>
      </c>
      <c r="C7025" s="1" t="n">
        <v>45744</v>
      </c>
      <c r="D7025" t="inlineStr">
        <is>
          <t>SKÅNE LÄN</t>
        </is>
      </c>
      <c r="E7025" t="inlineStr">
        <is>
          <t>PERSTORP</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52819-2024</t>
        </is>
      </c>
      <c r="B7026" s="1" t="n">
        <v>45610</v>
      </c>
      <c r="C7026" s="1" t="n">
        <v>45744</v>
      </c>
      <c r="D7026" t="inlineStr">
        <is>
          <t>SKÅNE LÄN</t>
        </is>
      </c>
      <c r="E7026" t="inlineStr">
        <is>
          <t>HÄSSLEHOLM</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52824-2024</t>
        </is>
      </c>
      <c r="B7027" s="1" t="n">
        <v>45610</v>
      </c>
      <c r="C7027" s="1" t="n">
        <v>45744</v>
      </c>
      <c r="D7027" t="inlineStr">
        <is>
          <t>SKÅNE LÄN</t>
        </is>
      </c>
      <c r="E7027" t="inlineStr">
        <is>
          <t>HÄSSLEHOLM</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52851-2024</t>
        </is>
      </c>
      <c r="B7028" s="1" t="n">
        <v>45610</v>
      </c>
      <c r="C7028" s="1" t="n">
        <v>45744</v>
      </c>
      <c r="D7028" t="inlineStr">
        <is>
          <t>SKÅNE LÄN</t>
        </is>
      </c>
      <c r="E7028" t="inlineStr">
        <is>
          <t>KLIPPAN</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52867-2024</t>
        </is>
      </c>
      <c r="B7029" s="1" t="n">
        <v>45610</v>
      </c>
      <c r="C7029" s="1" t="n">
        <v>45744</v>
      </c>
      <c r="D7029" t="inlineStr">
        <is>
          <t>SKÅNE LÄN</t>
        </is>
      </c>
      <c r="E7029" t="inlineStr">
        <is>
          <t>KLIPPAN</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52871-2024</t>
        </is>
      </c>
      <c r="B7030" s="1" t="n">
        <v>45610</v>
      </c>
      <c r="C7030" s="1" t="n">
        <v>45744</v>
      </c>
      <c r="D7030" t="inlineStr">
        <is>
          <t>SKÅNE LÄN</t>
        </is>
      </c>
      <c r="E7030" t="inlineStr">
        <is>
          <t>KLIPPAN</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52876-2024</t>
        </is>
      </c>
      <c r="B7031" s="1" t="n">
        <v>45610</v>
      </c>
      <c r="C7031" s="1" t="n">
        <v>45744</v>
      </c>
      <c r="D7031" t="inlineStr">
        <is>
          <t>SKÅNE LÄN</t>
        </is>
      </c>
      <c r="E7031" t="inlineStr">
        <is>
          <t>ÖRKELLJUNGA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52838-2024</t>
        </is>
      </c>
      <c r="B7032" s="1" t="n">
        <v>45610</v>
      </c>
      <c r="C7032" s="1" t="n">
        <v>45744</v>
      </c>
      <c r="D7032" t="inlineStr">
        <is>
          <t>SKÅNE LÄN</t>
        </is>
      </c>
      <c r="E7032" t="inlineStr">
        <is>
          <t>KLIPPAN</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52882-2024</t>
        </is>
      </c>
      <c r="B7033" s="1" t="n">
        <v>45610</v>
      </c>
      <c r="C7033" s="1" t="n">
        <v>45744</v>
      </c>
      <c r="D7033" t="inlineStr">
        <is>
          <t>SKÅNE LÄN</t>
        </is>
      </c>
      <c r="E7033" t="inlineStr">
        <is>
          <t>KLIPPAN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53003-2024</t>
        </is>
      </c>
      <c r="B7034" s="1" t="n">
        <v>45610</v>
      </c>
      <c r="C7034" s="1" t="n">
        <v>45744</v>
      </c>
      <c r="D7034" t="inlineStr">
        <is>
          <t>SKÅNE LÄN</t>
        </is>
      </c>
      <c r="E7034" t="inlineStr">
        <is>
          <t>OSBY</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53126-2024</t>
        </is>
      </c>
      <c r="B7035" s="1" t="n">
        <v>45611</v>
      </c>
      <c r="C7035" s="1" t="n">
        <v>45744</v>
      </c>
      <c r="D7035" t="inlineStr">
        <is>
          <t>SKÅNE LÄN</t>
        </is>
      </c>
      <c r="E7035" t="inlineStr">
        <is>
          <t>HÄSSLEHOLM</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52959-2024</t>
        </is>
      </c>
      <c r="B7036" s="1" t="n">
        <v>45611</v>
      </c>
      <c r="C7036" s="1" t="n">
        <v>45744</v>
      </c>
      <c r="D7036" t="inlineStr">
        <is>
          <t>SKÅNE LÄN</t>
        </is>
      </c>
      <c r="E7036" t="inlineStr">
        <is>
          <t>SJÖBO</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52958-2024</t>
        </is>
      </c>
      <c r="B7037" s="1" t="n">
        <v>45611</v>
      </c>
      <c r="C7037" s="1" t="n">
        <v>45744</v>
      </c>
      <c r="D7037" t="inlineStr">
        <is>
          <t>SKÅNE LÄN</t>
        </is>
      </c>
      <c r="E7037" t="inlineStr">
        <is>
          <t>SJÖBO</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53466-2024</t>
        </is>
      </c>
      <c r="B7038" s="1" t="n">
        <v>45614</v>
      </c>
      <c r="C7038" s="1" t="n">
        <v>45744</v>
      </c>
      <c r="D7038" t="inlineStr">
        <is>
          <t>SKÅNE LÄN</t>
        </is>
      </c>
      <c r="E7038" t="inlineStr">
        <is>
          <t>HÄSSLEHOLM</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53610-2024</t>
        </is>
      </c>
      <c r="B7039" s="1" t="n">
        <v>45614</v>
      </c>
      <c r="C7039" s="1" t="n">
        <v>45744</v>
      </c>
      <c r="D7039" t="inlineStr">
        <is>
          <t>SKÅNE LÄN</t>
        </is>
      </c>
      <c r="E7039" t="inlineStr">
        <is>
          <t>ÖRKELLJUNGA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53473-2024</t>
        </is>
      </c>
      <c r="B7040" s="1" t="n">
        <v>45614</v>
      </c>
      <c r="C7040" s="1" t="n">
        <v>45744</v>
      </c>
      <c r="D7040" t="inlineStr">
        <is>
          <t>SKÅNE LÄN</t>
        </is>
      </c>
      <c r="E7040" t="inlineStr">
        <is>
          <t>ÖSTRA GÖINGE</t>
        </is>
      </c>
      <c r="G7040" t="n">
        <v>12.2</v>
      </c>
      <c r="H7040" t="n">
        <v>0</v>
      </c>
      <c r="I7040" t="n">
        <v>0</v>
      </c>
      <c r="J7040" t="n">
        <v>0</v>
      </c>
      <c r="K7040" t="n">
        <v>0</v>
      </c>
      <c r="L7040" t="n">
        <v>0</v>
      </c>
      <c r="M7040" t="n">
        <v>0</v>
      </c>
      <c r="N7040" t="n">
        <v>0</v>
      </c>
      <c r="O7040" t="n">
        <v>0</v>
      </c>
      <c r="P7040" t="n">
        <v>0</v>
      </c>
      <c r="Q7040" t="n">
        <v>0</v>
      </c>
      <c r="R7040" s="2" t="inlineStr"/>
    </row>
    <row r="7041" ht="15" customHeight="1">
      <c r="A7041" t="inlineStr">
        <is>
          <t>A 53361-2024</t>
        </is>
      </c>
      <c r="B7041" s="1" t="n">
        <v>45614</v>
      </c>
      <c r="C7041" s="1" t="n">
        <v>45744</v>
      </c>
      <c r="D7041" t="inlineStr">
        <is>
          <t>SKÅNE LÄN</t>
        </is>
      </c>
      <c r="E7041" t="inlineStr">
        <is>
          <t>KÄVLINGE</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53880-2024</t>
        </is>
      </c>
      <c r="B7042" s="1" t="n">
        <v>45615</v>
      </c>
      <c r="C7042" s="1" t="n">
        <v>45744</v>
      </c>
      <c r="D7042" t="inlineStr">
        <is>
          <t>SKÅNE LÄN</t>
        </is>
      </c>
      <c r="E7042" t="inlineStr">
        <is>
          <t>SVALÖV</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53688-2024</t>
        </is>
      </c>
      <c r="B7043" s="1" t="n">
        <v>45615</v>
      </c>
      <c r="C7043" s="1" t="n">
        <v>45744</v>
      </c>
      <c r="D7043" t="inlineStr">
        <is>
          <t>SKÅNE LÄN</t>
        </is>
      </c>
      <c r="E7043" t="inlineStr">
        <is>
          <t>ÖSTRA GÖINGE</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54127-2024</t>
        </is>
      </c>
      <c r="B7044" s="1" t="n">
        <v>45616</v>
      </c>
      <c r="C7044" s="1" t="n">
        <v>45744</v>
      </c>
      <c r="D7044" t="inlineStr">
        <is>
          <t>SKÅNE LÄN</t>
        </is>
      </c>
      <c r="E7044" t="inlineStr">
        <is>
          <t>OSBY</t>
        </is>
      </c>
      <c r="F7044" t="inlineStr">
        <is>
          <t>Kommuner</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54139-2024</t>
        </is>
      </c>
      <c r="B7045" s="1" t="n">
        <v>45616</v>
      </c>
      <c r="C7045" s="1" t="n">
        <v>45744</v>
      </c>
      <c r="D7045" t="inlineStr">
        <is>
          <t>SKÅNE LÄN</t>
        </is>
      </c>
      <c r="E7045" t="inlineStr">
        <is>
          <t>HÖÖR</t>
        </is>
      </c>
      <c r="G7045" t="n">
        <v>7.4</v>
      </c>
      <c r="H7045" t="n">
        <v>0</v>
      </c>
      <c r="I7045" t="n">
        <v>0</v>
      </c>
      <c r="J7045" t="n">
        <v>0</v>
      </c>
      <c r="K7045" t="n">
        <v>0</v>
      </c>
      <c r="L7045" t="n">
        <v>0</v>
      </c>
      <c r="M7045" t="n">
        <v>0</v>
      </c>
      <c r="N7045" t="n">
        <v>0</v>
      </c>
      <c r="O7045" t="n">
        <v>0</v>
      </c>
      <c r="P7045" t="n">
        <v>0</v>
      </c>
      <c r="Q7045" t="n">
        <v>0</v>
      </c>
      <c r="R7045" s="2" t="inlineStr"/>
    </row>
    <row r="7046" ht="15" customHeight="1">
      <c r="A7046" t="inlineStr">
        <is>
          <t>A 54118-2024</t>
        </is>
      </c>
      <c r="B7046" s="1" t="n">
        <v>45616</v>
      </c>
      <c r="C7046" s="1" t="n">
        <v>45744</v>
      </c>
      <c r="D7046" t="inlineStr">
        <is>
          <t>SKÅNE LÄN</t>
        </is>
      </c>
      <c r="E7046" t="inlineStr">
        <is>
          <t>HÖÖR</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53941-2024</t>
        </is>
      </c>
      <c r="B7047" s="1" t="n">
        <v>45616</v>
      </c>
      <c r="C7047" s="1" t="n">
        <v>45744</v>
      </c>
      <c r="D7047" t="inlineStr">
        <is>
          <t>SKÅNE LÄN</t>
        </is>
      </c>
      <c r="E7047" t="inlineStr">
        <is>
          <t>HÄSSLEHOLM</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54124-2024</t>
        </is>
      </c>
      <c r="B7048" s="1" t="n">
        <v>45616</v>
      </c>
      <c r="C7048" s="1" t="n">
        <v>45744</v>
      </c>
      <c r="D7048" t="inlineStr">
        <is>
          <t>SKÅNE LÄN</t>
        </is>
      </c>
      <c r="E7048" t="inlineStr">
        <is>
          <t>OSBY</t>
        </is>
      </c>
      <c r="F7048" t="inlineStr">
        <is>
          <t>Kommuner</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54128-2024</t>
        </is>
      </c>
      <c r="B7049" s="1" t="n">
        <v>45616</v>
      </c>
      <c r="C7049" s="1" t="n">
        <v>45744</v>
      </c>
      <c r="D7049" t="inlineStr">
        <is>
          <t>SKÅNE LÄN</t>
        </is>
      </c>
      <c r="E7049" t="inlineStr">
        <is>
          <t>HÖÖR</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54132-2024</t>
        </is>
      </c>
      <c r="B7050" s="1" t="n">
        <v>45616</v>
      </c>
      <c r="C7050" s="1" t="n">
        <v>45744</v>
      </c>
      <c r="D7050" t="inlineStr">
        <is>
          <t>SKÅNE LÄN</t>
        </is>
      </c>
      <c r="E7050" t="inlineStr">
        <is>
          <t>HÖÖR</t>
        </is>
      </c>
      <c r="G7050" t="n">
        <v>7.2</v>
      </c>
      <c r="H7050" t="n">
        <v>0</v>
      </c>
      <c r="I7050" t="n">
        <v>0</v>
      </c>
      <c r="J7050" t="n">
        <v>0</v>
      </c>
      <c r="K7050" t="n">
        <v>0</v>
      </c>
      <c r="L7050" t="n">
        <v>0</v>
      </c>
      <c r="M7050" t="n">
        <v>0</v>
      </c>
      <c r="N7050" t="n">
        <v>0</v>
      </c>
      <c r="O7050" t="n">
        <v>0</v>
      </c>
      <c r="P7050" t="n">
        <v>0</v>
      </c>
      <c r="Q7050" t="n">
        <v>0</v>
      </c>
      <c r="R7050" s="2" t="inlineStr"/>
    </row>
    <row r="7051" ht="15" customHeight="1">
      <c r="A7051" t="inlineStr">
        <is>
          <t>A 54193-2024</t>
        </is>
      </c>
      <c r="B7051" s="1" t="n">
        <v>45616</v>
      </c>
      <c r="C7051" s="1" t="n">
        <v>45744</v>
      </c>
      <c r="D7051" t="inlineStr">
        <is>
          <t>SKÅNE LÄN</t>
        </is>
      </c>
      <c r="E7051" t="inlineStr">
        <is>
          <t>HÖRBY</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54189-2024</t>
        </is>
      </c>
      <c r="B7052" s="1" t="n">
        <v>45616</v>
      </c>
      <c r="C7052" s="1" t="n">
        <v>45744</v>
      </c>
      <c r="D7052" t="inlineStr">
        <is>
          <t>SKÅNE LÄN</t>
        </is>
      </c>
      <c r="E7052" t="inlineStr">
        <is>
          <t>HÖRBY</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54184-2024</t>
        </is>
      </c>
      <c r="B7053" s="1" t="n">
        <v>45616</v>
      </c>
      <c r="C7053" s="1" t="n">
        <v>45744</v>
      </c>
      <c r="D7053" t="inlineStr">
        <is>
          <t>SKÅNE LÄN</t>
        </is>
      </c>
      <c r="E7053" t="inlineStr">
        <is>
          <t>HÖRBY</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54069-2024</t>
        </is>
      </c>
      <c r="B7054" s="1" t="n">
        <v>45616</v>
      </c>
      <c r="C7054" s="1" t="n">
        <v>45744</v>
      </c>
      <c r="D7054" t="inlineStr">
        <is>
          <t>SKÅNE LÄN</t>
        </is>
      </c>
      <c r="E7054" t="inlineStr">
        <is>
          <t>KRISTIANSTAD</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54303-2024</t>
        </is>
      </c>
      <c r="B7055" s="1" t="n">
        <v>45617</v>
      </c>
      <c r="C7055" s="1" t="n">
        <v>45744</v>
      </c>
      <c r="D7055" t="inlineStr">
        <is>
          <t>SKÅNE LÄN</t>
        </is>
      </c>
      <c r="E7055" t="inlineStr">
        <is>
          <t>SJÖBO</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54369-2024</t>
        </is>
      </c>
      <c r="B7056" s="1" t="n">
        <v>45617</v>
      </c>
      <c r="C7056" s="1" t="n">
        <v>45744</v>
      </c>
      <c r="D7056" t="inlineStr">
        <is>
          <t>SKÅNE LÄN</t>
        </is>
      </c>
      <c r="E7056" t="inlineStr">
        <is>
          <t>HÄSSLEHOLM</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54408-2024</t>
        </is>
      </c>
      <c r="B7057" s="1" t="n">
        <v>45617</v>
      </c>
      <c r="C7057" s="1" t="n">
        <v>45744</v>
      </c>
      <c r="D7057" t="inlineStr">
        <is>
          <t>SKÅNE LÄN</t>
        </is>
      </c>
      <c r="E7057" t="inlineStr">
        <is>
          <t>HÄSSLEHOLM</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54435-2024</t>
        </is>
      </c>
      <c r="B7058" s="1" t="n">
        <v>45617</v>
      </c>
      <c r="C7058" s="1" t="n">
        <v>45744</v>
      </c>
      <c r="D7058" t="inlineStr">
        <is>
          <t>SKÅNE LÄN</t>
        </is>
      </c>
      <c r="E7058" t="inlineStr">
        <is>
          <t>HÄSSLEHOLM</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54491-2024</t>
        </is>
      </c>
      <c r="B7059" s="1" t="n">
        <v>45617</v>
      </c>
      <c r="C7059" s="1" t="n">
        <v>45744</v>
      </c>
      <c r="D7059" t="inlineStr">
        <is>
          <t>SKÅNE LÄN</t>
        </is>
      </c>
      <c r="E7059" t="inlineStr">
        <is>
          <t>HÄSSLEHOLM</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54406-2024</t>
        </is>
      </c>
      <c r="B7060" s="1" t="n">
        <v>45617</v>
      </c>
      <c r="C7060" s="1" t="n">
        <v>45744</v>
      </c>
      <c r="D7060" t="inlineStr">
        <is>
          <t>SKÅNE LÄN</t>
        </is>
      </c>
      <c r="E7060" t="inlineStr">
        <is>
          <t>HÄSSLEHOLM</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54472-2024</t>
        </is>
      </c>
      <c r="B7061" s="1" t="n">
        <v>45617</v>
      </c>
      <c r="C7061" s="1" t="n">
        <v>45744</v>
      </c>
      <c r="D7061" t="inlineStr">
        <is>
          <t>SKÅNE LÄN</t>
        </is>
      </c>
      <c r="E7061" t="inlineStr">
        <is>
          <t>HÄSSLEHOLM</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54445-2024</t>
        </is>
      </c>
      <c r="B7062" s="1" t="n">
        <v>45617</v>
      </c>
      <c r="C7062" s="1" t="n">
        <v>45744</v>
      </c>
      <c r="D7062" t="inlineStr">
        <is>
          <t>SKÅNE LÄN</t>
        </is>
      </c>
      <c r="E7062" t="inlineStr">
        <is>
          <t>ÖSTRA GÖINGE</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54938-2024</t>
        </is>
      </c>
      <c r="B7063" s="1" t="n">
        <v>45618</v>
      </c>
      <c r="C7063" s="1" t="n">
        <v>45744</v>
      </c>
      <c r="D7063" t="inlineStr">
        <is>
          <t>SKÅNE LÄN</t>
        </is>
      </c>
      <c r="E7063" t="inlineStr">
        <is>
          <t>PERSTORP</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54711-2024</t>
        </is>
      </c>
      <c r="B7064" s="1" t="n">
        <v>45618</v>
      </c>
      <c r="C7064" s="1" t="n">
        <v>45744</v>
      </c>
      <c r="D7064" t="inlineStr">
        <is>
          <t>SKÅNE LÄN</t>
        </is>
      </c>
      <c r="E7064" t="inlineStr">
        <is>
          <t>HÖÖR</t>
        </is>
      </c>
      <c r="G7064" t="n">
        <v>5</v>
      </c>
      <c r="H7064" t="n">
        <v>0</v>
      </c>
      <c r="I7064" t="n">
        <v>0</v>
      </c>
      <c r="J7064" t="n">
        <v>0</v>
      </c>
      <c r="K7064" t="n">
        <v>0</v>
      </c>
      <c r="L7064" t="n">
        <v>0</v>
      </c>
      <c r="M7064" t="n">
        <v>0</v>
      </c>
      <c r="N7064" t="n">
        <v>0</v>
      </c>
      <c r="O7064" t="n">
        <v>0</v>
      </c>
      <c r="P7064" t="n">
        <v>0</v>
      </c>
      <c r="Q7064" t="n">
        <v>0</v>
      </c>
      <c r="R7064" s="2" t="inlineStr"/>
    </row>
    <row r="7065" ht="15" customHeight="1">
      <c r="A7065" t="inlineStr">
        <is>
          <t>A 54939-2024</t>
        </is>
      </c>
      <c r="B7065" s="1" t="n">
        <v>45618</v>
      </c>
      <c r="C7065" s="1" t="n">
        <v>45744</v>
      </c>
      <c r="D7065" t="inlineStr">
        <is>
          <t>SKÅNE LÄN</t>
        </is>
      </c>
      <c r="E7065" t="inlineStr">
        <is>
          <t>PERSTORP</t>
        </is>
      </c>
      <c r="G7065" t="n">
        <v>6</v>
      </c>
      <c r="H7065" t="n">
        <v>0</v>
      </c>
      <c r="I7065" t="n">
        <v>0</v>
      </c>
      <c r="J7065" t="n">
        <v>0</v>
      </c>
      <c r="K7065" t="n">
        <v>0</v>
      </c>
      <c r="L7065" t="n">
        <v>0</v>
      </c>
      <c r="M7065" t="n">
        <v>0</v>
      </c>
      <c r="N7065" t="n">
        <v>0</v>
      </c>
      <c r="O7065" t="n">
        <v>0</v>
      </c>
      <c r="P7065" t="n">
        <v>0</v>
      </c>
      <c r="Q7065" t="n">
        <v>0</v>
      </c>
      <c r="R7065" s="2" t="inlineStr"/>
    </row>
    <row r="7066" ht="15" customHeight="1">
      <c r="A7066" t="inlineStr">
        <is>
          <t>A 54822-2024</t>
        </is>
      </c>
      <c r="B7066" s="1" t="n">
        <v>45618</v>
      </c>
      <c r="C7066" s="1" t="n">
        <v>45744</v>
      </c>
      <c r="D7066" t="inlineStr">
        <is>
          <t>SKÅNE LÄN</t>
        </is>
      </c>
      <c r="E7066" t="inlineStr">
        <is>
          <t>KLIPPAN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54982-2024</t>
        </is>
      </c>
      <c r="B7067" s="1" t="n">
        <v>45620</v>
      </c>
      <c r="C7067" s="1" t="n">
        <v>45744</v>
      </c>
      <c r="D7067" t="inlineStr">
        <is>
          <t>SKÅNE LÄN</t>
        </is>
      </c>
      <c r="E7067" t="inlineStr">
        <is>
          <t>HÄSSLEHOLM</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55035-2024</t>
        </is>
      </c>
      <c r="B7068" s="1" t="n">
        <v>45621</v>
      </c>
      <c r="C7068" s="1" t="n">
        <v>45744</v>
      </c>
      <c r="D7068" t="inlineStr">
        <is>
          <t>SKÅNE LÄN</t>
        </is>
      </c>
      <c r="E7068" t="inlineStr">
        <is>
          <t>ÖRKELLJUNGA</t>
        </is>
      </c>
      <c r="G7068" t="n">
        <v>9.800000000000001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55303-2024</t>
        </is>
      </c>
      <c r="B7069" s="1" t="n">
        <v>45621</v>
      </c>
      <c r="C7069" s="1" t="n">
        <v>45744</v>
      </c>
      <c r="D7069" t="inlineStr">
        <is>
          <t>SKÅNE LÄN</t>
        </is>
      </c>
      <c r="E7069" t="inlineStr">
        <is>
          <t>HÄSSLEHOLM</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55200-2024</t>
        </is>
      </c>
      <c r="B7070" s="1" t="n">
        <v>45621</v>
      </c>
      <c r="C7070" s="1" t="n">
        <v>45744</v>
      </c>
      <c r="D7070" t="inlineStr">
        <is>
          <t>SKÅNE LÄN</t>
        </is>
      </c>
      <c r="E7070" t="inlineStr">
        <is>
          <t>ÖSTRA GÖINGE</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55204-2024</t>
        </is>
      </c>
      <c r="B7071" s="1" t="n">
        <v>45621</v>
      </c>
      <c r="C7071" s="1" t="n">
        <v>45744</v>
      </c>
      <c r="D7071" t="inlineStr">
        <is>
          <t>SKÅNE LÄN</t>
        </is>
      </c>
      <c r="E7071" t="inlineStr">
        <is>
          <t>ÖSTRA GÖINGE</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55499-2024</t>
        </is>
      </c>
      <c r="B7072" s="1" t="n">
        <v>45622</v>
      </c>
      <c r="C7072" s="1" t="n">
        <v>45744</v>
      </c>
      <c r="D7072" t="inlineStr">
        <is>
          <t>SKÅNE LÄN</t>
        </is>
      </c>
      <c r="E7072" t="inlineStr">
        <is>
          <t>KRISTIANSTAD</t>
        </is>
      </c>
      <c r="F7072" t="inlineStr">
        <is>
          <t>Övriga Aktiebolag</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55469-2024</t>
        </is>
      </c>
      <c r="B7073" s="1" t="n">
        <v>45622</v>
      </c>
      <c r="C7073" s="1" t="n">
        <v>45744</v>
      </c>
      <c r="D7073" t="inlineStr">
        <is>
          <t>SKÅNE LÄN</t>
        </is>
      </c>
      <c r="E7073" t="inlineStr">
        <is>
          <t>KRISTIANSTAD</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55454-2024</t>
        </is>
      </c>
      <c r="B7074" s="1" t="n">
        <v>45622</v>
      </c>
      <c r="C7074" s="1" t="n">
        <v>45744</v>
      </c>
      <c r="D7074" t="inlineStr">
        <is>
          <t>SKÅNE LÄN</t>
        </is>
      </c>
      <c r="E7074" t="inlineStr">
        <is>
          <t>ÖSTRA GÖINGE</t>
        </is>
      </c>
      <c r="F7074" t="inlineStr">
        <is>
          <t>Sveaskog</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55522-2024</t>
        </is>
      </c>
      <c r="B7075" s="1" t="n">
        <v>45622</v>
      </c>
      <c r="C7075" s="1" t="n">
        <v>45744</v>
      </c>
      <c r="D7075" t="inlineStr">
        <is>
          <t>SKÅNE LÄN</t>
        </is>
      </c>
      <c r="E7075" t="inlineStr">
        <is>
          <t>HÄSSLEHOLM</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55563-2024</t>
        </is>
      </c>
      <c r="B7076" s="1" t="n">
        <v>45622</v>
      </c>
      <c r="C7076" s="1" t="n">
        <v>45744</v>
      </c>
      <c r="D7076" t="inlineStr">
        <is>
          <t>SKÅNE LÄN</t>
        </is>
      </c>
      <c r="E7076" t="inlineStr">
        <is>
          <t>OSBY</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55577-2024</t>
        </is>
      </c>
      <c r="B7077" s="1" t="n">
        <v>45622</v>
      </c>
      <c r="C7077" s="1" t="n">
        <v>45744</v>
      </c>
      <c r="D7077" t="inlineStr">
        <is>
          <t>SKÅNE LÄN</t>
        </is>
      </c>
      <c r="E7077" t="inlineStr">
        <is>
          <t>HÄSSLEHOLM</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55703-2024</t>
        </is>
      </c>
      <c r="B7078" s="1" t="n">
        <v>45622</v>
      </c>
      <c r="C7078" s="1" t="n">
        <v>45744</v>
      </c>
      <c r="D7078" t="inlineStr">
        <is>
          <t>SKÅNE LÄN</t>
        </is>
      </c>
      <c r="E7078" t="inlineStr">
        <is>
          <t>ÖSTRA GÖINGE</t>
        </is>
      </c>
      <c r="F7078" t="inlineStr">
        <is>
          <t>Sveaskog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55464-2024</t>
        </is>
      </c>
      <c r="B7079" s="1" t="n">
        <v>45622</v>
      </c>
      <c r="C7079" s="1" t="n">
        <v>45744</v>
      </c>
      <c r="D7079" t="inlineStr">
        <is>
          <t>SKÅNE LÄN</t>
        </is>
      </c>
      <c r="E7079" t="inlineStr">
        <is>
          <t>ÖSTRA GÖINGE</t>
        </is>
      </c>
      <c r="F7079" t="inlineStr">
        <is>
          <t>Sveaskog</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55587-2024</t>
        </is>
      </c>
      <c r="B7080" s="1" t="n">
        <v>45622</v>
      </c>
      <c r="C7080" s="1" t="n">
        <v>45744</v>
      </c>
      <c r="D7080" t="inlineStr">
        <is>
          <t>SKÅNE LÄN</t>
        </is>
      </c>
      <c r="E7080" t="inlineStr">
        <is>
          <t>HÄSSLEHOLM</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55529-2024</t>
        </is>
      </c>
      <c r="B7081" s="1" t="n">
        <v>45622</v>
      </c>
      <c r="C7081" s="1" t="n">
        <v>45744</v>
      </c>
      <c r="D7081" t="inlineStr">
        <is>
          <t>SKÅNE LÄN</t>
        </is>
      </c>
      <c r="E7081" t="inlineStr">
        <is>
          <t>ÄNGELHOLM</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55712-2024</t>
        </is>
      </c>
      <c r="B7082" s="1" t="n">
        <v>45622</v>
      </c>
      <c r="C7082" s="1" t="n">
        <v>45744</v>
      </c>
      <c r="D7082" t="inlineStr">
        <is>
          <t>SKÅNE LÄN</t>
        </is>
      </c>
      <c r="E7082" t="inlineStr">
        <is>
          <t>ÖSTRA GÖINGE</t>
        </is>
      </c>
      <c r="F7082" t="inlineStr">
        <is>
          <t>Sveaskog</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55716-2024</t>
        </is>
      </c>
      <c r="B7083" s="1" t="n">
        <v>45622</v>
      </c>
      <c r="C7083" s="1" t="n">
        <v>45744</v>
      </c>
      <c r="D7083" t="inlineStr">
        <is>
          <t>SKÅNE LÄN</t>
        </is>
      </c>
      <c r="E7083" t="inlineStr">
        <is>
          <t>ÖSTRA GÖINGE</t>
        </is>
      </c>
      <c r="F7083" t="inlineStr">
        <is>
          <t>Sveaskog</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55901-2024</t>
        </is>
      </c>
      <c r="B7084" s="1" t="n">
        <v>45622</v>
      </c>
      <c r="C7084" s="1" t="n">
        <v>45744</v>
      </c>
      <c r="D7084" t="inlineStr">
        <is>
          <t>SKÅNE LÄN</t>
        </is>
      </c>
      <c r="E7084" t="inlineStr">
        <is>
          <t>BROMÖLLA</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55748-2024</t>
        </is>
      </c>
      <c r="B7085" s="1" t="n">
        <v>45623</v>
      </c>
      <c r="C7085" s="1" t="n">
        <v>45744</v>
      </c>
      <c r="D7085" t="inlineStr">
        <is>
          <t>SKÅNE LÄN</t>
        </is>
      </c>
      <c r="E7085" t="inlineStr">
        <is>
          <t>ÄNGELHOLM</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56062-2024</t>
        </is>
      </c>
      <c r="B7086" s="1" t="n">
        <v>45624</v>
      </c>
      <c r="C7086" s="1" t="n">
        <v>45744</v>
      </c>
      <c r="D7086" t="inlineStr">
        <is>
          <t>SKÅNE LÄN</t>
        </is>
      </c>
      <c r="E7086" t="inlineStr">
        <is>
          <t>HÄSSLEHOLM</t>
        </is>
      </c>
      <c r="F7086" t="inlineStr">
        <is>
          <t>Övriga Aktiebolag</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56153-2024</t>
        </is>
      </c>
      <c r="B7087" s="1" t="n">
        <v>45624</v>
      </c>
      <c r="C7087" s="1" t="n">
        <v>45744</v>
      </c>
      <c r="D7087" t="inlineStr">
        <is>
          <t>SKÅNE LÄN</t>
        </is>
      </c>
      <c r="E7087" t="inlineStr">
        <is>
          <t>HÄSSLEHOLM</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56065-2024</t>
        </is>
      </c>
      <c r="B7088" s="1" t="n">
        <v>45624</v>
      </c>
      <c r="C7088" s="1" t="n">
        <v>45744</v>
      </c>
      <c r="D7088" t="inlineStr">
        <is>
          <t>SKÅNE LÄN</t>
        </is>
      </c>
      <c r="E7088" t="inlineStr">
        <is>
          <t>HÄSSLEHOLM</t>
        </is>
      </c>
      <c r="F7088" t="inlineStr">
        <is>
          <t>Övriga Aktiebolag</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56069-2024</t>
        </is>
      </c>
      <c r="B7089" s="1" t="n">
        <v>45624</v>
      </c>
      <c r="C7089" s="1" t="n">
        <v>45744</v>
      </c>
      <c r="D7089" t="inlineStr">
        <is>
          <t>SKÅNE LÄN</t>
        </is>
      </c>
      <c r="E7089" t="inlineStr">
        <is>
          <t>HÄSSLEHOLM</t>
        </is>
      </c>
      <c r="F7089" t="inlineStr">
        <is>
          <t>Övriga Aktiebolag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56060-2024</t>
        </is>
      </c>
      <c r="B7090" s="1" t="n">
        <v>45624</v>
      </c>
      <c r="C7090" s="1" t="n">
        <v>45744</v>
      </c>
      <c r="D7090" t="inlineStr">
        <is>
          <t>SKÅNE LÄN</t>
        </is>
      </c>
      <c r="E7090" t="inlineStr">
        <is>
          <t>HÖRBY</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56072-2024</t>
        </is>
      </c>
      <c r="B7091" s="1" t="n">
        <v>45624</v>
      </c>
      <c r="C7091" s="1" t="n">
        <v>45744</v>
      </c>
      <c r="D7091" t="inlineStr">
        <is>
          <t>SKÅNE LÄN</t>
        </is>
      </c>
      <c r="E7091" t="inlineStr">
        <is>
          <t>HÄSSLEHOLM</t>
        </is>
      </c>
      <c r="F7091" t="inlineStr">
        <is>
          <t>Övriga Aktiebolag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56956-2024</t>
        </is>
      </c>
      <c r="B7092" s="1" t="n">
        <v>45626</v>
      </c>
      <c r="C7092" s="1" t="n">
        <v>45744</v>
      </c>
      <c r="D7092" t="inlineStr">
        <is>
          <t>SKÅNE LÄN</t>
        </is>
      </c>
      <c r="E7092" t="inlineStr">
        <is>
          <t>HÄSSLEHOLM</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56986-2024</t>
        </is>
      </c>
      <c r="B7093" s="1" t="n">
        <v>45626</v>
      </c>
      <c r="C7093" s="1" t="n">
        <v>45744</v>
      </c>
      <c r="D7093" t="inlineStr">
        <is>
          <t>SKÅNE LÄN</t>
        </is>
      </c>
      <c r="E7093" t="inlineStr">
        <is>
          <t>HÄSSLEHOLM</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56695-2024</t>
        </is>
      </c>
      <c r="B7094" s="1" t="n">
        <v>45627</v>
      </c>
      <c r="C7094" s="1" t="n">
        <v>45744</v>
      </c>
      <c r="D7094" t="inlineStr">
        <is>
          <t>SKÅNE LÄN</t>
        </is>
      </c>
      <c r="E7094" t="inlineStr">
        <is>
          <t>HÄSSLEHOLM</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56735-2024</t>
        </is>
      </c>
      <c r="B7095" s="1" t="n">
        <v>45628</v>
      </c>
      <c r="C7095" s="1" t="n">
        <v>45744</v>
      </c>
      <c r="D7095" t="inlineStr">
        <is>
          <t>SKÅNE LÄN</t>
        </is>
      </c>
      <c r="E7095" t="inlineStr">
        <is>
          <t>HÄSSLEHOLM</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56764-2024</t>
        </is>
      </c>
      <c r="B7096" s="1" t="n">
        <v>45628</v>
      </c>
      <c r="C7096" s="1" t="n">
        <v>45744</v>
      </c>
      <c r="D7096" t="inlineStr">
        <is>
          <t>SKÅNE LÄN</t>
        </is>
      </c>
      <c r="E7096" t="inlineStr">
        <is>
          <t>SIMRISHAMN</t>
        </is>
      </c>
      <c r="G7096" t="n">
        <v>7.5</v>
      </c>
      <c r="H7096" t="n">
        <v>0</v>
      </c>
      <c r="I7096" t="n">
        <v>0</v>
      </c>
      <c r="J7096" t="n">
        <v>0</v>
      </c>
      <c r="K7096" t="n">
        <v>0</v>
      </c>
      <c r="L7096" t="n">
        <v>0</v>
      </c>
      <c r="M7096" t="n">
        <v>0</v>
      </c>
      <c r="N7096" t="n">
        <v>0</v>
      </c>
      <c r="O7096" t="n">
        <v>0</v>
      </c>
      <c r="P7096" t="n">
        <v>0</v>
      </c>
      <c r="Q7096" t="n">
        <v>0</v>
      </c>
      <c r="R7096" s="2" t="inlineStr"/>
    </row>
    <row r="7097" ht="15" customHeight="1">
      <c r="A7097" t="inlineStr">
        <is>
          <t>A 56879-2024</t>
        </is>
      </c>
      <c r="B7097" s="1" t="n">
        <v>45628</v>
      </c>
      <c r="C7097" s="1" t="n">
        <v>45744</v>
      </c>
      <c r="D7097" t="inlineStr">
        <is>
          <t>SKÅNE LÄN</t>
        </is>
      </c>
      <c r="E7097" t="inlineStr">
        <is>
          <t>KLIPPAN</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56762-2024</t>
        </is>
      </c>
      <c r="B7098" s="1" t="n">
        <v>45628</v>
      </c>
      <c r="C7098" s="1" t="n">
        <v>45744</v>
      </c>
      <c r="D7098" t="inlineStr">
        <is>
          <t>SKÅNE LÄN</t>
        </is>
      </c>
      <c r="E7098" t="inlineStr">
        <is>
          <t>KRISTIANSTAD</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56820-2024</t>
        </is>
      </c>
      <c r="B7099" s="1" t="n">
        <v>45628</v>
      </c>
      <c r="C7099" s="1" t="n">
        <v>45744</v>
      </c>
      <c r="D7099" t="inlineStr">
        <is>
          <t>SKÅNE LÄN</t>
        </is>
      </c>
      <c r="E7099" t="inlineStr">
        <is>
          <t>SIMRISHAMN</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56947-2024</t>
        </is>
      </c>
      <c r="B7100" s="1" t="n">
        <v>45628</v>
      </c>
      <c r="C7100" s="1" t="n">
        <v>45744</v>
      </c>
      <c r="D7100" t="inlineStr">
        <is>
          <t>SKÅNE LÄN</t>
        </is>
      </c>
      <c r="E7100" t="inlineStr">
        <is>
          <t>SJÖBO</t>
        </is>
      </c>
      <c r="G7100" t="n">
        <v>8.5</v>
      </c>
      <c r="H7100" t="n">
        <v>0</v>
      </c>
      <c r="I7100" t="n">
        <v>0</v>
      </c>
      <c r="J7100" t="n">
        <v>0</v>
      </c>
      <c r="K7100" t="n">
        <v>0</v>
      </c>
      <c r="L7100" t="n">
        <v>0</v>
      </c>
      <c r="M7100" t="n">
        <v>0</v>
      </c>
      <c r="N7100" t="n">
        <v>0</v>
      </c>
      <c r="O7100" t="n">
        <v>0</v>
      </c>
      <c r="P7100" t="n">
        <v>0</v>
      </c>
      <c r="Q7100" t="n">
        <v>0</v>
      </c>
      <c r="R7100" s="2" t="inlineStr"/>
    </row>
    <row r="7101" ht="15" customHeight="1">
      <c r="A7101" t="inlineStr">
        <is>
          <t>A 56944-2024</t>
        </is>
      </c>
      <c r="B7101" s="1" t="n">
        <v>45628</v>
      </c>
      <c r="C7101" s="1" t="n">
        <v>45744</v>
      </c>
      <c r="D7101" t="inlineStr">
        <is>
          <t>SKÅNE LÄN</t>
        </is>
      </c>
      <c r="E7101" t="inlineStr">
        <is>
          <t>ESLÖV</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56998-2024</t>
        </is>
      </c>
      <c r="B7102" s="1" t="n">
        <v>45628</v>
      </c>
      <c r="C7102" s="1" t="n">
        <v>45744</v>
      </c>
      <c r="D7102" t="inlineStr">
        <is>
          <t>SKÅNE LÄN</t>
        </is>
      </c>
      <c r="E7102" t="inlineStr">
        <is>
          <t>OSBY</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56968-2024</t>
        </is>
      </c>
      <c r="B7103" s="1" t="n">
        <v>45628</v>
      </c>
      <c r="C7103" s="1" t="n">
        <v>45744</v>
      </c>
      <c r="D7103" t="inlineStr">
        <is>
          <t>SKÅNE LÄN</t>
        </is>
      </c>
      <c r="E7103" t="inlineStr">
        <is>
          <t>TOMELILLA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57181-2024</t>
        </is>
      </c>
      <c r="B7104" s="1" t="n">
        <v>45629</v>
      </c>
      <c r="C7104" s="1" t="n">
        <v>45744</v>
      </c>
      <c r="D7104" t="inlineStr">
        <is>
          <t>SKÅNE LÄN</t>
        </is>
      </c>
      <c r="E7104" t="inlineStr">
        <is>
          <t>BROMÖLLA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57381-2024</t>
        </is>
      </c>
      <c r="B7105" s="1" t="n">
        <v>45629</v>
      </c>
      <c r="C7105" s="1" t="n">
        <v>45744</v>
      </c>
      <c r="D7105" t="inlineStr">
        <is>
          <t>SKÅNE LÄN</t>
        </is>
      </c>
      <c r="E7105" t="inlineStr">
        <is>
          <t>BJUV</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57363-2024</t>
        </is>
      </c>
      <c r="B7106" s="1" t="n">
        <v>45629</v>
      </c>
      <c r="C7106" s="1" t="n">
        <v>45744</v>
      </c>
      <c r="D7106" t="inlineStr">
        <is>
          <t>SKÅNE LÄN</t>
        </is>
      </c>
      <c r="E7106" t="inlineStr">
        <is>
          <t>BJUV</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57391-2024</t>
        </is>
      </c>
      <c r="B7107" s="1" t="n">
        <v>45629</v>
      </c>
      <c r="C7107" s="1" t="n">
        <v>45744</v>
      </c>
      <c r="D7107" t="inlineStr">
        <is>
          <t>SKÅNE LÄN</t>
        </is>
      </c>
      <c r="E7107" t="inlineStr">
        <is>
          <t>BJUV</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57394-2024</t>
        </is>
      </c>
      <c r="B7108" s="1" t="n">
        <v>45629</v>
      </c>
      <c r="C7108" s="1" t="n">
        <v>45744</v>
      </c>
      <c r="D7108" t="inlineStr">
        <is>
          <t>SKÅNE LÄN</t>
        </is>
      </c>
      <c r="E7108" t="inlineStr">
        <is>
          <t>BJUV</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57444-2024</t>
        </is>
      </c>
      <c r="B7109" s="1" t="n">
        <v>45629</v>
      </c>
      <c r="C7109" s="1" t="n">
        <v>45744</v>
      </c>
      <c r="D7109" t="inlineStr">
        <is>
          <t>SKÅNE LÄN</t>
        </is>
      </c>
      <c r="E7109" t="inlineStr">
        <is>
          <t>KLIPPAN</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57491-2024</t>
        </is>
      </c>
      <c r="B7110" s="1" t="n">
        <v>45629</v>
      </c>
      <c r="C7110" s="1" t="n">
        <v>45744</v>
      </c>
      <c r="D7110" t="inlineStr">
        <is>
          <t>SKÅNE LÄN</t>
        </is>
      </c>
      <c r="E7110" t="inlineStr">
        <is>
          <t>HÄSSLEHOLM</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57647-2024</t>
        </is>
      </c>
      <c r="B7111" s="1" t="n">
        <v>45630</v>
      </c>
      <c r="C7111" s="1" t="n">
        <v>45744</v>
      </c>
      <c r="D7111" t="inlineStr">
        <is>
          <t>SKÅNE LÄN</t>
        </is>
      </c>
      <c r="E7111" t="inlineStr">
        <is>
          <t>HÄSSLEHOLM</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57710-2024</t>
        </is>
      </c>
      <c r="B7112" s="1" t="n">
        <v>45630</v>
      </c>
      <c r="C7112" s="1" t="n">
        <v>45744</v>
      </c>
      <c r="D7112" t="inlineStr">
        <is>
          <t>SKÅNE LÄN</t>
        </is>
      </c>
      <c r="E7112" t="inlineStr">
        <is>
          <t>OSBY</t>
        </is>
      </c>
      <c r="G7112" t="n">
        <v>9.5</v>
      </c>
      <c r="H7112" t="n">
        <v>0</v>
      </c>
      <c r="I7112" t="n">
        <v>0</v>
      </c>
      <c r="J7112" t="n">
        <v>0</v>
      </c>
      <c r="K7112" t="n">
        <v>0</v>
      </c>
      <c r="L7112" t="n">
        <v>0</v>
      </c>
      <c r="M7112" t="n">
        <v>0</v>
      </c>
      <c r="N7112" t="n">
        <v>0</v>
      </c>
      <c r="O7112" t="n">
        <v>0</v>
      </c>
      <c r="P7112" t="n">
        <v>0</v>
      </c>
      <c r="Q7112" t="n">
        <v>0</v>
      </c>
      <c r="R7112" s="2" t="inlineStr"/>
    </row>
    <row r="7113" ht="15" customHeight="1">
      <c r="A7113" t="inlineStr">
        <is>
          <t>A 57572-2024</t>
        </is>
      </c>
      <c r="B7113" s="1" t="n">
        <v>45630</v>
      </c>
      <c r="C7113" s="1" t="n">
        <v>45744</v>
      </c>
      <c r="D7113" t="inlineStr">
        <is>
          <t>SKÅNE LÄN</t>
        </is>
      </c>
      <c r="E7113" t="inlineStr">
        <is>
          <t>HÖRBY</t>
        </is>
      </c>
      <c r="G7113" t="n">
        <v>5.6</v>
      </c>
      <c r="H7113" t="n">
        <v>0</v>
      </c>
      <c r="I7113" t="n">
        <v>0</v>
      </c>
      <c r="J7113" t="n">
        <v>0</v>
      </c>
      <c r="K7113" t="n">
        <v>0</v>
      </c>
      <c r="L7113" t="n">
        <v>0</v>
      </c>
      <c r="M7113" t="n">
        <v>0</v>
      </c>
      <c r="N7113" t="n">
        <v>0</v>
      </c>
      <c r="O7113" t="n">
        <v>0</v>
      </c>
      <c r="P7113" t="n">
        <v>0</v>
      </c>
      <c r="Q7113" t="n">
        <v>0</v>
      </c>
      <c r="R7113" s="2" t="inlineStr"/>
    </row>
    <row r="7114" ht="15" customHeight="1">
      <c r="A7114" t="inlineStr">
        <is>
          <t>A 57584-2024</t>
        </is>
      </c>
      <c r="B7114" s="1" t="n">
        <v>45630</v>
      </c>
      <c r="C7114" s="1" t="n">
        <v>45744</v>
      </c>
      <c r="D7114" t="inlineStr">
        <is>
          <t>SKÅNE LÄN</t>
        </is>
      </c>
      <c r="E7114" t="inlineStr">
        <is>
          <t>HÖÖR</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57856-2024</t>
        </is>
      </c>
      <c r="B7115" s="1" t="n">
        <v>45630</v>
      </c>
      <c r="C7115" s="1" t="n">
        <v>45744</v>
      </c>
      <c r="D7115" t="inlineStr">
        <is>
          <t>SKÅNE LÄN</t>
        </is>
      </c>
      <c r="E7115" t="inlineStr">
        <is>
          <t>OSBY</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57839-2024</t>
        </is>
      </c>
      <c r="B7116" s="1" t="n">
        <v>45630</v>
      </c>
      <c r="C7116" s="1" t="n">
        <v>45744</v>
      </c>
      <c r="D7116" t="inlineStr">
        <is>
          <t>SKÅNE LÄN</t>
        </is>
      </c>
      <c r="E7116" t="inlineStr">
        <is>
          <t>OSBY</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57850-2024</t>
        </is>
      </c>
      <c r="B7117" s="1" t="n">
        <v>45630</v>
      </c>
      <c r="C7117" s="1" t="n">
        <v>45744</v>
      </c>
      <c r="D7117" t="inlineStr">
        <is>
          <t>SKÅNE LÄN</t>
        </is>
      </c>
      <c r="E7117" t="inlineStr">
        <is>
          <t>OSBY</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57782-2024</t>
        </is>
      </c>
      <c r="B7118" s="1" t="n">
        <v>45631</v>
      </c>
      <c r="C7118" s="1" t="n">
        <v>45744</v>
      </c>
      <c r="D7118" t="inlineStr">
        <is>
          <t>SKÅNE LÄN</t>
        </is>
      </c>
      <c r="E7118" t="inlineStr">
        <is>
          <t>OSBY</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57819-2024</t>
        </is>
      </c>
      <c r="B7119" s="1" t="n">
        <v>45631</v>
      </c>
      <c r="C7119" s="1" t="n">
        <v>45744</v>
      </c>
      <c r="D7119" t="inlineStr">
        <is>
          <t>SKÅNE LÄN</t>
        </is>
      </c>
      <c r="E7119" t="inlineStr">
        <is>
          <t>ÄNGELHOLM</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57923-2024</t>
        </is>
      </c>
      <c r="B7120" s="1" t="n">
        <v>45631</v>
      </c>
      <c r="C7120" s="1" t="n">
        <v>45744</v>
      </c>
      <c r="D7120" t="inlineStr">
        <is>
          <t>SKÅNE LÄN</t>
        </is>
      </c>
      <c r="E7120" t="inlineStr">
        <is>
          <t>ÄNGELHOLM</t>
        </is>
      </c>
      <c r="G7120" t="n">
        <v>6.7</v>
      </c>
      <c r="H7120" t="n">
        <v>0</v>
      </c>
      <c r="I7120" t="n">
        <v>0</v>
      </c>
      <c r="J7120" t="n">
        <v>0</v>
      </c>
      <c r="K7120" t="n">
        <v>0</v>
      </c>
      <c r="L7120" t="n">
        <v>0</v>
      </c>
      <c r="M7120" t="n">
        <v>0</v>
      </c>
      <c r="N7120" t="n">
        <v>0</v>
      </c>
      <c r="O7120" t="n">
        <v>0</v>
      </c>
      <c r="P7120" t="n">
        <v>0</v>
      </c>
      <c r="Q7120" t="n">
        <v>0</v>
      </c>
      <c r="R7120" s="2" t="inlineStr"/>
    </row>
    <row r="7121" ht="15" customHeight="1">
      <c r="A7121" t="inlineStr">
        <is>
          <t>A 57939-2024</t>
        </is>
      </c>
      <c r="B7121" s="1" t="n">
        <v>45631</v>
      </c>
      <c r="C7121" s="1" t="n">
        <v>45744</v>
      </c>
      <c r="D7121" t="inlineStr">
        <is>
          <t>SKÅNE LÄN</t>
        </is>
      </c>
      <c r="E7121" t="inlineStr">
        <is>
          <t>HÄSSLEHOLM</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58070-2024</t>
        </is>
      </c>
      <c r="B7122" s="1" t="n">
        <v>45632</v>
      </c>
      <c r="C7122" s="1" t="n">
        <v>45744</v>
      </c>
      <c r="D7122" t="inlineStr">
        <is>
          <t>SKÅNE LÄN</t>
        </is>
      </c>
      <c r="E7122" t="inlineStr">
        <is>
          <t>ÖSTRA GÖINGE</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58150-2024</t>
        </is>
      </c>
      <c r="B7123" s="1" t="n">
        <v>45632</v>
      </c>
      <c r="C7123" s="1" t="n">
        <v>45744</v>
      </c>
      <c r="D7123" t="inlineStr">
        <is>
          <t>SKÅNE LÄN</t>
        </is>
      </c>
      <c r="E7123" t="inlineStr">
        <is>
          <t>ÄNGELHOLM</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58154-2024</t>
        </is>
      </c>
      <c r="B7124" s="1" t="n">
        <v>45632</v>
      </c>
      <c r="C7124" s="1" t="n">
        <v>45744</v>
      </c>
      <c r="D7124" t="inlineStr">
        <is>
          <t>SKÅNE LÄN</t>
        </is>
      </c>
      <c r="E7124" t="inlineStr">
        <is>
          <t>OSBY</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58268-2024</t>
        </is>
      </c>
      <c r="B7125" s="1" t="n">
        <v>45632</v>
      </c>
      <c r="C7125" s="1" t="n">
        <v>45744</v>
      </c>
      <c r="D7125" t="inlineStr">
        <is>
          <t>SKÅNE LÄN</t>
        </is>
      </c>
      <c r="E7125" t="inlineStr">
        <is>
          <t>HÄSSLEHOLM</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58272-2024</t>
        </is>
      </c>
      <c r="B7126" s="1" t="n">
        <v>45632</v>
      </c>
      <c r="C7126" s="1" t="n">
        <v>45744</v>
      </c>
      <c r="D7126" t="inlineStr">
        <is>
          <t>SKÅNE LÄN</t>
        </is>
      </c>
      <c r="E7126" t="inlineStr">
        <is>
          <t>HÄSSLEHOLM</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58293-2024</t>
        </is>
      </c>
      <c r="B7127" s="1" t="n">
        <v>45632</v>
      </c>
      <c r="C7127" s="1" t="n">
        <v>45744</v>
      </c>
      <c r="D7127" t="inlineStr">
        <is>
          <t>SKÅNE LÄN</t>
        </is>
      </c>
      <c r="E7127" t="inlineStr">
        <is>
          <t>OSBY</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58344-2024</t>
        </is>
      </c>
      <c r="B7128" s="1" t="n">
        <v>45632</v>
      </c>
      <c r="C7128" s="1" t="n">
        <v>45744</v>
      </c>
      <c r="D7128" t="inlineStr">
        <is>
          <t>SKÅNE LÄN</t>
        </is>
      </c>
      <c r="E7128" t="inlineStr">
        <is>
          <t>OSBY</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58128-2024</t>
        </is>
      </c>
      <c r="B7129" s="1" t="n">
        <v>45632</v>
      </c>
      <c r="C7129" s="1" t="n">
        <v>45744</v>
      </c>
      <c r="D7129" t="inlineStr">
        <is>
          <t>SKÅNE LÄN</t>
        </is>
      </c>
      <c r="E7129" t="inlineStr">
        <is>
          <t>ÖSTRA GÖINGE</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58250-2024</t>
        </is>
      </c>
      <c r="B7130" s="1" t="n">
        <v>45632</v>
      </c>
      <c r="C7130" s="1" t="n">
        <v>45744</v>
      </c>
      <c r="D7130" t="inlineStr">
        <is>
          <t>SKÅNE LÄN</t>
        </is>
      </c>
      <c r="E7130" t="inlineStr">
        <is>
          <t>HÄSSLEHOLM</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58279-2024</t>
        </is>
      </c>
      <c r="B7131" s="1" t="n">
        <v>45632</v>
      </c>
      <c r="C7131" s="1" t="n">
        <v>45744</v>
      </c>
      <c r="D7131" t="inlineStr">
        <is>
          <t>SKÅNE LÄN</t>
        </is>
      </c>
      <c r="E7131" t="inlineStr">
        <is>
          <t>ÖSTRA GÖINGE</t>
        </is>
      </c>
      <c r="G7131" t="n">
        <v>9.4</v>
      </c>
      <c r="H7131" t="n">
        <v>0</v>
      </c>
      <c r="I7131" t="n">
        <v>0</v>
      </c>
      <c r="J7131" t="n">
        <v>0</v>
      </c>
      <c r="K7131" t="n">
        <v>0</v>
      </c>
      <c r="L7131" t="n">
        <v>0</v>
      </c>
      <c r="M7131" t="n">
        <v>0</v>
      </c>
      <c r="N7131" t="n">
        <v>0</v>
      </c>
      <c r="O7131" t="n">
        <v>0</v>
      </c>
      <c r="P7131" t="n">
        <v>0</v>
      </c>
      <c r="Q7131" t="n">
        <v>0</v>
      </c>
      <c r="R7131" s="2" t="inlineStr"/>
    </row>
    <row r="7132" ht="15" customHeight="1">
      <c r="A7132" t="inlineStr">
        <is>
          <t>A 58144-2024</t>
        </is>
      </c>
      <c r="B7132" s="1" t="n">
        <v>45632</v>
      </c>
      <c r="C7132" s="1" t="n">
        <v>45744</v>
      </c>
      <c r="D7132" t="inlineStr">
        <is>
          <t>SKÅNE LÄN</t>
        </is>
      </c>
      <c r="E7132" t="inlineStr">
        <is>
          <t>BÅSTAD</t>
        </is>
      </c>
      <c r="G7132" t="n">
        <v>8.9</v>
      </c>
      <c r="H7132" t="n">
        <v>0</v>
      </c>
      <c r="I7132" t="n">
        <v>0</v>
      </c>
      <c r="J7132" t="n">
        <v>0</v>
      </c>
      <c r="K7132" t="n">
        <v>0</v>
      </c>
      <c r="L7132" t="n">
        <v>0</v>
      </c>
      <c r="M7132" t="n">
        <v>0</v>
      </c>
      <c r="N7132" t="n">
        <v>0</v>
      </c>
      <c r="O7132" t="n">
        <v>0</v>
      </c>
      <c r="P7132" t="n">
        <v>0</v>
      </c>
      <c r="Q7132" t="n">
        <v>0</v>
      </c>
      <c r="R7132" s="2" t="inlineStr"/>
    </row>
    <row r="7133" ht="15" customHeight="1">
      <c r="A7133" t="inlineStr">
        <is>
          <t>A 58200-2024</t>
        </is>
      </c>
      <c r="B7133" s="1" t="n">
        <v>45632</v>
      </c>
      <c r="C7133" s="1" t="n">
        <v>45744</v>
      </c>
      <c r="D7133" t="inlineStr">
        <is>
          <t>SKÅNE LÄN</t>
        </is>
      </c>
      <c r="E7133" t="inlineStr">
        <is>
          <t>ÖRKELLJUNGA</t>
        </is>
      </c>
      <c r="G7133" t="n">
        <v>14.5</v>
      </c>
      <c r="H7133" t="n">
        <v>0</v>
      </c>
      <c r="I7133" t="n">
        <v>0</v>
      </c>
      <c r="J7133" t="n">
        <v>0</v>
      </c>
      <c r="K7133" t="n">
        <v>0</v>
      </c>
      <c r="L7133" t="n">
        <v>0</v>
      </c>
      <c r="M7133" t="n">
        <v>0</v>
      </c>
      <c r="N7133" t="n">
        <v>0</v>
      </c>
      <c r="O7133" t="n">
        <v>0</v>
      </c>
      <c r="P7133" t="n">
        <v>0</v>
      </c>
      <c r="Q7133" t="n">
        <v>0</v>
      </c>
      <c r="R7133" s="2" t="inlineStr"/>
    </row>
    <row r="7134" ht="15" customHeight="1">
      <c r="A7134" t="inlineStr">
        <is>
          <t>A 58489-2024</t>
        </is>
      </c>
      <c r="B7134" s="1" t="n">
        <v>45632</v>
      </c>
      <c r="C7134" s="1" t="n">
        <v>45744</v>
      </c>
      <c r="D7134" t="inlineStr">
        <is>
          <t>SKÅNE LÄN</t>
        </is>
      </c>
      <c r="E7134" t="inlineStr">
        <is>
          <t>HÄSSLEHOLM</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58518-2024</t>
        </is>
      </c>
      <c r="B7135" s="1" t="n">
        <v>45635</v>
      </c>
      <c r="C7135" s="1" t="n">
        <v>45744</v>
      </c>
      <c r="D7135" t="inlineStr">
        <is>
          <t>SKÅNE LÄN</t>
        </is>
      </c>
      <c r="E7135" t="inlineStr">
        <is>
          <t>ÖSTRA GÖINGE</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58747-2024</t>
        </is>
      </c>
      <c r="B7136" s="1" t="n">
        <v>45635</v>
      </c>
      <c r="C7136" s="1" t="n">
        <v>45744</v>
      </c>
      <c r="D7136" t="inlineStr">
        <is>
          <t>SKÅNE LÄN</t>
        </is>
      </c>
      <c r="E7136" t="inlineStr">
        <is>
          <t>OSBY</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58751-2024</t>
        </is>
      </c>
      <c r="B7137" s="1" t="n">
        <v>45635</v>
      </c>
      <c r="C7137" s="1" t="n">
        <v>45744</v>
      </c>
      <c r="D7137" t="inlineStr">
        <is>
          <t>SKÅNE LÄN</t>
        </is>
      </c>
      <c r="E7137" t="inlineStr">
        <is>
          <t>OSBY</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58618-2024</t>
        </is>
      </c>
      <c r="B7138" s="1" t="n">
        <v>45635</v>
      </c>
      <c r="C7138" s="1" t="n">
        <v>45744</v>
      </c>
      <c r="D7138" t="inlineStr">
        <is>
          <t>SKÅNE LÄN</t>
        </is>
      </c>
      <c r="E7138" t="inlineStr">
        <is>
          <t>HÄSSLEHOLM</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58740-2024</t>
        </is>
      </c>
      <c r="B7139" s="1" t="n">
        <v>45635</v>
      </c>
      <c r="C7139" s="1" t="n">
        <v>45744</v>
      </c>
      <c r="D7139" t="inlineStr">
        <is>
          <t>SKÅNE LÄN</t>
        </is>
      </c>
      <c r="E7139" t="inlineStr">
        <is>
          <t>OSBY</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58744-2024</t>
        </is>
      </c>
      <c r="B7140" s="1" t="n">
        <v>45635</v>
      </c>
      <c r="C7140" s="1" t="n">
        <v>45744</v>
      </c>
      <c r="D7140" t="inlineStr">
        <is>
          <t>SKÅNE LÄN</t>
        </is>
      </c>
      <c r="E7140" t="inlineStr">
        <is>
          <t>OSBY</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58745-2024</t>
        </is>
      </c>
      <c r="B7141" s="1" t="n">
        <v>45635</v>
      </c>
      <c r="C7141" s="1" t="n">
        <v>45744</v>
      </c>
      <c r="D7141" t="inlineStr">
        <is>
          <t>SKÅNE LÄN</t>
        </is>
      </c>
      <c r="E7141" t="inlineStr">
        <is>
          <t>OSBY</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58938-2024</t>
        </is>
      </c>
      <c r="B7142" s="1" t="n">
        <v>45636</v>
      </c>
      <c r="C7142" s="1" t="n">
        <v>45744</v>
      </c>
      <c r="D7142" t="inlineStr">
        <is>
          <t>SKÅNE LÄN</t>
        </is>
      </c>
      <c r="E7142" t="inlineStr">
        <is>
          <t>ÖSTRA GÖINGE</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58886-2024</t>
        </is>
      </c>
      <c r="B7143" s="1" t="n">
        <v>45636</v>
      </c>
      <c r="C7143" s="1" t="n">
        <v>45744</v>
      </c>
      <c r="D7143" t="inlineStr">
        <is>
          <t>SKÅNE LÄN</t>
        </is>
      </c>
      <c r="E7143" t="inlineStr">
        <is>
          <t>HÄSSLEHOLM</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58944-2024</t>
        </is>
      </c>
      <c r="B7144" s="1" t="n">
        <v>45636</v>
      </c>
      <c r="C7144" s="1" t="n">
        <v>45744</v>
      </c>
      <c r="D7144" t="inlineStr">
        <is>
          <t>SKÅNE LÄN</t>
        </is>
      </c>
      <c r="E7144" t="inlineStr">
        <is>
          <t>ÖSTRA GÖINGE</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59094-2024</t>
        </is>
      </c>
      <c r="B7145" s="1" t="n">
        <v>45636</v>
      </c>
      <c r="C7145" s="1" t="n">
        <v>45744</v>
      </c>
      <c r="D7145" t="inlineStr">
        <is>
          <t>SKÅNE LÄN</t>
        </is>
      </c>
      <c r="E7145" t="inlineStr">
        <is>
          <t>KRISTIANSTAD</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59246-2024</t>
        </is>
      </c>
      <c r="B7146" s="1" t="n">
        <v>45636</v>
      </c>
      <c r="C7146" s="1" t="n">
        <v>45744</v>
      </c>
      <c r="D7146" t="inlineStr">
        <is>
          <t>SKÅNE LÄN</t>
        </is>
      </c>
      <c r="E7146" t="inlineStr">
        <is>
          <t>HÄSSLEHOLM</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58883-2024</t>
        </is>
      </c>
      <c r="B7147" s="1" t="n">
        <v>45636</v>
      </c>
      <c r="C7147" s="1" t="n">
        <v>45744</v>
      </c>
      <c r="D7147" t="inlineStr">
        <is>
          <t>SKÅNE LÄN</t>
        </is>
      </c>
      <c r="E7147" t="inlineStr">
        <is>
          <t>HÄSSLEHOLM</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59030-2024</t>
        </is>
      </c>
      <c r="B7148" s="1" t="n">
        <v>45636</v>
      </c>
      <c r="C7148" s="1" t="n">
        <v>45744</v>
      </c>
      <c r="D7148" t="inlineStr">
        <is>
          <t>SKÅNE LÄN</t>
        </is>
      </c>
      <c r="E7148" t="inlineStr">
        <is>
          <t>HÄSSLEHOLM</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58888-2024</t>
        </is>
      </c>
      <c r="B7149" s="1" t="n">
        <v>45636</v>
      </c>
      <c r="C7149" s="1" t="n">
        <v>45744</v>
      </c>
      <c r="D7149" t="inlineStr">
        <is>
          <t>SKÅNE LÄN</t>
        </is>
      </c>
      <c r="E7149" t="inlineStr">
        <is>
          <t>HÄSSLEHOLM</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59153-2024</t>
        </is>
      </c>
      <c r="B7150" s="1" t="n">
        <v>45637</v>
      </c>
      <c r="C7150" s="1" t="n">
        <v>45744</v>
      </c>
      <c r="D7150" t="inlineStr">
        <is>
          <t>SKÅNE LÄN</t>
        </is>
      </c>
      <c r="E7150" t="inlineStr">
        <is>
          <t>HÄSSLEHOLM</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59480-2024</t>
        </is>
      </c>
      <c r="B7151" s="1" t="n">
        <v>45638</v>
      </c>
      <c r="C7151" s="1" t="n">
        <v>45744</v>
      </c>
      <c r="D7151" t="inlineStr">
        <is>
          <t>SKÅNE LÄN</t>
        </is>
      </c>
      <c r="E7151" t="inlineStr">
        <is>
          <t>KLIPPAN</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59554-2024</t>
        </is>
      </c>
      <c r="B7152" s="1" t="n">
        <v>45638</v>
      </c>
      <c r="C7152" s="1" t="n">
        <v>45744</v>
      </c>
      <c r="D7152" t="inlineStr">
        <is>
          <t>SKÅNE LÄN</t>
        </is>
      </c>
      <c r="E7152" t="inlineStr">
        <is>
          <t>ÖSTRA GÖINGE</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59471-2024</t>
        </is>
      </c>
      <c r="B7153" s="1" t="n">
        <v>45638</v>
      </c>
      <c r="C7153" s="1" t="n">
        <v>45744</v>
      </c>
      <c r="D7153" t="inlineStr">
        <is>
          <t>SKÅNE LÄN</t>
        </is>
      </c>
      <c r="E7153" t="inlineStr">
        <is>
          <t>BJUV</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59369-2024</t>
        </is>
      </c>
      <c r="B7154" s="1" t="n">
        <v>45638</v>
      </c>
      <c r="C7154" s="1" t="n">
        <v>45744</v>
      </c>
      <c r="D7154" t="inlineStr">
        <is>
          <t>SKÅNE LÄN</t>
        </is>
      </c>
      <c r="E7154" t="inlineStr">
        <is>
          <t>ÖSTRA GÖINGE</t>
        </is>
      </c>
      <c r="G7154" t="n">
        <v>3.2</v>
      </c>
      <c r="H7154" t="n">
        <v>0</v>
      </c>
      <c r="I7154" t="n">
        <v>0</v>
      </c>
      <c r="J7154" t="n">
        <v>0</v>
      </c>
      <c r="K7154" t="n">
        <v>0</v>
      </c>
      <c r="L7154" t="n">
        <v>0</v>
      </c>
      <c r="M7154" t="n">
        <v>0</v>
      </c>
      <c r="N7154" t="n">
        <v>0</v>
      </c>
      <c r="O7154" t="n">
        <v>0</v>
      </c>
      <c r="P7154" t="n">
        <v>0</v>
      </c>
      <c r="Q7154" t="n">
        <v>0</v>
      </c>
      <c r="R7154" s="2" t="inlineStr"/>
      <c r="U7154">
        <f>HYPERLINK("https://klasma.github.io/Logging_1256/knärot/A 59369-2024 karta knärot.png", "A 59369-2024")</f>
        <v/>
      </c>
      <c r="V7154">
        <f>HYPERLINK("https://klasma.github.io/Logging_1256/klagomål/A 59369-2024 FSC-klagomål.docx", "A 59369-2024")</f>
        <v/>
      </c>
      <c r="W7154">
        <f>HYPERLINK("https://klasma.github.io/Logging_1256/klagomålsmail/A 59369-2024 FSC-klagomål mail.docx", "A 59369-2024")</f>
        <v/>
      </c>
      <c r="X7154">
        <f>HYPERLINK("https://klasma.github.io/Logging_1256/tillsyn/A 59369-2024 tillsynsbegäran.docx", "A 59369-2024")</f>
        <v/>
      </c>
      <c r="Y7154">
        <f>HYPERLINK("https://klasma.github.io/Logging_1256/tillsynsmail/A 59369-2024 tillsynsbegäran mail.docx", "A 59369-2024")</f>
        <v/>
      </c>
    </row>
    <row r="7155" ht="15" customHeight="1">
      <c r="A7155" t="inlineStr">
        <is>
          <t>A 59374-2024</t>
        </is>
      </c>
      <c r="B7155" s="1" t="n">
        <v>45638</v>
      </c>
      <c r="C7155" s="1" t="n">
        <v>45744</v>
      </c>
      <c r="D7155" t="inlineStr">
        <is>
          <t>SKÅNE LÄN</t>
        </is>
      </c>
      <c r="E7155" t="inlineStr">
        <is>
          <t>ÖSTRA GÖINGE</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59363-2024</t>
        </is>
      </c>
      <c r="B7156" s="1" t="n">
        <v>45638</v>
      </c>
      <c r="C7156" s="1" t="n">
        <v>45744</v>
      </c>
      <c r="D7156" t="inlineStr">
        <is>
          <t>SKÅNE LÄN</t>
        </is>
      </c>
      <c r="E7156" t="inlineStr">
        <is>
          <t>ÖSTRA GÖINGE</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59359-2024</t>
        </is>
      </c>
      <c r="B7157" s="1" t="n">
        <v>45638</v>
      </c>
      <c r="C7157" s="1" t="n">
        <v>45744</v>
      </c>
      <c r="D7157" t="inlineStr">
        <is>
          <t>SKÅNE LÄN</t>
        </is>
      </c>
      <c r="E7157" t="inlineStr">
        <is>
          <t>ÖSTRA GÖINGE</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59355-2024</t>
        </is>
      </c>
      <c r="B7158" s="1" t="n">
        <v>45638</v>
      </c>
      <c r="C7158" s="1" t="n">
        <v>45744</v>
      </c>
      <c r="D7158" t="inlineStr">
        <is>
          <t>SKÅNE LÄN</t>
        </is>
      </c>
      <c r="E7158" t="inlineStr">
        <is>
          <t>ÖSTRA GÖINGE</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59482-2024</t>
        </is>
      </c>
      <c r="B7159" s="1" t="n">
        <v>45638</v>
      </c>
      <c r="C7159" s="1" t="n">
        <v>45744</v>
      </c>
      <c r="D7159" t="inlineStr">
        <is>
          <t>SKÅNE LÄN</t>
        </is>
      </c>
      <c r="E7159" t="inlineStr">
        <is>
          <t>KLIPPAN</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59380-2024</t>
        </is>
      </c>
      <c r="B7160" s="1" t="n">
        <v>45638</v>
      </c>
      <c r="C7160" s="1" t="n">
        <v>45744</v>
      </c>
      <c r="D7160" t="inlineStr">
        <is>
          <t>SKÅNE LÄN</t>
        </is>
      </c>
      <c r="E7160" t="inlineStr">
        <is>
          <t>ÖRKELLJUNGA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59717-2024</t>
        </is>
      </c>
      <c r="B7161" s="1" t="n">
        <v>45639</v>
      </c>
      <c r="C7161" s="1" t="n">
        <v>45744</v>
      </c>
      <c r="D7161" t="inlineStr">
        <is>
          <t>SKÅNE LÄN</t>
        </is>
      </c>
      <c r="E7161" t="inlineStr">
        <is>
          <t>SIMRISHAMN</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60213-2024</t>
        </is>
      </c>
      <c r="B7162" s="1" t="n">
        <v>45642</v>
      </c>
      <c r="C7162" s="1" t="n">
        <v>45744</v>
      </c>
      <c r="D7162" t="inlineStr">
        <is>
          <t>SKÅNE LÄN</t>
        </is>
      </c>
      <c r="E7162" t="inlineStr">
        <is>
          <t>BROMÖLLA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60271-2024</t>
        </is>
      </c>
      <c r="B7163" s="1" t="n">
        <v>45642</v>
      </c>
      <c r="C7163" s="1" t="n">
        <v>45744</v>
      </c>
      <c r="D7163" t="inlineStr">
        <is>
          <t>SKÅNE LÄN</t>
        </is>
      </c>
      <c r="E7163" t="inlineStr">
        <is>
          <t>ÖRKELLJUNGA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60216-2024</t>
        </is>
      </c>
      <c r="B7164" s="1" t="n">
        <v>45642</v>
      </c>
      <c r="C7164" s="1" t="n">
        <v>45744</v>
      </c>
      <c r="D7164" t="inlineStr">
        <is>
          <t>SKÅNE LÄN</t>
        </is>
      </c>
      <c r="E7164" t="inlineStr">
        <is>
          <t>KRISTIANSTAD</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60048-2024</t>
        </is>
      </c>
      <c r="B7165" s="1" t="n">
        <v>45642</v>
      </c>
      <c r="C7165" s="1" t="n">
        <v>45744</v>
      </c>
      <c r="D7165" t="inlineStr">
        <is>
          <t>SKÅNE LÄN</t>
        </is>
      </c>
      <c r="E7165" t="inlineStr">
        <is>
          <t>OSBY</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60031-2024</t>
        </is>
      </c>
      <c r="B7166" s="1" t="n">
        <v>45642</v>
      </c>
      <c r="C7166" s="1" t="n">
        <v>45744</v>
      </c>
      <c r="D7166" t="inlineStr">
        <is>
          <t>SKÅNE LÄN</t>
        </is>
      </c>
      <c r="E7166" t="inlineStr">
        <is>
          <t>OSBY</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59966-2024</t>
        </is>
      </c>
      <c r="B7167" s="1" t="n">
        <v>45642</v>
      </c>
      <c r="C7167" s="1" t="n">
        <v>45744</v>
      </c>
      <c r="D7167" t="inlineStr">
        <is>
          <t>SKÅNE LÄN</t>
        </is>
      </c>
      <c r="E7167" t="inlineStr">
        <is>
          <t>OSBY</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60065-2024</t>
        </is>
      </c>
      <c r="B7168" s="1" t="n">
        <v>45642</v>
      </c>
      <c r="C7168" s="1" t="n">
        <v>45744</v>
      </c>
      <c r="D7168" t="inlineStr">
        <is>
          <t>SKÅNE LÄN</t>
        </is>
      </c>
      <c r="E7168" t="inlineStr">
        <is>
          <t>OSBY</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60319-2024</t>
        </is>
      </c>
      <c r="B7169" s="1" t="n">
        <v>45643</v>
      </c>
      <c r="C7169" s="1" t="n">
        <v>45744</v>
      </c>
      <c r="D7169" t="inlineStr">
        <is>
          <t>SKÅNE LÄN</t>
        </is>
      </c>
      <c r="E7169" t="inlineStr">
        <is>
          <t>OSBY</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60504-2024</t>
        </is>
      </c>
      <c r="B7170" s="1" t="n">
        <v>45643</v>
      </c>
      <c r="C7170" s="1" t="n">
        <v>45744</v>
      </c>
      <c r="D7170" t="inlineStr">
        <is>
          <t>SKÅNE LÄN</t>
        </is>
      </c>
      <c r="E7170" t="inlineStr">
        <is>
          <t>ÖSTRA GÖINGE</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60380-2024</t>
        </is>
      </c>
      <c r="B7171" s="1" t="n">
        <v>45643</v>
      </c>
      <c r="C7171" s="1" t="n">
        <v>45744</v>
      </c>
      <c r="D7171" t="inlineStr">
        <is>
          <t>SKÅNE LÄN</t>
        </is>
      </c>
      <c r="E7171" t="inlineStr">
        <is>
          <t>KRISTIANSTAD</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60388-2024</t>
        </is>
      </c>
      <c r="B7172" s="1" t="n">
        <v>45643</v>
      </c>
      <c r="C7172" s="1" t="n">
        <v>45744</v>
      </c>
      <c r="D7172" t="inlineStr">
        <is>
          <t>SKÅNE LÄN</t>
        </is>
      </c>
      <c r="E7172" t="inlineStr">
        <is>
          <t>ÖSTRA GÖINGE</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60400-2024</t>
        </is>
      </c>
      <c r="B7173" s="1" t="n">
        <v>45643</v>
      </c>
      <c r="C7173" s="1" t="n">
        <v>45744</v>
      </c>
      <c r="D7173" t="inlineStr">
        <is>
          <t>SKÅNE LÄN</t>
        </is>
      </c>
      <c r="E7173" t="inlineStr">
        <is>
          <t>OSBY</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60404-2024</t>
        </is>
      </c>
      <c r="B7174" s="1" t="n">
        <v>45643</v>
      </c>
      <c r="C7174" s="1" t="n">
        <v>45744</v>
      </c>
      <c r="D7174" t="inlineStr">
        <is>
          <t>SKÅNE LÄN</t>
        </is>
      </c>
      <c r="E7174" t="inlineStr">
        <is>
          <t>OSBY</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60394-2024</t>
        </is>
      </c>
      <c r="B7175" s="1" t="n">
        <v>45643</v>
      </c>
      <c r="C7175" s="1" t="n">
        <v>45744</v>
      </c>
      <c r="D7175" t="inlineStr">
        <is>
          <t>SKÅNE LÄN</t>
        </is>
      </c>
      <c r="E7175" t="inlineStr">
        <is>
          <t>ÖSTRA GÖINGE</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60795-2024</t>
        </is>
      </c>
      <c r="B7176" s="1" t="n">
        <v>45644</v>
      </c>
      <c r="C7176" s="1" t="n">
        <v>45744</v>
      </c>
      <c r="D7176" t="inlineStr">
        <is>
          <t>SKÅNE LÄN</t>
        </is>
      </c>
      <c r="E7176" t="inlineStr">
        <is>
          <t>HÄSSLEHOLM</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60866-2024</t>
        </is>
      </c>
      <c r="B7177" s="1" t="n">
        <v>45644</v>
      </c>
      <c r="C7177" s="1" t="n">
        <v>45744</v>
      </c>
      <c r="D7177" t="inlineStr">
        <is>
          <t>SKÅNE LÄN</t>
        </is>
      </c>
      <c r="E7177" t="inlineStr">
        <is>
          <t>KRISTIANSTAD</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60797-2024</t>
        </is>
      </c>
      <c r="B7178" s="1" t="n">
        <v>45644</v>
      </c>
      <c r="C7178" s="1" t="n">
        <v>45744</v>
      </c>
      <c r="D7178" t="inlineStr">
        <is>
          <t>SKÅNE LÄN</t>
        </is>
      </c>
      <c r="E7178" t="inlineStr">
        <is>
          <t>HÄSSLEHOLM</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60878-2024</t>
        </is>
      </c>
      <c r="B7179" s="1" t="n">
        <v>45644</v>
      </c>
      <c r="C7179" s="1" t="n">
        <v>45744</v>
      </c>
      <c r="D7179" t="inlineStr">
        <is>
          <t>SKÅNE LÄN</t>
        </is>
      </c>
      <c r="E7179" t="inlineStr">
        <is>
          <t>KRISTIANSTAD</t>
        </is>
      </c>
      <c r="F7179" t="inlineStr">
        <is>
          <t>Övriga Aktiebolag</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60851-2024</t>
        </is>
      </c>
      <c r="B7180" s="1" t="n">
        <v>45644</v>
      </c>
      <c r="C7180" s="1" t="n">
        <v>45744</v>
      </c>
      <c r="D7180" t="inlineStr">
        <is>
          <t>SKÅNE LÄN</t>
        </is>
      </c>
      <c r="E7180" t="inlineStr">
        <is>
          <t>HÄSSLEHOLM</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60877-2024</t>
        </is>
      </c>
      <c r="B7181" s="1" t="n">
        <v>45644</v>
      </c>
      <c r="C7181" s="1" t="n">
        <v>45744</v>
      </c>
      <c r="D7181" t="inlineStr">
        <is>
          <t>SKÅNE LÄN</t>
        </is>
      </c>
      <c r="E7181" t="inlineStr">
        <is>
          <t>KRISTIANSTAD</t>
        </is>
      </c>
      <c r="F7181" t="inlineStr">
        <is>
          <t>Övriga Aktiebolag</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60973-2024</t>
        </is>
      </c>
      <c r="B7182" s="1" t="n">
        <v>45644</v>
      </c>
      <c r="C7182" s="1" t="n">
        <v>45744</v>
      </c>
      <c r="D7182" t="inlineStr">
        <is>
          <t>SKÅNE LÄN</t>
        </is>
      </c>
      <c r="E7182" t="inlineStr">
        <is>
          <t>HÄSSLEHOLM</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60789-2024</t>
        </is>
      </c>
      <c r="B7183" s="1" t="n">
        <v>45644</v>
      </c>
      <c r="C7183" s="1" t="n">
        <v>45744</v>
      </c>
      <c r="D7183" t="inlineStr">
        <is>
          <t>SKÅNE LÄN</t>
        </is>
      </c>
      <c r="E7183" t="inlineStr">
        <is>
          <t>HÄSSLEHOLM</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60798-2024</t>
        </is>
      </c>
      <c r="B7184" s="1" t="n">
        <v>45644</v>
      </c>
      <c r="C7184" s="1" t="n">
        <v>45744</v>
      </c>
      <c r="D7184" t="inlineStr">
        <is>
          <t>SKÅNE LÄN</t>
        </is>
      </c>
      <c r="E7184" t="inlineStr">
        <is>
          <t>HÄSSLEHOLM</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60888-2024</t>
        </is>
      </c>
      <c r="B7185" s="1" t="n">
        <v>45644</v>
      </c>
      <c r="C7185" s="1" t="n">
        <v>45744</v>
      </c>
      <c r="D7185" t="inlineStr">
        <is>
          <t>SKÅNE LÄN</t>
        </is>
      </c>
      <c r="E7185" t="inlineStr">
        <is>
          <t>YSTAD</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60997-2024</t>
        </is>
      </c>
      <c r="B7186" s="1" t="n">
        <v>45644</v>
      </c>
      <c r="C7186" s="1" t="n">
        <v>45744</v>
      </c>
      <c r="D7186" t="inlineStr">
        <is>
          <t>SKÅNE LÄN</t>
        </is>
      </c>
      <c r="E7186" t="inlineStr">
        <is>
          <t>KRISTIANSTAD</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60920-2024</t>
        </is>
      </c>
      <c r="B7187" s="1" t="n">
        <v>45645</v>
      </c>
      <c r="C7187" s="1" t="n">
        <v>45744</v>
      </c>
      <c r="D7187" t="inlineStr">
        <is>
          <t>SKÅNE LÄN</t>
        </is>
      </c>
      <c r="E7187" t="inlineStr">
        <is>
          <t>HÄSSLEHOLM</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60913-2024</t>
        </is>
      </c>
      <c r="B7188" s="1" t="n">
        <v>45645</v>
      </c>
      <c r="C7188" s="1" t="n">
        <v>45744</v>
      </c>
      <c r="D7188" t="inlineStr">
        <is>
          <t>SKÅNE LÄN</t>
        </is>
      </c>
      <c r="E7188" t="inlineStr">
        <is>
          <t>HÄSSLEHOLM</t>
        </is>
      </c>
      <c r="G7188" t="n">
        <v>6.1</v>
      </c>
      <c r="H7188" t="n">
        <v>0</v>
      </c>
      <c r="I7188" t="n">
        <v>0</v>
      </c>
      <c r="J7188" t="n">
        <v>0</v>
      </c>
      <c r="K7188" t="n">
        <v>0</v>
      </c>
      <c r="L7188" t="n">
        <v>0</v>
      </c>
      <c r="M7188" t="n">
        <v>0</v>
      </c>
      <c r="N7188" t="n">
        <v>0</v>
      </c>
      <c r="O7188" t="n">
        <v>0</v>
      </c>
      <c r="P7188" t="n">
        <v>0</v>
      </c>
      <c r="Q7188" t="n">
        <v>0</v>
      </c>
      <c r="R7188" s="2" t="inlineStr"/>
    </row>
    <row r="7189" ht="15" customHeight="1">
      <c r="A7189" t="inlineStr">
        <is>
          <t>A 61007-2024</t>
        </is>
      </c>
      <c r="B7189" s="1" t="n">
        <v>45645</v>
      </c>
      <c r="C7189" s="1" t="n">
        <v>45744</v>
      </c>
      <c r="D7189" t="inlineStr">
        <is>
          <t>SKÅNE LÄN</t>
        </is>
      </c>
      <c r="E7189" t="inlineStr">
        <is>
          <t>HÖÖR</t>
        </is>
      </c>
      <c r="F7189" t="inlineStr">
        <is>
          <t>Kommuner</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60939-2024</t>
        </is>
      </c>
      <c r="B7190" s="1" t="n">
        <v>45645</v>
      </c>
      <c r="C7190" s="1" t="n">
        <v>45744</v>
      </c>
      <c r="D7190" t="inlineStr">
        <is>
          <t>SKÅNE LÄN</t>
        </is>
      </c>
      <c r="E7190" t="inlineStr">
        <is>
          <t>HÖRBY</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60947-2024</t>
        </is>
      </c>
      <c r="B7191" s="1" t="n">
        <v>45645</v>
      </c>
      <c r="C7191" s="1" t="n">
        <v>45744</v>
      </c>
      <c r="D7191" t="inlineStr">
        <is>
          <t>SKÅNE LÄN</t>
        </is>
      </c>
      <c r="E7191" t="inlineStr">
        <is>
          <t>SJÖBO</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61020-2024</t>
        </is>
      </c>
      <c r="B7192" s="1" t="n">
        <v>45645</v>
      </c>
      <c r="C7192" s="1" t="n">
        <v>45744</v>
      </c>
      <c r="D7192" t="inlineStr">
        <is>
          <t>SKÅNE LÄN</t>
        </is>
      </c>
      <c r="E7192" t="inlineStr">
        <is>
          <t>ESLÖV</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61035-2024</t>
        </is>
      </c>
      <c r="B7193" s="1" t="n">
        <v>45645</v>
      </c>
      <c r="C7193" s="1" t="n">
        <v>45744</v>
      </c>
      <c r="D7193" t="inlineStr">
        <is>
          <t>SKÅNE LÄN</t>
        </is>
      </c>
      <c r="E7193" t="inlineStr">
        <is>
          <t>ESLÖV</t>
        </is>
      </c>
      <c r="G7193" t="n">
        <v>7.6</v>
      </c>
      <c r="H7193" t="n">
        <v>0</v>
      </c>
      <c r="I7193" t="n">
        <v>0</v>
      </c>
      <c r="J7193" t="n">
        <v>0</v>
      </c>
      <c r="K7193" t="n">
        <v>0</v>
      </c>
      <c r="L7193" t="n">
        <v>0</v>
      </c>
      <c r="M7193" t="n">
        <v>0</v>
      </c>
      <c r="N7193" t="n">
        <v>0</v>
      </c>
      <c r="O7193" t="n">
        <v>0</v>
      </c>
      <c r="P7193" t="n">
        <v>0</v>
      </c>
      <c r="Q7193" t="n">
        <v>0</v>
      </c>
      <c r="R7193" s="2" t="inlineStr"/>
    </row>
    <row r="7194" ht="15" customHeight="1">
      <c r="A7194" t="inlineStr">
        <is>
          <t>A 61137-2024</t>
        </is>
      </c>
      <c r="B7194" s="1" t="n">
        <v>45645</v>
      </c>
      <c r="C7194" s="1" t="n">
        <v>45744</v>
      </c>
      <c r="D7194" t="inlineStr">
        <is>
          <t>SKÅNE LÄN</t>
        </is>
      </c>
      <c r="E7194" t="inlineStr">
        <is>
          <t>ÖSTRA GÖINGE</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61192-2024</t>
        </is>
      </c>
      <c r="B7195" s="1" t="n">
        <v>45645</v>
      </c>
      <c r="C7195" s="1" t="n">
        <v>45744</v>
      </c>
      <c r="D7195" t="inlineStr">
        <is>
          <t>SKÅNE LÄN</t>
        </is>
      </c>
      <c r="E7195" t="inlineStr">
        <is>
          <t>HÄSSLEHOLM</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61045-2024</t>
        </is>
      </c>
      <c r="B7196" s="1" t="n">
        <v>45645</v>
      </c>
      <c r="C7196" s="1" t="n">
        <v>45744</v>
      </c>
      <c r="D7196" t="inlineStr">
        <is>
          <t>SKÅNE LÄN</t>
        </is>
      </c>
      <c r="E7196" t="inlineStr">
        <is>
          <t>SVALÖV</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61182-2024</t>
        </is>
      </c>
      <c r="B7197" s="1" t="n">
        <v>45645</v>
      </c>
      <c r="C7197" s="1" t="n">
        <v>45744</v>
      </c>
      <c r="D7197" t="inlineStr">
        <is>
          <t>SKÅNE LÄN</t>
        </is>
      </c>
      <c r="E7197" t="inlineStr">
        <is>
          <t>HÄSSLEHOLM</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61304-2024</t>
        </is>
      </c>
      <c r="B7198" s="1" t="n">
        <v>45645</v>
      </c>
      <c r="C7198" s="1" t="n">
        <v>45744</v>
      </c>
      <c r="D7198" t="inlineStr">
        <is>
          <t>SKÅNE LÄN</t>
        </is>
      </c>
      <c r="E7198" t="inlineStr">
        <is>
          <t>OSBY</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61118-2024</t>
        </is>
      </c>
      <c r="B7199" s="1" t="n">
        <v>45645</v>
      </c>
      <c r="C7199" s="1" t="n">
        <v>45744</v>
      </c>
      <c r="D7199" t="inlineStr">
        <is>
          <t>SKÅNE LÄN</t>
        </is>
      </c>
      <c r="E7199" t="inlineStr">
        <is>
          <t>KLIPPAN</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61197-2024</t>
        </is>
      </c>
      <c r="B7200" s="1" t="n">
        <v>45645</v>
      </c>
      <c r="C7200" s="1" t="n">
        <v>45744</v>
      </c>
      <c r="D7200" t="inlineStr">
        <is>
          <t>SKÅNE LÄN</t>
        </is>
      </c>
      <c r="E7200" t="inlineStr">
        <is>
          <t>HÄSSLEHOLM</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61317-2024</t>
        </is>
      </c>
      <c r="B7201" s="1" t="n">
        <v>45646</v>
      </c>
      <c r="C7201" s="1" t="n">
        <v>45744</v>
      </c>
      <c r="D7201" t="inlineStr">
        <is>
          <t>SKÅNE LÄN</t>
        </is>
      </c>
      <c r="E7201" t="inlineStr">
        <is>
          <t>KRISTIANSTAD</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61377-2024</t>
        </is>
      </c>
      <c r="B7202" s="1" t="n">
        <v>45646</v>
      </c>
      <c r="C7202" s="1" t="n">
        <v>45744</v>
      </c>
      <c r="D7202" t="inlineStr">
        <is>
          <t>SKÅNE LÄN</t>
        </is>
      </c>
      <c r="E7202" t="inlineStr">
        <is>
          <t>HÖÖR</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61414-2024</t>
        </is>
      </c>
      <c r="B7203" s="1" t="n">
        <v>45646</v>
      </c>
      <c r="C7203" s="1" t="n">
        <v>45744</v>
      </c>
      <c r="D7203" t="inlineStr">
        <is>
          <t>SKÅNE LÄN</t>
        </is>
      </c>
      <c r="E7203" t="inlineStr">
        <is>
          <t>OSBY</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61496-2024</t>
        </is>
      </c>
      <c r="B7204" s="1" t="n">
        <v>45646</v>
      </c>
      <c r="C7204" s="1" t="n">
        <v>45744</v>
      </c>
      <c r="D7204" t="inlineStr">
        <is>
          <t>SKÅNE LÄN</t>
        </is>
      </c>
      <c r="E7204" t="inlineStr">
        <is>
          <t>KRISTIANSTAD</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61503-2024</t>
        </is>
      </c>
      <c r="B7205" s="1" t="n">
        <v>45646</v>
      </c>
      <c r="C7205" s="1" t="n">
        <v>45744</v>
      </c>
      <c r="D7205" t="inlineStr">
        <is>
          <t>SKÅNE LÄN</t>
        </is>
      </c>
      <c r="E7205" t="inlineStr">
        <is>
          <t>ÖRKELLJUNGA</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61533-2024</t>
        </is>
      </c>
      <c r="B7206" s="1" t="n">
        <v>45646</v>
      </c>
      <c r="C7206" s="1" t="n">
        <v>45744</v>
      </c>
      <c r="D7206" t="inlineStr">
        <is>
          <t>SKÅNE LÄN</t>
        </is>
      </c>
      <c r="E7206" t="inlineStr">
        <is>
          <t>HÄSSLEHOLM</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61348-2024</t>
        </is>
      </c>
      <c r="B7207" s="1" t="n">
        <v>45646</v>
      </c>
      <c r="C7207" s="1" t="n">
        <v>45744</v>
      </c>
      <c r="D7207" t="inlineStr">
        <is>
          <t>SKÅNE LÄN</t>
        </is>
      </c>
      <c r="E7207" t="inlineStr">
        <is>
          <t>KRISTIANSTAD</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61440-2024</t>
        </is>
      </c>
      <c r="B7208" s="1" t="n">
        <v>45646</v>
      </c>
      <c r="C7208" s="1" t="n">
        <v>45744</v>
      </c>
      <c r="D7208" t="inlineStr">
        <is>
          <t>SKÅNE LÄN</t>
        </is>
      </c>
      <c r="E7208" t="inlineStr">
        <is>
          <t>KRISTIANSTAD</t>
        </is>
      </c>
      <c r="F7208" t="inlineStr">
        <is>
          <t>Övriga Aktiebolag</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61491-2024</t>
        </is>
      </c>
      <c r="B7209" s="1" t="n">
        <v>45646</v>
      </c>
      <c r="C7209" s="1" t="n">
        <v>45744</v>
      </c>
      <c r="D7209" t="inlineStr">
        <is>
          <t>SKÅNE LÄN</t>
        </is>
      </c>
      <c r="E7209" t="inlineStr">
        <is>
          <t>KRISTIANSTAD</t>
        </is>
      </c>
      <c r="F7209" t="inlineStr">
        <is>
          <t>Övriga Aktiebolag</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61602-2024</t>
        </is>
      </c>
      <c r="B7210" s="1" t="n">
        <v>45646</v>
      </c>
      <c r="C7210" s="1" t="n">
        <v>45744</v>
      </c>
      <c r="D7210" t="inlineStr">
        <is>
          <t>SKÅNE LÄN</t>
        </is>
      </c>
      <c r="E7210" t="inlineStr">
        <is>
          <t>ÖRKELLJUNGA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61436-2024</t>
        </is>
      </c>
      <c r="B7211" s="1" t="n">
        <v>45646</v>
      </c>
      <c r="C7211" s="1" t="n">
        <v>45744</v>
      </c>
      <c r="D7211" t="inlineStr">
        <is>
          <t>SKÅNE LÄN</t>
        </is>
      </c>
      <c r="E7211" t="inlineStr">
        <is>
          <t>HÄSSLEHOLM</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61489-2024</t>
        </is>
      </c>
      <c r="B7212" s="1" t="n">
        <v>45646</v>
      </c>
      <c r="C7212" s="1" t="n">
        <v>45744</v>
      </c>
      <c r="D7212" t="inlineStr">
        <is>
          <t>SKÅNE LÄN</t>
        </is>
      </c>
      <c r="E7212" t="inlineStr">
        <is>
          <t>HÄSSLEHOLM</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61537-2024</t>
        </is>
      </c>
      <c r="B7213" s="1" t="n">
        <v>45646</v>
      </c>
      <c r="C7213" s="1" t="n">
        <v>45744</v>
      </c>
      <c r="D7213" t="inlineStr">
        <is>
          <t>SKÅNE LÄN</t>
        </is>
      </c>
      <c r="E7213" t="inlineStr">
        <is>
          <t>HÄSSLEHOLM</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61979-2024</t>
        </is>
      </c>
      <c r="B7214" s="1" t="n">
        <v>45646</v>
      </c>
      <c r="C7214" s="1" t="n">
        <v>45744</v>
      </c>
      <c r="D7214" t="inlineStr">
        <is>
          <t>SKÅNE LÄN</t>
        </is>
      </c>
      <c r="E7214" t="inlineStr">
        <is>
          <t>OSBY</t>
        </is>
      </c>
      <c r="F7214" t="inlineStr">
        <is>
          <t>Kyrkan</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61703-2024</t>
        </is>
      </c>
      <c r="B7215" s="1" t="n">
        <v>45648</v>
      </c>
      <c r="C7215" s="1" t="n">
        <v>45744</v>
      </c>
      <c r="D7215" t="inlineStr">
        <is>
          <t>SKÅNE LÄN</t>
        </is>
      </c>
      <c r="E7215" t="inlineStr">
        <is>
          <t>KRISTIANSTAD</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61711-2024</t>
        </is>
      </c>
      <c r="B7216" s="1" t="n">
        <v>45648</v>
      </c>
      <c r="C7216" s="1" t="n">
        <v>45744</v>
      </c>
      <c r="D7216" t="inlineStr">
        <is>
          <t>SKÅNE LÄN</t>
        </is>
      </c>
      <c r="E7216" t="inlineStr">
        <is>
          <t>OSBY</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61701-2024</t>
        </is>
      </c>
      <c r="B7217" s="1" t="n">
        <v>45648</v>
      </c>
      <c r="C7217" s="1" t="n">
        <v>45744</v>
      </c>
      <c r="D7217" t="inlineStr">
        <is>
          <t>SKÅNE LÄN</t>
        </is>
      </c>
      <c r="E7217" t="inlineStr">
        <is>
          <t>KRISTIANSTAD</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61702-2024</t>
        </is>
      </c>
      <c r="B7218" s="1" t="n">
        <v>45648</v>
      </c>
      <c r="C7218" s="1" t="n">
        <v>45744</v>
      </c>
      <c r="D7218" t="inlineStr">
        <is>
          <t>SKÅNE LÄN</t>
        </is>
      </c>
      <c r="E7218" t="inlineStr">
        <is>
          <t>KRISTIANSTAD</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189-2025</t>
        </is>
      </c>
      <c r="B7219" s="1" t="n">
        <v>45649</v>
      </c>
      <c r="C7219" s="1" t="n">
        <v>45744</v>
      </c>
      <c r="D7219" t="inlineStr">
        <is>
          <t>SKÅNE LÄN</t>
        </is>
      </c>
      <c r="E7219" t="inlineStr">
        <is>
          <t>KRISTIANSTAD</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61740-2024</t>
        </is>
      </c>
      <c r="B7220" s="1" t="n">
        <v>45649</v>
      </c>
      <c r="C7220" s="1" t="n">
        <v>45744</v>
      </c>
      <c r="D7220" t="inlineStr">
        <is>
          <t>SKÅNE LÄN</t>
        </is>
      </c>
      <c r="E7220" t="inlineStr">
        <is>
          <t>OSBY</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190-2025</t>
        </is>
      </c>
      <c r="B7221" s="1" t="n">
        <v>45649</v>
      </c>
      <c r="C7221" s="1" t="n">
        <v>45744</v>
      </c>
      <c r="D7221" t="inlineStr">
        <is>
          <t>SKÅNE LÄN</t>
        </is>
      </c>
      <c r="E7221" t="inlineStr">
        <is>
          <t>HÄSSLEHOLM</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61882-2024</t>
        </is>
      </c>
      <c r="B7222" s="1" t="n">
        <v>45652</v>
      </c>
      <c r="C7222" s="1" t="n">
        <v>45744</v>
      </c>
      <c r="D7222" t="inlineStr">
        <is>
          <t>SKÅNE LÄN</t>
        </is>
      </c>
      <c r="E7222" t="inlineStr">
        <is>
          <t>OSBY</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61878-2024</t>
        </is>
      </c>
      <c r="B7223" s="1" t="n">
        <v>45652</v>
      </c>
      <c r="C7223" s="1" t="n">
        <v>45744</v>
      </c>
      <c r="D7223" t="inlineStr">
        <is>
          <t>SKÅNE LÄN</t>
        </is>
      </c>
      <c r="E7223" t="inlineStr">
        <is>
          <t>KRISTIANSTAD</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61900-2024</t>
        </is>
      </c>
      <c r="B7224" s="1" t="n">
        <v>45652</v>
      </c>
      <c r="C7224" s="1" t="n">
        <v>45744</v>
      </c>
      <c r="D7224" t="inlineStr">
        <is>
          <t>SKÅNE LÄN</t>
        </is>
      </c>
      <c r="E7224" t="inlineStr">
        <is>
          <t>HÄSSLEHOLM</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61876-2024</t>
        </is>
      </c>
      <c r="B7225" s="1" t="n">
        <v>45652</v>
      </c>
      <c r="C7225" s="1" t="n">
        <v>45744</v>
      </c>
      <c r="D7225" t="inlineStr">
        <is>
          <t>SKÅNE LÄN</t>
        </is>
      </c>
      <c r="E7225" t="inlineStr">
        <is>
          <t>SIMRISHAMN</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62000-2024</t>
        </is>
      </c>
      <c r="B7226" s="1" t="n">
        <v>45654</v>
      </c>
      <c r="C7226" s="1" t="n">
        <v>45744</v>
      </c>
      <c r="D7226" t="inlineStr">
        <is>
          <t>SKÅNE LÄN</t>
        </is>
      </c>
      <c r="E7226" t="inlineStr">
        <is>
          <t>HÄSSLEHOLM</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62114-2024</t>
        </is>
      </c>
      <c r="B7227" s="1" t="n">
        <v>45656</v>
      </c>
      <c r="C7227" s="1" t="n">
        <v>45744</v>
      </c>
      <c r="D7227" t="inlineStr">
        <is>
          <t>SKÅNE LÄN</t>
        </is>
      </c>
      <c r="E7227" t="inlineStr">
        <is>
          <t>OSBY</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62112-2024</t>
        </is>
      </c>
      <c r="B7228" s="1" t="n">
        <v>45656</v>
      </c>
      <c r="C7228" s="1" t="n">
        <v>45744</v>
      </c>
      <c r="D7228" t="inlineStr">
        <is>
          <t>SKÅNE LÄN</t>
        </is>
      </c>
      <c r="E7228" t="inlineStr">
        <is>
          <t>OSBY</t>
        </is>
      </c>
      <c r="G7228" t="n">
        <v>7.2</v>
      </c>
      <c r="H7228" t="n">
        <v>0</v>
      </c>
      <c r="I7228" t="n">
        <v>0</v>
      </c>
      <c r="J7228" t="n">
        <v>0</v>
      </c>
      <c r="K7228" t="n">
        <v>0</v>
      </c>
      <c r="L7228" t="n">
        <v>0</v>
      </c>
      <c r="M7228" t="n">
        <v>0</v>
      </c>
      <c r="N7228" t="n">
        <v>0</v>
      </c>
      <c r="O7228" t="n">
        <v>0</v>
      </c>
      <c r="P7228" t="n">
        <v>0</v>
      </c>
      <c r="Q7228" t="n">
        <v>0</v>
      </c>
      <c r="R7228" s="2" t="inlineStr"/>
    </row>
    <row r="7229" ht="15" customHeight="1">
      <c r="A7229" t="inlineStr">
        <is>
          <t>A 119-2025</t>
        </is>
      </c>
      <c r="B7229" s="1" t="n">
        <v>45659</v>
      </c>
      <c r="C7229" s="1" t="n">
        <v>45744</v>
      </c>
      <c r="D7229" t="inlineStr">
        <is>
          <t>SKÅNE LÄN</t>
        </is>
      </c>
      <c r="E7229" t="inlineStr">
        <is>
          <t>OSBY</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168-2025</t>
        </is>
      </c>
      <c r="B7230" s="1" t="n">
        <v>45659</v>
      </c>
      <c r="C7230" s="1" t="n">
        <v>45744</v>
      </c>
      <c r="D7230" t="inlineStr">
        <is>
          <t>SKÅNE LÄN</t>
        </is>
      </c>
      <c r="E7230" t="inlineStr">
        <is>
          <t>ÖRKELLJUNGA</t>
        </is>
      </c>
      <c r="G7230" t="n">
        <v>6.9</v>
      </c>
      <c r="H7230" t="n">
        <v>0</v>
      </c>
      <c r="I7230" t="n">
        <v>0</v>
      </c>
      <c r="J7230" t="n">
        <v>0</v>
      </c>
      <c r="K7230" t="n">
        <v>0</v>
      </c>
      <c r="L7230" t="n">
        <v>0</v>
      </c>
      <c r="M7230" t="n">
        <v>0</v>
      </c>
      <c r="N7230" t="n">
        <v>0</v>
      </c>
      <c r="O7230" t="n">
        <v>0</v>
      </c>
      <c r="P7230" t="n">
        <v>0</v>
      </c>
      <c r="Q7230" t="n">
        <v>0</v>
      </c>
      <c r="R7230" s="2" t="inlineStr"/>
    </row>
    <row r="7231" ht="15" customHeight="1">
      <c r="A7231" t="inlineStr">
        <is>
          <t>A 170-2025</t>
        </is>
      </c>
      <c r="B7231" s="1" t="n">
        <v>45659</v>
      </c>
      <c r="C7231" s="1" t="n">
        <v>45744</v>
      </c>
      <c r="D7231" t="inlineStr">
        <is>
          <t>SKÅNE LÄN</t>
        </is>
      </c>
      <c r="E7231" t="inlineStr">
        <is>
          <t>ÖRKELLJUNGA</t>
        </is>
      </c>
      <c r="G7231" t="n">
        <v>6.1</v>
      </c>
      <c r="H7231" t="n">
        <v>0</v>
      </c>
      <c r="I7231" t="n">
        <v>0</v>
      </c>
      <c r="J7231" t="n">
        <v>0</v>
      </c>
      <c r="K7231" t="n">
        <v>0</v>
      </c>
      <c r="L7231" t="n">
        <v>0</v>
      </c>
      <c r="M7231" t="n">
        <v>0</v>
      </c>
      <c r="N7231" t="n">
        <v>0</v>
      </c>
      <c r="O7231" t="n">
        <v>0</v>
      </c>
      <c r="P7231" t="n">
        <v>0</v>
      </c>
      <c r="Q7231" t="n">
        <v>0</v>
      </c>
      <c r="R7231" s="2" t="inlineStr"/>
    </row>
    <row r="7232" ht="15" customHeight="1">
      <c r="A7232" t="inlineStr">
        <is>
          <t>A 151-2025</t>
        </is>
      </c>
      <c r="B7232" s="1" t="n">
        <v>45659</v>
      </c>
      <c r="C7232" s="1" t="n">
        <v>45744</v>
      </c>
      <c r="D7232" t="inlineStr">
        <is>
          <t>SKÅNE LÄN</t>
        </is>
      </c>
      <c r="E7232" t="inlineStr">
        <is>
          <t>KRISTIANSTAD</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171-2025</t>
        </is>
      </c>
      <c r="B7233" s="1" t="n">
        <v>45659</v>
      </c>
      <c r="C7233" s="1" t="n">
        <v>45744</v>
      </c>
      <c r="D7233" t="inlineStr">
        <is>
          <t>SKÅNE LÄN</t>
        </is>
      </c>
      <c r="E7233" t="inlineStr">
        <is>
          <t>ÖRKELLJUNGA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317-2025</t>
        </is>
      </c>
      <c r="B7234" s="1" t="n">
        <v>45660</v>
      </c>
      <c r="C7234" s="1" t="n">
        <v>45744</v>
      </c>
      <c r="D7234" t="inlineStr">
        <is>
          <t>SKÅNE LÄN</t>
        </is>
      </c>
      <c r="E7234" t="inlineStr">
        <is>
          <t>HÄSSLEHOLM</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243-2025</t>
        </is>
      </c>
      <c r="B7235" s="1" t="n">
        <v>45660</v>
      </c>
      <c r="C7235" s="1" t="n">
        <v>45744</v>
      </c>
      <c r="D7235" t="inlineStr">
        <is>
          <t>SKÅNE LÄN</t>
        </is>
      </c>
      <c r="E7235" t="inlineStr">
        <is>
          <t>KLIPPAN</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224-2025</t>
        </is>
      </c>
      <c r="B7236" s="1" t="n">
        <v>45660</v>
      </c>
      <c r="C7236" s="1" t="n">
        <v>45744</v>
      </c>
      <c r="D7236" t="inlineStr">
        <is>
          <t>SKÅNE LÄN</t>
        </is>
      </c>
      <c r="E7236" t="inlineStr">
        <is>
          <t>KRISTIANSTAD</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533-2025</t>
        </is>
      </c>
      <c r="B7237" s="1" t="n">
        <v>45664</v>
      </c>
      <c r="C7237" s="1" t="n">
        <v>45744</v>
      </c>
      <c r="D7237" t="inlineStr">
        <is>
          <t>SKÅNE LÄN</t>
        </is>
      </c>
      <c r="E7237" t="inlineStr">
        <is>
          <t>KRISTIANSTAD</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530-2025</t>
        </is>
      </c>
      <c r="B7238" s="1" t="n">
        <v>45664</v>
      </c>
      <c r="C7238" s="1" t="n">
        <v>45744</v>
      </c>
      <c r="D7238" t="inlineStr">
        <is>
          <t>SKÅNE LÄN</t>
        </is>
      </c>
      <c r="E7238" t="inlineStr">
        <is>
          <t>HÖÖR</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680-2025</t>
        </is>
      </c>
      <c r="B7239" s="1" t="n">
        <v>45664</v>
      </c>
      <c r="C7239" s="1" t="n">
        <v>45744</v>
      </c>
      <c r="D7239" t="inlineStr">
        <is>
          <t>SKÅNE LÄN</t>
        </is>
      </c>
      <c r="E7239" t="inlineStr">
        <is>
          <t>HÄSSLEHOLM</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653-2025</t>
        </is>
      </c>
      <c r="B7240" s="1" t="n">
        <v>45664</v>
      </c>
      <c r="C7240" s="1" t="n">
        <v>45744</v>
      </c>
      <c r="D7240" t="inlineStr">
        <is>
          <t>SKÅNE LÄN</t>
        </is>
      </c>
      <c r="E7240" t="inlineStr">
        <is>
          <t>HÄSSLEHOLM</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531-2025</t>
        </is>
      </c>
      <c r="B7241" s="1" t="n">
        <v>45664</v>
      </c>
      <c r="C7241" s="1" t="n">
        <v>45744</v>
      </c>
      <c r="D7241" t="inlineStr">
        <is>
          <t>SKÅNE LÄN</t>
        </is>
      </c>
      <c r="E7241" t="inlineStr">
        <is>
          <t>HÖÖR</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829-2025</t>
        </is>
      </c>
      <c r="B7242" s="1" t="n">
        <v>45665</v>
      </c>
      <c r="C7242" s="1" t="n">
        <v>45744</v>
      </c>
      <c r="D7242" t="inlineStr">
        <is>
          <t>SKÅNE LÄN</t>
        </is>
      </c>
      <c r="E7242" t="inlineStr">
        <is>
          <t>HÄSSLEHOLM</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853-2025</t>
        </is>
      </c>
      <c r="B7243" s="1" t="n">
        <v>45665</v>
      </c>
      <c r="C7243" s="1" t="n">
        <v>45744</v>
      </c>
      <c r="D7243" t="inlineStr">
        <is>
          <t>SKÅNE LÄN</t>
        </is>
      </c>
      <c r="E7243" t="inlineStr">
        <is>
          <t>KLIPPAN</t>
        </is>
      </c>
      <c r="G7243" t="n">
        <v>8.9</v>
      </c>
      <c r="H7243" t="n">
        <v>0</v>
      </c>
      <c r="I7243" t="n">
        <v>0</v>
      </c>
      <c r="J7243" t="n">
        <v>0</v>
      </c>
      <c r="K7243" t="n">
        <v>0</v>
      </c>
      <c r="L7243" t="n">
        <v>0</v>
      </c>
      <c r="M7243" t="n">
        <v>0</v>
      </c>
      <c r="N7243" t="n">
        <v>0</v>
      </c>
      <c r="O7243" t="n">
        <v>0</v>
      </c>
      <c r="P7243" t="n">
        <v>0</v>
      </c>
      <c r="Q7243" t="n">
        <v>0</v>
      </c>
      <c r="R7243" s="2" t="inlineStr"/>
    </row>
    <row r="7244" ht="15" customHeight="1">
      <c r="A7244" t="inlineStr">
        <is>
          <t>A 720-2025</t>
        </is>
      </c>
      <c r="B7244" s="1" t="n">
        <v>45665</v>
      </c>
      <c r="C7244" s="1" t="n">
        <v>45744</v>
      </c>
      <c r="D7244" t="inlineStr">
        <is>
          <t>SKÅNE LÄN</t>
        </is>
      </c>
      <c r="E7244" t="inlineStr">
        <is>
          <t>HÄSSLEHOLM</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863-2025</t>
        </is>
      </c>
      <c r="B7245" s="1" t="n">
        <v>45665</v>
      </c>
      <c r="C7245" s="1" t="n">
        <v>45744</v>
      </c>
      <c r="D7245" t="inlineStr">
        <is>
          <t>SKÅNE LÄN</t>
        </is>
      </c>
      <c r="E7245" t="inlineStr">
        <is>
          <t>OSBY</t>
        </is>
      </c>
      <c r="F7245" t="inlineStr">
        <is>
          <t>Sveaskog</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871-2025</t>
        </is>
      </c>
      <c r="B7246" s="1" t="n">
        <v>45665</v>
      </c>
      <c r="C7246" s="1" t="n">
        <v>45744</v>
      </c>
      <c r="D7246" t="inlineStr">
        <is>
          <t>SKÅNE LÄN</t>
        </is>
      </c>
      <c r="E7246" t="inlineStr">
        <is>
          <t>OSBY</t>
        </is>
      </c>
      <c r="F7246" t="inlineStr">
        <is>
          <t>Sveaskog</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1064-2025</t>
        </is>
      </c>
      <c r="B7247" s="1" t="n">
        <v>45665</v>
      </c>
      <c r="C7247" s="1" t="n">
        <v>45744</v>
      </c>
      <c r="D7247" t="inlineStr">
        <is>
          <t>SKÅNE LÄN</t>
        </is>
      </c>
      <c r="E7247" t="inlineStr">
        <is>
          <t>KRISTIANSTAD</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866-2025</t>
        </is>
      </c>
      <c r="B7248" s="1" t="n">
        <v>45665</v>
      </c>
      <c r="C7248" s="1" t="n">
        <v>45744</v>
      </c>
      <c r="D7248" t="inlineStr">
        <is>
          <t>SKÅNE LÄN</t>
        </is>
      </c>
      <c r="E7248" t="inlineStr">
        <is>
          <t>PERSTORP</t>
        </is>
      </c>
      <c r="G7248" t="n">
        <v>8.9</v>
      </c>
      <c r="H7248" t="n">
        <v>0</v>
      </c>
      <c r="I7248" t="n">
        <v>0</v>
      </c>
      <c r="J7248" t="n">
        <v>0</v>
      </c>
      <c r="K7248" t="n">
        <v>0</v>
      </c>
      <c r="L7248" t="n">
        <v>0</v>
      </c>
      <c r="M7248" t="n">
        <v>0</v>
      </c>
      <c r="N7248" t="n">
        <v>0</v>
      </c>
      <c r="O7248" t="n">
        <v>0</v>
      </c>
      <c r="P7248" t="n">
        <v>0</v>
      </c>
      <c r="Q7248" t="n">
        <v>0</v>
      </c>
      <c r="R7248" s="2" t="inlineStr"/>
    </row>
    <row r="7249" ht="15" customHeight="1">
      <c r="A7249" t="inlineStr">
        <is>
          <t>A 758-2025</t>
        </is>
      </c>
      <c r="B7249" s="1" t="n">
        <v>45665</v>
      </c>
      <c r="C7249" s="1" t="n">
        <v>45744</v>
      </c>
      <c r="D7249" t="inlineStr">
        <is>
          <t>SKÅNE LÄN</t>
        </is>
      </c>
      <c r="E7249" t="inlineStr">
        <is>
          <t>KRISTIANSTAD</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751-2025</t>
        </is>
      </c>
      <c r="B7250" s="1" t="n">
        <v>45665</v>
      </c>
      <c r="C7250" s="1" t="n">
        <v>45744</v>
      </c>
      <c r="D7250" t="inlineStr">
        <is>
          <t>SKÅNE LÄN</t>
        </is>
      </c>
      <c r="E7250" t="inlineStr">
        <is>
          <t>KRISTIANSTAD</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755-2025</t>
        </is>
      </c>
      <c r="B7251" s="1" t="n">
        <v>45665</v>
      </c>
      <c r="C7251" s="1" t="n">
        <v>45744</v>
      </c>
      <c r="D7251" t="inlineStr">
        <is>
          <t>SKÅNE LÄN</t>
        </is>
      </c>
      <c r="E7251" t="inlineStr">
        <is>
          <t>KRISTIANSTAD</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860-2025</t>
        </is>
      </c>
      <c r="B7252" s="1" t="n">
        <v>45665</v>
      </c>
      <c r="C7252" s="1" t="n">
        <v>45744</v>
      </c>
      <c r="D7252" t="inlineStr">
        <is>
          <t>SKÅNE LÄN</t>
        </is>
      </c>
      <c r="E7252" t="inlineStr">
        <is>
          <t>OSBY</t>
        </is>
      </c>
      <c r="F7252" t="inlineStr">
        <is>
          <t>Sveaskog</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872-2025</t>
        </is>
      </c>
      <c r="B7253" s="1" t="n">
        <v>45665</v>
      </c>
      <c r="C7253" s="1" t="n">
        <v>45744</v>
      </c>
      <c r="D7253" t="inlineStr">
        <is>
          <t>SKÅNE LÄN</t>
        </is>
      </c>
      <c r="E7253" t="inlineStr">
        <is>
          <t>OSBY</t>
        </is>
      </c>
      <c r="F7253" t="inlineStr">
        <is>
          <t>Sveaskog</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1152-2025</t>
        </is>
      </c>
      <c r="B7254" s="1" t="n">
        <v>45666</v>
      </c>
      <c r="C7254" s="1" t="n">
        <v>45744</v>
      </c>
      <c r="D7254" t="inlineStr">
        <is>
          <t>SKÅNE LÄN</t>
        </is>
      </c>
      <c r="E7254" t="inlineStr">
        <is>
          <t>OSBY</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1098-2025</t>
        </is>
      </c>
      <c r="B7255" s="1" t="n">
        <v>45666</v>
      </c>
      <c r="C7255" s="1" t="n">
        <v>45744</v>
      </c>
      <c r="D7255" t="inlineStr">
        <is>
          <t>SKÅNE LÄN</t>
        </is>
      </c>
      <c r="E7255" t="inlineStr">
        <is>
          <t>SJÖBO</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1068-2025</t>
        </is>
      </c>
      <c r="B7256" s="1" t="n">
        <v>45666</v>
      </c>
      <c r="C7256" s="1" t="n">
        <v>45744</v>
      </c>
      <c r="D7256" t="inlineStr">
        <is>
          <t>SKÅNE LÄN</t>
        </is>
      </c>
      <c r="E7256" t="inlineStr">
        <is>
          <t>OSBY</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984-2025</t>
        </is>
      </c>
      <c r="B7257" s="1" t="n">
        <v>45666</v>
      </c>
      <c r="C7257" s="1" t="n">
        <v>45744</v>
      </c>
      <c r="D7257" t="inlineStr">
        <is>
          <t>SKÅNE LÄN</t>
        </is>
      </c>
      <c r="E7257" t="inlineStr">
        <is>
          <t>PERSTORP</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1159-2025</t>
        </is>
      </c>
      <c r="B7258" s="1" t="n">
        <v>45666</v>
      </c>
      <c r="C7258" s="1" t="n">
        <v>45744</v>
      </c>
      <c r="D7258" t="inlineStr">
        <is>
          <t>SKÅNE LÄN</t>
        </is>
      </c>
      <c r="E7258" t="inlineStr">
        <is>
          <t>ÖSTRA GÖINGE</t>
        </is>
      </c>
      <c r="G7258" t="n">
        <v>8.5</v>
      </c>
      <c r="H7258" t="n">
        <v>0</v>
      </c>
      <c r="I7258" t="n">
        <v>0</v>
      </c>
      <c r="J7258" t="n">
        <v>0</v>
      </c>
      <c r="K7258" t="n">
        <v>0</v>
      </c>
      <c r="L7258" t="n">
        <v>0</v>
      </c>
      <c r="M7258" t="n">
        <v>0</v>
      </c>
      <c r="N7258" t="n">
        <v>0</v>
      </c>
      <c r="O7258" t="n">
        <v>0</v>
      </c>
      <c r="P7258" t="n">
        <v>0</v>
      </c>
      <c r="Q7258" t="n">
        <v>0</v>
      </c>
      <c r="R7258" s="2" t="inlineStr"/>
    </row>
    <row r="7259" ht="15" customHeight="1">
      <c r="A7259" t="inlineStr">
        <is>
          <t>A 1077-2025</t>
        </is>
      </c>
      <c r="B7259" s="1" t="n">
        <v>45666</v>
      </c>
      <c r="C7259" s="1" t="n">
        <v>45744</v>
      </c>
      <c r="D7259" t="inlineStr">
        <is>
          <t>SKÅNE LÄN</t>
        </is>
      </c>
      <c r="E7259" t="inlineStr">
        <is>
          <t>OSBY</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995-2025</t>
        </is>
      </c>
      <c r="B7260" s="1" t="n">
        <v>45666</v>
      </c>
      <c r="C7260" s="1" t="n">
        <v>45744</v>
      </c>
      <c r="D7260" t="inlineStr">
        <is>
          <t>SKÅNE LÄN</t>
        </is>
      </c>
      <c r="E7260" t="inlineStr">
        <is>
          <t>TOMELILLA</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982-2025</t>
        </is>
      </c>
      <c r="B7261" s="1" t="n">
        <v>45666</v>
      </c>
      <c r="C7261" s="1" t="n">
        <v>45744</v>
      </c>
      <c r="D7261" t="inlineStr">
        <is>
          <t>SKÅNE LÄN</t>
        </is>
      </c>
      <c r="E7261" t="inlineStr">
        <is>
          <t>PERSTORP</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962-2025</t>
        </is>
      </c>
      <c r="B7262" s="1" t="n">
        <v>45666</v>
      </c>
      <c r="C7262" s="1" t="n">
        <v>45744</v>
      </c>
      <c r="D7262" t="inlineStr">
        <is>
          <t>SKÅNE LÄN</t>
        </is>
      </c>
      <c r="E7262" t="inlineStr">
        <is>
          <t>HÖÖR</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1153-2025</t>
        </is>
      </c>
      <c r="B7263" s="1" t="n">
        <v>45666</v>
      </c>
      <c r="C7263" s="1" t="n">
        <v>45744</v>
      </c>
      <c r="D7263" t="inlineStr">
        <is>
          <t>SKÅNE LÄN</t>
        </is>
      </c>
      <c r="E7263" t="inlineStr">
        <is>
          <t>OSBY</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1107-2025</t>
        </is>
      </c>
      <c r="B7264" s="1" t="n">
        <v>45666</v>
      </c>
      <c r="C7264" s="1" t="n">
        <v>45744</v>
      </c>
      <c r="D7264" t="inlineStr">
        <is>
          <t>SKÅNE LÄN</t>
        </is>
      </c>
      <c r="E7264" t="inlineStr">
        <is>
          <t>OSBY</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1031-2025</t>
        </is>
      </c>
      <c r="B7265" s="1" t="n">
        <v>45666</v>
      </c>
      <c r="C7265" s="1" t="n">
        <v>45744</v>
      </c>
      <c r="D7265" t="inlineStr">
        <is>
          <t>SKÅNE LÄN</t>
        </is>
      </c>
      <c r="E7265" t="inlineStr">
        <is>
          <t>SJÖBO</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1170-2025</t>
        </is>
      </c>
      <c r="B7266" s="1" t="n">
        <v>45667</v>
      </c>
      <c r="C7266" s="1" t="n">
        <v>45744</v>
      </c>
      <c r="D7266" t="inlineStr">
        <is>
          <t>SKÅNE LÄN</t>
        </is>
      </c>
      <c r="E7266" t="inlineStr">
        <is>
          <t>HÄSSLEHOLM</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1225-2025</t>
        </is>
      </c>
      <c r="B7267" s="1" t="n">
        <v>45667</v>
      </c>
      <c r="C7267" s="1" t="n">
        <v>45744</v>
      </c>
      <c r="D7267" t="inlineStr">
        <is>
          <t>SKÅNE LÄN</t>
        </is>
      </c>
      <c r="E7267" t="inlineStr">
        <is>
          <t>ÖSTRA GÖINGE</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1408-2025</t>
        </is>
      </c>
      <c r="B7268" s="1" t="n">
        <v>45667</v>
      </c>
      <c r="C7268" s="1" t="n">
        <v>45744</v>
      </c>
      <c r="D7268" t="inlineStr">
        <is>
          <t>SKÅNE LÄN</t>
        </is>
      </c>
      <c r="E7268" t="inlineStr">
        <is>
          <t>BROMÖLLA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1271-2025</t>
        </is>
      </c>
      <c r="B7269" s="1" t="n">
        <v>45667</v>
      </c>
      <c r="C7269" s="1" t="n">
        <v>45744</v>
      </c>
      <c r="D7269" t="inlineStr">
        <is>
          <t>SKÅNE LÄN</t>
        </is>
      </c>
      <c r="E7269" t="inlineStr">
        <is>
          <t>KRISTIANSTAD</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1427-2025</t>
        </is>
      </c>
      <c r="B7270" s="1" t="n">
        <v>45668</v>
      </c>
      <c r="C7270" s="1" t="n">
        <v>45744</v>
      </c>
      <c r="D7270" t="inlineStr">
        <is>
          <t>SKÅNE LÄN</t>
        </is>
      </c>
      <c r="E7270" t="inlineStr">
        <is>
          <t>KRISTIANSTAD</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1424-2025</t>
        </is>
      </c>
      <c r="B7271" s="1" t="n">
        <v>45668</v>
      </c>
      <c r="C7271" s="1" t="n">
        <v>45744</v>
      </c>
      <c r="D7271" t="inlineStr">
        <is>
          <t>SKÅNE LÄN</t>
        </is>
      </c>
      <c r="E7271" t="inlineStr">
        <is>
          <t>KRISTIANSTAD</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1426-2025</t>
        </is>
      </c>
      <c r="B7272" s="1" t="n">
        <v>45668</v>
      </c>
      <c r="C7272" s="1" t="n">
        <v>45744</v>
      </c>
      <c r="D7272" t="inlineStr">
        <is>
          <t>SKÅNE LÄN</t>
        </is>
      </c>
      <c r="E7272" t="inlineStr">
        <is>
          <t>KRISTIANSTAD</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1434-2025</t>
        </is>
      </c>
      <c r="B7273" s="1" t="n">
        <v>45669</v>
      </c>
      <c r="C7273" s="1" t="n">
        <v>45744</v>
      </c>
      <c r="D7273" t="inlineStr">
        <is>
          <t>SKÅNE LÄN</t>
        </is>
      </c>
      <c r="E7273" t="inlineStr">
        <is>
          <t>HÄSSLEHOLM</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1660-2025</t>
        </is>
      </c>
      <c r="B7274" s="1" t="n">
        <v>45670</v>
      </c>
      <c r="C7274" s="1" t="n">
        <v>45744</v>
      </c>
      <c r="D7274" t="inlineStr">
        <is>
          <t>SKÅNE LÄN</t>
        </is>
      </c>
      <c r="E7274" t="inlineStr">
        <is>
          <t>KRISTIANSTAD</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1616-2025</t>
        </is>
      </c>
      <c r="B7275" s="1" t="n">
        <v>45670</v>
      </c>
      <c r="C7275" s="1" t="n">
        <v>45744</v>
      </c>
      <c r="D7275" t="inlineStr">
        <is>
          <t>SKÅNE LÄN</t>
        </is>
      </c>
      <c r="E7275" t="inlineStr">
        <is>
          <t>HÄSSLEHOLM</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1644-2025</t>
        </is>
      </c>
      <c r="B7276" s="1" t="n">
        <v>45670</v>
      </c>
      <c r="C7276" s="1" t="n">
        <v>45744</v>
      </c>
      <c r="D7276" t="inlineStr">
        <is>
          <t>SKÅNE LÄN</t>
        </is>
      </c>
      <c r="E7276" t="inlineStr">
        <is>
          <t>ÄNGELHOLM</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1621-2025</t>
        </is>
      </c>
      <c r="B7277" s="1" t="n">
        <v>45670</v>
      </c>
      <c r="C7277" s="1" t="n">
        <v>45744</v>
      </c>
      <c r="D7277" t="inlineStr">
        <is>
          <t>SKÅNE LÄN</t>
        </is>
      </c>
      <c r="E7277" t="inlineStr">
        <is>
          <t>OSBY</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1639-2025</t>
        </is>
      </c>
      <c r="B7278" s="1" t="n">
        <v>45670</v>
      </c>
      <c r="C7278" s="1" t="n">
        <v>45744</v>
      </c>
      <c r="D7278" t="inlineStr">
        <is>
          <t>SKÅNE LÄN</t>
        </is>
      </c>
      <c r="E7278" t="inlineStr">
        <is>
          <t>ÄNGELHOLM</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1692-2025</t>
        </is>
      </c>
      <c r="B7279" s="1" t="n">
        <v>45670</v>
      </c>
      <c r="C7279" s="1" t="n">
        <v>45744</v>
      </c>
      <c r="D7279" t="inlineStr">
        <is>
          <t>SKÅNE LÄN</t>
        </is>
      </c>
      <c r="E7279" t="inlineStr">
        <is>
          <t>HÄSSLEHOLM</t>
        </is>
      </c>
      <c r="F7279" t="inlineStr">
        <is>
          <t>Övriga Aktiebolag</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1706-2025</t>
        </is>
      </c>
      <c r="B7280" s="1" t="n">
        <v>45670</v>
      </c>
      <c r="C7280" s="1" t="n">
        <v>45744</v>
      </c>
      <c r="D7280" t="inlineStr">
        <is>
          <t>SKÅNE LÄN</t>
        </is>
      </c>
      <c r="E7280" t="inlineStr">
        <is>
          <t>HÄSSLEHOLM</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1604-2025</t>
        </is>
      </c>
      <c r="B7281" s="1" t="n">
        <v>45670</v>
      </c>
      <c r="C7281" s="1" t="n">
        <v>45744</v>
      </c>
      <c r="D7281" t="inlineStr">
        <is>
          <t>SKÅNE LÄN</t>
        </is>
      </c>
      <c r="E7281" t="inlineStr">
        <is>
          <t>ÖRKELLJUNGA</t>
        </is>
      </c>
      <c r="F7281" t="inlineStr">
        <is>
          <t>Kommuner</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1703-2025</t>
        </is>
      </c>
      <c r="B7282" s="1" t="n">
        <v>45670</v>
      </c>
      <c r="C7282" s="1" t="n">
        <v>45744</v>
      </c>
      <c r="D7282" t="inlineStr">
        <is>
          <t>SKÅNE LÄN</t>
        </is>
      </c>
      <c r="E7282" t="inlineStr">
        <is>
          <t>HÄSSLEHOLM</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1816-2025</t>
        </is>
      </c>
      <c r="B7283" s="1" t="n">
        <v>45671</v>
      </c>
      <c r="C7283" s="1" t="n">
        <v>45744</v>
      </c>
      <c r="D7283" t="inlineStr">
        <is>
          <t>SKÅNE LÄN</t>
        </is>
      </c>
      <c r="E7283" t="inlineStr">
        <is>
          <t>PERSTORP</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1846-2025</t>
        </is>
      </c>
      <c r="B7284" s="1" t="n">
        <v>45671</v>
      </c>
      <c r="C7284" s="1" t="n">
        <v>45744</v>
      </c>
      <c r="D7284" t="inlineStr">
        <is>
          <t>SKÅNE LÄN</t>
        </is>
      </c>
      <c r="E7284" t="inlineStr">
        <is>
          <t>SJÖBO</t>
        </is>
      </c>
      <c r="G7284" t="n">
        <v>5.6</v>
      </c>
      <c r="H7284" t="n">
        <v>0</v>
      </c>
      <c r="I7284" t="n">
        <v>0</v>
      </c>
      <c r="J7284" t="n">
        <v>0</v>
      </c>
      <c r="K7284" t="n">
        <v>0</v>
      </c>
      <c r="L7284" t="n">
        <v>0</v>
      </c>
      <c r="M7284" t="n">
        <v>0</v>
      </c>
      <c r="N7284" t="n">
        <v>0</v>
      </c>
      <c r="O7284" t="n">
        <v>0</v>
      </c>
      <c r="P7284" t="n">
        <v>0</v>
      </c>
      <c r="Q7284" t="n">
        <v>0</v>
      </c>
      <c r="R7284" s="2" t="inlineStr"/>
    </row>
    <row r="7285" ht="15" customHeight="1">
      <c r="A7285" t="inlineStr">
        <is>
          <t>A 1858-2025</t>
        </is>
      </c>
      <c r="B7285" s="1" t="n">
        <v>45671</v>
      </c>
      <c r="C7285" s="1" t="n">
        <v>45744</v>
      </c>
      <c r="D7285" t="inlineStr">
        <is>
          <t>SKÅNE LÄN</t>
        </is>
      </c>
      <c r="E7285" t="inlineStr">
        <is>
          <t>SJÖBO</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1783-2025</t>
        </is>
      </c>
      <c r="B7286" s="1" t="n">
        <v>45671</v>
      </c>
      <c r="C7286" s="1" t="n">
        <v>45744</v>
      </c>
      <c r="D7286" t="inlineStr">
        <is>
          <t>SKÅNE LÄN</t>
        </is>
      </c>
      <c r="E7286" t="inlineStr">
        <is>
          <t>ÖRKELLJUNGA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1886-2025</t>
        </is>
      </c>
      <c r="B7287" s="1" t="n">
        <v>45671</v>
      </c>
      <c r="C7287" s="1" t="n">
        <v>45744</v>
      </c>
      <c r="D7287" t="inlineStr">
        <is>
          <t>SKÅNE LÄN</t>
        </is>
      </c>
      <c r="E7287" t="inlineStr">
        <is>
          <t>HÄSSLEHOLM</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1772-2025</t>
        </is>
      </c>
      <c r="B7288" s="1" t="n">
        <v>45671</v>
      </c>
      <c r="C7288" s="1" t="n">
        <v>45744</v>
      </c>
      <c r="D7288" t="inlineStr">
        <is>
          <t>SKÅNE LÄN</t>
        </is>
      </c>
      <c r="E7288" t="inlineStr">
        <is>
          <t>KRISTIANSTAD</t>
        </is>
      </c>
      <c r="G7288" t="n">
        <v>9.6</v>
      </c>
      <c r="H7288" t="n">
        <v>0</v>
      </c>
      <c r="I7288" t="n">
        <v>0</v>
      </c>
      <c r="J7288" t="n">
        <v>0</v>
      </c>
      <c r="K7288" t="n">
        <v>0</v>
      </c>
      <c r="L7288" t="n">
        <v>0</v>
      </c>
      <c r="M7288" t="n">
        <v>0</v>
      </c>
      <c r="N7288" t="n">
        <v>0</v>
      </c>
      <c r="O7288" t="n">
        <v>0</v>
      </c>
      <c r="P7288" t="n">
        <v>0</v>
      </c>
      <c r="Q7288" t="n">
        <v>0</v>
      </c>
      <c r="R7288" s="2" t="inlineStr"/>
    </row>
    <row r="7289" ht="15" customHeight="1">
      <c r="A7289" t="inlineStr">
        <is>
          <t>A 1865-2025</t>
        </is>
      </c>
      <c r="B7289" s="1" t="n">
        <v>45671</v>
      </c>
      <c r="C7289" s="1" t="n">
        <v>45744</v>
      </c>
      <c r="D7289" t="inlineStr">
        <is>
          <t>SKÅNE LÄN</t>
        </is>
      </c>
      <c r="E7289" t="inlineStr">
        <is>
          <t>SJÖBO</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1901-2025</t>
        </is>
      </c>
      <c r="B7290" s="1" t="n">
        <v>45671</v>
      </c>
      <c r="C7290" s="1" t="n">
        <v>45744</v>
      </c>
      <c r="D7290" t="inlineStr">
        <is>
          <t>SKÅNE LÄN</t>
        </is>
      </c>
      <c r="E7290" t="inlineStr">
        <is>
          <t>SVALÖV</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1863-2025</t>
        </is>
      </c>
      <c r="B7291" s="1" t="n">
        <v>45671</v>
      </c>
      <c r="C7291" s="1" t="n">
        <v>45744</v>
      </c>
      <c r="D7291" t="inlineStr">
        <is>
          <t>SKÅNE LÄN</t>
        </is>
      </c>
      <c r="E7291" t="inlineStr">
        <is>
          <t>HÖRBY</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1879-2025</t>
        </is>
      </c>
      <c r="B7292" s="1" t="n">
        <v>45671</v>
      </c>
      <c r="C7292" s="1" t="n">
        <v>45744</v>
      </c>
      <c r="D7292" t="inlineStr">
        <is>
          <t>SKÅNE LÄN</t>
        </is>
      </c>
      <c r="E7292" t="inlineStr">
        <is>
          <t>SJÖBO</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1920-2025</t>
        </is>
      </c>
      <c r="B7293" s="1" t="n">
        <v>45671</v>
      </c>
      <c r="C7293" s="1" t="n">
        <v>45744</v>
      </c>
      <c r="D7293" t="inlineStr">
        <is>
          <t>SKÅNE LÄN</t>
        </is>
      </c>
      <c r="E7293" t="inlineStr">
        <is>
          <t>SVALÖV</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2114-2025</t>
        </is>
      </c>
      <c r="B7294" s="1" t="n">
        <v>45672</v>
      </c>
      <c r="C7294" s="1" t="n">
        <v>45744</v>
      </c>
      <c r="D7294" t="inlineStr">
        <is>
          <t>SKÅNE LÄN</t>
        </is>
      </c>
      <c r="E7294" t="inlineStr">
        <is>
          <t>HÖÖR</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1952-2025</t>
        </is>
      </c>
      <c r="B7295" s="1" t="n">
        <v>45672</v>
      </c>
      <c r="C7295" s="1" t="n">
        <v>45744</v>
      </c>
      <c r="D7295" t="inlineStr">
        <is>
          <t>SKÅNE LÄN</t>
        </is>
      </c>
      <c r="E7295" t="inlineStr">
        <is>
          <t>TOMELILLA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1943-2025</t>
        </is>
      </c>
      <c r="B7296" s="1" t="n">
        <v>45672</v>
      </c>
      <c r="C7296" s="1" t="n">
        <v>45744</v>
      </c>
      <c r="D7296" t="inlineStr">
        <is>
          <t>SKÅNE LÄN</t>
        </is>
      </c>
      <c r="E7296" t="inlineStr">
        <is>
          <t>KRISTIANSTAD</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2399-2025</t>
        </is>
      </c>
      <c r="B7297" s="1" t="n">
        <v>45672</v>
      </c>
      <c r="C7297" s="1" t="n">
        <v>45744</v>
      </c>
      <c r="D7297" t="inlineStr">
        <is>
          <t>SKÅNE LÄN</t>
        </is>
      </c>
      <c r="E7297" t="inlineStr">
        <is>
          <t>ÖRKELLJUNGA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2108-2025</t>
        </is>
      </c>
      <c r="B7298" s="1" t="n">
        <v>45672</v>
      </c>
      <c r="C7298" s="1" t="n">
        <v>45744</v>
      </c>
      <c r="D7298" t="inlineStr">
        <is>
          <t>SKÅNE LÄN</t>
        </is>
      </c>
      <c r="E7298" t="inlineStr">
        <is>
          <t>HÖÖR</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2083-2025</t>
        </is>
      </c>
      <c r="B7299" s="1" t="n">
        <v>45672</v>
      </c>
      <c r="C7299" s="1" t="n">
        <v>45744</v>
      </c>
      <c r="D7299" t="inlineStr">
        <is>
          <t>SKÅNE LÄN</t>
        </is>
      </c>
      <c r="E7299" t="inlineStr">
        <is>
          <t>KLIPPAN</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2079-2025</t>
        </is>
      </c>
      <c r="B7300" s="1" t="n">
        <v>45672</v>
      </c>
      <c r="C7300" s="1" t="n">
        <v>45744</v>
      </c>
      <c r="D7300" t="inlineStr">
        <is>
          <t>SKÅNE LÄN</t>
        </is>
      </c>
      <c r="E7300" t="inlineStr">
        <is>
          <t>BÅSTAD</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1940-2025</t>
        </is>
      </c>
      <c r="B7301" s="1" t="n">
        <v>45672</v>
      </c>
      <c r="C7301" s="1" t="n">
        <v>45744</v>
      </c>
      <c r="D7301" t="inlineStr">
        <is>
          <t>SKÅNE LÄN</t>
        </is>
      </c>
      <c r="E7301" t="inlineStr">
        <is>
          <t>KRISTIANSTAD</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2170-2025</t>
        </is>
      </c>
      <c r="B7302" s="1" t="n">
        <v>45673</v>
      </c>
      <c r="C7302" s="1" t="n">
        <v>45744</v>
      </c>
      <c r="D7302" t="inlineStr">
        <is>
          <t>SKÅNE LÄN</t>
        </is>
      </c>
      <c r="E7302" t="inlineStr">
        <is>
          <t>HÖRBY</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2202-2025</t>
        </is>
      </c>
      <c r="B7303" s="1" t="n">
        <v>45673</v>
      </c>
      <c r="C7303" s="1" t="n">
        <v>45744</v>
      </c>
      <c r="D7303" t="inlineStr">
        <is>
          <t>SKÅNE LÄN</t>
        </is>
      </c>
      <c r="E7303" t="inlineStr">
        <is>
          <t>ÄNGELHOLM</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2267-2025</t>
        </is>
      </c>
      <c r="B7304" s="1" t="n">
        <v>45673</v>
      </c>
      <c r="C7304" s="1" t="n">
        <v>45744</v>
      </c>
      <c r="D7304" t="inlineStr">
        <is>
          <t>SKÅNE LÄN</t>
        </is>
      </c>
      <c r="E7304" t="inlineStr">
        <is>
          <t>HÄSSLEHOLM</t>
        </is>
      </c>
      <c r="G7304" t="n">
        <v>7.9</v>
      </c>
      <c r="H7304" t="n">
        <v>0</v>
      </c>
      <c r="I7304" t="n">
        <v>0</v>
      </c>
      <c r="J7304" t="n">
        <v>0</v>
      </c>
      <c r="K7304" t="n">
        <v>0</v>
      </c>
      <c r="L7304" t="n">
        <v>0</v>
      </c>
      <c r="M7304" t="n">
        <v>0</v>
      </c>
      <c r="N7304" t="n">
        <v>0</v>
      </c>
      <c r="O7304" t="n">
        <v>0</v>
      </c>
      <c r="P7304" t="n">
        <v>0</v>
      </c>
      <c r="Q7304" t="n">
        <v>0</v>
      </c>
      <c r="R7304" s="2" t="inlineStr"/>
    </row>
    <row r="7305" ht="15" customHeight="1">
      <c r="A7305" t="inlineStr">
        <is>
          <t>A 2248-2025</t>
        </is>
      </c>
      <c r="B7305" s="1" t="n">
        <v>45673</v>
      </c>
      <c r="C7305" s="1" t="n">
        <v>45744</v>
      </c>
      <c r="D7305" t="inlineStr">
        <is>
          <t>SKÅNE LÄN</t>
        </is>
      </c>
      <c r="E7305" t="inlineStr">
        <is>
          <t>LUND</t>
        </is>
      </c>
      <c r="G7305" t="n">
        <v>11.7</v>
      </c>
      <c r="H7305" t="n">
        <v>0</v>
      </c>
      <c r="I7305" t="n">
        <v>0</v>
      </c>
      <c r="J7305" t="n">
        <v>0</v>
      </c>
      <c r="K7305" t="n">
        <v>0</v>
      </c>
      <c r="L7305" t="n">
        <v>0</v>
      </c>
      <c r="M7305" t="n">
        <v>0</v>
      </c>
      <c r="N7305" t="n">
        <v>0</v>
      </c>
      <c r="O7305" t="n">
        <v>0</v>
      </c>
      <c r="P7305" t="n">
        <v>0</v>
      </c>
      <c r="Q7305" t="n">
        <v>0</v>
      </c>
      <c r="R7305" s="2" t="inlineStr"/>
    </row>
    <row r="7306" ht="15" customHeight="1">
      <c r="A7306" t="inlineStr">
        <is>
          <t>A 2242-2025</t>
        </is>
      </c>
      <c r="B7306" s="1" t="n">
        <v>45673</v>
      </c>
      <c r="C7306" s="1" t="n">
        <v>45744</v>
      </c>
      <c r="D7306" t="inlineStr">
        <is>
          <t>SKÅNE LÄN</t>
        </is>
      </c>
      <c r="E7306" t="inlineStr">
        <is>
          <t>KLIPPAN</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2262-2025</t>
        </is>
      </c>
      <c r="B7307" s="1" t="n">
        <v>45673</v>
      </c>
      <c r="C7307" s="1" t="n">
        <v>45744</v>
      </c>
      <c r="D7307" t="inlineStr">
        <is>
          <t>SKÅNE LÄN</t>
        </is>
      </c>
      <c r="E7307" t="inlineStr">
        <is>
          <t>KLIPPAN</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2252-2025</t>
        </is>
      </c>
      <c r="B7308" s="1" t="n">
        <v>45673</v>
      </c>
      <c r="C7308" s="1" t="n">
        <v>45744</v>
      </c>
      <c r="D7308" t="inlineStr">
        <is>
          <t>SKÅNE LÄN</t>
        </is>
      </c>
      <c r="E7308" t="inlineStr">
        <is>
          <t>KLIPPAN</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2408-2025</t>
        </is>
      </c>
      <c r="B7309" s="1" t="n">
        <v>45674</v>
      </c>
      <c r="C7309" s="1" t="n">
        <v>45744</v>
      </c>
      <c r="D7309" t="inlineStr">
        <is>
          <t>SKÅNE LÄN</t>
        </is>
      </c>
      <c r="E7309" t="inlineStr">
        <is>
          <t>SVEDALA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2588-2025</t>
        </is>
      </c>
      <c r="B7310" s="1" t="n">
        <v>45674</v>
      </c>
      <c r="C7310" s="1" t="n">
        <v>45744</v>
      </c>
      <c r="D7310" t="inlineStr">
        <is>
          <t>SKÅNE LÄN</t>
        </is>
      </c>
      <c r="E7310" t="inlineStr">
        <is>
          <t>ÖSTRA GÖINGE</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2587-2025</t>
        </is>
      </c>
      <c r="B7311" s="1" t="n">
        <v>45674</v>
      </c>
      <c r="C7311" s="1" t="n">
        <v>45744</v>
      </c>
      <c r="D7311" t="inlineStr">
        <is>
          <t>SKÅNE LÄN</t>
        </is>
      </c>
      <c r="E7311" t="inlineStr">
        <is>
          <t>ÖSTRA GÖINGE</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2453-2025</t>
        </is>
      </c>
      <c r="B7312" s="1" t="n">
        <v>45674</v>
      </c>
      <c r="C7312" s="1" t="n">
        <v>45744</v>
      </c>
      <c r="D7312" t="inlineStr">
        <is>
          <t>SKÅNE LÄN</t>
        </is>
      </c>
      <c r="E7312" t="inlineStr">
        <is>
          <t>BROMÖLLA</t>
        </is>
      </c>
      <c r="G7312" t="n">
        <v>0.2</v>
      </c>
      <c r="H7312" t="n">
        <v>0</v>
      </c>
      <c r="I7312" t="n">
        <v>0</v>
      </c>
      <c r="J7312" t="n">
        <v>0</v>
      </c>
      <c r="K7312" t="n">
        <v>0</v>
      </c>
      <c r="L7312" t="n">
        <v>0</v>
      </c>
      <c r="M7312" t="n">
        <v>0</v>
      </c>
      <c r="N7312" t="n">
        <v>0</v>
      </c>
      <c r="O7312" t="n">
        <v>0</v>
      </c>
      <c r="P7312" t="n">
        <v>0</v>
      </c>
      <c r="Q7312" t="n">
        <v>0</v>
      </c>
      <c r="R7312" s="2" t="inlineStr"/>
    </row>
    <row r="7313" ht="15" customHeight="1">
      <c r="A7313" t="inlineStr">
        <is>
          <t>A 2550-2025</t>
        </is>
      </c>
      <c r="B7313" s="1" t="n">
        <v>45674</v>
      </c>
      <c r="C7313" s="1" t="n">
        <v>45744</v>
      </c>
      <c r="D7313" t="inlineStr">
        <is>
          <t>SKÅNE LÄN</t>
        </is>
      </c>
      <c r="E7313" t="inlineStr">
        <is>
          <t>ÖRKELLJUNGA</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2415-2025</t>
        </is>
      </c>
      <c r="B7314" s="1" t="n">
        <v>45674</v>
      </c>
      <c r="C7314" s="1" t="n">
        <v>45744</v>
      </c>
      <c r="D7314" t="inlineStr">
        <is>
          <t>SKÅNE LÄN</t>
        </is>
      </c>
      <c r="E7314" t="inlineStr">
        <is>
          <t>SVEDALA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2448-2025</t>
        </is>
      </c>
      <c r="B7315" s="1" t="n">
        <v>45674</v>
      </c>
      <c r="C7315" s="1" t="n">
        <v>45744</v>
      </c>
      <c r="D7315" t="inlineStr">
        <is>
          <t>SKÅNE LÄN</t>
        </is>
      </c>
      <c r="E7315" t="inlineStr">
        <is>
          <t>BROMÖLLA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2405-2025</t>
        </is>
      </c>
      <c r="B7316" s="1" t="n">
        <v>45674</v>
      </c>
      <c r="C7316" s="1" t="n">
        <v>45744</v>
      </c>
      <c r="D7316" t="inlineStr">
        <is>
          <t>SKÅNE LÄN</t>
        </is>
      </c>
      <c r="E7316" t="inlineStr">
        <is>
          <t>ÖRKELLJUNGA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2395-2025</t>
        </is>
      </c>
      <c r="B7317" s="1" t="n">
        <v>45674</v>
      </c>
      <c r="C7317" s="1" t="n">
        <v>45744</v>
      </c>
      <c r="D7317" t="inlineStr">
        <is>
          <t>SKÅNE LÄN</t>
        </is>
      </c>
      <c r="E7317" t="inlineStr">
        <is>
          <t>ÖRKELLJUNGA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2543-2025</t>
        </is>
      </c>
      <c r="B7318" s="1" t="n">
        <v>45674</v>
      </c>
      <c r="C7318" s="1" t="n">
        <v>45744</v>
      </c>
      <c r="D7318" t="inlineStr">
        <is>
          <t>SKÅNE LÄN</t>
        </is>
      </c>
      <c r="E7318" t="inlineStr">
        <is>
          <t>ÖSTRA GÖINGE</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2621-2025</t>
        </is>
      </c>
      <c r="B7319" s="1" t="n">
        <v>45675</v>
      </c>
      <c r="C7319" s="1" t="n">
        <v>45744</v>
      </c>
      <c r="D7319" t="inlineStr">
        <is>
          <t>SKÅNE LÄN</t>
        </is>
      </c>
      <c r="E7319" t="inlineStr">
        <is>
          <t>HÄSSLEHOLM</t>
        </is>
      </c>
      <c r="F7319" t="inlineStr">
        <is>
          <t>Kommuner</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2780-2025</t>
        </is>
      </c>
      <c r="B7320" s="1" t="n">
        <v>45677</v>
      </c>
      <c r="C7320" s="1" t="n">
        <v>45744</v>
      </c>
      <c r="D7320" t="inlineStr">
        <is>
          <t>SKÅNE LÄN</t>
        </is>
      </c>
      <c r="E7320" t="inlineStr">
        <is>
          <t>HÖRBY</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2816-2025</t>
        </is>
      </c>
      <c r="B7321" s="1" t="n">
        <v>45677</v>
      </c>
      <c r="C7321" s="1" t="n">
        <v>45744</v>
      </c>
      <c r="D7321" t="inlineStr">
        <is>
          <t>SKÅNE LÄN</t>
        </is>
      </c>
      <c r="E7321" t="inlineStr">
        <is>
          <t>HÖRBY</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2911-2025</t>
        </is>
      </c>
      <c r="B7322" s="1" t="n">
        <v>45677</v>
      </c>
      <c r="C7322" s="1" t="n">
        <v>45744</v>
      </c>
      <c r="D7322" t="inlineStr">
        <is>
          <t>SKÅNE LÄN</t>
        </is>
      </c>
      <c r="E7322" t="inlineStr">
        <is>
          <t>OSBY</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2863-2025</t>
        </is>
      </c>
      <c r="B7323" s="1" t="n">
        <v>45677</v>
      </c>
      <c r="C7323" s="1" t="n">
        <v>45744</v>
      </c>
      <c r="D7323" t="inlineStr">
        <is>
          <t>SKÅNE LÄN</t>
        </is>
      </c>
      <c r="E7323" t="inlineStr">
        <is>
          <t>HÄSSLEHOLM</t>
        </is>
      </c>
      <c r="F7323" t="inlineStr">
        <is>
          <t>Övriga Aktiebolag</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3125-2025</t>
        </is>
      </c>
      <c r="B7324" s="1" t="n">
        <v>45678</v>
      </c>
      <c r="C7324" s="1" t="n">
        <v>45744</v>
      </c>
      <c r="D7324" t="inlineStr">
        <is>
          <t>SKÅNE LÄN</t>
        </is>
      </c>
      <c r="E7324" t="inlineStr">
        <is>
          <t>OSBY</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3137-2025</t>
        </is>
      </c>
      <c r="B7325" s="1" t="n">
        <v>45678</v>
      </c>
      <c r="C7325" s="1" t="n">
        <v>45744</v>
      </c>
      <c r="D7325" t="inlineStr">
        <is>
          <t>SKÅNE LÄN</t>
        </is>
      </c>
      <c r="E7325" t="inlineStr">
        <is>
          <t>KRISTIANSTAD</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3297-2025</t>
        </is>
      </c>
      <c r="B7326" s="1" t="n">
        <v>45679</v>
      </c>
      <c r="C7326" s="1" t="n">
        <v>45744</v>
      </c>
      <c r="D7326" t="inlineStr">
        <is>
          <t>SKÅNE LÄN</t>
        </is>
      </c>
      <c r="E7326" t="inlineStr">
        <is>
          <t>HÄSSLEHOLM</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3317-2025</t>
        </is>
      </c>
      <c r="B7327" s="1" t="n">
        <v>45679</v>
      </c>
      <c r="C7327" s="1" t="n">
        <v>45744</v>
      </c>
      <c r="D7327" t="inlineStr">
        <is>
          <t>SKÅNE LÄN</t>
        </is>
      </c>
      <c r="E7327" t="inlineStr">
        <is>
          <t>HÄSSLEHOLM</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3291-2025</t>
        </is>
      </c>
      <c r="B7328" s="1" t="n">
        <v>45679</v>
      </c>
      <c r="C7328" s="1" t="n">
        <v>45744</v>
      </c>
      <c r="D7328" t="inlineStr">
        <is>
          <t>SKÅNE LÄN</t>
        </is>
      </c>
      <c r="E7328" t="inlineStr">
        <is>
          <t>TOMELILLA</t>
        </is>
      </c>
      <c r="F7328" t="inlineStr">
        <is>
          <t>Övriga Aktiebolag</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3294-2025</t>
        </is>
      </c>
      <c r="B7329" s="1" t="n">
        <v>45679</v>
      </c>
      <c r="C7329" s="1" t="n">
        <v>45744</v>
      </c>
      <c r="D7329" t="inlineStr">
        <is>
          <t>SKÅNE LÄN</t>
        </is>
      </c>
      <c r="E7329" t="inlineStr">
        <is>
          <t>HÄSSLEHOLM</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3205-2025</t>
        </is>
      </c>
      <c r="B7330" s="1" t="n">
        <v>45679</v>
      </c>
      <c r="C7330" s="1" t="n">
        <v>45744</v>
      </c>
      <c r="D7330" t="inlineStr">
        <is>
          <t>SKÅNE LÄN</t>
        </is>
      </c>
      <c r="E7330" t="inlineStr">
        <is>
          <t>ÖRKELLJUNGA</t>
        </is>
      </c>
      <c r="F7330" t="inlineStr">
        <is>
          <t>Kyrkan</t>
        </is>
      </c>
      <c r="G7330" t="n">
        <v>6.7</v>
      </c>
      <c r="H7330" t="n">
        <v>0</v>
      </c>
      <c r="I7330" t="n">
        <v>0</v>
      </c>
      <c r="J7330" t="n">
        <v>0</v>
      </c>
      <c r="K7330" t="n">
        <v>0</v>
      </c>
      <c r="L7330" t="n">
        <v>0</v>
      </c>
      <c r="M7330" t="n">
        <v>0</v>
      </c>
      <c r="N7330" t="n">
        <v>0</v>
      </c>
      <c r="O7330" t="n">
        <v>0</v>
      </c>
      <c r="P7330" t="n">
        <v>0</v>
      </c>
      <c r="Q7330" t="n">
        <v>0</v>
      </c>
      <c r="R7330" s="2" t="inlineStr"/>
    </row>
    <row r="7331" ht="15" customHeight="1">
      <c r="A7331" t="inlineStr">
        <is>
          <t>A 3471-2025</t>
        </is>
      </c>
      <c r="B7331" s="1" t="n">
        <v>45680</v>
      </c>
      <c r="C7331" s="1" t="n">
        <v>45744</v>
      </c>
      <c r="D7331" t="inlineStr">
        <is>
          <t>SKÅNE LÄN</t>
        </is>
      </c>
      <c r="E7331" t="inlineStr">
        <is>
          <t>HÖRBY</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3534-2025</t>
        </is>
      </c>
      <c r="B7332" s="1" t="n">
        <v>45680</v>
      </c>
      <c r="C7332" s="1" t="n">
        <v>45744</v>
      </c>
      <c r="D7332" t="inlineStr">
        <is>
          <t>SKÅNE LÄN</t>
        </is>
      </c>
      <c r="E7332" t="inlineStr">
        <is>
          <t>HÖRBY</t>
        </is>
      </c>
      <c r="F7332" t="inlineStr">
        <is>
          <t>Kyrkan</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3542-2025</t>
        </is>
      </c>
      <c r="B7333" s="1" t="n">
        <v>45680</v>
      </c>
      <c r="C7333" s="1" t="n">
        <v>45744</v>
      </c>
      <c r="D7333" t="inlineStr">
        <is>
          <t>SKÅNE LÄN</t>
        </is>
      </c>
      <c r="E7333" t="inlineStr">
        <is>
          <t>HÖRBY</t>
        </is>
      </c>
      <c r="F7333" t="inlineStr">
        <is>
          <t>Kyrkan</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3565-2025</t>
        </is>
      </c>
      <c r="B7334" s="1" t="n">
        <v>45680</v>
      </c>
      <c r="C7334" s="1" t="n">
        <v>45744</v>
      </c>
      <c r="D7334" t="inlineStr">
        <is>
          <t>SKÅNE LÄN</t>
        </is>
      </c>
      <c r="E7334" t="inlineStr">
        <is>
          <t>ÄNGELHOLM</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3524-2025</t>
        </is>
      </c>
      <c r="B7335" s="1" t="n">
        <v>45680</v>
      </c>
      <c r="C7335" s="1" t="n">
        <v>45744</v>
      </c>
      <c r="D7335" t="inlineStr">
        <is>
          <t>SKÅNE LÄN</t>
        </is>
      </c>
      <c r="E7335" t="inlineStr">
        <is>
          <t>ESLÖV</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3406-2025</t>
        </is>
      </c>
      <c r="B7336" s="1" t="n">
        <v>45680</v>
      </c>
      <c r="C7336" s="1" t="n">
        <v>45744</v>
      </c>
      <c r="D7336" t="inlineStr">
        <is>
          <t>SKÅNE LÄN</t>
        </is>
      </c>
      <c r="E7336" t="inlineStr">
        <is>
          <t>ÖSTRA GÖINGE</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3591-2025</t>
        </is>
      </c>
      <c r="B7337" s="1" t="n">
        <v>45681</v>
      </c>
      <c r="C7337" s="1" t="n">
        <v>45744</v>
      </c>
      <c r="D7337" t="inlineStr">
        <is>
          <t>SKÅNE LÄN</t>
        </is>
      </c>
      <c r="E7337" t="inlineStr">
        <is>
          <t>HÖRBY</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3705-2025</t>
        </is>
      </c>
      <c r="B7338" s="1" t="n">
        <v>45681</v>
      </c>
      <c r="C7338" s="1" t="n">
        <v>45744</v>
      </c>
      <c r="D7338" t="inlineStr">
        <is>
          <t>SKÅNE LÄN</t>
        </is>
      </c>
      <c r="E7338" t="inlineStr">
        <is>
          <t>OSBY</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3776-2025</t>
        </is>
      </c>
      <c r="B7339" s="1" t="n">
        <v>45681</v>
      </c>
      <c r="C7339" s="1" t="n">
        <v>45744</v>
      </c>
      <c r="D7339" t="inlineStr">
        <is>
          <t>SKÅNE LÄN</t>
        </is>
      </c>
      <c r="E7339" t="inlineStr">
        <is>
          <t>HÄSSLEHOLM</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3612-2025</t>
        </is>
      </c>
      <c r="B7340" s="1" t="n">
        <v>45681</v>
      </c>
      <c r="C7340" s="1" t="n">
        <v>45744</v>
      </c>
      <c r="D7340" t="inlineStr">
        <is>
          <t>SKÅNE LÄN</t>
        </is>
      </c>
      <c r="E7340" t="inlineStr">
        <is>
          <t>HÖÖR</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3846-2025</t>
        </is>
      </c>
      <c r="B7341" s="1" t="n">
        <v>45683</v>
      </c>
      <c r="C7341" s="1" t="n">
        <v>45744</v>
      </c>
      <c r="D7341" t="inlineStr">
        <is>
          <t>SKÅNE LÄN</t>
        </is>
      </c>
      <c r="E7341" t="inlineStr">
        <is>
          <t>OSBY</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3915-2025</t>
        </is>
      </c>
      <c r="B7342" s="1" t="n">
        <v>45684</v>
      </c>
      <c r="C7342" s="1" t="n">
        <v>45744</v>
      </c>
      <c r="D7342" t="inlineStr">
        <is>
          <t>SKÅNE LÄN</t>
        </is>
      </c>
      <c r="E7342" t="inlineStr">
        <is>
          <t>HÖÖR</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3888-2025</t>
        </is>
      </c>
      <c r="B7343" s="1" t="n">
        <v>45684</v>
      </c>
      <c r="C7343" s="1" t="n">
        <v>45744</v>
      </c>
      <c r="D7343" t="inlineStr">
        <is>
          <t>SKÅNE LÄN</t>
        </is>
      </c>
      <c r="E7343" t="inlineStr">
        <is>
          <t>OSBY</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4040-2025</t>
        </is>
      </c>
      <c r="B7344" s="1" t="n">
        <v>45684</v>
      </c>
      <c r="C7344" s="1" t="n">
        <v>45744</v>
      </c>
      <c r="D7344" t="inlineStr">
        <is>
          <t>SKÅNE LÄN</t>
        </is>
      </c>
      <c r="E7344" t="inlineStr">
        <is>
          <t>HÄSSLEHOLM</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3941-2025</t>
        </is>
      </c>
      <c r="B7345" s="1" t="n">
        <v>45684</v>
      </c>
      <c r="C7345" s="1" t="n">
        <v>45744</v>
      </c>
      <c r="D7345" t="inlineStr">
        <is>
          <t>SKÅNE LÄN</t>
        </is>
      </c>
      <c r="E7345" t="inlineStr">
        <is>
          <t>ÖRKELLJUNGA</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4104-2025</t>
        </is>
      </c>
      <c r="B7346" s="1" t="n">
        <v>45684</v>
      </c>
      <c r="C7346" s="1" t="n">
        <v>45744</v>
      </c>
      <c r="D7346" t="inlineStr">
        <is>
          <t>SKÅNE LÄN</t>
        </is>
      </c>
      <c r="E7346" t="inlineStr">
        <is>
          <t>HÄSSLEHOLM</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4117-2025</t>
        </is>
      </c>
      <c r="B7347" s="1" t="n">
        <v>45684</v>
      </c>
      <c r="C7347" s="1" t="n">
        <v>45744</v>
      </c>
      <c r="D7347" t="inlineStr">
        <is>
          <t>SKÅNE LÄN</t>
        </is>
      </c>
      <c r="E7347" t="inlineStr">
        <is>
          <t>ÄNGELHOLM</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4256-2025</t>
        </is>
      </c>
      <c r="B7348" s="1" t="n">
        <v>45685</v>
      </c>
      <c r="C7348" s="1" t="n">
        <v>45744</v>
      </c>
      <c r="D7348" t="inlineStr">
        <is>
          <t>SKÅNE LÄN</t>
        </is>
      </c>
      <c r="E7348" t="inlineStr">
        <is>
          <t>BÅSTAD</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4198-2025</t>
        </is>
      </c>
      <c r="B7349" s="1" t="n">
        <v>45685</v>
      </c>
      <c r="C7349" s="1" t="n">
        <v>45744</v>
      </c>
      <c r="D7349" t="inlineStr">
        <is>
          <t>SKÅNE LÄN</t>
        </is>
      </c>
      <c r="E7349" t="inlineStr">
        <is>
          <t>SIMRISHAMN</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4248-2025</t>
        </is>
      </c>
      <c r="B7350" s="1" t="n">
        <v>45685</v>
      </c>
      <c r="C7350" s="1" t="n">
        <v>45744</v>
      </c>
      <c r="D7350" t="inlineStr">
        <is>
          <t>SKÅNE LÄN</t>
        </is>
      </c>
      <c r="E7350" t="inlineStr">
        <is>
          <t>KRISTIANSTAD</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4185-2025</t>
        </is>
      </c>
      <c r="B7351" s="1" t="n">
        <v>45685</v>
      </c>
      <c r="C7351" s="1" t="n">
        <v>45744</v>
      </c>
      <c r="D7351" t="inlineStr">
        <is>
          <t>SKÅNE LÄN</t>
        </is>
      </c>
      <c r="E7351" t="inlineStr">
        <is>
          <t>ÖSTRA GÖINGE</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4177-2025</t>
        </is>
      </c>
      <c r="B7352" s="1" t="n">
        <v>45685</v>
      </c>
      <c r="C7352" s="1" t="n">
        <v>45744</v>
      </c>
      <c r="D7352" t="inlineStr">
        <is>
          <t>SKÅNE LÄN</t>
        </is>
      </c>
      <c r="E7352" t="inlineStr">
        <is>
          <t>ÖSTRA GÖINGE</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4232-2025</t>
        </is>
      </c>
      <c r="B7353" s="1" t="n">
        <v>45685</v>
      </c>
      <c r="C7353" s="1" t="n">
        <v>45744</v>
      </c>
      <c r="D7353" t="inlineStr">
        <is>
          <t>SKÅNE LÄN</t>
        </is>
      </c>
      <c r="E7353" t="inlineStr">
        <is>
          <t>OSBY</t>
        </is>
      </c>
      <c r="F7353" t="inlineStr">
        <is>
          <t>Sveaskog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4196-2025</t>
        </is>
      </c>
      <c r="B7354" s="1" t="n">
        <v>45685</v>
      </c>
      <c r="C7354" s="1" t="n">
        <v>45744</v>
      </c>
      <c r="D7354" t="inlineStr">
        <is>
          <t>SKÅNE LÄN</t>
        </is>
      </c>
      <c r="E7354" t="inlineStr">
        <is>
          <t>ÖSTRA GÖINGE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4247-2025</t>
        </is>
      </c>
      <c r="B7355" s="1" t="n">
        <v>45685</v>
      </c>
      <c r="C7355" s="1" t="n">
        <v>45744</v>
      </c>
      <c r="D7355" t="inlineStr">
        <is>
          <t>SKÅNE LÄN</t>
        </is>
      </c>
      <c r="E7355" t="inlineStr">
        <is>
          <t>HÖÖR</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4231-2025</t>
        </is>
      </c>
      <c r="B7356" s="1" t="n">
        <v>45685</v>
      </c>
      <c r="C7356" s="1" t="n">
        <v>45744</v>
      </c>
      <c r="D7356" t="inlineStr">
        <is>
          <t>SKÅNE LÄN</t>
        </is>
      </c>
      <c r="E7356" t="inlineStr">
        <is>
          <t>OSBY</t>
        </is>
      </c>
      <c r="F7356" t="inlineStr">
        <is>
          <t>Sveaskog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4209-2025</t>
        </is>
      </c>
      <c r="B7357" s="1" t="n">
        <v>45685</v>
      </c>
      <c r="C7357" s="1" t="n">
        <v>45744</v>
      </c>
      <c r="D7357" t="inlineStr">
        <is>
          <t>SKÅNE LÄN</t>
        </is>
      </c>
      <c r="E7357" t="inlineStr">
        <is>
          <t>OSBY</t>
        </is>
      </c>
      <c r="G7357" t="n">
        <v>7.8</v>
      </c>
      <c r="H7357" t="n">
        <v>0</v>
      </c>
      <c r="I7357" t="n">
        <v>0</v>
      </c>
      <c r="J7357" t="n">
        <v>0</v>
      </c>
      <c r="K7357" t="n">
        <v>0</v>
      </c>
      <c r="L7357" t="n">
        <v>0</v>
      </c>
      <c r="M7357" t="n">
        <v>0</v>
      </c>
      <c r="N7357" t="n">
        <v>0</v>
      </c>
      <c r="O7357" t="n">
        <v>0</v>
      </c>
      <c r="P7357" t="n">
        <v>0</v>
      </c>
      <c r="Q7357" t="n">
        <v>0</v>
      </c>
      <c r="R7357" s="2" t="inlineStr"/>
    </row>
    <row r="7358" ht="15" customHeight="1">
      <c r="A7358" t="inlineStr">
        <is>
          <t>A 4229-2025</t>
        </is>
      </c>
      <c r="B7358" s="1" t="n">
        <v>45685</v>
      </c>
      <c r="C7358" s="1" t="n">
        <v>45744</v>
      </c>
      <c r="D7358" t="inlineStr">
        <is>
          <t>SKÅNE LÄN</t>
        </is>
      </c>
      <c r="E7358" t="inlineStr">
        <is>
          <t>OSBY</t>
        </is>
      </c>
      <c r="F7358" t="inlineStr">
        <is>
          <t>Sveaskog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4245-2025</t>
        </is>
      </c>
      <c r="B7359" s="1" t="n">
        <v>45685</v>
      </c>
      <c r="C7359" s="1" t="n">
        <v>45744</v>
      </c>
      <c r="D7359" t="inlineStr">
        <is>
          <t>SKÅNE LÄN</t>
        </is>
      </c>
      <c r="E7359" t="inlineStr">
        <is>
          <t>HÖÖR</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4460-2025</t>
        </is>
      </c>
      <c r="B7360" s="1" t="n">
        <v>45686</v>
      </c>
      <c r="C7360" s="1" t="n">
        <v>45744</v>
      </c>
      <c r="D7360" t="inlineStr">
        <is>
          <t>SKÅNE LÄN</t>
        </is>
      </c>
      <c r="E7360" t="inlineStr">
        <is>
          <t>ÖSTRA GÖINGE</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4496-2025</t>
        </is>
      </c>
      <c r="B7361" s="1" t="n">
        <v>45686</v>
      </c>
      <c r="C7361" s="1" t="n">
        <v>45744</v>
      </c>
      <c r="D7361" t="inlineStr">
        <is>
          <t>SKÅNE LÄN</t>
        </is>
      </c>
      <c r="E7361" t="inlineStr">
        <is>
          <t>OSBY</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4458-2025</t>
        </is>
      </c>
      <c r="B7362" s="1" t="n">
        <v>45686</v>
      </c>
      <c r="C7362" s="1" t="n">
        <v>45744</v>
      </c>
      <c r="D7362" t="inlineStr">
        <is>
          <t>SKÅNE LÄN</t>
        </is>
      </c>
      <c r="E7362" t="inlineStr">
        <is>
          <t>ÖSTRA GÖINGE</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4425-2025</t>
        </is>
      </c>
      <c r="B7363" s="1" t="n">
        <v>45686</v>
      </c>
      <c r="C7363" s="1" t="n">
        <v>45744</v>
      </c>
      <c r="D7363" t="inlineStr">
        <is>
          <t>SKÅNE LÄN</t>
        </is>
      </c>
      <c r="E7363" t="inlineStr">
        <is>
          <t>ÖSTRA GÖINGE</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4421-2025</t>
        </is>
      </c>
      <c r="B7364" s="1" t="n">
        <v>45686</v>
      </c>
      <c r="C7364" s="1" t="n">
        <v>45744</v>
      </c>
      <c r="D7364" t="inlineStr">
        <is>
          <t>SKÅNE LÄN</t>
        </is>
      </c>
      <c r="E7364" t="inlineStr">
        <is>
          <t>KRISTIANSTAD</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4411-2025</t>
        </is>
      </c>
      <c r="B7365" s="1" t="n">
        <v>45686</v>
      </c>
      <c r="C7365" s="1" t="n">
        <v>45744</v>
      </c>
      <c r="D7365" t="inlineStr">
        <is>
          <t>SKÅNE LÄN</t>
        </is>
      </c>
      <c r="E7365" t="inlineStr">
        <is>
          <t>OSBY</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4435-2025</t>
        </is>
      </c>
      <c r="B7366" s="1" t="n">
        <v>45686</v>
      </c>
      <c r="C7366" s="1" t="n">
        <v>45744</v>
      </c>
      <c r="D7366" t="inlineStr">
        <is>
          <t>SKÅNE LÄN</t>
        </is>
      </c>
      <c r="E7366" t="inlineStr">
        <is>
          <t>ÖSTRA GÖINGE</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4431-2025</t>
        </is>
      </c>
      <c r="B7367" s="1" t="n">
        <v>45686</v>
      </c>
      <c r="C7367" s="1" t="n">
        <v>45744</v>
      </c>
      <c r="D7367" t="inlineStr">
        <is>
          <t>SKÅNE LÄN</t>
        </is>
      </c>
      <c r="E7367" t="inlineStr">
        <is>
          <t>ÖSTRA GÖINGE</t>
        </is>
      </c>
      <c r="G7367" t="n">
        <v>9.6</v>
      </c>
      <c r="H7367" t="n">
        <v>0</v>
      </c>
      <c r="I7367" t="n">
        <v>0</v>
      </c>
      <c r="J7367" t="n">
        <v>0</v>
      </c>
      <c r="K7367" t="n">
        <v>0</v>
      </c>
      <c r="L7367" t="n">
        <v>0</v>
      </c>
      <c r="M7367" t="n">
        <v>0</v>
      </c>
      <c r="N7367" t="n">
        <v>0</v>
      </c>
      <c r="O7367" t="n">
        <v>0</v>
      </c>
      <c r="P7367" t="n">
        <v>0</v>
      </c>
      <c r="Q7367" t="n">
        <v>0</v>
      </c>
      <c r="R7367" s="2" t="inlineStr"/>
    </row>
    <row r="7368" ht="15" customHeight="1">
      <c r="A7368" t="inlineStr">
        <is>
          <t>A 4363-2025</t>
        </is>
      </c>
      <c r="B7368" s="1" t="n">
        <v>45686</v>
      </c>
      <c r="C7368" s="1" t="n">
        <v>45744</v>
      </c>
      <c r="D7368" t="inlineStr">
        <is>
          <t>SKÅNE LÄN</t>
        </is>
      </c>
      <c r="E7368" t="inlineStr">
        <is>
          <t>OSBY</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4555-2025</t>
        </is>
      </c>
      <c r="B7369" s="1" t="n">
        <v>45687</v>
      </c>
      <c r="C7369" s="1" t="n">
        <v>45744</v>
      </c>
      <c r="D7369" t="inlineStr">
        <is>
          <t>SKÅNE LÄN</t>
        </is>
      </c>
      <c r="E7369" t="inlineStr">
        <is>
          <t>HÖRBY</t>
        </is>
      </c>
      <c r="F7369" t="inlineStr">
        <is>
          <t>Sveaskog</t>
        </is>
      </c>
      <c r="G7369" t="n">
        <v>5.7</v>
      </c>
      <c r="H7369" t="n">
        <v>0</v>
      </c>
      <c r="I7369" t="n">
        <v>0</v>
      </c>
      <c r="J7369" t="n">
        <v>0</v>
      </c>
      <c r="K7369" t="n">
        <v>0</v>
      </c>
      <c r="L7369" t="n">
        <v>0</v>
      </c>
      <c r="M7369" t="n">
        <v>0</v>
      </c>
      <c r="N7369" t="n">
        <v>0</v>
      </c>
      <c r="O7369" t="n">
        <v>0</v>
      </c>
      <c r="P7369" t="n">
        <v>0</v>
      </c>
      <c r="Q7369" t="n">
        <v>0</v>
      </c>
      <c r="R7369" s="2" t="inlineStr"/>
    </row>
    <row r="7370" ht="15" customHeight="1">
      <c r="A7370" t="inlineStr">
        <is>
          <t>A 4605-2025</t>
        </is>
      </c>
      <c r="B7370" s="1" t="n">
        <v>45687</v>
      </c>
      <c r="C7370" s="1" t="n">
        <v>45744</v>
      </c>
      <c r="D7370" t="inlineStr">
        <is>
          <t>SKÅNE LÄN</t>
        </is>
      </c>
      <c r="E7370" t="inlineStr">
        <is>
          <t>ÄNGELHOLM</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4589-2025</t>
        </is>
      </c>
      <c r="B7371" s="1" t="n">
        <v>45687</v>
      </c>
      <c r="C7371" s="1" t="n">
        <v>45744</v>
      </c>
      <c r="D7371" t="inlineStr">
        <is>
          <t>SKÅNE LÄN</t>
        </is>
      </c>
      <c r="E7371" t="inlineStr">
        <is>
          <t>HÄSSLEHOLM</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4574-2025</t>
        </is>
      </c>
      <c r="B7372" s="1" t="n">
        <v>45687</v>
      </c>
      <c r="C7372" s="1" t="n">
        <v>45744</v>
      </c>
      <c r="D7372" t="inlineStr">
        <is>
          <t>SKÅNE LÄN</t>
        </is>
      </c>
      <c r="E7372" t="inlineStr">
        <is>
          <t>BJUV</t>
        </is>
      </c>
      <c r="F7372" t="inlineStr">
        <is>
          <t>Kyrkan</t>
        </is>
      </c>
      <c r="G7372" t="n">
        <v>6.2</v>
      </c>
      <c r="H7372" t="n">
        <v>0</v>
      </c>
      <c r="I7372" t="n">
        <v>0</v>
      </c>
      <c r="J7372" t="n">
        <v>0</v>
      </c>
      <c r="K7372" t="n">
        <v>0</v>
      </c>
      <c r="L7372" t="n">
        <v>0</v>
      </c>
      <c r="M7372" t="n">
        <v>0</v>
      </c>
      <c r="N7372" t="n">
        <v>0</v>
      </c>
      <c r="O7372" t="n">
        <v>0</v>
      </c>
      <c r="P7372" t="n">
        <v>0</v>
      </c>
      <c r="Q7372" t="n">
        <v>0</v>
      </c>
      <c r="R7372" s="2" t="inlineStr"/>
    </row>
    <row r="7373" ht="15" customHeight="1">
      <c r="A7373" t="inlineStr">
        <is>
          <t>A 4579-2025</t>
        </is>
      </c>
      <c r="B7373" s="1" t="n">
        <v>45687</v>
      </c>
      <c r="C7373" s="1" t="n">
        <v>45744</v>
      </c>
      <c r="D7373" t="inlineStr">
        <is>
          <t>SKÅNE LÄN</t>
        </is>
      </c>
      <c r="E7373" t="inlineStr">
        <is>
          <t>HÄSSLEHOLM</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4820-2025</t>
        </is>
      </c>
      <c r="B7374" s="1" t="n">
        <v>45688</v>
      </c>
      <c r="C7374" s="1" t="n">
        <v>45744</v>
      </c>
      <c r="D7374" t="inlineStr">
        <is>
          <t>SKÅNE LÄN</t>
        </is>
      </c>
      <c r="E7374" t="inlineStr">
        <is>
          <t>KLIPPAN</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4807-2025</t>
        </is>
      </c>
      <c r="B7375" s="1" t="n">
        <v>45688</v>
      </c>
      <c r="C7375" s="1" t="n">
        <v>45744</v>
      </c>
      <c r="D7375" t="inlineStr">
        <is>
          <t>SKÅNE LÄN</t>
        </is>
      </c>
      <c r="E7375" t="inlineStr">
        <is>
          <t>OSBY</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4805-2025</t>
        </is>
      </c>
      <c r="B7376" s="1" t="n">
        <v>45688</v>
      </c>
      <c r="C7376" s="1" t="n">
        <v>45744</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4809-2025</t>
        </is>
      </c>
      <c r="B7377" s="1" t="n">
        <v>45688</v>
      </c>
      <c r="C7377" s="1" t="n">
        <v>45744</v>
      </c>
      <c r="D7377" t="inlineStr">
        <is>
          <t>SKÅNE LÄN</t>
        </is>
      </c>
      <c r="E7377" t="inlineStr">
        <is>
          <t>HÄSSLEHOLM</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4710-2025</t>
        </is>
      </c>
      <c r="B7378" s="1" t="n">
        <v>45688</v>
      </c>
      <c r="C7378" s="1" t="n">
        <v>45744</v>
      </c>
      <c r="D7378" t="inlineStr">
        <is>
          <t>SKÅNE LÄN</t>
        </is>
      </c>
      <c r="E7378" t="inlineStr">
        <is>
          <t>OSBY</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4806-2025</t>
        </is>
      </c>
      <c r="B7379" s="1" t="n">
        <v>45688</v>
      </c>
      <c r="C7379" s="1" t="n">
        <v>45744</v>
      </c>
      <c r="D7379" t="inlineStr">
        <is>
          <t>SKÅNE LÄN</t>
        </is>
      </c>
      <c r="E7379" t="inlineStr">
        <is>
          <t>HÄSSLEHOLM</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4833-2025</t>
        </is>
      </c>
      <c r="B7380" s="1" t="n">
        <v>45688</v>
      </c>
      <c r="C7380" s="1" t="n">
        <v>45744</v>
      </c>
      <c r="D7380" t="inlineStr">
        <is>
          <t>SKÅNE LÄN</t>
        </is>
      </c>
      <c r="E7380" t="inlineStr">
        <is>
          <t>OSBY</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4761-2025</t>
        </is>
      </c>
      <c r="B7381" s="1" t="n">
        <v>45688</v>
      </c>
      <c r="C7381" s="1" t="n">
        <v>45744</v>
      </c>
      <c r="D7381" t="inlineStr">
        <is>
          <t>SKÅNE LÄN</t>
        </is>
      </c>
      <c r="E7381" t="inlineStr">
        <is>
          <t>LUND</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4708-2025</t>
        </is>
      </c>
      <c r="B7382" s="1" t="n">
        <v>45688</v>
      </c>
      <c r="C7382" s="1" t="n">
        <v>45744</v>
      </c>
      <c r="D7382" t="inlineStr">
        <is>
          <t>SKÅNE LÄN</t>
        </is>
      </c>
      <c r="E7382" t="inlineStr">
        <is>
          <t>OSBY</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4734-2025</t>
        </is>
      </c>
      <c r="B7383" s="1" t="n">
        <v>45688</v>
      </c>
      <c r="C7383" s="1" t="n">
        <v>45744</v>
      </c>
      <c r="D7383" t="inlineStr">
        <is>
          <t>SKÅNE LÄN</t>
        </is>
      </c>
      <c r="E7383" t="inlineStr">
        <is>
          <t>HÄSSLEHOLM</t>
        </is>
      </c>
      <c r="G7383" t="n">
        <v>19.6</v>
      </c>
      <c r="H7383" t="n">
        <v>0</v>
      </c>
      <c r="I7383" t="n">
        <v>0</v>
      </c>
      <c r="J7383" t="n">
        <v>0</v>
      </c>
      <c r="K7383" t="n">
        <v>0</v>
      </c>
      <c r="L7383" t="n">
        <v>0</v>
      </c>
      <c r="M7383" t="n">
        <v>0</v>
      </c>
      <c r="N7383" t="n">
        <v>0</v>
      </c>
      <c r="O7383" t="n">
        <v>0</v>
      </c>
      <c r="P7383" t="n">
        <v>0</v>
      </c>
      <c r="Q7383" t="n">
        <v>0</v>
      </c>
      <c r="R7383" s="2" t="inlineStr"/>
    </row>
    <row r="7384" ht="15" customHeight="1">
      <c r="A7384" t="inlineStr">
        <is>
          <t>A 4755-2025</t>
        </is>
      </c>
      <c r="B7384" s="1" t="n">
        <v>45688</v>
      </c>
      <c r="C7384" s="1" t="n">
        <v>45744</v>
      </c>
      <c r="D7384" t="inlineStr">
        <is>
          <t>SKÅNE LÄN</t>
        </is>
      </c>
      <c r="E7384" t="inlineStr">
        <is>
          <t>LUND</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4811-2025</t>
        </is>
      </c>
      <c r="B7385" s="1" t="n">
        <v>45688</v>
      </c>
      <c r="C7385" s="1" t="n">
        <v>45744</v>
      </c>
      <c r="D7385" t="inlineStr">
        <is>
          <t>SKÅNE LÄN</t>
        </is>
      </c>
      <c r="E7385" t="inlineStr">
        <is>
          <t>LUND</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4803-2025</t>
        </is>
      </c>
      <c r="B7386" s="1" t="n">
        <v>45688</v>
      </c>
      <c r="C7386" s="1" t="n">
        <v>45744</v>
      </c>
      <c r="D7386" t="inlineStr">
        <is>
          <t>SKÅNE LÄN</t>
        </is>
      </c>
      <c r="E7386" t="inlineStr">
        <is>
          <t>LUND</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4787-2025</t>
        </is>
      </c>
      <c r="B7387" s="1" t="n">
        <v>45688</v>
      </c>
      <c r="C7387" s="1" t="n">
        <v>45744</v>
      </c>
      <c r="D7387" t="inlineStr">
        <is>
          <t>SKÅNE LÄN</t>
        </is>
      </c>
      <c r="E7387" t="inlineStr">
        <is>
          <t>ÖSTRA GÖINGE</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4756-2025</t>
        </is>
      </c>
      <c r="B7388" s="1" t="n">
        <v>45688</v>
      </c>
      <c r="C7388" s="1" t="n">
        <v>45744</v>
      </c>
      <c r="D7388" t="inlineStr">
        <is>
          <t>SKÅNE LÄN</t>
        </is>
      </c>
      <c r="E7388" t="inlineStr">
        <is>
          <t>HÖRBY</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4788-2025</t>
        </is>
      </c>
      <c r="B7389" s="1" t="n">
        <v>45688</v>
      </c>
      <c r="C7389" s="1" t="n">
        <v>45744</v>
      </c>
      <c r="D7389" t="inlineStr">
        <is>
          <t>SKÅNE LÄN</t>
        </is>
      </c>
      <c r="E7389" t="inlineStr">
        <is>
          <t>LUND</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5059-2025</t>
        </is>
      </c>
      <c r="B7390" s="1" t="n">
        <v>45691</v>
      </c>
      <c r="C7390" s="1" t="n">
        <v>45744</v>
      </c>
      <c r="D7390" t="inlineStr">
        <is>
          <t>SKÅNE LÄN</t>
        </is>
      </c>
      <c r="E7390" t="inlineStr">
        <is>
          <t>LUND</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5226-2025</t>
        </is>
      </c>
      <c r="B7391" s="1" t="n">
        <v>45691</v>
      </c>
      <c r="C7391" s="1" t="n">
        <v>45744</v>
      </c>
      <c r="D7391" t="inlineStr">
        <is>
          <t>SKÅNE LÄN</t>
        </is>
      </c>
      <c r="E7391" t="inlineStr">
        <is>
          <t>ÖSTRA GÖINGE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5242-2025</t>
        </is>
      </c>
      <c r="B7392" s="1" t="n">
        <v>45692</v>
      </c>
      <c r="C7392" s="1" t="n">
        <v>45744</v>
      </c>
      <c r="D7392" t="inlineStr">
        <is>
          <t>SKÅNE LÄN</t>
        </is>
      </c>
      <c r="E7392" t="inlineStr">
        <is>
          <t>HÄSSLEHOLM</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5354-2025</t>
        </is>
      </c>
      <c r="B7393" s="1" t="n">
        <v>45692</v>
      </c>
      <c r="C7393" s="1" t="n">
        <v>45744</v>
      </c>
      <c r="D7393" t="inlineStr">
        <is>
          <t>SKÅNE LÄN</t>
        </is>
      </c>
      <c r="E7393" t="inlineStr">
        <is>
          <t>KRISTIANSTAD</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5391-2025</t>
        </is>
      </c>
      <c r="B7394" s="1" t="n">
        <v>45692</v>
      </c>
      <c r="C7394" s="1" t="n">
        <v>45744</v>
      </c>
      <c r="D7394" t="inlineStr">
        <is>
          <t>SKÅNE LÄN</t>
        </is>
      </c>
      <c r="E7394" t="inlineStr">
        <is>
          <t>OSBY</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5444-2025</t>
        </is>
      </c>
      <c r="B7395" s="1" t="n">
        <v>45692</v>
      </c>
      <c r="C7395" s="1" t="n">
        <v>45744</v>
      </c>
      <c r="D7395" t="inlineStr">
        <is>
          <t>SKÅNE LÄN</t>
        </is>
      </c>
      <c r="E7395" t="inlineStr">
        <is>
          <t>SJÖBO</t>
        </is>
      </c>
      <c r="F7395" t="inlineStr">
        <is>
          <t>Övriga Aktiebolag</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5252-2025</t>
        </is>
      </c>
      <c r="B7396" s="1" t="n">
        <v>45692</v>
      </c>
      <c r="C7396" s="1" t="n">
        <v>45744</v>
      </c>
      <c r="D7396" t="inlineStr">
        <is>
          <t>SKÅNE LÄN</t>
        </is>
      </c>
      <c r="E7396" t="inlineStr">
        <is>
          <t>HÄSSLEHOLM</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5658-2025</t>
        </is>
      </c>
      <c r="B7397" s="1" t="n">
        <v>45693</v>
      </c>
      <c r="C7397" s="1" t="n">
        <v>45744</v>
      </c>
      <c r="D7397" t="inlineStr">
        <is>
          <t>SKÅNE LÄN</t>
        </is>
      </c>
      <c r="E7397" t="inlineStr">
        <is>
          <t>BROMÖLLA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5594-2025</t>
        </is>
      </c>
      <c r="B7398" s="1" t="n">
        <v>45693</v>
      </c>
      <c r="C7398" s="1" t="n">
        <v>45744</v>
      </c>
      <c r="D7398" t="inlineStr">
        <is>
          <t>SKÅNE LÄN</t>
        </is>
      </c>
      <c r="E7398" t="inlineStr">
        <is>
          <t>KRISTIANSTAD</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5531-2025</t>
        </is>
      </c>
      <c r="B7399" s="1" t="n">
        <v>45693</v>
      </c>
      <c r="C7399" s="1" t="n">
        <v>45744</v>
      </c>
      <c r="D7399" t="inlineStr">
        <is>
          <t>SKÅNE LÄN</t>
        </is>
      </c>
      <c r="E7399" t="inlineStr">
        <is>
          <t>HÄSSLEHOLM</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5532-2025</t>
        </is>
      </c>
      <c r="B7400" s="1" t="n">
        <v>45693</v>
      </c>
      <c r="C7400" s="1" t="n">
        <v>45744</v>
      </c>
      <c r="D7400" t="inlineStr">
        <is>
          <t>SKÅNE LÄN</t>
        </is>
      </c>
      <c r="E7400" t="inlineStr">
        <is>
          <t>HÄSSLEHOLM</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5659-2025</t>
        </is>
      </c>
      <c r="B7401" s="1" t="n">
        <v>45693</v>
      </c>
      <c r="C7401" s="1" t="n">
        <v>45744</v>
      </c>
      <c r="D7401" t="inlineStr">
        <is>
          <t>SKÅNE LÄN</t>
        </is>
      </c>
      <c r="E7401" t="inlineStr">
        <is>
          <t>BROMÖLLA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5810-2025</t>
        </is>
      </c>
      <c r="B7402" s="1" t="n">
        <v>45694</v>
      </c>
      <c r="C7402" s="1" t="n">
        <v>45744</v>
      </c>
      <c r="D7402" t="inlineStr">
        <is>
          <t>SKÅNE LÄN</t>
        </is>
      </c>
      <c r="E7402" t="inlineStr">
        <is>
          <t>ÖSTRA GÖINGE</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5814-2025</t>
        </is>
      </c>
      <c r="B7403" s="1" t="n">
        <v>45694</v>
      </c>
      <c r="C7403" s="1" t="n">
        <v>45744</v>
      </c>
      <c r="D7403" t="inlineStr">
        <is>
          <t>SKÅNE LÄN</t>
        </is>
      </c>
      <c r="E7403" t="inlineStr">
        <is>
          <t>OSBY</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5675-2025</t>
        </is>
      </c>
      <c r="B7404" s="1" t="n">
        <v>45694</v>
      </c>
      <c r="C7404" s="1" t="n">
        <v>45744</v>
      </c>
      <c r="D7404" t="inlineStr">
        <is>
          <t>SKÅNE LÄN</t>
        </is>
      </c>
      <c r="E7404" t="inlineStr">
        <is>
          <t>HÄSSLEHOLM</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5817-2025</t>
        </is>
      </c>
      <c r="B7405" s="1" t="n">
        <v>45694</v>
      </c>
      <c r="C7405" s="1" t="n">
        <v>45744</v>
      </c>
      <c r="D7405" t="inlineStr">
        <is>
          <t>SKÅNE LÄN</t>
        </is>
      </c>
      <c r="E7405" t="inlineStr">
        <is>
          <t>BÅSTAD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5816-2025</t>
        </is>
      </c>
      <c r="B7406" s="1" t="n">
        <v>45694</v>
      </c>
      <c r="C7406" s="1" t="n">
        <v>45744</v>
      </c>
      <c r="D7406" t="inlineStr">
        <is>
          <t>SKÅNE LÄN</t>
        </is>
      </c>
      <c r="E7406" t="inlineStr">
        <is>
          <t>KRISTIANSTAD</t>
        </is>
      </c>
      <c r="F7406" t="inlineStr">
        <is>
          <t>Övriga Aktiebolag</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5941-2025</t>
        </is>
      </c>
      <c r="B7407" s="1" t="n">
        <v>45695</v>
      </c>
      <c r="C7407" s="1" t="n">
        <v>45744</v>
      </c>
      <c r="D7407" t="inlineStr">
        <is>
          <t>SKÅNE LÄN</t>
        </is>
      </c>
      <c r="E7407" t="inlineStr">
        <is>
          <t>ÖRKELLJUNGA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5961-2025</t>
        </is>
      </c>
      <c r="B7408" s="1" t="n">
        <v>45695</v>
      </c>
      <c r="C7408" s="1" t="n">
        <v>45744</v>
      </c>
      <c r="D7408" t="inlineStr">
        <is>
          <t>SKÅNE LÄN</t>
        </is>
      </c>
      <c r="E7408" t="inlineStr">
        <is>
          <t>BROMÖLLA</t>
        </is>
      </c>
      <c r="G7408" t="n">
        <v>12.9</v>
      </c>
      <c r="H7408" t="n">
        <v>0</v>
      </c>
      <c r="I7408" t="n">
        <v>0</v>
      </c>
      <c r="J7408" t="n">
        <v>0</v>
      </c>
      <c r="K7408" t="n">
        <v>0</v>
      </c>
      <c r="L7408" t="n">
        <v>0</v>
      </c>
      <c r="M7408" t="n">
        <v>0</v>
      </c>
      <c r="N7408" t="n">
        <v>0</v>
      </c>
      <c r="O7408" t="n">
        <v>0</v>
      </c>
      <c r="P7408" t="n">
        <v>0</v>
      </c>
      <c r="Q7408" t="n">
        <v>0</v>
      </c>
      <c r="R7408" s="2" t="inlineStr"/>
    </row>
    <row r="7409" ht="15" customHeight="1">
      <c r="A7409" t="inlineStr">
        <is>
          <t>A 5887-2025</t>
        </is>
      </c>
      <c r="B7409" s="1" t="n">
        <v>45695</v>
      </c>
      <c r="C7409" s="1" t="n">
        <v>45744</v>
      </c>
      <c r="D7409" t="inlineStr">
        <is>
          <t>SKÅNE LÄN</t>
        </is>
      </c>
      <c r="E7409" t="inlineStr">
        <is>
          <t>HÄSSLEHOLM</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5954-2025</t>
        </is>
      </c>
      <c r="B7410" s="1" t="n">
        <v>45695</v>
      </c>
      <c r="C7410" s="1" t="n">
        <v>45744</v>
      </c>
      <c r="D7410" t="inlineStr">
        <is>
          <t>SKÅNE LÄN</t>
        </is>
      </c>
      <c r="E7410" t="inlineStr">
        <is>
          <t>ÖRKELLJUNGA</t>
        </is>
      </c>
      <c r="G7410" t="n">
        <v>0</v>
      </c>
      <c r="H7410" t="n">
        <v>0</v>
      </c>
      <c r="I7410" t="n">
        <v>0</v>
      </c>
      <c r="J7410" t="n">
        <v>0</v>
      </c>
      <c r="K7410" t="n">
        <v>0</v>
      </c>
      <c r="L7410" t="n">
        <v>0</v>
      </c>
      <c r="M7410" t="n">
        <v>0</v>
      </c>
      <c r="N7410" t="n">
        <v>0</v>
      </c>
      <c r="O7410" t="n">
        <v>0</v>
      </c>
      <c r="P7410" t="n">
        <v>0</v>
      </c>
      <c r="Q7410" t="n">
        <v>0</v>
      </c>
      <c r="R7410" s="2" t="inlineStr"/>
    </row>
    <row r="7411" ht="15" customHeight="1">
      <c r="A7411" t="inlineStr">
        <is>
          <t>A 5990-2025</t>
        </is>
      </c>
      <c r="B7411" s="1" t="n">
        <v>45695</v>
      </c>
      <c r="C7411" s="1" t="n">
        <v>45744</v>
      </c>
      <c r="D7411" t="inlineStr">
        <is>
          <t>SKÅNE LÄN</t>
        </is>
      </c>
      <c r="E7411" t="inlineStr">
        <is>
          <t>OSBY</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6011-2025</t>
        </is>
      </c>
      <c r="B7412" s="1" t="n">
        <v>45695</v>
      </c>
      <c r="C7412" s="1" t="n">
        <v>45744</v>
      </c>
      <c r="D7412" t="inlineStr">
        <is>
          <t>SKÅNE LÄN</t>
        </is>
      </c>
      <c r="E7412" t="inlineStr">
        <is>
          <t>KLIPPAN</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6034-2025</t>
        </is>
      </c>
      <c r="B7413" s="1" t="n">
        <v>45695</v>
      </c>
      <c r="C7413" s="1" t="n">
        <v>45744</v>
      </c>
      <c r="D7413" t="inlineStr">
        <is>
          <t>SKÅNE LÄN</t>
        </is>
      </c>
      <c r="E7413" t="inlineStr">
        <is>
          <t>LUND</t>
        </is>
      </c>
      <c r="G7413" t="n">
        <v>10.2</v>
      </c>
      <c r="H7413" t="n">
        <v>0</v>
      </c>
      <c r="I7413" t="n">
        <v>0</v>
      </c>
      <c r="J7413" t="n">
        <v>0</v>
      </c>
      <c r="K7413" t="n">
        <v>0</v>
      </c>
      <c r="L7413" t="n">
        <v>0</v>
      </c>
      <c r="M7413" t="n">
        <v>0</v>
      </c>
      <c r="N7413" t="n">
        <v>0</v>
      </c>
      <c r="O7413" t="n">
        <v>0</v>
      </c>
      <c r="P7413" t="n">
        <v>0</v>
      </c>
      <c r="Q7413" t="n">
        <v>0</v>
      </c>
      <c r="R7413" s="2" t="inlineStr"/>
    </row>
    <row r="7414" ht="15" customHeight="1">
      <c r="A7414" t="inlineStr">
        <is>
          <t>A 6087-2025</t>
        </is>
      </c>
      <c r="B7414" s="1" t="n">
        <v>45697</v>
      </c>
      <c r="C7414" s="1" t="n">
        <v>45744</v>
      </c>
      <c r="D7414" t="inlineStr">
        <is>
          <t>SKÅNE LÄN</t>
        </is>
      </c>
      <c r="E7414" t="inlineStr">
        <is>
          <t>HÄSSLEHOLM</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6273-2025</t>
        </is>
      </c>
      <c r="B7415" s="1" t="n">
        <v>45698</v>
      </c>
      <c r="C7415" s="1" t="n">
        <v>45744</v>
      </c>
      <c r="D7415" t="inlineStr">
        <is>
          <t>SKÅNE LÄN</t>
        </is>
      </c>
      <c r="E7415" t="inlineStr">
        <is>
          <t>HÄSSLEHOLM</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6264-2025</t>
        </is>
      </c>
      <c r="B7416" s="1" t="n">
        <v>45698</v>
      </c>
      <c r="C7416" s="1" t="n">
        <v>45744</v>
      </c>
      <c r="D7416" t="inlineStr">
        <is>
          <t>SKÅNE LÄN</t>
        </is>
      </c>
      <c r="E7416" t="inlineStr">
        <is>
          <t>HÄSSLEHOLM</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6310-2025</t>
        </is>
      </c>
      <c r="B7417" s="1" t="n">
        <v>45698</v>
      </c>
      <c r="C7417" s="1" t="n">
        <v>45744</v>
      </c>
      <c r="D7417" t="inlineStr">
        <is>
          <t>SKÅNE LÄN</t>
        </is>
      </c>
      <c r="E7417" t="inlineStr">
        <is>
          <t>HÄSSLEHOLM</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6309-2025</t>
        </is>
      </c>
      <c r="B7418" s="1" t="n">
        <v>45698</v>
      </c>
      <c r="C7418" s="1" t="n">
        <v>45744</v>
      </c>
      <c r="D7418" t="inlineStr">
        <is>
          <t>SKÅNE LÄN</t>
        </is>
      </c>
      <c r="E7418" t="inlineStr">
        <is>
          <t>HÄSSLEHOLM</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6295-2025</t>
        </is>
      </c>
      <c r="B7419" s="1" t="n">
        <v>45698</v>
      </c>
      <c r="C7419" s="1" t="n">
        <v>45744</v>
      </c>
      <c r="D7419" t="inlineStr">
        <is>
          <t>SKÅNE LÄN</t>
        </is>
      </c>
      <c r="E7419" t="inlineStr">
        <is>
          <t>ÖSTRA GÖINGE</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6174-2025</t>
        </is>
      </c>
      <c r="B7420" s="1" t="n">
        <v>45698</v>
      </c>
      <c r="C7420" s="1" t="n">
        <v>45744</v>
      </c>
      <c r="D7420" t="inlineStr">
        <is>
          <t>SKÅNE LÄN</t>
        </is>
      </c>
      <c r="E7420" t="inlineStr">
        <is>
          <t>HÖÖR</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6149-2025</t>
        </is>
      </c>
      <c r="B7421" s="1" t="n">
        <v>45698</v>
      </c>
      <c r="C7421" s="1" t="n">
        <v>45744</v>
      </c>
      <c r="D7421" t="inlineStr">
        <is>
          <t>SKÅNE LÄN</t>
        </is>
      </c>
      <c r="E7421" t="inlineStr">
        <is>
          <t>HÄSSLEHOLM</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6521-2025</t>
        </is>
      </c>
      <c r="B7422" s="1" t="n">
        <v>45699</v>
      </c>
      <c r="C7422" s="1" t="n">
        <v>45744</v>
      </c>
      <c r="D7422" t="inlineStr">
        <is>
          <t>SKÅNE LÄN</t>
        </is>
      </c>
      <c r="E7422" t="inlineStr">
        <is>
          <t>ÖSTRA GÖINGE</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6558-2025</t>
        </is>
      </c>
      <c r="B7423" s="1" t="n">
        <v>45699</v>
      </c>
      <c r="C7423" s="1" t="n">
        <v>45744</v>
      </c>
      <c r="D7423" t="inlineStr">
        <is>
          <t>SKÅNE LÄN</t>
        </is>
      </c>
      <c r="E7423" t="inlineStr">
        <is>
          <t>HÖRBY</t>
        </is>
      </c>
      <c r="F7423" t="inlineStr">
        <is>
          <t>Kommuner</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6562-2025</t>
        </is>
      </c>
      <c r="B7424" s="1" t="n">
        <v>45699</v>
      </c>
      <c r="C7424" s="1" t="n">
        <v>45744</v>
      </c>
      <c r="D7424" t="inlineStr">
        <is>
          <t>SKÅNE LÄN</t>
        </is>
      </c>
      <c r="E7424" t="inlineStr">
        <is>
          <t>HÖRBY</t>
        </is>
      </c>
      <c r="F7424" t="inlineStr">
        <is>
          <t>Kommuner</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6356-2025</t>
        </is>
      </c>
      <c r="B7425" s="1" t="n">
        <v>45699</v>
      </c>
      <c r="C7425" s="1" t="n">
        <v>45744</v>
      </c>
      <c r="D7425" t="inlineStr">
        <is>
          <t>SKÅNE LÄN</t>
        </is>
      </c>
      <c r="E7425" t="inlineStr">
        <is>
          <t>ÖSTRA GÖINGE</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6426-2025</t>
        </is>
      </c>
      <c r="B7426" s="1" t="n">
        <v>45699</v>
      </c>
      <c r="C7426" s="1" t="n">
        <v>45744</v>
      </c>
      <c r="D7426" t="inlineStr">
        <is>
          <t>SKÅNE LÄN</t>
        </is>
      </c>
      <c r="E7426" t="inlineStr">
        <is>
          <t>ÖRKELLJUNGA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6473-2025</t>
        </is>
      </c>
      <c r="B7427" s="1" t="n">
        <v>45699</v>
      </c>
      <c r="C7427" s="1" t="n">
        <v>45744</v>
      </c>
      <c r="D7427" t="inlineStr">
        <is>
          <t>SKÅNE LÄN</t>
        </is>
      </c>
      <c r="E7427" t="inlineStr">
        <is>
          <t>HÖÖR</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6692-2025</t>
        </is>
      </c>
      <c r="B7428" s="1" t="n">
        <v>45700</v>
      </c>
      <c r="C7428" s="1" t="n">
        <v>45744</v>
      </c>
      <c r="D7428" t="inlineStr">
        <is>
          <t>SKÅNE LÄN</t>
        </is>
      </c>
      <c r="E7428" t="inlineStr">
        <is>
          <t>ÖRKELLJUNGA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6667-2025</t>
        </is>
      </c>
      <c r="B7429" s="1" t="n">
        <v>45700</v>
      </c>
      <c r="C7429" s="1" t="n">
        <v>45744</v>
      </c>
      <c r="D7429" t="inlineStr">
        <is>
          <t>SKÅNE LÄN</t>
        </is>
      </c>
      <c r="E7429" t="inlineStr">
        <is>
          <t>ÄNGELHOLM</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6753-2025</t>
        </is>
      </c>
      <c r="B7430" s="1" t="n">
        <v>45700</v>
      </c>
      <c r="C7430" s="1" t="n">
        <v>45744</v>
      </c>
      <c r="D7430" t="inlineStr">
        <is>
          <t>SKÅNE LÄN</t>
        </is>
      </c>
      <c r="E7430" t="inlineStr">
        <is>
          <t>ÖSTRA GÖINGE</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6607-2025</t>
        </is>
      </c>
      <c r="B7431" s="1" t="n">
        <v>45700</v>
      </c>
      <c r="C7431" s="1" t="n">
        <v>45744</v>
      </c>
      <c r="D7431" t="inlineStr">
        <is>
          <t>SKÅNE LÄN</t>
        </is>
      </c>
      <c r="E7431" t="inlineStr">
        <is>
          <t>OSBY</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6591-2025</t>
        </is>
      </c>
      <c r="B7432" s="1" t="n">
        <v>45700</v>
      </c>
      <c r="C7432" s="1" t="n">
        <v>45744</v>
      </c>
      <c r="D7432" t="inlineStr">
        <is>
          <t>SKÅNE LÄN</t>
        </is>
      </c>
      <c r="E7432" t="inlineStr">
        <is>
          <t>HÖRBY</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6798-2025</t>
        </is>
      </c>
      <c r="B7433" s="1" t="n">
        <v>45700</v>
      </c>
      <c r="C7433" s="1" t="n">
        <v>45744</v>
      </c>
      <c r="D7433" t="inlineStr">
        <is>
          <t>SKÅNE LÄN</t>
        </is>
      </c>
      <c r="E7433" t="inlineStr">
        <is>
          <t>HÄSSLEHOLM</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6830-2025</t>
        </is>
      </c>
      <c r="B7434" s="1" t="n">
        <v>45700</v>
      </c>
      <c r="C7434" s="1" t="n">
        <v>45744</v>
      </c>
      <c r="D7434" t="inlineStr">
        <is>
          <t>SKÅNE LÄN</t>
        </is>
      </c>
      <c r="E7434" t="inlineStr">
        <is>
          <t>SIMRISHAMN</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6858-2025</t>
        </is>
      </c>
      <c r="B7435" s="1" t="n">
        <v>45700</v>
      </c>
      <c r="C7435" s="1" t="n">
        <v>45744</v>
      </c>
      <c r="D7435" t="inlineStr">
        <is>
          <t>SKÅNE LÄN</t>
        </is>
      </c>
      <c r="E7435" t="inlineStr">
        <is>
          <t>KRISTIANSTAD</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6602-2025</t>
        </is>
      </c>
      <c r="B7436" s="1" t="n">
        <v>45700</v>
      </c>
      <c r="C7436" s="1" t="n">
        <v>45744</v>
      </c>
      <c r="D7436" t="inlineStr">
        <is>
          <t>SKÅNE LÄN</t>
        </is>
      </c>
      <c r="E7436" t="inlineStr">
        <is>
          <t>KRISTIANSTAD</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6775-2025</t>
        </is>
      </c>
      <c r="B7437" s="1" t="n">
        <v>45700</v>
      </c>
      <c r="C7437" s="1" t="n">
        <v>45744</v>
      </c>
      <c r="D7437" t="inlineStr">
        <is>
          <t>SKÅNE LÄN</t>
        </is>
      </c>
      <c r="E7437" t="inlineStr">
        <is>
          <t>ÖSTRA GÖINGE</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6597-2025</t>
        </is>
      </c>
      <c r="B7438" s="1" t="n">
        <v>45700</v>
      </c>
      <c r="C7438" s="1" t="n">
        <v>45744</v>
      </c>
      <c r="D7438" t="inlineStr">
        <is>
          <t>SKÅNE LÄN</t>
        </is>
      </c>
      <c r="E7438" t="inlineStr">
        <is>
          <t>KRISTIANSTAD</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6589-2025</t>
        </is>
      </c>
      <c r="B7439" s="1" t="n">
        <v>45700</v>
      </c>
      <c r="C7439" s="1" t="n">
        <v>45744</v>
      </c>
      <c r="D7439" t="inlineStr">
        <is>
          <t>SKÅNE LÄN</t>
        </is>
      </c>
      <c r="E7439" t="inlineStr">
        <is>
          <t>HÖÖR</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6948-2025</t>
        </is>
      </c>
      <c r="B7440" s="1" t="n">
        <v>45701</v>
      </c>
      <c r="C7440" s="1" t="n">
        <v>45744</v>
      </c>
      <c r="D7440" t="inlineStr">
        <is>
          <t>SKÅNE LÄN</t>
        </is>
      </c>
      <c r="E7440" t="inlineStr">
        <is>
          <t>PERSTORP</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6961-2025</t>
        </is>
      </c>
      <c r="B7441" s="1" t="n">
        <v>45701</v>
      </c>
      <c r="C7441" s="1" t="n">
        <v>45744</v>
      </c>
      <c r="D7441" t="inlineStr">
        <is>
          <t>SKÅNE LÄN</t>
        </is>
      </c>
      <c r="E7441" t="inlineStr">
        <is>
          <t>TOMELILLA</t>
        </is>
      </c>
      <c r="G7441" t="n">
        <v>15.8</v>
      </c>
      <c r="H7441" t="n">
        <v>0</v>
      </c>
      <c r="I7441" t="n">
        <v>0</v>
      </c>
      <c r="J7441" t="n">
        <v>0</v>
      </c>
      <c r="K7441" t="n">
        <v>0</v>
      </c>
      <c r="L7441" t="n">
        <v>0</v>
      </c>
      <c r="M7441" t="n">
        <v>0</v>
      </c>
      <c r="N7441" t="n">
        <v>0</v>
      </c>
      <c r="O7441" t="n">
        <v>0</v>
      </c>
      <c r="P7441" t="n">
        <v>0</v>
      </c>
      <c r="Q7441" t="n">
        <v>0</v>
      </c>
      <c r="R7441" s="2" t="inlineStr"/>
    </row>
    <row r="7442" ht="15" customHeight="1">
      <c r="A7442" t="inlineStr">
        <is>
          <t>A 7059-2025</t>
        </is>
      </c>
      <c r="B7442" s="1" t="n">
        <v>45701</v>
      </c>
      <c r="C7442" s="1" t="n">
        <v>45744</v>
      </c>
      <c r="D7442" t="inlineStr">
        <is>
          <t>SKÅNE LÄN</t>
        </is>
      </c>
      <c r="E7442" t="inlineStr">
        <is>
          <t>SJÖBO</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7221-2025</t>
        </is>
      </c>
      <c r="B7443" s="1" t="n">
        <v>45701</v>
      </c>
      <c r="C7443" s="1" t="n">
        <v>45744</v>
      </c>
      <c r="D7443" t="inlineStr">
        <is>
          <t>SKÅNE LÄN</t>
        </is>
      </c>
      <c r="E7443" t="inlineStr">
        <is>
          <t>HÄSSLEHOLM</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7043-2025</t>
        </is>
      </c>
      <c r="B7444" s="1" t="n">
        <v>45701</v>
      </c>
      <c r="C7444" s="1" t="n">
        <v>45744</v>
      </c>
      <c r="D7444" t="inlineStr">
        <is>
          <t>SKÅNE LÄN</t>
        </is>
      </c>
      <c r="E7444" t="inlineStr">
        <is>
          <t>PERSTORP</t>
        </is>
      </c>
      <c r="F7444" t="inlineStr">
        <is>
          <t>Övriga Aktiebolag</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6911-2025</t>
        </is>
      </c>
      <c r="B7445" s="1" t="n">
        <v>45701</v>
      </c>
      <c r="C7445" s="1" t="n">
        <v>45744</v>
      </c>
      <c r="D7445" t="inlineStr">
        <is>
          <t>SKÅNE LÄN</t>
        </is>
      </c>
      <c r="E7445" t="inlineStr">
        <is>
          <t>HÖÖR</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7077-2025</t>
        </is>
      </c>
      <c r="B7446" s="1" t="n">
        <v>45701</v>
      </c>
      <c r="C7446" s="1" t="n">
        <v>45744</v>
      </c>
      <c r="D7446" t="inlineStr">
        <is>
          <t>SKÅNE LÄN</t>
        </is>
      </c>
      <c r="E7446" t="inlineStr">
        <is>
          <t>ÖSTRA GÖINGE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7016-2025</t>
        </is>
      </c>
      <c r="B7447" s="1" t="n">
        <v>45701</v>
      </c>
      <c r="C7447" s="1" t="n">
        <v>45744</v>
      </c>
      <c r="D7447" t="inlineStr">
        <is>
          <t>SKÅNE LÄN</t>
        </is>
      </c>
      <c r="E7447" t="inlineStr">
        <is>
          <t>ESLÖV</t>
        </is>
      </c>
      <c r="F7447" t="inlineStr">
        <is>
          <t>Sveaskog</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7153-2025</t>
        </is>
      </c>
      <c r="B7448" s="1" t="n">
        <v>45702</v>
      </c>
      <c r="C7448" s="1" t="n">
        <v>45744</v>
      </c>
      <c r="D7448" t="inlineStr">
        <is>
          <t>SKÅNE LÄN</t>
        </is>
      </c>
      <c r="E7448" t="inlineStr">
        <is>
          <t>HÄSSLEHOLM</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7311-2025</t>
        </is>
      </c>
      <c r="B7449" s="1" t="n">
        <v>45702</v>
      </c>
      <c r="C7449" s="1" t="n">
        <v>45744</v>
      </c>
      <c r="D7449" t="inlineStr">
        <is>
          <t>SKÅNE LÄN</t>
        </is>
      </c>
      <c r="E7449" t="inlineStr">
        <is>
          <t>HÄSSLEHOLM</t>
        </is>
      </c>
      <c r="F7449" t="inlineStr">
        <is>
          <t>Övriga Aktiebolag</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7308-2025</t>
        </is>
      </c>
      <c r="B7450" s="1" t="n">
        <v>45702</v>
      </c>
      <c r="C7450" s="1" t="n">
        <v>45744</v>
      </c>
      <c r="D7450" t="inlineStr">
        <is>
          <t>SKÅNE LÄN</t>
        </is>
      </c>
      <c r="E7450" t="inlineStr">
        <is>
          <t>HÄSSLEHOLM</t>
        </is>
      </c>
      <c r="F7450" t="inlineStr">
        <is>
          <t>Övriga Aktiebolag</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7448-2025</t>
        </is>
      </c>
      <c r="B7451" s="1" t="n">
        <v>45702</v>
      </c>
      <c r="C7451" s="1" t="n">
        <v>45744</v>
      </c>
      <c r="D7451" t="inlineStr">
        <is>
          <t>SKÅNE LÄN</t>
        </is>
      </c>
      <c r="E7451" t="inlineStr">
        <is>
          <t>PERSTORP</t>
        </is>
      </c>
      <c r="F7451" t="inlineStr">
        <is>
          <t>Övriga Aktiebolag</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7489-2025</t>
        </is>
      </c>
      <c r="B7452" s="1" t="n">
        <v>45702</v>
      </c>
      <c r="C7452" s="1" t="n">
        <v>45744</v>
      </c>
      <c r="D7452" t="inlineStr">
        <is>
          <t>SKÅNE LÄN</t>
        </is>
      </c>
      <c r="E7452" t="inlineStr">
        <is>
          <t>HÄSSLEHOLM</t>
        </is>
      </c>
      <c r="F7452" t="inlineStr">
        <is>
          <t>Övriga Aktiebolag</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7306-2025</t>
        </is>
      </c>
      <c r="B7453" s="1" t="n">
        <v>45702</v>
      </c>
      <c r="C7453" s="1" t="n">
        <v>45744</v>
      </c>
      <c r="D7453" t="inlineStr">
        <is>
          <t>SKÅNE LÄN</t>
        </is>
      </c>
      <c r="E7453" t="inlineStr">
        <is>
          <t>HÄSSLEHOLM</t>
        </is>
      </c>
      <c r="F7453" t="inlineStr">
        <is>
          <t>Övriga Aktiebolag</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7433-2025</t>
        </is>
      </c>
      <c r="B7454" s="1" t="n">
        <v>45702</v>
      </c>
      <c r="C7454" s="1" t="n">
        <v>45744</v>
      </c>
      <c r="D7454" t="inlineStr">
        <is>
          <t>SKÅNE LÄN</t>
        </is>
      </c>
      <c r="E7454" t="inlineStr">
        <is>
          <t>KRISTIANSTAD</t>
        </is>
      </c>
      <c r="F7454" t="inlineStr">
        <is>
          <t>Kyrkan</t>
        </is>
      </c>
      <c r="G7454" t="n">
        <v>15.6</v>
      </c>
      <c r="H7454" t="n">
        <v>0</v>
      </c>
      <c r="I7454" t="n">
        <v>0</v>
      </c>
      <c r="J7454" t="n">
        <v>0</v>
      </c>
      <c r="K7454" t="n">
        <v>0</v>
      </c>
      <c r="L7454" t="n">
        <v>0</v>
      </c>
      <c r="M7454" t="n">
        <v>0</v>
      </c>
      <c r="N7454" t="n">
        <v>0</v>
      </c>
      <c r="O7454" t="n">
        <v>0</v>
      </c>
      <c r="P7454" t="n">
        <v>0</v>
      </c>
      <c r="Q7454" t="n">
        <v>0</v>
      </c>
      <c r="R7454" s="2" t="inlineStr"/>
    </row>
    <row r="7455" ht="15" customHeight="1">
      <c r="A7455" t="inlineStr">
        <is>
          <t>A 7476-2025</t>
        </is>
      </c>
      <c r="B7455" s="1" t="n">
        <v>45702</v>
      </c>
      <c r="C7455" s="1" t="n">
        <v>45744</v>
      </c>
      <c r="D7455" t="inlineStr">
        <is>
          <t>SKÅNE LÄN</t>
        </is>
      </c>
      <c r="E7455" t="inlineStr">
        <is>
          <t>HÄSSLEHOLM</t>
        </is>
      </c>
      <c r="F7455" t="inlineStr">
        <is>
          <t>Övriga Aktiebolag</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7513-2025</t>
        </is>
      </c>
      <c r="B7456" s="1" t="n">
        <v>45702</v>
      </c>
      <c r="C7456" s="1" t="n">
        <v>45744</v>
      </c>
      <c r="D7456" t="inlineStr">
        <is>
          <t>SKÅNE LÄN</t>
        </is>
      </c>
      <c r="E7456" t="inlineStr">
        <is>
          <t>HÄSSLEHOLM</t>
        </is>
      </c>
      <c r="F7456" t="inlineStr">
        <is>
          <t>Övriga Aktiebolag</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7192-2025</t>
        </is>
      </c>
      <c r="B7457" s="1" t="n">
        <v>45702</v>
      </c>
      <c r="C7457" s="1" t="n">
        <v>45744</v>
      </c>
      <c r="D7457" t="inlineStr">
        <is>
          <t>SKÅNE LÄN</t>
        </is>
      </c>
      <c r="E7457" t="inlineStr">
        <is>
          <t>HÄSSLEHOLM</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7160-2025</t>
        </is>
      </c>
      <c r="B7458" s="1" t="n">
        <v>45702</v>
      </c>
      <c r="C7458" s="1" t="n">
        <v>45744</v>
      </c>
      <c r="D7458" t="inlineStr">
        <is>
          <t>SKÅNE LÄN</t>
        </is>
      </c>
      <c r="E7458" t="inlineStr">
        <is>
          <t>HÄSSLEHOLM</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7152-2025</t>
        </is>
      </c>
      <c r="B7459" s="1" t="n">
        <v>45702</v>
      </c>
      <c r="C7459" s="1" t="n">
        <v>45744</v>
      </c>
      <c r="D7459" t="inlineStr">
        <is>
          <t>SKÅNE LÄN</t>
        </is>
      </c>
      <c r="E7459" t="inlineStr">
        <is>
          <t>HÄSSLEHOLM</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7509-2025</t>
        </is>
      </c>
      <c r="B7460" s="1" t="n">
        <v>45702</v>
      </c>
      <c r="C7460" s="1" t="n">
        <v>45744</v>
      </c>
      <c r="D7460" t="inlineStr">
        <is>
          <t>SKÅNE LÄN</t>
        </is>
      </c>
      <c r="E7460" t="inlineStr">
        <is>
          <t>PERSTORP</t>
        </is>
      </c>
      <c r="F7460" t="inlineStr">
        <is>
          <t>Övriga Aktiebolag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7174-2025</t>
        </is>
      </c>
      <c r="B7461" s="1" t="n">
        <v>45702</v>
      </c>
      <c r="C7461" s="1" t="n">
        <v>45744</v>
      </c>
      <c r="D7461" t="inlineStr">
        <is>
          <t>SKÅNE LÄN</t>
        </is>
      </c>
      <c r="E7461" t="inlineStr">
        <is>
          <t>LUND</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7150-2025</t>
        </is>
      </c>
      <c r="B7462" s="1" t="n">
        <v>45702</v>
      </c>
      <c r="C7462" s="1" t="n">
        <v>45744</v>
      </c>
      <c r="D7462" t="inlineStr">
        <is>
          <t>SKÅNE LÄN</t>
        </is>
      </c>
      <c r="E7462" t="inlineStr">
        <is>
          <t>HÄSSLEHOLM</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7305-2025</t>
        </is>
      </c>
      <c r="B7463" s="1" t="n">
        <v>45702</v>
      </c>
      <c r="C7463" s="1" t="n">
        <v>45744</v>
      </c>
      <c r="D7463" t="inlineStr">
        <is>
          <t>SKÅNE LÄN</t>
        </is>
      </c>
      <c r="E7463" t="inlineStr">
        <is>
          <t>HÄSSLEHOLM</t>
        </is>
      </c>
      <c r="F7463" t="inlineStr">
        <is>
          <t>Övriga Aktiebolag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7309-2025</t>
        </is>
      </c>
      <c r="B7464" s="1" t="n">
        <v>45702</v>
      </c>
      <c r="C7464" s="1" t="n">
        <v>45744</v>
      </c>
      <c r="D7464" t="inlineStr">
        <is>
          <t>SKÅNE LÄN</t>
        </is>
      </c>
      <c r="E7464" t="inlineStr">
        <is>
          <t>HÄSSLEHOLM</t>
        </is>
      </c>
      <c r="F7464" t="inlineStr">
        <is>
          <t>Övriga Aktiebolag</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7492-2025</t>
        </is>
      </c>
      <c r="B7465" s="1" t="n">
        <v>45702</v>
      </c>
      <c r="C7465" s="1" t="n">
        <v>45744</v>
      </c>
      <c r="D7465" t="inlineStr">
        <is>
          <t>SKÅNE LÄN</t>
        </is>
      </c>
      <c r="E7465" t="inlineStr">
        <is>
          <t>PERSTORP</t>
        </is>
      </c>
      <c r="F7465" t="inlineStr">
        <is>
          <t>Övriga Aktiebolag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7510-2025</t>
        </is>
      </c>
      <c r="B7466" s="1" t="n">
        <v>45702</v>
      </c>
      <c r="C7466" s="1" t="n">
        <v>45744</v>
      </c>
      <c r="D7466" t="inlineStr">
        <is>
          <t>SKÅNE LÄN</t>
        </is>
      </c>
      <c r="E7466" t="inlineStr">
        <is>
          <t>PERSTORP</t>
        </is>
      </c>
      <c r="F7466" t="inlineStr">
        <is>
          <t>Övriga Aktiebolag</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7211-2025</t>
        </is>
      </c>
      <c r="B7467" s="1" t="n">
        <v>45702</v>
      </c>
      <c r="C7467" s="1" t="n">
        <v>45744</v>
      </c>
      <c r="D7467" t="inlineStr">
        <is>
          <t>SKÅNE LÄN</t>
        </is>
      </c>
      <c r="E7467" t="inlineStr">
        <is>
          <t>OSBY</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7482-2025</t>
        </is>
      </c>
      <c r="B7468" s="1" t="n">
        <v>45702</v>
      </c>
      <c r="C7468" s="1" t="n">
        <v>45744</v>
      </c>
      <c r="D7468" t="inlineStr">
        <is>
          <t>SKÅNE LÄN</t>
        </is>
      </c>
      <c r="E7468" t="inlineStr">
        <is>
          <t>HÄSSLEHOLM</t>
        </is>
      </c>
      <c r="F7468" t="inlineStr">
        <is>
          <t>Övriga Aktiebolag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7508-2025</t>
        </is>
      </c>
      <c r="B7469" s="1" t="n">
        <v>45702</v>
      </c>
      <c r="C7469" s="1" t="n">
        <v>45744</v>
      </c>
      <c r="D7469" t="inlineStr">
        <is>
          <t>SKÅNE LÄN</t>
        </is>
      </c>
      <c r="E7469" t="inlineStr">
        <is>
          <t>PERSTORP</t>
        </is>
      </c>
      <c r="F7469" t="inlineStr">
        <is>
          <t>Övriga Aktiebolag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7515-2025</t>
        </is>
      </c>
      <c r="B7470" s="1" t="n">
        <v>45702</v>
      </c>
      <c r="C7470" s="1" t="n">
        <v>45744</v>
      </c>
      <c r="D7470" t="inlineStr">
        <is>
          <t>SKÅNE LÄN</t>
        </is>
      </c>
      <c r="E7470" t="inlineStr">
        <is>
          <t>KLIPPAN</t>
        </is>
      </c>
      <c r="F7470" t="inlineStr">
        <is>
          <t>Övriga Aktiebolag</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7333-2025</t>
        </is>
      </c>
      <c r="B7471" s="1" t="n">
        <v>45703</v>
      </c>
      <c r="C7471" s="1" t="n">
        <v>45744</v>
      </c>
      <c r="D7471" t="inlineStr">
        <is>
          <t>SKÅNE LÄN</t>
        </is>
      </c>
      <c r="E7471" t="inlineStr">
        <is>
          <t>HELSINGBORG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7644-2025</t>
        </is>
      </c>
      <c r="B7472" s="1" t="n">
        <v>45705</v>
      </c>
      <c r="C7472" s="1" t="n">
        <v>45744</v>
      </c>
      <c r="D7472" t="inlineStr">
        <is>
          <t>SKÅNE LÄN</t>
        </is>
      </c>
      <c r="E7472" t="inlineStr">
        <is>
          <t>HÄSSLEHOLM</t>
        </is>
      </c>
      <c r="G7472" t="n">
        <v>12.5</v>
      </c>
      <c r="H7472" t="n">
        <v>0</v>
      </c>
      <c r="I7472" t="n">
        <v>0</v>
      </c>
      <c r="J7472" t="n">
        <v>0</v>
      </c>
      <c r="K7472" t="n">
        <v>0</v>
      </c>
      <c r="L7472" t="n">
        <v>0</v>
      </c>
      <c r="M7472" t="n">
        <v>0</v>
      </c>
      <c r="N7472" t="n">
        <v>0</v>
      </c>
      <c r="O7472" t="n">
        <v>0</v>
      </c>
      <c r="P7472" t="n">
        <v>0</v>
      </c>
      <c r="Q7472" t="n">
        <v>0</v>
      </c>
      <c r="R7472" s="2" t="inlineStr"/>
    </row>
    <row r="7473" ht="15" customHeight="1">
      <c r="A7473" t="inlineStr">
        <is>
          <t>A 7707-2025</t>
        </is>
      </c>
      <c r="B7473" s="1" t="n">
        <v>45705</v>
      </c>
      <c r="C7473" s="1" t="n">
        <v>45744</v>
      </c>
      <c r="D7473" t="inlineStr">
        <is>
          <t>SKÅNE LÄN</t>
        </is>
      </c>
      <c r="E7473" t="inlineStr">
        <is>
          <t>ÄNGELHOLM</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7551-2025</t>
        </is>
      </c>
      <c r="B7474" s="1" t="n">
        <v>45705</v>
      </c>
      <c r="C7474" s="1" t="n">
        <v>45744</v>
      </c>
      <c r="D7474" t="inlineStr">
        <is>
          <t>SKÅNE LÄN</t>
        </is>
      </c>
      <c r="E7474" t="inlineStr">
        <is>
          <t>ÄNGELHOLM</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7541-2025</t>
        </is>
      </c>
      <c r="B7475" s="1" t="n">
        <v>45705</v>
      </c>
      <c r="C7475" s="1" t="n">
        <v>45744</v>
      </c>
      <c r="D7475" t="inlineStr">
        <is>
          <t>SKÅNE LÄN</t>
        </is>
      </c>
      <c r="E7475" t="inlineStr">
        <is>
          <t>ÖRKELLJUNGA</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7409-2025</t>
        </is>
      </c>
      <c r="B7476" s="1" t="n">
        <v>45705</v>
      </c>
      <c r="C7476" s="1" t="n">
        <v>45744</v>
      </c>
      <c r="D7476" t="inlineStr">
        <is>
          <t>SKÅNE LÄN</t>
        </is>
      </c>
      <c r="E7476" t="inlineStr">
        <is>
          <t>ESLÖV</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7659-2025</t>
        </is>
      </c>
      <c r="B7477" s="1" t="n">
        <v>45706</v>
      </c>
      <c r="C7477" s="1" t="n">
        <v>45744</v>
      </c>
      <c r="D7477" t="inlineStr">
        <is>
          <t>SKÅNE LÄN</t>
        </is>
      </c>
      <c r="E7477" t="inlineStr">
        <is>
          <t>KLIPPAN</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7655-2025</t>
        </is>
      </c>
      <c r="B7478" s="1" t="n">
        <v>45706</v>
      </c>
      <c r="C7478" s="1" t="n">
        <v>45744</v>
      </c>
      <c r="D7478" t="inlineStr">
        <is>
          <t>SKÅNE LÄN</t>
        </is>
      </c>
      <c r="E7478" t="inlineStr">
        <is>
          <t>HÖÖR</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7745-2025</t>
        </is>
      </c>
      <c r="B7479" s="1" t="n">
        <v>45706</v>
      </c>
      <c r="C7479" s="1" t="n">
        <v>45744</v>
      </c>
      <c r="D7479" t="inlineStr">
        <is>
          <t>SKÅNE LÄN</t>
        </is>
      </c>
      <c r="E7479" t="inlineStr">
        <is>
          <t>TOMELILLA</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7831-2025</t>
        </is>
      </c>
      <c r="B7480" s="1" t="n">
        <v>45706</v>
      </c>
      <c r="C7480" s="1" t="n">
        <v>45744</v>
      </c>
      <c r="D7480" t="inlineStr">
        <is>
          <t>SKÅNE LÄN</t>
        </is>
      </c>
      <c r="E7480" t="inlineStr">
        <is>
          <t>HÖRBY</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7871-2025</t>
        </is>
      </c>
      <c r="B7481" s="1" t="n">
        <v>45706</v>
      </c>
      <c r="C7481" s="1" t="n">
        <v>45744</v>
      </c>
      <c r="D7481" t="inlineStr">
        <is>
          <t>SKÅNE LÄN</t>
        </is>
      </c>
      <c r="E7481" t="inlineStr">
        <is>
          <t>ÄNGELHOLM</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7802-2025</t>
        </is>
      </c>
      <c r="B7482" s="1" t="n">
        <v>45706</v>
      </c>
      <c r="C7482" s="1" t="n">
        <v>45744</v>
      </c>
      <c r="D7482" t="inlineStr">
        <is>
          <t>SKÅNE LÄN</t>
        </is>
      </c>
      <c r="E7482" t="inlineStr">
        <is>
          <t>KRISTIANSTAD</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7782-2025</t>
        </is>
      </c>
      <c r="B7483" s="1" t="n">
        <v>45706</v>
      </c>
      <c r="C7483" s="1" t="n">
        <v>45744</v>
      </c>
      <c r="D7483" t="inlineStr">
        <is>
          <t>SKÅNE LÄN</t>
        </is>
      </c>
      <c r="E7483" t="inlineStr">
        <is>
          <t>HÄSSLEHOLM</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7666-2025</t>
        </is>
      </c>
      <c r="B7484" s="1" t="n">
        <v>45706</v>
      </c>
      <c r="C7484" s="1" t="n">
        <v>45744</v>
      </c>
      <c r="D7484" t="inlineStr">
        <is>
          <t>SKÅNE LÄN</t>
        </is>
      </c>
      <c r="E7484" t="inlineStr">
        <is>
          <t>KRISTIANSTAD</t>
        </is>
      </c>
      <c r="G7484" t="n">
        <v>11.8</v>
      </c>
      <c r="H7484" t="n">
        <v>0</v>
      </c>
      <c r="I7484" t="n">
        <v>0</v>
      </c>
      <c r="J7484" t="n">
        <v>0</v>
      </c>
      <c r="K7484" t="n">
        <v>0</v>
      </c>
      <c r="L7484" t="n">
        <v>0</v>
      </c>
      <c r="M7484" t="n">
        <v>0</v>
      </c>
      <c r="N7484" t="n">
        <v>0</v>
      </c>
      <c r="O7484" t="n">
        <v>0</v>
      </c>
      <c r="P7484" t="n">
        <v>0</v>
      </c>
      <c r="Q7484" t="n">
        <v>0</v>
      </c>
      <c r="R7484" s="2" t="inlineStr"/>
    </row>
    <row r="7485" ht="15" customHeight="1">
      <c r="A7485" t="inlineStr">
        <is>
          <t>A 7881-2025</t>
        </is>
      </c>
      <c r="B7485" s="1" t="n">
        <v>45706</v>
      </c>
      <c r="C7485" s="1" t="n">
        <v>45744</v>
      </c>
      <c r="D7485" t="inlineStr">
        <is>
          <t>SKÅNE LÄN</t>
        </is>
      </c>
      <c r="E7485" t="inlineStr">
        <is>
          <t>OSBY</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7661-2025</t>
        </is>
      </c>
      <c r="B7486" s="1" t="n">
        <v>45706</v>
      </c>
      <c r="C7486" s="1" t="n">
        <v>45744</v>
      </c>
      <c r="D7486" t="inlineStr">
        <is>
          <t>SKÅNE LÄN</t>
        </is>
      </c>
      <c r="E7486" t="inlineStr">
        <is>
          <t>KLIPPAN</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7804-2025</t>
        </is>
      </c>
      <c r="B7487" s="1" t="n">
        <v>45706</v>
      </c>
      <c r="C7487" s="1" t="n">
        <v>45744</v>
      </c>
      <c r="D7487" t="inlineStr">
        <is>
          <t>SKÅNE LÄN</t>
        </is>
      </c>
      <c r="E7487" t="inlineStr">
        <is>
          <t>ÖSTRA GÖINGE</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7681-2025</t>
        </is>
      </c>
      <c r="B7488" s="1" t="n">
        <v>45706</v>
      </c>
      <c r="C7488" s="1" t="n">
        <v>45744</v>
      </c>
      <c r="D7488" t="inlineStr">
        <is>
          <t>SKÅNE LÄN</t>
        </is>
      </c>
      <c r="E7488" t="inlineStr">
        <is>
          <t>HÄSSLEHOLM</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7803-2025</t>
        </is>
      </c>
      <c r="B7489" s="1" t="n">
        <v>45706</v>
      </c>
      <c r="C7489" s="1" t="n">
        <v>45744</v>
      </c>
      <c r="D7489" t="inlineStr">
        <is>
          <t>SKÅNE LÄN</t>
        </is>
      </c>
      <c r="E7489" t="inlineStr">
        <is>
          <t>ÖSTRA GÖINGE</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8110-2025</t>
        </is>
      </c>
      <c r="B7490" s="1" t="n">
        <v>45707</v>
      </c>
      <c r="C7490" s="1" t="n">
        <v>45744</v>
      </c>
      <c r="D7490" t="inlineStr">
        <is>
          <t>SKÅNE LÄN</t>
        </is>
      </c>
      <c r="E7490" t="inlineStr">
        <is>
          <t>KRISTIANSTAD</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8066-2025</t>
        </is>
      </c>
      <c r="B7491" s="1" t="n">
        <v>45707</v>
      </c>
      <c r="C7491" s="1" t="n">
        <v>45744</v>
      </c>
      <c r="D7491" t="inlineStr">
        <is>
          <t>SKÅNE LÄN</t>
        </is>
      </c>
      <c r="E7491" t="inlineStr">
        <is>
          <t>ÖRKELLJUNGA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8107-2025</t>
        </is>
      </c>
      <c r="B7492" s="1" t="n">
        <v>45707</v>
      </c>
      <c r="C7492" s="1" t="n">
        <v>45744</v>
      </c>
      <c r="D7492" t="inlineStr">
        <is>
          <t>SKÅNE LÄN</t>
        </is>
      </c>
      <c r="E7492" t="inlineStr">
        <is>
          <t>HÄSSLEHOLM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8111-2025</t>
        </is>
      </c>
      <c r="B7493" s="1" t="n">
        <v>45707</v>
      </c>
      <c r="C7493" s="1" t="n">
        <v>45744</v>
      </c>
      <c r="D7493" t="inlineStr">
        <is>
          <t>SKÅNE LÄN</t>
        </is>
      </c>
      <c r="E7493" t="inlineStr">
        <is>
          <t>KRISTIANSTAD</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8128-2025</t>
        </is>
      </c>
      <c r="B7494" s="1" t="n">
        <v>45707</v>
      </c>
      <c r="C7494" s="1" t="n">
        <v>45744</v>
      </c>
      <c r="D7494" t="inlineStr">
        <is>
          <t>SKÅNE LÄN</t>
        </is>
      </c>
      <c r="E7494" t="inlineStr">
        <is>
          <t>ÖRKELLJUNGA</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7915-2025</t>
        </is>
      </c>
      <c r="B7495" s="1" t="n">
        <v>45707</v>
      </c>
      <c r="C7495" s="1" t="n">
        <v>45744</v>
      </c>
      <c r="D7495" t="inlineStr">
        <is>
          <t>SKÅNE LÄN</t>
        </is>
      </c>
      <c r="E7495" t="inlineStr">
        <is>
          <t>ÖRKELLJUNGA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7947-2025</t>
        </is>
      </c>
      <c r="B7496" s="1" t="n">
        <v>45707</v>
      </c>
      <c r="C7496" s="1" t="n">
        <v>45744</v>
      </c>
      <c r="D7496" t="inlineStr">
        <is>
          <t>SKÅNE LÄN</t>
        </is>
      </c>
      <c r="E7496" t="inlineStr">
        <is>
          <t>OSBY</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8223-2025</t>
        </is>
      </c>
      <c r="B7497" s="1" t="n">
        <v>45708</v>
      </c>
      <c r="C7497" s="1" t="n">
        <v>45744</v>
      </c>
      <c r="D7497" t="inlineStr">
        <is>
          <t>SKÅNE LÄN</t>
        </is>
      </c>
      <c r="E7497" t="inlineStr">
        <is>
          <t>HÄSSLEHOLM</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8209-2025</t>
        </is>
      </c>
      <c r="B7498" s="1" t="n">
        <v>45708</v>
      </c>
      <c r="C7498" s="1" t="n">
        <v>45744</v>
      </c>
      <c r="D7498" t="inlineStr">
        <is>
          <t>SKÅNE LÄN</t>
        </is>
      </c>
      <c r="E7498" t="inlineStr">
        <is>
          <t>HÄSSLEHOLM</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8194-2025</t>
        </is>
      </c>
      <c r="B7499" s="1" t="n">
        <v>45708</v>
      </c>
      <c r="C7499" s="1" t="n">
        <v>45744</v>
      </c>
      <c r="D7499" t="inlineStr">
        <is>
          <t>SKÅNE LÄN</t>
        </is>
      </c>
      <c r="E7499" t="inlineStr">
        <is>
          <t>HELSINGBORG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8208-2025</t>
        </is>
      </c>
      <c r="B7500" s="1" t="n">
        <v>45708</v>
      </c>
      <c r="C7500" s="1" t="n">
        <v>45744</v>
      </c>
      <c r="D7500" t="inlineStr">
        <is>
          <t>SKÅNE LÄN</t>
        </is>
      </c>
      <c r="E7500" t="inlineStr">
        <is>
          <t>OSBY</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8203-2025</t>
        </is>
      </c>
      <c r="B7501" s="1" t="n">
        <v>45708</v>
      </c>
      <c r="C7501" s="1" t="n">
        <v>45744</v>
      </c>
      <c r="D7501" t="inlineStr">
        <is>
          <t>SKÅNE LÄN</t>
        </is>
      </c>
      <c r="E7501" t="inlineStr">
        <is>
          <t>OSBY</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8181-2025</t>
        </is>
      </c>
      <c r="B7502" s="1" t="n">
        <v>45708</v>
      </c>
      <c r="C7502" s="1" t="n">
        <v>45744</v>
      </c>
      <c r="D7502" t="inlineStr">
        <is>
          <t>SKÅNE LÄN</t>
        </is>
      </c>
      <c r="E7502" t="inlineStr">
        <is>
          <t>HÄSSLEHOLM</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8253-2025</t>
        </is>
      </c>
      <c r="B7503" s="1" t="n">
        <v>45708</v>
      </c>
      <c r="C7503" s="1" t="n">
        <v>45744</v>
      </c>
      <c r="D7503" t="inlineStr">
        <is>
          <t>SKÅNE LÄN</t>
        </is>
      </c>
      <c r="E7503" t="inlineStr">
        <is>
          <t>HÄSSLEHOLM</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8257-2025</t>
        </is>
      </c>
      <c r="B7504" s="1" t="n">
        <v>45708</v>
      </c>
      <c r="C7504" s="1" t="n">
        <v>45744</v>
      </c>
      <c r="D7504" t="inlineStr">
        <is>
          <t>SKÅNE LÄN</t>
        </is>
      </c>
      <c r="E7504" t="inlineStr">
        <is>
          <t>HÄSSLEHOLM</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8239-2025</t>
        </is>
      </c>
      <c r="B7505" s="1" t="n">
        <v>45708</v>
      </c>
      <c r="C7505" s="1" t="n">
        <v>45744</v>
      </c>
      <c r="D7505" t="inlineStr">
        <is>
          <t>SKÅNE LÄN</t>
        </is>
      </c>
      <c r="E7505" t="inlineStr">
        <is>
          <t>HÄSSLEHOLM</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8139-2025</t>
        </is>
      </c>
      <c r="B7506" s="1" t="n">
        <v>45708</v>
      </c>
      <c r="C7506" s="1" t="n">
        <v>45744</v>
      </c>
      <c r="D7506" t="inlineStr">
        <is>
          <t>SKÅNE LÄN</t>
        </is>
      </c>
      <c r="E7506" t="inlineStr">
        <is>
          <t>ÄNGELHOLM</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8153-2025</t>
        </is>
      </c>
      <c r="B7507" s="1" t="n">
        <v>45708</v>
      </c>
      <c r="C7507" s="1" t="n">
        <v>45744</v>
      </c>
      <c r="D7507" t="inlineStr">
        <is>
          <t>SKÅNE LÄN</t>
        </is>
      </c>
      <c r="E7507" t="inlineStr">
        <is>
          <t>HÄSSLEHOLM</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8332-2025</t>
        </is>
      </c>
      <c r="B7508" s="1" t="n">
        <v>45708</v>
      </c>
      <c r="C7508" s="1" t="n">
        <v>45744</v>
      </c>
      <c r="D7508" t="inlineStr">
        <is>
          <t>SKÅNE LÄN</t>
        </is>
      </c>
      <c r="E7508" t="inlineStr">
        <is>
          <t>SVALÖV</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8349-2025</t>
        </is>
      </c>
      <c r="B7509" s="1" t="n">
        <v>45708</v>
      </c>
      <c r="C7509" s="1" t="n">
        <v>45744</v>
      </c>
      <c r="D7509" t="inlineStr">
        <is>
          <t>SKÅNE LÄN</t>
        </is>
      </c>
      <c r="E7509" t="inlineStr">
        <is>
          <t>HÖRBY</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8263-2025</t>
        </is>
      </c>
      <c r="B7510" s="1" t="n">
        <v>45708</v>
      </c>
      <c r="C7510" s="1" t="n">
        <v>45744</v>
      </c>
      <c r="D7510" t="inlineStr">
        <is>
          <t>SKÅNE LÄN</t>
        </is>
      </c>
      <c r="E7510" t="inlineStr">
        <is>
          <t>HÄSSLEHOLM</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8207-2025</t>
        </is>
      </c>
      <c r="B7511" s="1" t="n">
        <v>45708</v>
      </c>
      <c r="C7511" s="1" t="n">
        <v>45744</v>
      </c>
      <c r="D7511" t="inlineStr">
        <is>
          <t>SKÅNE LÄN</t>
        </is>
      </c>
      <c r="E7511" t="inlineStr">
        <is>
          <t>OSBY</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8200-2025</t>
        </is>
      </c>
      <c r="B7512" s="1" t="n">
        <v>45708</v>
      </c>
      <c r="C7512" s="1" t="n">
        <v>45744</v>
      </c>
      <c r="D7512" t="inlineStr">
        <is>
          <t>SKÅNE LÄN</t>
        </is>
      </c>
      <c r="E7512" t="inlineStr">
        <is>
          <t>OSBY</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8455-2025</t>
        </is>
      </c>
      <c r="B7513" s="1" t="n">
        <v>45709</v>
      </c>
      <c r="C7513" s="1" t="n">
        <v>45744</v>
      </c>
      <c r="D7513" t="inlineStr">
        <is>
          <t>SKÅNE LÄN</t>
        </is>
      </c>
      <c r="E7513" t="inlineStr">
        <is>
          <t>KRISTIANSTAD</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8481-2025</t>
        </is>
      </c>
      <c r="B7514" s="1" t="n">
        <v>45709</v>
      </c>
      <c r="C7514" s="1" t="n">
        <v>45744</v>
      </c>
      <c r="D7514" t="inlineStr">
        <is>
          <t>SKÅNE LÄN</t>
        </is>
      </c>
      <c r="E7514" t="inlineStr">
        <is>
          <t>OSBY</t>
        </is>
      </c>
      <c r="F7514" t="inlineStr">
        <is>
          <t>Kommuner</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8506-2025</t>
        </is>
      </c>
      <c r="B7515" s="1" t="n">
        <v>45709</v>
      </c>
      <c r="C7515" s="1" t="n">
        <v>45744</v>
      </c>
      <c r="D7515" t="inlineStr">
        <is>
          <t>SKÅNE LÄN</t>
        </is>
      </c>
      <c r="E7515" t="inlineStr">
        <is>
          <t>OSBY</t>
        </is>
      </c>
      <c r="F7515" t="inlineStr">
        <is>
          <t>Kommuner</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8500-2025</t>
        </is>
      </c>
      <c r="B7516" s="1" t="n">
        <v>45709</v>
      </c>
      <c r="C7516" s="1" t="n">
        <v>45744</v>
      </c>
      <c r="D7516" t="inlineStr">
        <is>
          <t>SKÅNE LÄN</t>
        </is>
      </c>
      <c r="E7516" t="inlineStr">
        <is>
          <t>OSBY</t>
        </is>
      </c>
      <c r="F7516" t="inlineStr">
        <is>
          <t>Kommuner</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8602-2025</t>
        </is>
      </c>
      <c r="B7517" s="1" t="n">
        <v>45710</v>
      </c>
      <c r="C7517" s="1" t="n">
        <v>45744</v>
      </c>
      <c r="D7517" t="inlineStr">
        <is>
          <t>SKÅNE LÄN</t>
        </is>
      </c>
      <c r="E7517" t="inlineStr">
        <is>
          <t>KRISTIANSTAD</t>
        </is>
      </c>
      <c r="G7517" t="n">
        <v>6.5</v>
      </c>
      <c r="H7517" t="n">
        <v>0</v>
      </c>
      <c r="I7517" t="n">
        <v>0</v>
      </c>
      <c r="J7517" t="n">
        <v>0</v>
      </c>
      <c r="K7517" t="n">
        <v>0</v>
      </c>
      <c r="L7517" t="n">
        <v>0</v>
      </c>
      <c r="M7517" t="n">
        <v>0</v>
      </c>
      <c r="N7517" t="n">
        <v>0</v>
      </c>
      <c r="O7517" t="n">
        <v>0</v>
      </c>
      <c r="P7517" t="n">
        <v>0</v>
      </c>
      <c r="Q7517" t="n">
        <v>0</v>
      </c>
      <c r="R7517" s="2" t="inlineStr"/>
    </row>
    <row r="7518" ht="15" customHeight="1">
      <c r="A7518" t="inlineStr">
        <is>
          <t>A 8459-2025</t>
        </is>
      </c>
      <c r="B7518" s="1" t="n">
        <v>45709</v>
      </c>
      <c r="C7518" s="1" t="n">
        <v>45744</v>
      </c>
      <c r="D7518" t="inlineStr">
        <is>
          <t>SKÅNE LÄN</t>
        </is>
      </c>
      <c r="E7518" t="inlineStr">
        <is>
          <t>OSBY</t>
        </is>
      </c>
      <c r="F7518" t="inlineStr">
        <is>
          <t>Kommuner</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8375-2025</t>
        </is>
      </c>
      <c r="B7519" s="1" t="n">
        <v>45709</v>
      </c>
      <c r="C7519" s="1" t="n">
        <v>45744</v>
      </c>
      <c r="D7519" t="inlineStr">
        <is>
          <t>SKÅNE LÄN</t>
        </is>
      </c>
      <c r="E7519" t="inlineStr">
        <is>
          <t>OSBY</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8478-2025</t>
        </is>
      </c>
      <c r="B7520" s="1" t="n">
        <v>45709</v>
      </c>
      <c r="C7520" s="1" t="n">
        <v>45744</v>
      </c>
      <c r="D7520" t="inlineStr">
        <is>
          <t>SKÅNE LÄN</t>
        </is>
      </c>
      <c r="E7520" t="inlineStr">
        <is>
          <t>HÖÖR</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8640-2025</t>
        </is>
      </c>
      <c r="B7521" s="1" t="n">
        <v>45711</v>
      </c>
      <c r="C7521" s="1" t="n">
        <v>45744</v>
      </c>
      <c r="D7521" t="inlineStr">
        <is>
          <t>SKÅNE LÄN</t>
        </is>
      </c>
      <c r="E7521" t="inlineStr">
        <is>
          <t>KLIPPAN</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8637-2025</t>
        </is>
      </c>
      <c r="B7522" s="1" t="n">
        <v>45711</v>
      </c>
      <c r="C7522" s="1" t="n">
        <v>45744</v>
      </c>
      <c r="D7522" t="inlineStr">
        <is>
          <t>SKÅNE LÄN</t>
        </is>
      </c>
      <c r="E7522" t="inlineStr">
        <is>
          <t>HÄSSLEHOLM</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8638-2025</t>
        </is>
      </c>
      <c r="B7523" s="1" t="n">
        <v>45711</v>
      </c>
      <c r="C7523" s="1" t="n">
        <v>45744</v>
      </c>
      <c r="D7523" t="inlineStr">
        <is>
          <t>SKÅNE LÄN</t>
        </is>
      </c>
      <c r="E7523" t="inlineStr">
        <is>
          <t>HÄSSLEHOLM</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8807-2025</t>
        </is>
      </c>
      <c r="B7524" s="1" t="n">
        <v>45712</v>
      </c>
      <c r="C7524" s="1" t="n">
        <v>45744</v>
      </c>
      <c r="D7524" t="inlineStr">
        <is>
          <t>SKÅNE LÄN</t>
        </is>
      </c>
      <c r="E7524" t="inlineStr">
        <is>
          <t>KRISTIANSTAD</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8811-2025</t>
        </is>
      </c>
      <c r="B7525" s="1" t="n">
        <v>45712</v>
      </c>
      <c r="C7525" s="1" t="n">
        <v>45744</v>
      </c>
      <c r="D7525" t="inlineStr">
        <is>
          <t>SKÅNE LÄN</t>
        </is>
      </c>
      <c r="E7525" t="inlineStr">
        <is>
          <t>KRISTIANSTAD</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8737-2025</t>
        </is>
      </c>
      <c r="B7526" s="1" t="n">
        <v>45712</v>
      </c>
      <c r="C7526" s="1" t="n">
        <v>45744</v>
      </c>
      <c r="D7526" t="inlineStr">
        <is>
          <t>SKÅNE LÄN</t>
        </is>
      </c>
      <c r="E7526" t="inlineStr">
        <is>
          <t>HÄSSLEHOLM</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8804-2025</t>
        </is>
      </c>
      <c r="B7527" s="1" t="n">
        <v>45712</v>
      </c>
      <c r="C7527" s="1" t="n">
        <v>45744</v>
      </c>
      <c r="D7527" t="inlineStr">
        <is>
          <t>SKÅNE LÄN</t>
        </is>
      </c>
      <c r="E7527" t="inlineStr">
        <is>
          <t>KRISTIANSTAD</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8704-2025</t>
        </is>
      </c>
      <c r="B7528" s="1" t="n">
        <v>45712</v>
      </c>
      <c r="C7528" s="1" t="n">
        <v>45744</v>
      </c>
      <c r="D7528" t="inlineStr">
        <is>
          <t>SKÅNE LÄN</t>
        </is>
      </c>
      <c r="E7528" t="inlineStr">
        <is>
          <t>KRISTIANSTAD</t>
        </is>
      </c>
      <c r="G7528" t="n">
        <v>5.7</v>
      </c>
      <c r="H7528" t="n">
        <v>0</v>
      </c>
      <c r="I7528" t="n">
        <v>0</v>
      </c>
      <c r="J7528" t="n">
        <v>0</v>
      </c>
      <c r="K7528" t="n">
        <v>0</v>
      </c>
      <c r="L7528" t="n">
        <v>0</v>
      </c>
      <c r="M7528" t="n">
        <v>0</v>
      </c>
      <c r="N7528" t="n">
        <v>0</v>
      </c>
      <c r="O7528" t="n">
        <v>0</v>
      </c>
      <c r="P7528" t="n">
        <v>0</v>
      </c>
      <c r="Q7528" t="n">
        <v>0</v>
      </c>
      <c r="R7528" s="2" t="inlineStr"/>
    </row>
    <row r="7529" ht="15" customHeight="1">
      <c r="A7529" t="inlineStr">
        <is>
          <t>A 8859-2025</t>
        </is>
      </c>
      <c r="B7529" s="1" t="n">
        <v>45713</v>
      </c>
      <c r="C7529" s="1" t="n">
        <v>45744</v>
      </c>
      <c r="D7529" t="inlineStr">
        <is>
          <t>SKÅNE LÄN</t>
        </is>
      </c>
      <c r="E7529" t="inlineStr">
        <is>
          <t>SJÖBO</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8863-2025</t>
        </is>
      </c>
      <c r="B7530" s="1" t="n">
        <v>45713</v>
      </c>
      <c r="C7530" s="1" t="n">
        <v>45744</v>
      </c>
      <c r="D7530" t="inlineStr">
        <is>
          <t>SKÅNE LÄN</t>
        </is>
      </c>
      <c r="E7530" t="inlineStr">
        <is>
          <t>SJÖBO</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8860-2025</t>
        </is>
      </c>
      <c r="B7531" s="1" t="n">
        <v>45713</v>
      </c>
      <c r="C7531" s="1" t="n">
        <v>45744</v>
      </c>
      <c r="D7531" t="inlineStr">
        <is>
          <t>SKÅNE LÄN</t>
        </is>
      </c>
      <c r="E7531" t="inlineStr">
        <is>
          <t>ÖRKELLJUNGA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8858-2025</t>
        </is>
      </c>
      <c r="B7532" s="1" t="n">
        <v>45713</v>
      </c>
      <c r="C7532" s="1" t="n">
        <v>45744</v>
      </c>
      <c r="D7532" t="inlineStr">
        <is>
          <t>SKÅNE LÄN</t>
        </is>
      </c>
      <c r="E7532" t="inlineStr">
        <is>
          <t>SJÖBO</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9071-2025</t>
        </is>
      </c>
      <c r="B7533" s="1" t="n">
        <v>45713</v>
      </c>
      <c r="C7533" s="1" t="n">
        <v>45744</v>
      </c>
      <c r="D7533" t="inlineStr">
        <is>
          <t>SKÅNE LÄN</t>
        </is>
      </c>
      <c r="E7533" t="inlineStr">
        <is>
          <t>HÖRBY</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8861-2025</t>
        </is>
      </c>
      <c r="B7534" s="1" t="n">
        <v>45713</v>
      </c>
      <c r="C7534" s="1" t="n">
        <v>45744</v>
      </c>
      <c r="D7534" t="inlineStr">
        <is>
          <t>SKÅNE LÄN</t>
        </is>
      </c>
      <c r="E7534" t="inlineStr">
        <is>
          <t>SJÖBO</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9078-2025</t>
        </is>
      </c>
      <c r="B7535" s="1" t="n">
        <v>45713</v>
      </c>
      <c r="C7535" s="1" t="n">
        <v>45744</v>
      </c>
      <c r="D7535" t="inlineStr">
        <is>
          <t>SKÅNE LÄN</t>
        </is>
      </c>
      <c r="E7535" t="inlineStr">
        <is>
          <t>SJÖBO</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8862-2025</t>
        </is>
      </c>
      <c r="B7536" s="1" t="n">
        <v>45713</v>
      </c>
      <c r="C7536" s="1" t="n">
        <v>45744</v>
      </c>
      <c r="D7536" t="inlineStr">
        <is>
          <t>SKÅNE LÄN</t>
        </is>
      </c>
      <c r="E7536" t="inlineStr">
        <is>
          <t>SJÖBO</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8882-2025</t>
        </is>
      </c>
      <c r="B7537" s="1" t="n">
        <v>45713</v>
      </c>
      <c r="C7537" s="1" t="n">
        <v>45744</v>
      </c>
      <c r="D7537" t="inlineStr">
        <is>
          <t>SKÅNE LÄN</t>
        </is>
      </c>
      <c r="E7537" t="inlineStr">
        <is>
          <t>ÄNGELHOLM</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9077-2025</t>
        </is>
      </c>
      <c r="B7538" s="1" t="n">
        <v>45713</v>
      </c>
      <c r="C7538" s="1" t="n">
        <v>45744</v>
      </c>
      <c r="D7538" t="inlineStr">
        <is>
          <t>SKÅNE LÄN</t>
        </is>
      </c>
      <c r="E7538" t="inlineStr">
        <is>
          <t>SJÖBO</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9184-2025</t>
        </is>
      </c>
      <c r="B7539" s="1" t="n">
        <v>45714</v>
      </c>
      <c r="C7539" s="1" t="n">
        <v>45744</v>
      </c>
      <c r="D7539" t="inlineStr">
        <is>
          <t>SKÅNE LÄN</t>
        </is>
      </c>
      <c r="E7539" t="inlineStr">
        <is>
          <t>OSBY</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9167-2025</t>
        </is>
      </c>
      <c r="B7540" s="1" t="n">
        <v>45714</v>
      </c>
      <c r="C7540" s="1" t="n">
        <v>45744</v>
      </c>
      <c r="D7540" t="inlineStr">
        <is>
          <t>SKÅNE LÄN</t>
        </is>
      </c>
      <c r="E7540" t="inlineStr">
        <is>
          <t>BROMÖLLA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9181-2025</t>
        </is>
      </c>
      <c r="B7541" s="1" t="n">
        <v>45714</v>
      </c>
      <c r="C7541" s="1" t="n">
        <v>45744</v>
      </c>
      <c r="D7541" t="inlineStr">
        <is>
          <t>SKÅNE LÄN</t>
        </is>
      </c>
      <c r="E7541" t="inlineStr">
        <is>
          <t>HÖÖR</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9142-2025</t>
        </is>
      </c>
      <c r="B7542" s="1" t="n">
        <v>45714</v>
      </c>
      <c r="C7542" s="1" t="n">
        <v>45744</v>
      </c>
      <c r="D7542" t="inlineStr">
        <is>
          <t>SKÅNE LÄN</t>
        </is>
      </c>
      <c r="E7542" t="inlineStr">
        <is>
          <t>KLIPPAN</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9239-2025</t>
        </is>
      </c>
      <c r="B7543" s="1" t="n">
        <v>45714</v>
      </c>
      <c r="C7543" s="1" t="n">
        <v>45744</v>
      </c>
      <c r="D7543" t="inlineStr">
        <is>
          <t>SKÅNE LÄN</t>
        </is>
      </c>
      <c r="E7543" t="inlineStr">
        <is>
          <t>HÄSSLEHOLM</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9291-2025</t>
        </is>
      </c>
      <c r="B7544" s="1" t="n">
        <v>45714</v>
      </c>
      <c r="C7544" s="1" t="n">
        <v>45744</v>
      </c>
      <c r="D7544" t="inlineStr">
        <is>
          <t>SKÅNE LÄN</t>
        </is>
      </c>
      <c r="E7544" t="inlineStr">
        <is>
          <t>KRISTIANSTAD</t>
        </is>
      </c>
      <c r="G7544" t="n">
        <v>9.199999999999999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9323-2025</t>
        </is>
      </c>
      <c r="B7545" s="1" t="n">
        <v>45714</v>
      </c>
      <c r="C7545" s="1" t="n">
        <v>45744</v>
      </c>
      <c r="D7545" t="inlineStr">
        <is>
          <t>SKÅNE LÄN</t>
        </is>
      </c>
      <c r="E7545" t="inlineStr">
        <is>
          <t>HÄSSLEHOLM</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9290-2025</t>
        </is>
      </c>
      <c r="B7546" s="1" t="n">
        <v>45714</v>
      </c>
      <c r="C7546" s="1" t="n">
        <v>45744</v>
      </c>
      <c r="D7546" t="inlineStr">
        <is>
          <t>SKÅNE LÄN</t>
        </is>
      </c>
      <c r="E7546" t="inlineStr">
        <is>
          <t>KRISTIANSTAD</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9302-2025</t>
        </is>
      </c>
      <c r="B7547" s="1" t="n">
        <v>45714</v>
      </c>
      <c r="C7547" s="1" t="n">
        <v>45744</v>
      </c>
      <c r="D7547" t="inlineStr">
        <is>
          <t>SKÅNE LÄN</t>
        </is>
      </c>
      <c r="E7547" t="inlineStr">
        <is>
          <t>HÄSSLEHOLM</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9322-2025</t>
        </is>
      </c>
      <c r="B7548" s="1" t="n">
        <v>45714</v>
      </c>
      <c r="C7548" s="1" t="n">
        <v>45744</v>
      </c>
      <c r="D7548" t="inlineStr">
        <is>
          <t>SKÅNE LÄN</t>
        </is>
      </c>
      <c r="E7548" t="inlineStr">
        <is>
          <t>HÄSSLEHOLM</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9277-2025</t>
        </is>
      </c>
      <c r="B7549" s="1" t="n">
        <v>45714</v>
      </c>
      <c r="C7549" s="1" t="n">
        <v>45744</v>
      </c>
      <c r="D7549" t="inlineStr">
        <is>
          <t>SKÅNE LÄN</t>
        </is>
      </c>
      <c r="E7549" t="inlineStr">
        <is>
          <t>SVEDALA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9166-2025</t>
        </is>
      </c>
      <c r="B7550" s="1" t="n">
        <v>45714</v>
      </c>
      <c r="C7550" s="1" t="n">
        <v>45744</v>
      </c>
      <c r="D7550" t="inlineStr">
        <is>
          <t>SKÅNE LÄN</t>
        </is>
      </c>
      <c r="E7550" t="inlineStr">
        <is>
          <t>BROMÖLLA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9190-2025</t>
        </is>
      </c>
      <c r="B7551" s="1" t="n">
        <v>45714</v>
      </c>
      <c r="C7551" s="1" t="n">
        <v>45744</v>
      </c>
      <c r="D7551" t="inlineStr">
        <is>
          <t>SKÅNE LÄN</t>
        </is>
      </c>
      <c r="E7551" t="inlineStr">
        <is>
          <t>OSBY</t>
        </is>
      </c>
      <c r="F7551" t="inlineStr">
        <is>
          <t>Kommuner</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9260-2025</t>
        </is>
      </c>
      <c r="B7552" s="1" t="n">
        <v>45714</v>
      </c>
      <c r="C7552" s="1" t="n">
        <v>45744</v>
      </c>
      <c r="D7552" t="inlineStr">
        <is>
          <t>SKÅNE LÄN</t>
        </is>
      </c>
      <c r="E7552" t="inlineStr">
        <is>
          <t>HÖRBY</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9555-2025</t>
        </is>
      </c>
      <c r="B7553" s="1" t="n">
        <v>45714</v>
      </c>
      <c r="C7553" s="1" t="n">
        <v>45744</v>
      </c>
      <c r="D7553" t="inlineStr">
        <is>
          <t>SKÅNE LÄN</t>
        </is>
      </c>
      <c r="E7553" t="inlineStr">
        <is>
          <t>HÄSSLEHOLM</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9556-2025</t>
        </is>
      </c>
      <c r="B7554" s="1" t="n">
        <v>45714</v>
      </c>
      <c r="C7554" s="1" t="n">
        <v>45744</v>
      </c>
      <c r="D7554" t="inlineStr">
        <is>
          <t>SKÅNE LÄN</t>
        </is>
      </c>
      <c r="E7554" t="inlineStr">
        <is>
          <t>HÄSSLEHOLM</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9541-2025</t>
        </is>
      </c>
      <c r="B7555" s="1" t="n">
        <v>45714</v>
      </c>
      <c r="C7555" s="1" t="n">
        <v>45744</v>
      </c>
      <c r="D7555" t="inlineStr">
        <is>
          <t>SKÅNE LÄN</t>
        </is>
      </c>
      <c r="E7555" t="inlineStr">
        <is>
          <t>HÄSSLEHOLM</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9365-2025</t>
        </is>
      </c>
      <c r="B7556" s="1" t="n">
        <v>45715</v>
      </c>
      <c r="C7556" s="1" t="n">
        <v>45744</v>
      </c>
      <c r="D7556" t="inlineStr">
        <is>
          <t>SKÅNE LÄN</t>
        </is>
      </c>
      <c r="E7556" t="inlineStr">
        <is>
          <t>ÖRKELLJUNGA</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9394-2025</t>
        </is>
      </c>
      <c r="B7557" s="1" t="n">
        <v>45715</v>
      </c>
      <c r="C7557" s="1" t="n">
        <v>45744</v>
      </c>
      <c r="D7557" t="inlineStr">
        <is>
          <t>SKÅNE LÄN</t>
        </is>
      </c>
      <c r="E7557" t="inlineStr">
        <is>
          <t>HÄSSLEHOLM</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9430-2025</t>
        </is>
      </c>
      <c r="B7558" s="1" t="n">
        <v>45715</v>
      </c>
      <c r="C7558" s="1" t="n">
        <v>45744</v>
      </c>
      <c r="D7558" t="inlineStr">
        <is>
          <t>SKÅNE LÄN</t>
        </is>
      </c>
      <c r="E7558" t="inlineStr">
        <is>
          <t>OSBY</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9358-2025</t>
        </is>
      </c>
      <c r="B7559" s="1" t="n">
        <v>45715</v>
      </c>
      <c r="C7559" s="1" t="n">
        <v>45744</v>
      </c>
      <c r="D7559" t="inlineStr">
        <is>
          <t>SKÅNE LÄN</t>
        </is>
      </c>
      <c r="E7559" t="inlineStr">
        <is>
          <t>ÖRKELLJUNGA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9399-2025</t>
        </is>
      </c>
      <c r="B7560" s="1" t="n">
        <v>45715</v>
      </c>
      <c r="C7560" s="1" t="n">
        <v>45744</v>
      </c>
      <c r="D7560" t="inlineStr">
        <is>
          <t>SKÅNE LÄN</t>
        </is>
      </c>
      <c r="E7560" t="inlineStr">
        <is>
          <t>HÄSSLEHOLM</t>
        </is>
      </c>
      <c r="G7560" t="n">
        <v>5.2</v>
      </c>
      <c r="H7560" t="n">
        <v>0</v>
      </c>
      <c r="I7560" t="n">
        <v>0</v>
      </c>
      <c r="J7560" t="n">
        <v>0</v>
      </c>
      <c r="K7560" t="n">
        <v>0</v>
      </c>
      <c r="L7560" t="n">
        <v>0</v>
      </c>
      <c r="M7560" t="n">
        <v>0</v>
      </c>
      <c r="N7560" t="n">
        <v>0</v>
      </c>
      <c r="O7560" t="n">
        <v>0</v>
      </c>
      <c r="P7560" t="n">
        <v>0</v>
      </c>
      <c r="Q7560" t="n">
        <v>0</v>
      </c>
      <c r="R7560" s="2" t="inlineStr"/>
    </row>
    <row r="7561" ht="15" customHeight="1">
      <c r="A7561" t="inlineStr">
        <is>
          <t>A 9359-2025</t>
        </is>
      </c>
      <c r="B7561" s="1" t="n">
        <v>45715</v>
      </c>
      <c r="C7561" s="1" t="n">
        <v>45744</v>
      </c>
      <c r="D7561" t="inlineStr">
        <is>
          <t>SKÅNE LÄN</t>
        </is>
      </c>
      <c r="E7561" t="inlineStr">
        <is>
          <t>ÖRKELLJUNGA</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9396-2025</t>
        </is>
      </c>
      <c r="B7562" s="1" t="n">
        <v>45715</v>
      </c>
      <c r="C7562" s="1" t="n">
        <v>45744</v>
      </c>
      <c r="D7562" t="inlineStr">
        <is>
          <t>SKÅNE LÄN</t>
        </is>
      </c>
      <c r="E7562" t="inlineStr">
        <is>
          <t>HÄSSLEHOLM</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9360-2025</t>
        </is>
      </c>
      <c r="B7563" s="1" t="n">
        <v>45715</v>
      </c>
      <c r="C7563" s="1" t="n">
        <v>45744</v>
      </c>
      <c r="D7563" t="inlineStr">
        <is>
          <t>SKÅNE LÄN</t>
        </is>
      </c>
      <c r="E7563" t="inlineStr">
        <is>
          <t>LUND</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9393-2025</t>
        </is>
      </c>
      <c r="B7564" s="1" t="n">
        <v>45715</v>
      </c>
      <c r="C7564" s="1" t="n">
        <v>45744</v>
      </c>
      <c r="D7564" t="inlineStr">
        <is>
          <t>SKÅNE LÄN</t>
        </is>
      </c>
      <c r="E7564" t="inlineStr">
        <is>
          <t>HÄSSLEHOLM</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9397-2025</t>
        </is>
      </c>
      <c r="B7565" s="1" t="n">
        <v>45715</v>
      </c>
      <c r="C7565" s="1" t="n">
        <v>45744</v>
      </c>
      <c r="D7565" t="inlineStr">
        <is>
          <t>SKÅNE LÄN</t>
        </is>
      </c>
      <c r="E7565" t="inlineStr">
        <is>
          <t>HÄSSLEHOLM</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9573-2025</t>
        </is>
      </c>
      <c r="B7566" s="1" t="n">
        <v>45715</v>
      </c>
      <c r="C7566" s="1" t="n">
        <v>45744</v>
      </c>
      <c r="D7566" t="inlineStr">
        <is>
          <t>SKÅNE LÄN</t>
        </is>
      </c>
      <c r="E7566" t="inlineStr">
        <is>
          <t>ÖRKELLJUNGA</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9596-2025</t>
        </is>
      </c>
      <c r="B7567" s="1" t="n">
        <v>45715</v>
      </c>
      <c r="C7567" s="1" t="n">
        <v>45744</v>
      </c>
      <c r="D7567" t="inlineStr">
        <is>
          <t>SKÅNE LÄN</t>
        </is>
      </c>
      <c r="E7567" t="inlineStr">
        <is>
          <t>KRISTIANSTAD</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9578-2025</t>
        </is>
      </c>
      <c r="B7568" s="1" t="n">
        <v>45715</v>
      </c>
      <c r="C7568" s="1" t="n">
        <v>45744</v>
      </c>
      <c r="D7568" t="inlineStr">
        <is>
          <t>SKÅNE LÄN</t>
        </is>
      </c>
      <c r="E7568" t="inlineStr">
        <is>
          <t>ÄNGELHOLM</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9466-2025</t>
        </is>
      </c>
      <c r="B7569" s="1" t="n">
        <v>45715</v>
      </c>
      <c r="C7569" s="1" t="n">
        <v>45744</v>
      </c>
      <c r="D7569" t="inlineStr">
        <is>
          <t>SKÅNE LÄN</t>
        </is>
      </c>
      <c r="E7569" t="inlineStr">
        <is>
          <t>HÖÖR</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9614-2025</t>
        </is>
      </c>
      <c r="B7570" s="1" t="n">
        <v>45715</v>
      </c>
      <c r="C7570" s="1" t="n">
        <v>45744</v>
      </c>
      <c r="D7570" t="inlineStr">
        <is>
          <t>SKÅNE LÄN</t>
        </is>
      </c>
      <c r="E7570" t="inlineStr">
        <is>
          <t>HÖRBY</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9638-2025</t>
        </is>
      </c>
      <c r="B7571" s="1" t="n">
        <v>45715</v>
      </c>
      <c r="C7571" s="1" t="n">
        <v>45744</v>
      </c>
      <c r="D7571" t="inlineStr">
        <is>
          <t>SKÅNE LÄN</t>
        </is>
      </c>
      <c r="E7571" t="inlineStr">
        <is>
          <t>BROMÖLLA</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9612-2025</t>
        </is>
      </c>
      <c r="B7572" s="1" t="n">
        <v>45715</v>
      </c>
      <c r="C7572" s="1" t="n">
        <v>45744</v>
      </c>
      <c r="D7572" t="inlineStr">
        <is>
          <t>SKÅNE LÄN</t>
        </is>
      </c>
      <c r="E7572" t="inlineStr">
        <is>
          <t>HÖRBY</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9819-2025</t>
        </is>
      </c>
      <c r="B7573" s="1" t="n">
        <v>45715</v>
      </c>
      <c r="C7573" s="1" t="n">
        <v>45744</v>
      </c>
      <c r="D7573" t="inlineStr">
        <is>
          <t>SKÅNE LÄN</t>
        </is>
      </c>
      <c r="E7573" t="inlineStr">
        <is>
          <t>OSBY</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9543-2025</t>
        </is>
      </c>
      <c r="B7574" s="1" t="n">
        <v>45715</v>
      </c>
      <c r="C7574" s="1" t="n">
        <v>45744</v>
      </c>
      <c r="D7574" t="inlineStr">
        <is>
          <t>SKÅNE LÄN</t>
        </is>
      </c>
      <c r="E7574" t="inlineStr">
        <is>
          <t>HÄSSLEHOLM</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9611-2025</t>
        </is>
      </c>
      <c r="B7575" s="1" t="n">
        <v>45715</v>
      </c>
      <c r="C7575" s="1" t="n">
        <v>45744</v>
      </c>
      <c r="D7575" t="inlineStr">
        <is>
          <t>SKÅNE LÄN</t>
        </is>
      </c>
      <c r="E7575" t="inlineStr">
        <is>
          <t>HÄSSLEHOLM</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9615-2025</t>
        </is>
      </c>
      <c r="B7576" s="1" t="n">
        <v>45715</v>
      </c>
      <c r="C7576" s="1" t="n">
        <v>45744</v>
      </c>
      <c r="D7576" t="inlineStr">
        <is>
          <t>SKÅNE LÄN</t>
        </is>
      </c>
      <c r="E7576" t="inlineStr">
        <is>
          <t>HÄSSLEHOLM</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9733-2025</t>
        </is>
      </c>
      <c r="B7577" s="1" t="n">
        <v>45715</v>
      </c>
      <c r="C7577" s="1" t="n">
        <v>45744</v>
      </c>
      <c r="D7577" t="inlineStr">
        <is>
          <t>SKÅNE LÄN</t>
        </is>
      </c>
      <c r="E7577" t="inlineStr">
        <is>
          <t>ÖRKELLJUNGA</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9665-2025</t>
        </is>
      </c>
      <c r="B7578" s="1" t="n">
        <v>45716</v>
      </c>
      <c r="C7578" s="1" t="n">
        <v>45744</v>
      </c>
      <c r="D7578" t="inlineStr">
        <is>
          <t>SKÅNE LÄN</t>
        </is>
      </c>
      <c r="E7578" t="inlineStr">
        <is>
          <t>HÄSSLEHOLM</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9669-2025</t>
        </is>
      </c>
      <c r="B7579" s="1" t="n">
        <v>45716</v>
      </c>
      <c r="C7579" s="1" t="n">
        <v>45744</v>
      </c>
      <c r="D7579" t="inlineStr">
        <is>
          <t>SKÅNE LÄN</t>
        </is>
      </c>
      <c r="E7579" t="inlineStr">
        <is>
          <t>HÄSSLEHOLM</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9678-2025</t>
        </is>
      </c>
      <c r="B7580" s="1" t="n">
        <v>45716</v>
      </c>
      <c r="C7580" s="1" t="n">
        <v>45744</v>
      </c>
      <c r="D7580" t="inlineStr">
        <is>
          <t>SKÅNE LÄN</t>
        </is>
      </c>
      <c r="E7580" t="inlineStr">
        <is>
          <t>HÄSSLEHOLM</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9667-2025</t>
        </is>
      </c>
      <c r="B7581" s="1" t="n">
        <v>45716</v>
      </c>
      <c r="C7581" s="1" t="n">
        <v>45744</v>
      </c>
      <c r="D7581" t="inlineStr">
        <is>
          <t>SKÅNE LÄN</t>
        </is>
      </c>
      <c r="E7581" t="inlineStr">
        <is>
          <t>HÄSSLEHOLM</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9668-2025</t>
        </is>
      </c>
      <c r="B7582" s="1" t="n">
        <v>45716</v>
      </c>
      <c r="C7582" s="1" t="n">
        <v>45744</v>
      </c>
      <c r="D7582" t="inlineStr">
        <is>
          <t>SKÅNE LÄN</t>
        </is>
      </c>
      <c r="E7582" t="inlineStr">
        <is>
          <t>HÄSSLEHOLM</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9673-2025</t>
        </is>
      </c>
      <c r="B7583" s="1" t="n">
        <v>45716</v>
      </c>
      <c r="C7583" s="1" t="n">
        <v>45744</v>
      </c>
      <c r="D7583" t="inlineStr">
        <is>
          <t>SKÅNE LÄN</t>
        </is>
      </c>
      <c r="E7583" t="inlineStr">
        <is>
          <t>HÄSSLEHOLM</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9899-2025</t>
        </is>
      </c>
      <c r="B7584" s="1" t="n">
        <v>45716</v>
      </c>
      <c r="C7584" s="1" t="n">
        <v>45744</v>
      </c>
      <c r="D7584" t="inlineStr">
        <is>
          <t>SKÅNE LÄN</t>
        </is>
      </c>
      <c r="E7584" t="inlineStr">
        <is>
          <t>KRISTIANSTAD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9898-2025</t>
        </is>
      </c>
      <c r="B7585" s="1" t="n">
        <v>45716</v>
      </c>
      <c r="C7585" s="1" t="n">
        <v>45744</v>
      </c>
      <c r="D7585" t="inlineStr">
        <is>
          <t>SKÅNE LÄN</t>
        </is>
      </c>
      <c r="E7585" t="inlineStr">
        <is>
          <t>KRISTIANSTAD</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9924-2025</t>
        </is>
      </c>
      <c r="B7586" s="1" t="n">
        <v>45717</v>
      </c>
      <c r="C7586" s="1" t="n">
        <v>45744</v>
      </c>
      <c r="D7586" t="inlineStr">
        <is>
          <t>SKÅNE LÄN</t>
        </is>
      </c>
      <c r="E7586" t="inlineStr">
        <is>
          <t>HÄSSLEHOLM</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9972-2025</t>
        </is>
      </c>
      <c r="B7587" s="1" t="n">
        <v>45719</v>
      </c>
      <c r="C7587" s="1" t="n">
        <v>45744</v>
      </c>
      <c r="D7587" t="inlineStr">
        <is>
          <t>SKÅNE LÄN</t>
        </is>
      </c>
      <c r="E7587" t="inlineStr">
        <is>
          <t>KRISTIANSTAD</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10086-2025</t>
        </is>
      </c>
      <c r="B7588" s="1" t="n">
        <v>45719</v>
      </c>
      <c r="C7588" s="1" t="n">
        <v>45744</v>
      </c>
      <c r="D7588" t="inlineStr">
        <is>
          <t>SKÅNE LÄN</t>
        </is>
      </c>
      <c r="E7588" t="inlineStr">
        <is>
          <t>OSBY</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10044-2025</t>
        </is>
      </c>
      <c r="B7589" s="1" t="n">
        <v>45719</v>
      </c>
      <c r="C7589" s="1" t="n">
        <v>45744</v>
      </c>
      <c r="D7589" t="inlineStr">
        <is>
          <t>SKÅNE LÄN</t>
        </is>
      </c>
      <c r="E7589" t="inlineStr">
        <is>
          <t>KRISTIANSTAD</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9983-2025</t>
        </is>
      </c>
      <c r="B7590" s="1" t="n">
        <v>45719</v>
      </c>
      <c r="C7590" s="1" t="n">
        <v>45744</v>
      </c>
      <c r="D7590" t="inlineStr">
        <is>
          <t>SKÅNE LÄN</t>
        </is>
      </c>
      <c r="E7590" t="inlineStr">
        <is>
          <t>OSBY</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9987-2025</t>
        </is>
      </c>
      <c r="B7591" s="1" t="n">
        <v>45719</v>
      </c>
      <c r="C7591" s="1" t="n">
        <v>45744</v>
      </c>
      <c r="D7591" t="inlineStr">
        <is>
          <t>SKÅNE LÄN</t>
        </is>
      </c>
      <c r="E7591" t="inlineStr">
        <is>
          <t>OSBY</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9999-2025</t>
        </is>
      </c>
      <c r="B7592" s="1" t="n">
        <v>45719</v>
      </c>
      <c r="C7592" s="1" t="n">
        <v>45744</v>
      </c>
      <c r="D7592" t="inlineStr">
        <is>
          <t>SKÅNE LÄN</t>
        </is>
      </c>
      <c r="E7592" t="inlineStr">
        <is>
          <t>KLIPPAN</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10203-2025</t>
        </is>
      </c>
      <c r="B7593" s="1" t="n">
        <v>45719</v>
      </c>
      <c r="C7593" s="1" t="n">
        <v>45744</v>
      </c>
      <c r="D7593" t="inlineStr">
        <is>
          <t>SKÅNE LÄN</t>
        </is>
      </c>
      <c r="E7593" t="inlineStr">
        <is>
          <t>KRISTIANSTAD</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10196-2025</t>
        </is>
      </c>
      <c r="B7594" s="1" t="n">
        <v>45719</v>
      </c>
      <c r="C7594" s="1" t="n">
        <v>45744</v>
      </c>
      <c r="D7594" t="inlineStr">
        <is>
          <t>SKÅNE LÄN</t>
        </is>
      </c>
      <c r="E7594" t="inlineStr">
        <is>
          <t>SVALÖV</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10200-2025</t>
        </is>
      </c>
      <c r="B7595" s="1" t="n">
        <v>45719</v>
      </c>
      <c r="C7595" s="1" t="n">
        <v>45744</v>
      </c>
      <c r="D7595" t="inlineStr">
        <is>
          <t>SKÅNE LÄN</t>
        </is>
      </c>
      <c r="E7595" t="inlineStr">
        <is>
          <t>KRISTIANSTAD</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10197-2025</t>
        </is>
      </c>
      <c r="B7596" s="1" t="n">
        <v>45719</v>
      </c>
      <c r="C7596" s="1" t="n">
        <v>45744</v>
      </c>
      <c r="D7596" t="inlineStr">
        <is>
          <t>SKÅNE LÄN</t>
        </is>
      </c>
      <c r="E7596" t="inlineStr">
        <is>
          <t>KRISTIANSTAD</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10383-2025</t>
        </is>
      </c>
      <c r="B7597" s="1" t="n">
        <v>45720</v>
      </c>
      <c r="C7597" s="1" t="n">
        <v>45744</v>
      </c>
      <c r="D7597" t="inlineStr">
        <is>
          <t>SKÅNE LÄN</t>
        </is>
      </c>
      <c r="E7597" t="inlineStr">
        <is>
          <t>HÄSSLEHOLM</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10385-2025</t>
        </is>
      </c>
      <c r="B7598" s="1" t="n">
        <v>45720</v>
      </c>
      <c r="C7598" s="1" t="n">
        <v>45744</v>
      </c>
      <c r="D7598" t="inlineStr">
        <is>
          <t>SKÅNE LÄN</t>
        </is>
      </c>
      <c r="E7598" t="inlineStr">
        <is>
          <t>HÄSSLEHOLM</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10425-2025</t>
        </is>
      </c>
      <c r="B7599" s="1" t="n">
        <v>45720</v>
      </c>
      <c r="C7599" s="1" t="n">
        <v>45744</v>
      </c>
      <c r="D7599" t="inlineStr">
        <is>
          <t>SKÅNE LÄN</t>
        </is>
      </c>
      <c r="E7599" t="inlineStr">
        <is>
          <t>OSBY</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10454-2025</t>
        </is>
      </c>
      <c r="B7600" s="1" t="n">
        <v>45720</v>
      </c>
      <c r="C7600" s="1" t="n">
        <v>45744</v>
      </c>
      <c r="D7600" t="inlineStr">
        <is>
          <t>SKÅNE LÄN</t>
        </is>
      </c>
      <c r="E7600" t="inlineStr">
        <is>
          <t>ÄNGELHOLM</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10479-2025</t>
        </is>
      </c>
      <c r="B7601" s="1" t="n">
        <v>45721</v>
      </c>
      <c r="C7601" s="1" t="n">
        <v>45744</v>
      </c>
      <c r="D7601" t="inlineStr">
        <is>
          <t>SKÅNE LÄN</t>
        </is>
      </c>
      <c r="E7601" t="inlineStr">
        <is>
          <t>KRISTIANSTAD</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10478-2025</t>
        </is>
      </c>
      <c r="B7602" s="1" t="n">
        <v>45721</v>
      </c>
      <c r="C7602" s="1" t="n">
        <v>45744</v>
      </c>
      <c r="D7602" t="inlineStr">
        <is>
          <t>SKÅNE LÄN</t>
        </is>
      </c>
      <c r="E7602" t="inlineStr">
        <is>
          <t>KRISTIANSTAD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10563-2025</t>
        </is>
      </c>
      <c r="B7603" s="1" t="n">
        <v>45721</v>
      </c>
      <c r="C7603" s="1" t="n">
        <v>45744</v>
      </c>
      <c r="D7603" t="inlineStr">
        <is>
          <t>SKÅNE LÄN</t>
        </is>
      </c>
      <c r="E7603" t="inlineStr">
        <is>
          <t>ÖRKELLJUNGA</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10594-2025</t>
        </is>
      </c>
      <c r="B7604" s="1" t="n">
        <v>45721</v>
      </c>
      <c r="C7604" s="1" t="n">
        <v>45744</v>
      </c>
      <c r="D7604" t="inlineStr">
        <is>
          <t>SKÅNE LÄN</t>
        </is>
      </c>
      <c r="E7604" t="inlineStr">
        <is>
          <t>HÄSSLEHOLM</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10562-2025</t>
        </is>
      </c>
      <c r="B7605" s="1" t="n">
        <v>45721</v>
      </c>
      <c r="C7605" s="1" t="n">
        <v>45744</v>
      </c>
      <c r="D7605" t="inlineStr">
        <is>
          <t>SKÅNE LÄN</t>
        </is>
      </c>
      <c r="E7605" t="inlineStr">
        <is>
          <t>HÄSSLEHOLM</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10544-2025</t>
        </is>
      </c>
      <c r="B7606" s="1" t="n">
        <v>45721</v>
      </c>
      <c r="C7606" s="1" t="n">
        <v>45744</v>
      </c>
      <c r="D7606" t="inlineStr">
        <is>
          <t>SKÅNE LÄN</t>
        </is>
      </c>
      <c r="E7606" t="inlineStr">
        <is>
          <t>KLIPPAN</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10673-2025</t>
        </is>
      </c>
      <c r="B7607" s="1" t="n">
        <v>45721</v>
      </c>
      <c r="C7607" s="1" t="n">
        <v>45744</v>
      </c>
      <c r="D7607" t="inlineStr">
        <is>
          <t>SKÅNE LÄN</t>
        </is>
      </c>
      <c r="E7607" t="inlineStr">
        <is>
          <t>OSBY</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10752-2025</t>
        </is>
      </c>
      <c r="B7608" s="1" t="n">
        <v>45722</v>
      </c>
      <c r="C7608" s="1" t="n">
        <v>45744</v>
      </c>
      <c r="D7608" t="inlineStr">
        <is>
          <t>SKÅNE LÄN</t>
        </is>
      </c>
      <c r="E7608" t="inlineStr">
        <is>
          <t>HÄSSLEHOLM</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10761-2025</t>
        </is>
      </c>
      <c r="B7609" s="1" t="n">
        <v>45722</v>
      </c>
      <c r="C7609" s="1" t="n">
        <v>45744</v>
      </c>
      <c r="D7609" t="inlineStr">
        <is>
          <t>SKÅNE LÄN</t>
        </is>
      </c>
      <c r="E7609" t="inlineStr">
        <is>
          <t>HÖRBY</t>
        </is>
      </c>
      <c r="G7609" t="n">
        <v>4.7</v>
      </c>
      <c r="H7609" t="n">
        <v>0</v>
      </c>
      <c r="I7609" t="n">
        <v>0</v>
      </c>
      <c r="J7609" t="n">
        <v>0</v>
      </c>
      <c r="K7609" t="n">
        <v>0</v>
      </c>
      <c r="L7609" t="n">
        <v>0</v>
      </c>
      <c r="M7609" t="n">
        <v>0</v>
      </c>
      <c r="N7609" t="n">
        <v>0</v>
      </c>
      <c r="O7609" t="n">
        <v>0</v>
      </c>
      <c r="P7609" t="n">
        <v>0</v>
      </c>
      <c r="Q7609" t="n">
        <v>0</v>
      </c>
      <c r="R7609" s="2" t="inlineStr"/>
    </row>
    <row r="7610" ht="15" customHeight="1">
      <c r="A7610" t="inlineStr">
        <is>
          <t>A 10710-2025</t>
        </is>
      </c>
      <c r="B7610" s="1" t="n">
        <v>45722</v>
      </c>
      <c r="C7610" s="1" t="n">
        <v>45744</v>
      </c>
      <c r="D7610" t="inlineStr">
        <is>
          <t>SKÅNE LÄN</t>
        </is>
      </c>
      <c r="E7610" t="inlineStr">
        <is>
          <t>BÅSTAD</t>
        </is>
      </c>
      <c r="F7610" t="inlineStr">
        <is>
          <t>Kommuner</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10714-2025</t>
        </is>
      </c>
      <c r="B7611" s="1" t="n">
        <v>45722</v>
      </c>
      <c r="C7611" s="1" t="n">
        <v>45744</v>
      </c>
      <c r="D7611" t="inlineStr">
        <is>
          <t>SKÅNE LÄN</t>
        </is>
      </c>
      <c r="E7611" t="inlineStr">
        <is>
          <t>OSBY</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10760-2025</t>
        </is>
      </c>
      <c r="B7612" s="1" t="n">
        <v>45722</v>
      </c>
      <c r="C7612" s="1" t="n">
        <v>45744</v>
      </c>
      <c r="D7612" t="inlineStr">
        <is>
          <t>SKÅNE LÄN</t>
        </is>
      </c>
      <c r="E7612" t="inlineStr">
        <is>
          <t>HÖRBY</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10773-2025</t>
        </is>
      </c>
      <c r="B7613" s="1" t="n">
        <v>45722</v>
      </c>
      <c r="C7613" s="1" t="n">
        <v>45744</v>
      </c>
      <c r="D7613" t="inlineStr">
        <is>
          <t>SKÅNE LÄN</t>
        </is>
      </c>
      <c r="E7613" t="inlineStr">
        <is>
          <t>ESLÖV</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10797-2025</t>
        </is>
      </c>
      <c r="B7614" s="1" t="n">
        <v>45722</v>
      </c>
      <c r="C7614" s="1" t="n">
        <v>45744</v>
      </c>
      <c r="D7614" t="inlineStr">
        <is>
          <t>SKÅNE LÄN</t>
        </is>
      </c>
      <c r="E7614" t="inlineStr">
        <is>
          <t>ÖRKELLJUNGA</t>
        </is>
      </c>
      <c r="G7614" t="n">
        <v>15.1</v>
      </c>
      <c r="H7614" t="n">
        <v>0</v>
      </c>
      <c r="I7614" t="n">
        <v>0</v>
      </c>
      <c r="J7614" t="n">
        <v>0</v>
      </c>
      <c r="K7614" t="n">
        <v>0</v>
      </c>
      <c r="L7614" t="n">
        <v>0</v>
      </c>
      <c r="M7614" t="n">
        <v>0</v>
      </c>
      <c r="N7614" t="n">
        <v>0</v>
      </c>
      <c r="O7614" t="n">
        <v>0</v>
      </c>
      <c r="P7614" t="n">
        <v>0</v>
      </c>
      <c r="Q7614" t="n">
        <v>0</v>
      </c>
      <c r="R7614" s="2" t="inlineStr"/>
    </row>
    <row r="7615" ht="15" customHeight="1">
      <c r="A7615" t="inlineStr">
        <is>
          <t>A 10870-2025</t>
        </is>
      </c>
      <c r="B7615" s="1" t="n">
        <v>45722</v>
      </c>
      <c r="C7615" s="1" t="n">
        <v>45744</v>
      </c>
      <c r="D7615" t="inlineStr">
        <is>
          <t>SKÅNE LÄN</t>
        </is>
      </c>
      <c r="E7615" t="inlineStr">
        <is>
          <t>HÖÖR</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10914-2025</t>
        </is>
      </c>
      <c r="B7616" s="1" t="n">
        <v>45722</v>
      </c>
      <c r="C7616" s="1" t="n">
        <v>45744</v>
      </c>
      <c r="D7616" t="inlineStr">
        <is>
          <t>SKÅNE LÄN</t>
        </is>
      </c>
      <c r="E7616" t="inlineStr">
        <is>
          <t>KRISTIANSTAD</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10962-2025</t>
        </is>
      </c>
      <c r="B7617" s="1" t="n">
        <v>45723</v>
      </c>
      <c r="C7617" s="1" t="n">
        <v>45744</v>
      </c>
      <c r="D7617" t="inlineStr">
        <is>
          <t>SKÅNE LÄN</t>
        </is>
      </c>
      <c r="E7617" t="inlineStr">
        <is>
          <t>KRISTIANSTAD</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10963-2025</t>
        </is>
      </c>
      <c r="B7618" s="1" t="n">
        <v>45723</v>
      </c>
      <c r="C7618" s="1" t="n">
        <v>45744</v>
      </c>
      <c r="D7618" t="inlineStr">
        <is>
          <t>SKÅNE LÄN</t>
        </is>
      </c>
      <c r="E7618" t="inlineStr">
        <is>
          <t>KRISTIANSTAD</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10961-2025</t>
        </is>
      </c>
      <c r="B7619" s="1" t="n">
        <v>45723</v>
      </c>
      <c r="C7619" s="1" t="n">
        <v>45744</v>
      </c>
      <c r="D7619" t="inlineStr">
        <is>
          <t>SKÅNE LÄN</t>
        </is>
      </c>
      <c r="E7619" t="inlineStr">
        <is>
          <t>KRISTIANSTAD</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11019-2025</t>
        </is>
      </c>
      <c r="B7620" s="1" t="n">
        <v>45723</v>
      </c>
      <c r="C7620" s="1" t="n">
        <v>45744</v>
      </c>
      <c r="D7620" t="inlineStr">
        <is>
          <t>SKÅNE LÄN</t>
        </is>
      </c>
      <c r="E7620" t="inlineStr">
        <is>
          <t>HÄSSLEHOLM</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11048-2025</t>
        </is>
      </c>
      <c r="B7621" s="1" t="n">
        <v>45723</v>
      </c>
      <c r="C7621" s="1" t="n">
        <v>45744</v>
      </c>
      <c r="D7621" t="inlineStr">
        <is>
          <t>SKÅNE LÄN</t>
        </is>
      </c>
      <c r="E7621" t="inlineStr">
        <is>
          <t>OSBY</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11115-2025</t>
        </is>
      </c>
      <c r="B7622" s="1" t="n">
        <v>45723</v>
      </c>
      <c r="C7622" s="1" t="n">
        <v>45744</v>
      </c>
      <c r="D7622" t="inlineStr">
        <is>
          <t>SKÅNE LÄN</t>
        </is>
      </c>
      <c r="E7622" t="inlineStr">
        <is>
          <t>ÖRKELLJUNGA</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11105-2025</t>
        </is>
      </c>
      <c r="B7623" s="1" t="n">
        <v>45723</v>
      </c>
      <c r="C7623" s="1" t="n">
        <v>45744</v>
      </c>
      <c r="D7623" t="inlineStr">
        <is>
          <t>SKÅNE LÄN</t>
        </is>
      </c>
      <c r="E7623" t="inlineStr">
        <is>
          <t>KRISTIANSTAD</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11126-2025</t>
        </is>
      </c>
      <c r="B7624" s="1" t="n">
        <v>45723</v>
      </c>
      <c r="C7624" s="1" t="n">
        <v>45744</v>
      </c>
      <c r="D7624" t="inlineStr">
        <is>
          <t>SKÅNE LÄN</t>
        </is>
      </c>
      <c r="E7624" t="inlineStr">
        <is>
          <t>ÖRKELLJUNGA</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11121-2025</t>
        </is>
      </c>
      <c r="B7625" s="1" t="n">
        <v>45723</v>
      </c>
      <c r="C7625" s="1" t="n">
        <v>45744</v>
      </c>
      <c r="D7625" t="inlineStr">
        <is>
          <t>SKÅNE LÄN</t>
        </is>
      </c>
      <c r="E7625" t="inlineStr">
        <is>
          <t>ÖRKELLJUNGA</t>
        </is>
      </c>
      <c r="G7625" t="n">
        <v>0.2</v>
      </c>
      <c r="H7625" t="n">
        <v>0</v>
      </c>
      <c r="I7625" t="n">
        <v>0</v>
      </c>
      <c r="J7625" t="n">
        <v>0</v>
      </c>
      <c r="K7625" t="n">
        <v>0</v>
      </c>
      <c r="L7625" t="n">
        <v>0</v>
      </c>
      <c r="M7625" t="n">
        <v>0</v>
      </c>
      <c r="N7625" t="n">
        <v>0</v>
      </c>
      <c r="O7625" t="n">
        <v>0</v>
      </c>
      <c r="P7625" t="n">
        <v>0</v>
      </c>
      <c r="Q7625" t="n">
        <v>0</v>
      </c>
      <c r="R7625" s="2" t="inlineStr"/>
    </row>
    <row r="7626" ht="15" customHeight="1">
      <c r="A7626" t="inlineStr">
        <is>
          <t>A 11150-2025</t>
        </is>
      </c>
      <c r="B7626" s="1" t="n">
        <v>45723</v>
      </c>
      <c r="C7626" s="1" t="n">
        <v>45744</v>
      </c>
      <c r="D7626" t="inlineStr">
        <is>
          <t>SKÅNE LÄN</t>
        </is>
      </c>
      <c r="E7626" t="inlineStr">
        <is>
          <t>KRISTIANSTAD</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11211-2025</t>
        </is>
      </c>
      <c r="B7627" s="1" t="n">
        <v>45726</v>
      </c>
      <c r="C7627" s="1" t="n">
        <v>45744</v>
      </c>
      <c r="D7627" t="inlineStr">
        <is>
          <t>SKÅNE LÄN</t>
        </is>
      </c>
      <c r="E7627" t="inlineStr">
        <is>
          <t>HÄSSLEHOLM</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11262-2025</t>
        </is>
      </c>
      <c r="B7628" s="1" t="n">
        <v>45726</v>
      </c>
      <c r="C7628" s="1" t="n">
        <v>45744</v>
      </c>
      <c r="D7628" t="inlineStr">
        <is>
          <t>SKÅNE LÄN</t>
        </is>
      </c>
      <c r="E7628" t="inlineStr">
        <is>
          <t>HÄSSLEHOLM</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11266-2025</t>
        </is>
      </c>
      <c r="B7629" s="1" t="n">
        <v>45726</v>
      </c>
      <c r="C7629" s="1" t="n">
        <v>45744</v>
      </c>
      <c r="D7629" t="inlineStr">
        <is>
          <t>SKÅNE LÄN</t>
        </is>
      </c>
      <c r="E7629" t="inlineStr">
        <is>
          <t>HÄSSLEHOLM</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11347-2025</t>
        </is>
      </c>
      <c r="B7630" s="1" t="n">
        <v>45726</v>
      </c>
      <c r="C7630" s="1" t="n">
        <v>45744</v>
      </c>
      <c r="D7630" t="inlineStr">
        <is>
          <t>SKÅNE LÄN</t>
        </is>
      </c>
      <c r="E7630" t="inlineStr">
        <is>
          <t>HÄSSLEHOLM</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11412-2025</t>
        </is>
      </c>
      <c r="B7631" s="1" t="n">
        <v>45726</v>
      </c>
      <c r="C7631" s="1" t="n">
        <v>45744</v>
      </c>
      <c r="D7631" t="inlineStr">
        <is>
          <t>SKÅNE LÄN</t>
        </is>
      </c>
      <c r="E7631" t="inlineStr">
        <is>
          <t>HÄSSLEHOLM</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11460-2025</t>
        </is>
      </c>
      <c r="B7632" s="1" t="n">
        <v>45726</v>
      </c>
      <c r="C7632" s="1" t="n">
        <v>45744</v>
      </c>
      <c r="D7632" t="inlineStr">
        <is>
          <t>SKÅNE LÄN</t>
        </is>
      </c>
      <c r="E7632" t="inlineStr">
        <is>
          <t>ÖRKELLJUNGA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11472-2025</t>
        </is>
      </c>
      <c r="B7633" s="1" t="n">
        <v>45726</v>
      </c>
      <c r="C7633" s="1" t="n">
        <v>45744</v>
      </c>
      <c r="D7633" t="inlineStr">
        <is>
          <t>SKÅNE LÄN</t>
        </is>
      </c>
      <c r="E7633" t="inlineStr">
        <is>
          <t>HÖÖR</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11451-2025</t>
        </is>
      </c>
      <c r="B7634" s="1" t="n">
        <v>45726</v>
      </c>
      <c r="C7634" s="1" t="n">
        <v>45744</v>
      </c>
      <c r="D7634" t="inlineStr">
        <is>
          <t>SKÅNE LÄN</t>
        </is>
      </c>
      <c r="E7634" t="inlineStr">
        <is>
          <t>ÖSTRA GÖINGE</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11422-2025</t>
        </is>
      </c>
      <c r="B7635" s="1" t="n">
        <v>45726</v>
      </c>
      <c r="C7635" s="1" t="n">
        <v>45744</v>
      </c>
      <c r="D7635" t="inlineStr">
        <is>
          <t>SKÅNE LÄN</t>
        </is>
      </c>
      <c r="E7635" t="inlineStr">
        <is>
          <t>HÄSSLEHOLM</t>
        </is>
      </c>
      <c r="G7635" t="n">
        <v>14.9</v>
      </c>
      <c r="H7635" t="n">
        <v>0</v>
      </c>
      <c r="I7635" t="n">
        <v>0</v>
      </c>
      <c r="J7635" t="n">
        <v>0</v>
      </c>
      <c r="K7635" t="n">
        <v>0</v>
      </c>
      <c r="L7635" t="n">
        <v>0</v>
      </c>
      <c r="M7635" t="n">
        <v>0</v>
      </c>
      <c r="N7635" t="n">
        <v>0</v>
      </c>
      <c r="O7635" t="n">
        <v>0</v>
      </c>
      <c r="P7635" t="n">
        <v>0</v>
      </c>
      <c r="Q7635" t="n">
        <v>0</v>
      </c>
      <c r="R7635" s="2" t="inlineStr"/>
    </row>
    <row r="7636" ht="15" customHeight="1">
      <c r="A7636" t="inlineStr">
        <is>
          <t>A 11446-2025</t>
        </is>
      </c>
      <c r="B7636" s="1" t="n">
        <v>45726</v>
      </c>
      <c r="C7636" s="1" t="n">
        <v>45744</v>
      </c>
      <c r="D7636" t="inlineStr">
        <is>
          <t>SKÅNE LÄN</t>
        </is>
      </c>
      <c r="E7636" t="inlineStr">
        <is>
          <t>HÄSSLEHOLM</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11466-2025</t>
        </is>
      </c>
      <c r="B7637" s="1" t="n">
        <v>45726</v>
      </c>
      <c r="C7637" s="1" t="n">
        <v>45744</v>
      </c>
      <c r="D7637" t="inlineStr">
        <is>
          <t>SKÅNE LÄN</t>
        </is>
      </c>
      <c r="E7637" t="inlineStr">
        <is>
          <t>HÄSSLEHOLM</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11470-2025</t>
        </is>
      </c>
      <c r="B7638" s="1" t="n">
        <v>45726</v>
      </c>
      <c r="C7638" s="1" t="n">
        <v>45744</v>
      </c>
      <c r="D7638" t="inlineStr">
        <is>
          <t>SKÅNE LÄN</t>
        </is>
      </c>
      <c r="E7638" t="inlineStr">
        <is>
          <t>HÄSSLEHOLM</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11559-2025</t>
        </is>
      </c>
      <c r="B7639" s="1" t="n">
        <v>45727</v>
      </c>
      <c r="C7639" s="1" t="n">
        <v>45744</v>
      </c>
      <c r="D7639" t="inlineStr">
        <is>
          <t>SKÅNE LÄN</t>
        </is>
      </c>
      <c r="E7639" t="inlineStr">
        <is>
          <t>KLIPPAN</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11529-2025</t>
        </is>
      </c>
      <c r="B7640" s="1" t="n">
        <v>45727</v>
      </c>
      <c r="C7640" s="1" t="n">
        <v>45744</v>
      </c>
      <c r="D7640" t="inlineStr">
        <is>
          <t>SKÅNE LÄN</t>
        </is>
      </c>
      <c r="E7640" t="inlineStr">
        <is>
          <t>HÖRBY</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11635-2025</t>
        </is>
      </c>
      <c r="B7641" s="1" t="n">
        <v>45727</v>
      </c>
      <c r="C7641" s="1" t="n">
        <v>45744</v>
      </c>
      <c r="D7641" t="inlineStr">
        <is>
          <t>SKÅNE LÄN</t>
        </is>
      </c>
      <c r="E7641" t="inlineStr">
        <is>
          <t>ÖSTRA GÖINGE</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11645-2025</t>
        </is>
      </c>
      <c r="B7642" s="1" t="n">
        <v>45727</v>
      </c>
      <c r="C7642" s="1" t="n">
        <v>45744</v>
      </c>
      <c r="D7642" t="inlineStr">
        <is>
          <t>SKÅNE LÄN</t>
        </is>
      </c>
      <c r="E7642" t="inlineStr">
        <is>
          <t>ÖSTRA GÖINGE</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11663-2025</t>
        </is>
      </c>
      <c r="B7643" s="1" t="n">
        <v>45727</v>
      </c>
      <c r="C7643" s="1" t="n">
        <v>45744</v>
      </c>
      <c r="D7643" t="inlineStr">
        <is>
          <t>SKÅNE LÄN</t>
        </is>
      </c>
      <c r="E7643" t="inlineStr">
        <is>
          <t>SIMRISHAMN</t>
        </is>
      </c>
      <c r="G7643" t="n">
        <v>8</v>
      </c>
      <c r="H7643" t="n">
        <v>0</v>
      </c>
      <c r="I7643" t="n">
        <v>0</v>
      </c>
      <c r="J7643" t="n">
        <v>0</v>
      </c>
      <c r="K7643" t="n">
        <v>0</v>
      </c>
      <c r="L7643" t="n">
        <v>0</v>
      </c>
      <c r="M7643" t="n">
        <v>0</v>
      </c>
      <c r="N7643" t="n">
        <v>0</v>
      </c>
      <c r="O7643" t="n">
        <v>0</v>
      </c>
      <c r="P7643" t="n">
        <v>0</v>
      </c>
      <c r="Q7643" t="n">
        <v>0</v>
      </c>
      <c r="R7643" s="2" t="inlineStr"/>
    </row>
    <row r="7644" ht="15" customHeight="1">
      <c r="A7644" t="inlineStr">
        <is>
          <t>A 11638-2025</t>
        </is>
      </c>
      <c r="B7644" s="1" t="n">
        <v>45727</v>
      </c>
      <c r="C7644" s="1" t="n">
        <v>45744</v>
      </c>
      <c r="D7644" t="inlineStr">
        <is>
          <t>SKÅNE LÄN</t>
        </is>
      </c>
      <c r="E7644" t="inlineStr">
        <is>
          <t>ÖSTRA GÖINGE</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11732-2025</t>
        </is>
      </c>
      <c r="B7645" s="1" t="n">
        <v>45727</v>
      </c>
      <c r="C7645" s="1" t="n">
        <v>45744</v>
      </c>
      <c r="D7645" t="inlineStr">
        <is>
          <t>SKÅNE LÄN</t>
        </is>
      </c>
      <c r="E7645" t="inlineStr">
        <is>
          <t>ESLÖV</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11556-2025</t>
        </is>
      </c>
      <c r="B7646" s="1" t="n">
        <v>45727</v>
      </c>
      <c r="C7646" s="1" t="n">
        <v>45744</v>
      </c>
      <c r="D7646" t="inlineStr">
        <is>
          <t>SKÅNE LÄN</t>
        </is>
      </c>
      <c r="E7646" t="inlineStr">
        <is>
          <t>KLIPPAN</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11609-2025</t>
        </is>
      </c>
      <c r="B7647" s="1" t="n">
        <v>45727</v>
      </c>
      <c r="C7647" s="1" t="n">
        <v>45744</v>
      </c>
      <c r="D7647" t="inlineStr">
        <is>
          <t>SKÅNE LÄN</t>
        </is>
      </c>
      <c r="E7647" t="inlineStr">
        <is>
          <t>HÄSSLEHOLM</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11642-2025</t>
        </is>
      </c>
      <c r="B7648" s="1" t="n">
        <v>45727</v>
      </c>
      <c r="C7648" s="1" t="n">
        <v>45744</v>
      </c>
      <c r="D7648" t="inlineStr">
        <is>
          <t>SKÅNE LÄN</t>
        </is>
      </c>
      <c r="E7648" t="inlineStr">
        <is>
          <t>KRISTIANSTAD</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11804-2025</t>
        </is>
      </c>
      <c r="B7649" s="1" t="n">
        <v>45727</v>
      </c>
      <c r="C7649" s="1" t="n">
        <v>45744</v>
      </c>
      <c r="D7649" t="inlineStr">
        <is>
          <t>SKÅNE LÄN</t>
        </is>
      </c>
      <c r="E7649" t="inlineStr">
        <is>
          <t>TOMELILLA</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11708-2025</t>
        </is>
      </c>
      <c r="B7650" s="1" t="n">
        <v>45727</v>
      </c>
      <c r="C7650" s="1" t="n">
        <v>45744</v>
      </c>
      <c r="D7650" t="inlineStr">
        <is>
          <t>SKÅNE LÄN</t>
        </is>
      </c>
      <c r="E7650" t="inlineStr">
        <is>
          <t>HÄSSLEHOLM</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11721-2025</t>
        </is>
      </c>
      <c r="B7651" s="1" t="n">
        <v>45727</v>
      </c>
      <c r="C7651" s="1" t="n">
        <v>45744</v>
      </c>
      <c r="D7651" t="inlineStr">
        <is>
          <t>SKÅNE LÄN</t>
        </is>
      </c>
      <c r="E7651" t="inlineStr">
        <is>
          <t>KRISTIANSTAD</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11802-2025</t>
        </is>
      </c>
      <c r="B7652" s="1" t="n">
        <v>45727</v>
      </c>
      <c r="C7652" s="1" t="n">
        <v>45744</v>
      </c>
      <c r="D7652" t="inlineStr">
        <is>
          <t>SKÅNE LÄN</t>
        </is>
      </c>
      <c r="E7652" t="inlineStr">
        <is>
          <t>ÖSTRA GÖINGE</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11806-2025</t>
        </is>
      </c>
      <c r="B7653" s="1" t="n">
        <v>45727</v>
      </c>
      <c r="C7653" s="1" t="n">
        <v>45744</v>
      </c>
      <c r="D7653" t="inlineStr">
        <is>
          <t>SKÅNE LÄN</t>
        </is>
      </c>
      <c r="E7653" t="inlineStr">
        <is>
          <t>TOMELILLA</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11810-2025</t>
        </is>
      </c>
      <c r="B7654" s="1" t="n">
        <v>45727</v>
      </c>
      <c r="C7654" s="1" t="n">
        <v>45744</v>
      </c>
      <c r="D7654" t="inlineStr">
        <is>
          <t>SKÅNE LÄN</t>
        </is>
      </c>
      <c r="E7654" t="inlineStr">
        <is>
          <t>TOMELILLA</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11603-2025</t>
        </is>
      </c>
      <c r="B7655" s="1" t="n">
        <v>45727</v>
      </c>
      <c r="C7655" s="1" t="n">
        <v>45744</v>
      </c>
      <c r="D7655" t="inlineStr">
        <is>
          <t>SKÅNE LÄN</t>
        </is>
      </c>
      <c r="E7655" t="inlineStr">
        <is>
          <t>HÄSSLEHOLM</t>
        </is>
      </c>
      <c r="G7655" t="n">
        <v>5.6</v>
      </c>
      <c r="H7655" t="n">
        <v>0</v>
      </c>
      <c r="I7655" t="n">
        <v>0</v>
      </c>
      <c r="J7655" t="n">
        <v>0</v>
      </c>
      <c r="K7655" t="n">
        <v>0</v>
      </c>
      <c r="L7655" t="n">
        <v>0</v>
      </c>
      <c r="M7655" t="n">
        <v>0</v>
      </c>
      <c r="N7655" t="n">
        <v>0</v>
      </c>
      <c r="O7655" t="n">
        <v>0</v>
      </c>
      <c r="P7655" t="n">
        <v>0</v>
      </c>
      <c r="Q7655" t="n">
        <v>0</v>
      </c>
      <c r="R7655" s="2" t="inlineStr"/>
    </row>
    <row r="7656" ht="15" customHeight="1">
      <c r="A7656" t="inlineStr">
        <is>
          <t>A 11607-2025</t>
        </is>
      </c>
      <c r="B7656" s="1" t="n">
        <v>45727</v>
      </c>
      <c r="C7656" s="1" t="n">
        <v>45744</v>
      </c>
      <c r="D7656" t="inlineStr">
        <is>
          <t>SKÅNE LÄN</t>
        </is>
      </c>
      <c r="E7656" t="inlineStr">
        <is>
          <t>HÄSSLEHOLM</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11753-2025</t>
        </is>
      </c>
      <c r="B7657" s="1" t="n">
        <v>45727</v>
      </c>
      <c r="C7657" s="1" t="n">
        <v>45744</v>
      </c>
      <c r="D7657" t="inlineStr">
        <is>
          <t>SKÅNE LÄN</t>
        </is>
      </c>
      <c r="E7657" t="inlineStr">
        <is>
          <t>HÄSSLEHOLM</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11693-2025</t>
        </is>
      </c>
      <c r="B7658" s="1" t="n">
        <v>45727</v>
      </c>
      <c r="C7658" s="1" t="n">
        <v>45744</v>
      </c>
      <c r="D7658" t="inlineStr">
        <is>
          <t>SKÅNE LÄN</t>
        </is>
      </c>
      <c r="E7658" t="inlineStr">
        <is>
          <t>KRISTIANSTAD</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11803-2025</t>
        </is>
      </c>
      <c r="B7659" s="1" t="n">
        <v>45727</v>
      </c>
      <c r="C7659" s="1" t="n">
        <v>45744</v>
      </c>
      <c r="D7659" t="inlineStr">
        <is>
          <t>SKÅNE LÄN</t>
        </is>
      </c>
      <c r="E7659" t="inlineStr">
        <is>
          <t>TOMELILLA</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11807-2025</t>
        </is>
      </c>
      <c r="B7660" s="1" t="n">
        <v>45727</v>
      </c>
      <c r="C7660" s="1" t="n">
        <v>45744</v>
      </c>
      <c r="D7660" t="inlineStr">
        <is>
          <t>SKÅNE LÄN</t>
        </is>
      </c>
      <c r="E7660" t="inlineStr">
        <is>
          <t>TOMELILLA</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11811-2025</t>
        </is>
      </c>
      <c r="B7661" s="1" t="n">
        <v>45727</v>
      </c>
      <c r="C7661" s="1" t="n">
        <v>45744</v>
      </c>
      <c r="D7661" t="inlineStr">
        <is>
          <t>SKÅNE LÄN</t>
        </is>
      </c>
      <c r="E7661" t="inlineStr">
        <is>
          <t>TOMELILLA</t>
        </is>
      </c>
      <c r="G7661" t="n">
        <v>9.699999999999999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11866-2025</t>
        </is>
      </c>
      <c r="B7662" s="1" t="n">
        <v>45728</v>
      </c>
      <c r="C7662" s="1" t="n">
        <v>45744</v>
      </c>
      <c r="D7662" t="inlineStr">
        <is>
          <t>SKÅNE LÄN</t>
        </is>
      </c>
      <c r="E7662" t="inlineStr">
        <is>
          <t>KRISTIANSTAD</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11816-2025</t>
        </is>
      </c>
      <c r="B7663" s="1" t="n">
        <v>45728</v>
      </c>
      <c r="C7663" s="1" t="n">
        <v>45744</v>
      </c>
      <c r="D7663" t="inlineStr">
        <is>
          <t>SKÅNE LÄN</t>
        </is>
      </c>
      <c r="E7663" t="inlineStr">
        <is>
          <t>HÖRBY</t>
        </is>
      </c>
      <c r="F7663" t="inlineStr">
        <is>
          <t>Sveaskog</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11941-2025</t>
        </is>
      </c>
      <c r="B7664" s="1" t="n">
        <v>45728</v>
      </c>
      <c r="C7664" s="1" t="n">
        <v>45744</v>
      </c>
      <c r="D7664" t="inlineStr">
        <is>
          <t>SKÅNE LÄN</t>
        </is>
      </c>
      <c r="E7664" t="inlineStr">
        <is>
          <t>HÖRBY</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12025-2025</t>
        </is>
      </c>
      <c r="B7665" s="1" t="n">
        <v>45728</v>
      </c>
      <c r="C7665" s="1" t="n">
        <v>45744</v>
      </c>
      <c r="D7665" t="inlineStr">
        <is>
          <t>SKÅNE LÄN</t>
        </is>
      </c>
      <c r="E7665" t="inlineStr">
        <is>
          <t>HÖÖR</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11943-2025</t>
        </is>
      </c>
      <c r="B7666" s="1" t="n">
        <v>45728</v>
      </c>
      <c r="C7666" s="1" t="n">
        <v>45744</v>
      </c>
      <c r="D7666" t="inlineStr">
        <is>
          <t>SKÅNE LÄN</t>
        </is>
      </c>
      <c r="E7666" t="inlineStr">
        <is>
          <t>HÖRBY</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11857-2025</t>
        </is>
      </c>
      <c r="B7667" s="1" t="n">
        <v>45728</v>
      </c>
      <c r="C7667" s="1" t="n">
        <v>45744</v>
      </c>
      <c r="D7667" t="inlineStr">
        <is>
          <t>SKÅNE LÄN</t>
        </is>
      </c>
      <c r="E7667" t="inlineStr">
        <is>
          <t>KLIPPAN</t>
        </is>
      </c>
      <c r="F7667" t="inlineStr">
        <is>
          <t>Övriga Aktiebolag</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11861-2025</t>
        </is>
      </c>
      <c r="B7668" s="1" t="n">
        <v>45728</v>
      </c>
      <c r="C7668" s="1" t="n">
        <v>45744</v>
      </c>
      <c r="D7668" t="inlineStr">
        <is>
          <t>SKÅNE LÄN</t>
        </is>
      </c>
      <c r="E7668" t="inlineStr">
        <is>
          <t>BROMÖLLA</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11934-2025</t>
        </is>
      </c>
      <c r="B7669" s="1" t="n">
        <v>45728</v>
      </c>
      <c r="C7669" s="1" t="n">
        <v>45744</v>
      </c>
      <c r="D7669" t="inlineStr">
        <is>
          <t>SKÅNE LÄN</t>
        </is>
      </c>
      <c r="E7669" t="inlineStr">
        <is>
          <t>HÖRBY</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11942-2025</t>
        </is>
      </c>
      <c r="B7670" s="1" t="n">
        <v>45728</v>
      </c>
      <c r="C7670" s="1" t="n">
        <v>45744</v>
      </c>
      <c r="D7670" t="inlineStr">
        <is>
          <t>SKÅNE LÄN</t>
        </is>
      </c>
      <c r="E7670" t="inlineStr">
        <is>
          <t>ÖRKELLJUNGA</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12006-2025</t>
        </is>
      </c>
      <c r="B7671" s="1" t="n">
        <v>45728</v>
      </c>
      <c r="C7671" s="1" t="n">
        <v>45744</v>
      </c>
      <c r="D7671" t="inlineStr">
        <is>
          <t>SKÅNE LÄN</t>
        </is>
      </c>
      <c r="E7671" t="inlineStr">
        <is>
          <t>SIMRISHAMN</t>
        </is>
      </c>
      <c r="F7671" t="inlineStr">
        <is>
          <t>Övriga Aktiebolag</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11908-2025</t>
        </is>
      </c>
      <c r="B7672" s="1" t="n">
        <v>45728</v>
      </c>
      <c r="C7672" s="1" t="n">
        <v>45744</v>
      </c>
      <c r="D7672" t="inlineStr">
        <is>
          <t>SKÅNE LÄN</t>
        </is>
      </c>
      <c r="E7672" t="inlineStr">
        <is>
          <t>OSBY</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12000-2025</t>
        </is>
      </c>
      <c r="B7673" s="1" t="n">
        <v>45728</v>
      </c>
      <c r="C7673" s="1" t="n">
        <v>45744</v>
      </c>
      <c r="D7673" t="inlineStr">
        <is>
          <t>SKÅNE LÄN</t>
        </is>
      </c>
      <c r="E7673" t="inlineStr">
        <is>
          <t>SIMRISHAMN</t>
        </is>
      </c>
      <c r="F7673" t="inlineStr">
        <is>
          <t>Övriga Aktiebolag</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12038-2025</t>
        </is>
      </c>
      <c r="B7674" s="1" t="n">
        <v>45728</v>
      </c>
      <c r="C7674" s="1" t="n">
        <v>45744</v>
      </c>
      <c r="D7674" t="inlineStr">
        <is>
          <t>SKÅNE LÄN</t>
        </is>
      </c>
      <c r="E7674" t="inlineStr">
        <is>
          <t>ÖRKELLJUNGA</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12047-2025</t>
        </is>
      </c>
      <c r="B7675" s="1" t="n">
        <v>45728</v>
      </c>
      <c r="C7675" s="1" t="n">
        <v>45744</v>
      </c>
      <c r="D7675" t="inlineStr">
        <is>
          <t>SKÅNE LÄN</t>
        </is>
      </c>
      <c r="E7675" t="inlineStr">
        <is>
          <t>ÖSTRA GÖINGE</t>
        </is>
      </c>
      <c r="F7675" t="inlineStr">
        <is>
          <t>Sveaskog</t>
        </is>
      </c>
      <c r="G7675" t="n">
        <v>10.7</v>
      </c>
      <c r="H7675" t="n">
        <v>0</v>
      </c>
      <c r="I7675" t="n">
        <v>0</v>
      </c>
      <c r="J7675" t="n">
        <v>0</v>
      </c>
      <c r="K7675" t="n">
        <v>0</v>
      </c>
      <c r="L7675" t="n">
        <v>0</v>
      </c>
      <c r="M7675" t="n">
        <v>0</v>
      </c>
      <c r="N7675" t="n">
        <v>0</v>
      </c>
      <c r="O7675" t="n">
        <v>0</v>
      </c>
      <c r="P7675" t="n">
        <v>0</v>
      </c>
      <c r="Q7675" t="n">
        <v>0</v>
      </c>
      <c r="R7675" s="2" t="inlineStr"/>
    </row>
    <row r="7676" ht="15" customHeight="1">
      <c r="A7676" t="inlineStr">
        <is>
          <t>A 12028-2025</t>
        </is>
      </c>
      <c r="B7676" s="1" t="n">
        <v>45728</v>
      </c>
      <c r="C7676" s="1" t="n">
        <v>45744</v>
      </c>
      <c r="D7676" t="inlineStr">
        <is>
          <t>SKÅNE LÄN</t>
        </is>
      </c>
      <c r="E7676" t="inlineStr">
        <is>
          <t>HÖÖR</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12048-2025</t>
        </is>
      </c>
      <c r="B7677" s="1" t="n">
        <v>45728</v>
      </c>
      <c r="C7677" s="1" t="n">
        <v>45744</v>
      </c>
      <c r="D7677" t="inlineStr">
        <is>
          <t>SKÅNE LÄN</t>
        </is>
      </c>
      <c r="E7677" t="inlineStr">
        <is>
          <t>ÖSTRA GÖINGE</t>
        </is>
      </c>
      <c r="F7677" t="inlineStr">
        <is>
          <t>Sveaskog</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12111-2025</t>
        </is>
      </c>
      <c r="B7678" s="1" t="n">
        <v>45729</v>
      </c>
      <c r="C7678" s="1" t="n">
        <v>45744</v>
      </c>
      <c r="D7678" t="inlineStr">
        <is>
          <t>SKÅNE LÄN</t>
        </is>
      </c>
      <c r="E7678" t="inlineStr">
        <is>
          <t>HÖÖR</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12182-2025</t>
        </is>
      </c>
      <c r="B7679" s="1" t="n">
        <v>45729</v>
      </c>
      <c r="C7679" s="1" t="n">
        <v>45744</v>
      </c>
      <c r="D7679" t="inlineStr">
        <is>
          <t>SKÅNE LÄN</t>
        </is>
      </c>
      <c r="E7679" t="inlineStr">
        <is>
          <t>HÄSSLEHOLM</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12315-2025</t>
        </is>
      </c>
      <c r="B7680" s="1" t="n">
        <v>45729</v>
      </c>
      <c r="C7680" s="1" t="n">
        <v>45744</v>
      </c>
      <c r="D7680" t="inlineStr">
        <is>
          <t>SKÅNE LÄN</t>
        </is>
      </c>
      <c r="E7680" t="inlineStr">
        <is>
          <t>KRISTIANSTAD</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12313-2025</t>
        </is>
      </c>
      <c r="B7681" s="1" t="n">
        <v>45729</v>
      </c>
      <c r="C7681" s="1" t="n">
        <v>45744</v>
      </c>
      <c r="D7681" t="inlineStr">
        <is>
          <t>SKÅNE LÄN</t>
        </is>
      </c>
      <c r="E7681" t="inlineStr">
        <is>
          <t>KRISTIANSTAD</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12351-2025</t>
        </is>
      </c>
      <c r="B7682" s="1" t="n">
        <v>45730</v>
      </c>
      <c r="C7682" s="1" t="n">
        <v>45744</v>
      </c>
      <c r="D7682" t="inlineStr">
        <is>
          <t>SKÅNE LÄN</t>
        </is>
      </c>
      <c r="E7682" t="inlineStr">
        <is>
          <t>TOMELILLA</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12413-2025</t>
        </is>
      </c>
      <c r="B7683" s="1" t="n">
        <v>45730</v>
      </c>
      <c r="C7683" s="1" t="n">
        <v>45744</v>
      </c>
      <c r="D7683" t="inlineStr">
        <is>
          <t>SKÅNE LÄN</t>
        </is>
      </c>
      <c r="E7683" t="inlineStr">
        <is>
          <t>OSBY</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12470-2025</t>
        </is>
      </c>
      <c r="B7684" s="1" t="n">
        <v>45730</v>
      </c>
      <c r="C7684" s="1" t="n">
        <v>45744</v>
      </c>
      <c r="D7684" t="inlineStr">
        <is>
          <t>SKÅNE LÄN</t>
        </is>
      </c>
      <c r="E7684" t="inlineStr">
        <is>
          <t>OSBY</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12540-2025</t>
        </is>
      </c>
      <c r="B7685" s="1" t="n">
        <v>45730</v>
      </c>
      <c r="C7685" s="1" t="n">
        <v>45744</v>
      </c>
      <c r="D7685" t="inlineStr">
        <is>
          <t>SKÅNE LÄN</t>
        </is>
      </c>
      <c r="E7685" t="inlineStr">
        <is>
          <t>HÄSSLEHOLM</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12584-2025</t>
        </is>
      </c>
      <c r="B7686" s="1" t="n">
        <v>45732</v>
      </c>
      <c r="C7686" s="1" t="n">
        <v>45744</v>
      </c>
      <c r="D7686" t="inlineStr">
        <is>
          <t>SKÅNE LÄN</t>
        </is>
      </c>
      <c r="E7686" t="inlineStr">
        <is>
          <t>HÄSSLEHOLM</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12600-2025</t>
        </is>
      </c>
      <c r="B7687" s="1" t="n">
        <v>45733</v>
      </c>
      <c r="C7687" s="1" t="n">
        <v>45744</v>
      </c>
      <c r="D7687" t="inlineStr">
        <is>
          <t>SKÅNE LÄN</t>
        </is>
      </c>
      <c r="E7687" t="inlineStr">
        <is>
          <t>OSBY</t>
        </is>
      </c>
      <c r="F7687" t="inlineStr">
        <is>
          <t>Sveaskog</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12604-2025</t>
        </is>
      </c>
      <c r="B7688" s="1" t="n">
        <v>45733</v>
      </c>
      <c r="C7688" s="1" t="n">
        <v>45744</v>
      </c>
      <c r="D7688" t="inlineStr">
        <is>
          <t>SKÅNE LÄN</t>
        </is>
      </c>
      <c r="E7688" t="inlineStr">
        <is>
          <t>OSBY</t>
        </is>
      </c>
      <c r="F7688" t="inlineStr">
        <is>
          <t>Sveaskog</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12671-2025</t>
        </is>
      </c>
      <c r="B7689" s="1" t="n">
        <v>45733</v>
      </c>
      <c r="C7689" s="1" t="n">
        <v>45744</v>
      </c>
      <c r="D7689" t="inlineStr">
        <is>
          <t>SKÅNE LÄN</t>
        </is>
      </c>
      <c r="E7689" t="inlineStr">
        <is>
          <t>ÖSTRA GÖINGE</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12603-2025</t>
        </is>
      </c>
      <c r="B7690" s="1" t="n">
        <v>45733</v>
      </c>
      <c r="C7690" s="1" t="n">
        <v>45744</v>
      </c>
      <c r="D7690" t="inlineStr">
        <is>
          <t>SKÅNE LÄN</t>
        </is>
      </c>
      <c r="E7690" t="inlineStr">
        <is>
          <t>OSBY</t>
        </is>
      </c>
      <c r="F7690" t="inlineStr">
        <is>
          <t>Sveaskog</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12598-2025</t>
        </is>
      </c>
      <c r="B7691" s="1" t="n">
        <v>45733</v>
      </c>
      <c r="C7691" s="1" t="n">
        <v>45744</v>
      </c>
      <c r="D7691" t="inlineStr">
        <is>
          <t>SKÅNE LÄN</t>
        </is>
      </c>
      <c r="E7691" t="inlineStr">
        <is>
          <t>OSBY</t>
        </is>
      </c>
      <c r="F7691" t="inlineStr">
        <is>
          <t>Sveaskog</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12602-2025</t>
        </is>
      </c>
      <c r="B7692" s="1" t="n">
        <v>45733</v>
      </c>
      <c r="C7692" s="1" t="n">
        <v>45744</v>
      </c>
      <c r="D7692" t="inlineStr">
        <is>
          <t>SKÅNE LÄN</t>
        </is>
      </c>
      <c r="E7692" t="inlineStr">
        <is>
          <t>OSBY</t>
        </is>
      </c>
      <c r="F7692" t="inlineStr">
        <is>
          <t>Sveaskog</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12652-2025</t>
        </is>
      </c>
      <c r="B7693" s="1" t="n">
        <v>45733</v>
      </c>
      <c r="C7693" s="1" t="n">
        <v>45744</v>
      </c>
      <c r="D7693" t="inlineStr">
        <is>
          <t>SKÅNE LÄN</t>
        </is>
      </c>
      <c r="E7693" t="inlineStr">
        <is>
          <t>ÄNGELHOLM</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12872-2025</t>
        </is>
      </c>
      <c r="B7694" s="1" t="n">
        <v>45733</v>
      </c>
      <c r="C7694" s="1" t="n">
        <v>45744</v>
      </c>
      <c r="D7694" t="inlineStr">
        <is>
          <t>SKÅNE LÄN</t>
        </is>
      </c>
      <c r="E7694" t="inlineStr">
        <is>
          <t>OSBY</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12601-2025</t>
        </is>
      </c>
      <c r="B7695" s="1" t="n">
        <v>45733</v>
      </c>
      <c r="C7695" s="1" t="n">
        <v>45744</v>
      </c>
      <c r="D7695" t="inlineStr">
        <is>
          <t>SKÅNE LÄN</t>
        </is>
      </c>
      <c r="E7695" t="inlineStr">
        <is>
          <t>OSBY</t>
        </is>
      </c>
      <c r="F7695" t="inlineStr">
        <is>
          <t>Sveaskog</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12605-2025</t>
        </is>
      </c>
      <c r="B7696" s="1" t="n">
        <v>45733</v>
      </c>
      <c r="C7696" s="1" t="n">
        <v>45744</v>
      </c>
      <c r="D7696" t="inlineStr">
        <is>
          <t>SKÅNE LÄN</t>
        </is>
      </c>
      <c r="E7696" t="inlineStr">
        <is>
          <t>ESLÖV</t>
        </is>
      </c>
      <c r="F7696" t="inlineStr">
        <is>
          <t>Sveaskog</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12911-2025</t>
        </is>
      </c>
      <c r="B7697" s="1" t="n">
        <v>45733</v>
      </c>
      <c r="C7697" s="1" t="n">
        <v>45744</v>
      </c>
      <c r="D7697" t="inlineStr">
        <is>
          <t>SKÅNE LÄN</t>
        </is>
      </c>
      <c r="E7697" t="inlineStr">
        <is>
          <t>PERSTORP</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12915-2025</t>
        </is>
      </c>
      <c r="B7698" s="1" t="n">
        <v>45733</v>
      </c>
      <c r="C7698" s="1" t="n">
        <v>45744</v>
      </c>
      <c r="D7698" t="inlineStr">
        <is>
          <t>SKÅNE LÄN</t>
        </is>
      </c>
      <c r="E7698" t="inlineStr">
        <is>
          <t>KRISTIANSTAD</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12663-2025</t>
        </is>
      </c>
      <c r="B7699" s="1" t="n">
        <v>45733</v>
      </c>
      <c r="C7699" s="1" t="n">
        <v>45744</v>
      </c>
      <c r="D7699" t="inlineStr">
        <is>
          <t>SKÅNE LÄN</t>
        </is>
      </c>
      <c r="E7699" t="inlineStr">
        <is>
          <t>ÄNGELHOLM</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12680-2025</t>
        </is>
      </c>
      <c r="B7700" s="1" t="n">
        <v>45733</v>
      </c>
      <c r="C7700" s="1" t="n">
        <v>45744</v>
      </c>
      <c r="D7700" t="inlineStr">
        <is>
          <t>SKÅNE LÄN</t>
        </is>
      </c>
      <c r="E7700" t="inlineStr">
        <is>
          <t>OSBY</t>
        </is>
      </c>
      <c r="F7700" t="inlineStr">
        <is>
          <t>Sveaskog</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12661-2025</t>
        </is>
      </c>
      <c r="B7701" s="1" t="n">
        <v>45733</v>
      </c>
      <c r="C7701" s="1" t="n">
        <v>45744</v>
      </c>
      <c r="D7701" t="inlineStr">
        <is>
          <t>SKÅNE LÄN</t>
        </is>
      </c>
      <c r="E7701" t="inlineStr">
        <is>
          <t>KRISTIANSTAD</t>
        </is>
      </c>
      <c r="F7701" t="inlineStr">
        <is>
          <t>Sveaskog</t>
        </is>
      </c>
      <c r="G7701" t="n">
        <v>9.6</v>
      </c>
      <c r="H7701" t="n">
        <v>0</v>
      </c>
      <c r="I7701" t="n">
        <v>0</v>
      </c>
      <c r="J7701" t="n">
        <v>0</v>
      </c>
      <c r="K7701" t="n">
        <v>0</v>
      </c>
      <c r="L7701" t="n">
        <v>0</v>
      </c>
      <c r="M7701" t="n">
        <v>0</v>
      </c>
      <c r="N7701" t="n">
        <v>0</v>
      </c>
      <c r="O7701" t="n">
        <v>0</v>
      </c>
      <c r="P7701" t="n">
        <v>0</v>
      </c>
      <c r="Q7701" t="n">
        <v>0</v>
      </c>
      <c r="R7701" s="2" t="inlineStr"/>
    </row>
    <row r="7702" ht="15" customHeight="1">
      <c r="A7702" t="inlineStr">
        <is>
          <t>A 12745-2025</t>
        </is>
      </c>
      <c r="B7702" s="1" t="n">
        <v>45733</v>
      </c>
      <c r="C7702" s="1" t="n">
        <v>45744</v>
      </c>
      <c r="D7702" t="inlineStr">
        <is>
          <t>SKÅNE LÄN</t>
        </is>
      </c>
      <c r="E7702" t="inlineStr">
        <is>
          <t>ÖSTRA GÖINGE</t>
        </is>
      </c>
      <c r="G7702" t="n">
        <v>5.8</v>
      </c>
      <c r="H7702" t="n">
        <v>0</v>
      </c>
      <c r="I7702" t="n">
        <v>0</v>
      </c>
      <c r="J7702" t="n">
        <v>0</v>
      </c>
      <c r="K7702" t="n">
        <v>0</v>
      </c>
      <c r="L7702" t="n">
        <v>0</v>
      </c>
      <c r="M7702" t="n">
        <v>0</v>
      </c>
      <c r="N7702" t="n">
        <v>0</v>
      </c>
      <c r="O7702" t="n">
        <v>0</v>
      </c>
      <c r="P7702" t="n">
        <v>0</v>
      </c>
      <c r="Q7702" t="n">
        <v>0</v>
      </c>
      <c r="R7702" s="2" t="inlineStr"/>
    </row>
    <row r="7703" ht="15" customHeight="1">
      <c r="A7703" t="inlineStr">
        <is>
          <t>A 12898-2025</t>
        </is>
      </c>
      <c r="B7703" s="1" t="n">
        <v>45733</v>
      </c>
      <c r="C7703" s="1" t="n">
        <v>45744</v>
      </c>
      <c r="D7703" t="inlineStr">
        <is>
          <t>SKÅNE LÄN</t>
        </is>
      </c>
      <c r="E7703" t="inlineStr">
        <is>
          <t>HÄSSLEHOLM</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12912-2025</t>
        </is>
      </c>
      <c r="B7704" s="1" t="n">
        <v>45733</v>
      </c>
      <c r="C7704" s="1" t="n">
        <v>45744</v>
      </c>
      <c r="D7704" t="inlineStr">
        <is>
          <t>SKÅNE LÄN</t>
        </is>
      </c>
      <c r="E7704" t="inlineStr">
        <is>
          <t>PERSTORP</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12953-2025</t>
        </is>
      </c>
      <c r="B7705" s="1" t="n">
        <v>45734</v>
      </c>
      <c r="C7705" s="1" t="n">
        <v>45744</v>
      </c>
      <c r="D7705" t="inlineStr">
        <is>
          <t>SKÅNE LÄN</t>
        </is>
      </c>
      <c r="E7705" t="inlineStr">
        <is>
          <t>SVEDALA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12936-2025</t>
        </is>
      </c>
      <c r="B7706" s="1" t="n">
        <v>45734</v>
      </c>
      <c r="C7706" s="1" t="n">
        <v>45744</v>
      </c>
      <c r="D7706" t="inlineStr">
        <is>
          <t>SKÅNE LÄN</t>
        </is>
      </c>
      <c r="E7706" t="inlineStr">
        <is>
          <t>HÄSSLEHOLM</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13084-2025</t>
        </is>
      </c>
      <c r="B7707" s="1" t="n">
        <v>45734</v>
      </c>
      <c r="C7707" s="1" t="n">
        <v>45744</v>
      </c>
      <c r="D7707" t="inlineStr">
        <is>
          <t>SKÅNE LÄN</t>
        </is>
      </c>
      <c r="E7707" t="inlineStr">
        <is>
          <t>HÄSSLEHOLM</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13310-2025</t>
        </is>
      </c>
      <c r="B7708" s="1" t="n">
        <v>45735</v>
      </c>
      <c r="C7708" s="1" t="n">
        <v>45744</v>
      </c>
      <c r="D7708" t="inlineStr">
        <is>
          <t>SKÅNE LÄN</t>
        </is>
      </c>
      <c r="E7708" t="inlineStr">
        <is>
          <t>HÄSSLEHOLM</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13347-2025</t>
        </is>
      </c>
      <c r="B7709" s="1" t="n">
        <v>45735</v>
      </c>
      <c r="C7709" s="1" t="n">
        <v>45744</v>
      </c>
      <c r="D7709" t="inlineStr">
        <is>
          <t>SKÅNE LÄN</t>
        </is>
      </c>
      <c r="E7709" t="inlineStr">
        <is>
          <t>HÄSSLEHOLM</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13198-2025</t>
        </is>
      </c>
      <c r="B7710" s="1" t="n">
        <v>45735</v>
      </c>
      <c r="C7710" s="1" t="n">
        <v>45744</v>
      </c>
      <c r="D7710" t="inlineStr">
        <is>
          <t>SKÅNE LÄN</t>
        </is>
      </c>
      <c r="E7710" t="inlineStr">
        <is>
          <t>HÄSSLEHOLM</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13303-2025</t>
        </is>
      </c>
      <c r="B7711" s="1" t="n">
        <v>45735</v>
      </c>
      <c r="C7711" s="1" t="n">
        <v>45744</v>
      </c>
      <c r="D7711" t="inlineStr">
        <is>
          <t>SKÅNE LÄN</t>
        </is>
      </c>
      <c r="E7711" t="inlineStr">
        <is>
          <t>HÄSSLEHOLM</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13308-2025</t>
        </is>
      </c>
      <c r="B7712" s="1" t="n">
        <v>45735</v>
      </c>
      <c r="C7712" s="1" t="n">
        <v>45744</v>
      </c>
      <c r="D7712" t="inlineStr">
        <is>
          <t>SKÅNE LÄN</t>
        </is>
      </c>
      <c r="E7712" t="inlineStr">
        <is>
          <t>HÖRBY</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13345-2025</t>
        </is>
      </c>
      <c r="B7713" s="1" t="n">
        <v>45735</v>
      </c>
      <c r="C7713" s="1" t="n">
        <v>45744</v>
      </c>
      <c r="D7713" t="inlineStr">
        <is>
          <t>SKÅNE LÄN</t>
        </is>
      </c>
      <c r="E7713" t="inlineStr">
        <is>
          <t>HÄSSLEHOLM</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13324-2025</t>
        </is>
      </c>
      <c r="B7714" s="1" t="n">
        <v>45735</v>
      </c>
      <c r="C7714" s="1" t="n">
        <v>45744</v>
      </c>
      <c r="D7714" t="inlineStr">
        <is>
          <t>SKÅNE LÄN</t>
        </is>
      </c>
      <c r="E7714" t="inlineStr">
        <is>
          <t>ÖSTRA GÖINGE</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13235-2025</t>
        </is>
      </c>
      <c r="B7715" s="1" t="n">
        <v>45735</v>
      </c>
      <c r="C7715" s="1" t="n">
        <v>45744</v>
      </c>
      <c r="D7715" t="inlineStr">
        <is>
          <t>SKÅNE LÄN</t>
        </is>
      </c>
      <c r="E7715" t="inlineStr">
        <is>
          <t>ÄNGELHOLM</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13243-2025</t>
        </is>
      </c>
      <c r="B7716" s="1" t="n">
        <v>45735</v>
      </c>
      <c r="C7716" s="1" t="n">
        <v>45744</v>
      </c>
      <c r="D7716" t="inlineStr">
        <is>
          <t>SKÅNE LÄN</t>
        </is>
      </c>
      <c r="E7716" t="inlineStr">
        <is>
          <t>ÄNGELHOLM</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13309-2025</t>
        </is>
      </c>
      <c r="B7717" s="1" t="n">
        <v>45735</v>
      </c>
      <c r="C7717" s="1" t="n">
        <v>45744</v>
      </c>
      <c r="D7717" t="inlineStr">
        <is>
          <t>SKÅNE LÄN</t>
        </is>
      </c>
      <c r="E7717" t="inlineStr">
        <is>
          <t>HÄSSLEHOLM</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13664-2025</t>
        </is>
      </c>
      <c r="B7718" s="1" t="n">
        <v>45736</v>
      </c>
      <c r="C7718" s="1" t="n">
        <v>45744</v>
      </c>
      <c r="D7718" t="inlineStr">
        <is>
          <t>SKÅNE LÄN</t>
        </is>
      </c>
      <c r="E7718" t="inlineStr">
        <is>
          <t>KRISTIANSTAD</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13544-2025</t>
        </is>
      </c>
      <c r="B7719" s="1" t="n">
        <v>45736</v>
      </c>
      <c r="C7719" s="1" t="n">
        <v>45744</v>
      </c>
      <c r="D7719" t="inlineStr">
        <is>
          <t>SKÅNE LÄN</t>
        </is>
      </c>
      <c r="E7719" t="inlineStr">
        <is>
          <t>HÄSSLEHOLM</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13562-2025</t>
        </is>
      </c>
      <c r="B7720" s="1" t="n">
        <v>45736</v>
      </c>
      <c r="C7720" s="1" t="n">
        <v>45744</v>
      </c>
      <c r="D7720" t="inlineStr">
        <is>
          <t>SKÅNE LÄN</t>
        </is>
      </c>
      <c r="E7720" t="inlineStr">
        <is>
          <t>KRISTIANSTAD</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13611-2025</t>
        </is>
      </c>
      <c r="B7721" s="1" t="n">
        <v>45736</v>
      </c>
      <c r="C7721" s="1" t="n">
        <v>45744</v>
      </c>
      <c r="D7721" t="inlineStr">
        <is>
          <t>SKÅNE LÄN</t>
        </is>
      </c>
      <c r="E7721" t="inlineStr">
        <is>
          <t>ÖRKELLJUNGA</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13516-2025</t>
        </is>
      </c>
      <c r="B7722" s="1" t="n">
        <v>45736</v>
      </c>
      <c r="C7722" s="1" t="n">
        <v>45744</v>
      </c>
      <c r="D7722" t="inlineStr">
        <is>
          <t>SKÅNE LÄN</t>
        </is>
      </c>
      <c r="E7722" t="inlineStr">
        <is>
          <t>ÖSTRA GÖINGE</t>
        </is>
      </c>
      <c r="G7722" t="n">
        <v>11.5</v>
      </c>
      <c r="H7722" t="n">
        <v>0</v>
      </c>
      <c r="I7722" t="n">
        <v>0</v>
      </c>
      <c r="J7722" t="n">
        <v>0</v>
      </c>
      <c r="K7722" t="n">
        <v>0</v>
      </c>
      <c r="L7722" t="n">
        <v>0</v>
      </c>
      <c r="M7722" t="n">
        <v>0</v>
      </c>
      <c r="N7722" t="n">
        <v>0</v>
      </c>
      <c r="O7722" t="n">
        <v>0</v>
      </c>
      <c r="P7722" t="n">
        <v>0</v>
      </c>
      <c r="Q7722" t="n">
        <v>0</v>
      </c>
      <c r="R7722" s="2" t="inlineStr"/>
    </row>
    <row r="7723" ht="15" customHeight="1">
      <c r="A7723" t="inlineStr">
        <is>
          <t>A 13549-2025</t>
        </is>
      </c>
      <c r="B7723" s="1" t="n">
        <v>45736</v>
      </c>
      <c r="C7723" s="1" t="n">
        <v>45744</v>
      </c>
      <c r="D7723" t="inlineStr">
        <is>
          <t>SKÅNE LÄN</t>
        </is>
      </c>
      <c r="E7723" t="inlineStr">
        <is>
          <t>HÄSSLEHOLM</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13555-2025</t>
        </is>
      </c>
      <c r="B7724" s="1" t="n">
        <v>45736</v>
      </c>
      <c r="C7724" s="1" t="n">
        <v>45744</v>
      </c>
      <c r="D7724" t="inlineStr">
        <is>
          <t>SKÅNE LÄN</t>
        </is>
      </c>
      <c r="E7724" t="inlineStr">
        <is>
          <t>HÄSSLEHOLM</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13662-2025</t>
        </is>
      </c>
      <c r="B7725" s="1" t="n">
        <v>45736</v>
      </c>
      <c r="C7725" s="1" t="n">
        <v>45744</v>
      </c>
      <c r="D7725" t="inlineStr">
        <is>
          <t>SKÅNE LÄN</t>
        </is>
      </c>
      <c r="E7725" t="inlineStr">
        <is>
          <t>ÄNGELHOLM</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13754-2025</t>
        </is>
      </c>
      <c r="B7726" s="1" t="n">
        <v>45737</v>
      </c>
      <c r="C7726" s="1" t="n">
        <v>45744</v>
      </c>
      <c r="D7726" t="inlineStr">
        <is>
          <t>SKÅNE LÄN</t>
        </is>
      </c>
      <c r="E7726" t="inlineStr">
        <is>
          <t>OSBY</t>
        </is>
      </c>
      <c r="F7726" t="inlineStr">
        <is>
          <t>Sveaskog</t>
        </is>
      </c>
      <c r="G7726" t="n">
        <v>6.4</v>
      </c>
      <c r="H7726" t="n">
        <v>0</v>
      </c>
      <c r="I7726" t="n">
        <v>0</v>
      </c>
      <c r="J7726" t="n">
        <v>0</v>
      </c>
      <c r="K7726" t="n">
        <v>0</v>
      </c>
      <c r="L7726" t="n">
        <v>0</v>
      </c>
      <c r="M7726" t="n">
        <v>0</v>
      </c>
      <c r="N7726" t="n">
        <v>0</v>
      </c>
      <c r="O7726" t="n">
        <v>0</v>
      </c>
      <c r="P7726" t="n">
        <v>0</v>
      </c>
      <c r="Q7726" t="n">
        <v>0</v>
      </c>
      <c r="R7726" s="2" t="inlineStr"/>
    </row>
    <row r="7727" ht="15" customHeight="1">
      <c r="A7727" t="inlineStr">
        <is>
          <t>A 13875-2025</t>
        </is>
      </c>
      <c r="B7727" s="1" t="n">
        <v>45737</v>
      </c>
      <c r="C7727" s="1" t="n">
        <v>45744</v>
      </c>
      <c r="D7727" t="inlineStr">
        <is>
          <t>SKÅNE LÄN</t>
        </is>
      </c>
      <c r="E7727" t="inlineStr">
        <is>
          <t>KRISTIANSTAD</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13891-2025</t>
        </is>
      </c>
      <c r="B7728" s="1" t="n">
        <v>45737</v>
      </c>
      <c r="C7728" s="1" t="n">
        <v>45744</v>
      </c>
      <c r="D7728" t="inlineStr">
        <is>
          <t>SKÅNE LÄN</t>
        </is>
      </c>
      <c r="E7728" t="inlineStr">
        <is>
          <t>KRISTIANSTAD</t>
        </is>
      </c>
      <c r="G7728" t="n">
        <v>6.8</v>
      </c>
      <c r="H7728" t="n">
        <v>0</v>
      </c>
      <c r="I7728" t="n">
        <v>0</v>
      </c>
      <c r="J7728" t="n">
        <v>0</v>
      </c>
      <c r="K7728" t="n">
        <v>0</v>
      </c>
      <c r="L7728" t="n">
        <v>0</v>
      </c>
      <c r="M7728" t="n">
        <v>0</v>
      </c>
      <c r="N7728" t="n">
        <v>0</v>
      </c>
      <c r="O7728" t="n">
        <v>0</v>
      </c>
      <c r="P7728" t="n">
        <v>0</v>
      </c>
      <c r="Q7728" t="n">
        <v>0</v>
      </c>
      <c r="R7728" s="2" t="inlineStr"/>
    </row>
    <row r="7729" ht="15" customHeight="1">
      <c r="A7729" t="inlineStr">
        <is>
          <t>A 13928-2025</t>
        </is>
      </c>
      <c r="B7729" s="1" t="n">
        <v>45737</v>
      </c>
      <c r="C7729" s="1" t="n">
        <v>45744</v>
      </c>
      <c r="D7729" t="inlineStr">
        <is>
          <t>SKÅNE LÄN</t>
        </is>
      </c>
      <c r="E7729" t="inlineStr">
        <is>
          <t>KRISTIANSTAD</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13940-2025</t>
        </is>
      </c>
      <c r="B7730" s="1" t="n">
        <v>45737</v>
      </c>
      <c r="C7730" s="1" t="n">
        <v>45744</v>
      </c>
      <c r="D7730" t="inlineStr">
        <is>
          <t>SKÅNE LÄN</t>
        </is>
      </c>
      <c r="E7730" t="inlineStr">
        <is>
          <t>KRISTIANSTAD</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13953-2025</t>
        </is>
      </c>
      <c r="B7731" s="1" t="n">
        <v>45737</v>
      </c>
      <c r="C7731" s="1" t="n">
        <v>45744</v>
      </c>
      <c r="D7731" t="inlineStr">
        <is>
          <t>SKÅNE LÄN</t>
        </is>
      </c>
      <c r="E7731" t="inlineStr">
        <is>
          <t>KRISTIANSTAD</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13797-2025</t>
        </is>
      </c>
      <c r="B7732" s="1" t="n">
        <v>45737</v>
      </c>
      <c r="C7732" s="1" t="n">
        <v>45744</v>
      </c>
      <c r="D7732" t="inlineStr">
        <is>
          <t>SKÅNE LÄN</t>
        </is>
      </c>
      <c r="E7732" t="inlineStr">
        <is>
          <t>ÖRKELLJUNGA</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13712-2025</t>
        </is>
      </c>
      <c r="B7733" s="1" t="n">
        <v>45737</v>
      </c>
      <c r="C7733" s="1" t="n">
        <v>45744</v>
      </c>
      <c r="D7733" t="inlineStr">
        <is>
          <t>SKÅNE LÄN</t>
        </is>
      </c>
      <c r="E7733" t="inlineStr">
        <is>
          <t>HÄSSLEHOLM</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13851-2025</t>
        </is>
      </c>
      <c r="B7734" s="1" t="n">
        <v>45737</v>
      </c>
      <c r="C7734" s="1" t="n">
        <v>45744</v>
      </c>
      <c r="D7734" t="inlineStr">
        <is>
          <t>SKÅNE LÄN</t>
        </is>
      </c>
      <c r="E7734" t="inlineStr">
        <is>
          <t>HÄSSLEHOLM</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13856-2025</t>
        </is>
      </c>
      <c r="B7735" s="1" t="n">
        <v>45737</v>
      </c>
      <c r="C7735" s="1" t="n">
        <v>45744</v>
      </c>
      <c r="D7735" t="inlineStr">
        <is>
          <t>SKÅNE LÄN</t>
        </is>
      </c>
      <c r="E7735" t="inlineStr">
        <is>
          <t>HÄSSLEHOLM</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13959-2025</t>
        </is>
      </c>
      <c r="B7736" s="1" t="n">
        <v>45737</v>
      </c>
      <c r="C7736" s="1" t="n">
        <v>45744</v>
      </c>
      <c r="D7736" t="inlineStr">
        <is>
          <t>SKÅNE LÄN</t>
        </is>
      </c>
      <c r="E7736" t="inlineStr">
        <is>
          <t>OSBY</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13954-2025</t>
        </is>
      </c>
      <c r="B7737" s="1" t="n">
        <v>45737</v>
      </c>
      <c r="C7737" s="1" t="n">
        <v>45744</v>
      </c>
      <c r="D7737" t="inlineStr">
        <is>
          <t>SKÅNE LÄN</t>
        </is>
      </c>
      <c r="E7737" t="inlineStr">
        <is>
          <t>KRISTIANSTAD</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13952-2025</t>
        </is>
      </c>
      <c r="B7738" s="1" t="n">
        <v>45737</v>
      </c>
      <c r="C7738" s="1" t="n">
        <v>45744</v>
      </c>
      <c r="D7738" t="inlineStr">
        <is>
          <t>SKÅNE LÄN</t>
        </is>
      </c>
      <c r="E7738" t="inlineStr">
        <is>
          <t>KRISTIANSTAD</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13974-2025</t>
        </is>
      </c>
      <c r="B7739" s="1" t="n">
        <v>45738</v>
      </c>
      <c r="C7739" s="1" t="n">
        <v>45744</v>
      </c>
      <c r="D7739" t="inlineStr">
        <is>
          <t>SKÅNE LÄN</t>
        </is>
      </c>
      <c r="E7739" t="inlineStr">
        <is>
          <t>KRISTIANSTAD</t>
        </is>
      </c>
      <c r="G7739" t="n">
        <v>11.3</v>
      </c>
      <c r="H7739" t="n">
        <v>0</v>
      </c>
      <c r="I7739" t="n">
        <v>0</v>
      </c>
      <c r="J7739" t="n">
        <v>0</v>
      </c>
      <c r="K7739" t="n">
        <v>0</v>
      </c>
      <c r="L7739" t="n">
        <v>0</v>
      </c>
      <c r="M7739" t="n">
        <v>0</v>
      </c>
      <c r="N7739" t="n">
        <v>0</v>
      </c>
      <c r="O7739" t="n">
        <v>0</v>
      </c>
      <c r="P7739" t="n">
        <v>0</v>
      </c>
      <c r="Q7739" t="n">
        <v>0</v>
      </c>
      <c r="R7739" s="2" t="inlineStr"/>
    </row>
    <row r="7740" ht="15" customHeight="1">
      <c r="A7740" t="inlineStr">
        <is>
          <t>A 13972-2025</t>
        </is>
      </c>
      <c r="B7740" s="1" t="n">
        <v>45738</v>
      </c>
      <c r="C7740" s="1" t="n">
        <v>45744</v>
      </c>
      <c r="D7740" t="inlineStr">
        <is>
          <t>SKÅNE LÄN</t>
        </is>
      </c>
      <c r="E7740" t="inlineStr">
        <is>
          <t>KRISTIANSTAD</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13976-2025</t>
        </is>
      </c>
      <c r="B7741" s="1" t="n">
        <v>45738</v>
      </c>
      <c r="C7741" s="1" t="n">
        <v>45744</v>
      </c>
      <c r="D7741" t="inlineStr">
        <is>
          <t>SKÅNE LÄN</t>
        </is>
      </c>
      <c r="E7741" t="inlineStr">
        <is>
          <t>KRISTIANSTAD</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13977-2025</t>
        </is>
      </c>
      <c r="B7742" s="1" t="n">
        <v>45738</v>
      </c>
      <c r="C7742" s="1" t="n">
        <v>45744</v>
      </c>
      <c r="D7742" t="inlineStr">
        <is>
          <t>SKÅNE LÄN</t>
        </is>
      </c>
      <c r="E7742" t="inlineStr">
        <is>
          <t>KRISTIANSTAD</t>
        </is>
      </c>
      <c r="G7742" t="n">
        <v>8.9</v>
      </c>
      <c r="H7742" t="n">
        <v>0</v>
      </c>
      <c r="I7742" t="n">
        <v>0</v>
      </c>
      <c r="J7742" t="n">
        <v>0</v>
      </c>
      <c r="K7742" t="n">
        <v>0</v>
      </c>
      <c r="L7742" t="n">
        <v>0</v>
      </c>
      <c r="M7742" t="n">
        <v>0</v>
      </c>
      <c r="N7742" t="n">
        <v>0</v>
      </c>
      <c r="O7742" t="n">
        <v>0</v>
      </c>
      <c r="P7742" t="n">
        <v>0</v>
      </c>
      <c r="Q7742" t="n">
        <v>0</v>
      </c>
      <c r="R7742" s="2" t="inlineStr"/>
    </row>
    <row r="7743" ht="15" customHeight="1">
      <c r="A7743" t="inlineStr">
        <is>
          <t>A 13975-2025</t>
        </is>
      </c>
      <c r="B7743" s="1" t="n">
        <v>45738</v>
      </c>
      <c r="C7743" s="1" t="n">
        <v>45744</v>
      </c>
      <c r="D7743" t="inlineStr">
        <is>
          <t>SKÅNE LÄN</t>
        </is>
      </c>
      <c r="E7743" t="inlineStr">
        <is>
          <t>KRISTIANSTAD</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13994-2025</t>
        </is>
      </c>
      <c r="B7744" s="1" t="n">
        <v>45739</v>
      </c>
      <c r="C7744" s="1" t="n">
        <v>45744</v>
      </c>
      <c r="D7744" t="inlineStr">
        <is>
          <t>SKÅNE LÄN</t>
        </is>
      </c>
      <c r="E7744" t="inlineStr">
        <is>
          <t>KLIPPAN</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13995-2025</t>
        </is>
      </c>
      <c r="B7745" s="1" t="n">
        <v>45739</v>
      </c>
      <c r="C7745" s="1" t="n">
        <v>45744</v>
      </c>
      <c r="D7745" t="inlineStr">
        <is>
          <t>SKÅNE LÄN</t>
        </is>
      </c>
      <c r="E7745" t="inlineStr">
        <is>
          <t>KLIPPAN</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14000-2025</t>
        </is>
      </c>
      <c r="B7746" s="1" t="n">
        <v>45740</v>
      </c>
      <c r="C7746" s="1" t="n">
        <v>45744</v>
      </c>
      <c r="D7746" t="inlineStr">
        <is>
          <t>SKÅNE LÄN</t>
        </is>
      </c>
      <c r="E7746" t="inlineStr">
        <is>
          <t>SIMRISHAMN</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14058-2025</t>
        </is>
      </c>
      <c r="B7747" s="1" t="n">
        <v>45740</v>
      </c>
      <c r="C7747" s="1" t="n">
        <v>45744</v>
      </c>
      <c r="D7747" t="inlineStr">
        <is>
          <t>SKÅNE LÄN</t>
        </is>
      </c>
      <c r="E7747" t="inlineStr">
        <is>
          <t>LUND</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14389-2025</t>
        </is>
      </c>
      <c r="B7748" s="1" t="n">
        <v>45741</v>
      </c>
      <c r="C7748" s="1" t="n">
        <v>45744</v>
      </c>
      <c r="D7748" t="inlineStr">
        <is>
          <t>SKÅNE LÄN</t>
        </is>
      </c>
      <c r="E7748" t="inlineStr">
        <is>
          <t>OSBY</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14451-2025</t>
        </is>
      </c>
      <c r="B7749" s="1" t="n">
        <v>45741</v>
      </c>
      <c r="C7749" s="1" t="n">
        <v>45744</v>
      </c>
      <c r="D7749" t="inlineStr">
        <is>
          <t>SKÅNE LÄN</t>
        </is>
      </c>
      <c r="E7749" t="inlineStr">
        <is>
          <t>ÖRKELLJUNGA</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14373-2025</t>
        </is>
      </c>
      <c r="B7750" s="1" t="n">
        <v>45741</v>
      </c>
      <c r="C7750" s="1" t="n">
        <v>45744</v>
      </c>
      <c r="D7750" t="inlineStr">
        <is>
          <t>SKÅNE LÄN</t>
        </is>
      </c>
      <c r="E7750" t="inlineStr">
        <is>
          <t>KLIPPAN</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14377-2025</t>
        </is>
      </c>
      <c r="B7751" s="1" t="n">
        <v>45741</v>
      </c>
      <c r="C7751" s="1" t="n">
        <v>45744</v>
      </c>
      <c r="D7751" t="inlineStr">
        <is>
          <t>SKÅNE LÄN</t>
        </is>
      </c>
      <c r="E7751" t="inlineStr">
        <is>
          <t>HÖÖR</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14554-2025</t>
        </is>
      </c>
      <c r="B7752" s="1" t="n">
        <v>45741</v>
      </c>
      <c r="C7752" s="1" t="n">
        <v>45744</v>
      </c>
      <c r="D7752" t="inlineStr">
        <is>
          <t>SKÅNE LÄN</t>
        </is>
      </c>
      <c r="E7752" t="inlineStr">
        <is>
          <t>HÖÖR</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14655-2025</t>
        </is>
      </c>
      <c r="B7753" s="1" t="n">
        <v>45742</v>
      </c>
      <c r="C7753" s="1" t="n">
        <v>45744</v>
      </c>
      <c r="D7753" t="inlineStr">
        <is>
          <t>SKÅNE LÄN</t>
        </is>
      </c>
      <c r="E7753" t="inlineStr">
        <is>
          <t>HÄSSLEHOLM</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14684-2025</t>
        </is>
      </c>
      <c r="B7754" s="1" t="n">
        <v>45742</v>
      </c>
      <c r="C7754" s="1" t="n">
        <v>45744</v>
      </c>
      <c r="D7754" t="inlineStr">
        <is>
          <t>SKÅNE LÄN</t>
        </is>
      </c>
      <c r="E7754" t="inlineStr">
        <is>
          <t>ÖSTRA GÖINGE</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14780-2025</t>
        </is>
      </c>
      <c r="B7755" s="1" t="n">
        <v>45742</v>
      </c>
      <c r="C7755" s="1" t="n">
        <v>45744</v>
      </c>
      <c r="D7755" t="inlineStr">
        <is>
          <t>SKÅNE LÄN</t>
        </is>
      </c>
      <c r="E7755" t="inlineStr">
        <is>
          <t>OSBY</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14620-2025</t>
        </is>
      </c>
      <c r="B7756" s="1" t="n">
        <v>45742</v>
      </c>
      <c r="C7756" s="1" t="n">
        <v>45744</v>
      </c>
      <c r="D7756" t="inlineStr">
        <is>
          <t>SKÅNE LÄN</t>
        </is>
      </c>
      <c r="E7756" t="inlineStr">
        <is>
          <t>KLIPPAN</t>
        </is>
      </c>
      <c r="G7756" t="n">
        <v>7</v>
      </c>
      <c r="H7756" t="n">
        <v>0</v>
      </c>
      <c r="I7756" t="n">
        <v>0</v>
      </c>
      <c r="J7756" t="n">
        <v>0</v>
      </c>
      <c r="K7756" t="n">
        <v>0</v>
      </c>
      <c r="L7756" t="n">
        <v>0</v>
      </c>
      <c r="M7756" t="n">
        <v>0</v>
      </c>
      <c r="N7756" t="n">
        <v>0</v>
      </c>
      <c r="O7756" t="n">
        <v>0</v>
      </c>
      <c r="P7756" t="n">
        <v>0</v>
      </c>
      <c r="Q7756" t="n">
        <v>0</v>
      </c>
      <c r="R7756" s="2" t="inlineStr"/>
    </row>
    <row r="7757" ht="15" customHeight="1">
      <c r="A7757" t="inlineStr">
        <is>
          <t>A 14670-2025</t>
        </is>
      </c>
      <c r="B7757" s="1" t="n">
        <v>45742</v>
      </c>
      <c r="C7757" s="1" t="n">
        <v>45744</v>
      </c>
      <c r="D7757" t="inlineStr">
        <is>
          <t>SKÅNE LÄN</t>
        </is>
      </c>
      <c r="E7757" t="inlineStr">
        <is>
          <t>HÄSSLEHOLM</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14683-2025</t>
        </is>
      </c>
      <c r="B7758" s="1" t="n">
        <v>45742</v>
      </c>
      <c r="C7758" s="1" t="n">
        <v>45744</v>
      </c>
      <c r="D7758" t="inlineStr">
        <is>
          <t>SKÅNE LÄN</t>
        </is>
      </c>
      <c r="E7758" t="inlineStr">
        <is>
          <t>ÖSTRA GÖINGE</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14674-2025</t>
        </is>
      </c>
      <c r="B7759" s="1" t="n">
        <v>45742</v>
      </c>
      <c r="C7759" s="1" t="n">
        <v>45744</v>
      </c>
      <c r="D7759" t="inlineStr">
        <is>
          <t>SKÅNE LÄN</t>
        </is>
      </c>
      <c r="E7759" t="inlineStr">
        <is>
          <t>HÄSSLEHOLM</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14702-2025</t>
        </is>
      </c>
      <c r="B7760" s="1" t="n">
        <v>45742</v>
      </c>
      <c r="C7760" s="1" t="n">
        <v>45744</v>
      </c>
      <c r="D7760" t="inlineStr">
        <is>
          <t>SKÅNE LÄN</t>
        </is>
      </c>
      <c r="E7760" t="inlineStr">
        <is>
          <t>HÄSSLEHOLM</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14734-2025</t>
        </is>
      </c>
      <c r="B7761" s="1" t="n">
        <v>45742</v>
      </c>
      <c r="C7761" s="1" t="n">
        <v>45744</v>
      </c>
      <c r="D7761" t="inlineStr">
        <is>
          <t>SKÅNE LÄN</t>
        </is>
      </c>
      <c r="E7761" t="inlineStr">
        <is>
          <t>HÖRBY</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14777-2025</t>
        </is>
      </c>
      <c r="B7762" s="1" t="n">
        <v>45742</v>
      </c>
      <c r="C7762" s="1" t="n">
        <v>45744</v>
      </c>
      <c r="D7762" t="inlineStr">
        <is>
          <t>SKÅNE LÄN</t>
        </is>
      </c>
      <c r="E7762" t="inlineStr">
        <is>
          <t>OSBY</t>
        </is>
      </c>
      <c r="G7762" t="n">
        <v>2.1</v>
      </c>
      <c r="H7762" t="n">
        <v>0</v>
      </c>
      <c r="I7762" t="n">
        <v>0</v>
      </c>
      <c r="J7762" t="n">
        <v>0</v>
      </c>
      <c r="K7762" t="n">
        <v>0</v>
      </c>
      <c r="L7762" t="n">
        <v>0</v>
      </c>
      <c r="M7762" t="n">
        <v>0</v>
      </c>
      <c r="N7762" t="n">
        <v>0</v>
      </c>
      <c r="O7762" t="n">
        <v>0</v>
      </c>
      <c r="P7762" t="n">
        <v>0</v>
      </c>
      <c r="Q7762" t="n">
        <v>0</v>
      </c>
      <c r="R7762" s="2" t="inlineStr"/>
    </row>
    <row r="7763">
      <c r="A7763" t="inlineStr">
        <is>
          <t>A 14833-2025</t>
        </is>
      </c>
      <c r="B7763" s="1" t="n">
        <v>45743</v>
      </c>
      <c r="C7763" s="1" t="n">
        <v>45744</v>
      </c>
      <c r="D7763" t="inlineStr">
        <is>
          <t>SKÅNE LÄN</t>
        </is>
      </c>
      <c r="E7763" t="inlineStr">
        <is>
          <t>BÅSTAD</t>
        </is>
      </c>
      <c r="G7763" t="n">
        <v>2.5</v>
      </c>
      <c r="H7763" t="n">
        <v>0</v>
      </c>
      <c r="I7763" t="n">
        <v>0</v>
      </c>
      <c r="J7763" t="n">
        <v>0</v>
      </c>
      <c r="K7763" t="n">
        <v>0</v>
      </c>
      <c r="L7763" t="n">
        <v>0</v>
      </c>
      <c r="M7763" t="n">
        <v>0</v>
      </c>
      <c r="N7763" t="n">
        <v>0</v>
      </c>
      <c r="O7763" t="n">
        <v>0</v>
      </c>
      <c r="P7763" t="n">
        <v>0</v>
      </c>
      <c r="Q7763" t="n">
        <v>0</v>
      </c>
      <c r="R7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2025-03-28T18:25:23Z</dcterms:created>
  <dcterms:modified xmlns:dcterms="http://purl.org/dc/terms/" xmlns:xsi="http://www.w3.org/2001/XMLSchema-instance" xsi:type="dcterms:W3CDTF">2025-03-28T18:25:30Z</dcterms:modified>
</cp:coreProperties>
</file>