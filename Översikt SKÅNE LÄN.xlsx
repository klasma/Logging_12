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45695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45695</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45695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45695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45695</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45695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45695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45695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45695</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45695</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45695</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45695</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45695</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45695</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45695</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45695</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45695</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45695</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45695</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45695</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45695</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45695</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45695</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45695</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45695</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45695</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45695</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3253-2025</t>
        </is>
      </c>
      <c r="B29" s="1" t="n">
        <v>45679</v>
      </c>
      <c r="C29" s="1" t="n">
        <v>45695</v>
      </c>
      <c r="D29" t="inlineStr">
        <is>
          <t>SKÅNE LÄN</t>
        </is>
      </c>
      <c r="E29" t="inlineStr">
        <is>
          <t>YSTAD</t>
        </is>
      </c>
      <c r="F29" t="inlineStr">
        <is>
          <t>Övriga Aktiebolag</t>
        </is>
      </c>
      <c r="G29" t="n">
        <v>7.5</v>
      </c>
      <c r="H29" t="n">
        <v>5</v>
      </c>
      <c r="I29" t="n">
        <v>2</v>
      </c>
      <c r="J29" t="n">
        <v>4</v>
      </c>
      <c r="K29" t="n">
        <v>0</v>
      </c>
      <c r="L29" t="n">
        <v>0</v>
      </c>
      <c r="M29" t="n">
        <v>1</v>
      </c>
      <c r="N29" t="n">
        <v>0</v>
      </c>
      <c r="O29" t="n">
        <v>5</v>
      </c>
      <c r="P29" t="n">
        <v>1</v>
      </c>
      <c r="Q29" t="n">
        <v>7</v>
      </c>
      <c r="R29" s="2" t="inlineStr">
        <is>
          <t>Gotländsk hättemossa
Björktrast
Havsörn
Mindre hackspett
Spillkråka
Lönnlav
Strävlosta</t>
        </is>
      </c>
      <c r="S29">
        <f>HYPERLINK("https://klasma.github.io/Logging_1286/artfynd/A 3253-2025 artfynd.xlsx", "A 3253-2025")</f>
        <v/>
      </c>
      <c r="T29">
        <f>HYPERLINK("https://klasma.github.io/Logging_1286/kartor/A 3253-2025 karta.png", "A 3253-2025")</f>
        <v/>
      </c>
      <c r="V29">
        <f>HYPERLINK("https://klasma.github.io/Logging_1286/klagomål/A 3253-2025 FSC-klagomål.docx", "A 3253-2025")</f>
        <v/>
      </c>
      <c r="W29">
        <f>HYPERLINK("https://klasma.github.io/Logging_1286/klagomålsmail/A 3253-2025 FSC-klagomål mail.docx", "A 3253-2025")</f>
        <v/>
      </c>
      <c r="X29">
        <f>HYPERLINK("https://klasma.github.io/Logging_1286/tillsyn/A 3253-2025 tillsynsbegäran.docx", "A 3253-2025")</f>
        <v/>
      </c>
      <c r="Y29">
        <f>HYPERLINK("https://klasma.github.io/Logging_1286/tillsynsmail/A 3253-2025 tillsynsbegäran mail.docx", "A 3253-2025")</f>
        <v/>
      </c>
      <c r="Z29">
        <f>HYPERLINK("https://klasma.github.io/Logging_1286/fåglar/A 3253-2025 prioriterade fågelarter.docx", "A 3253-2025")</f>
        <v/>
      </c>
    </row>
    <row r="30" ht="15" customHeight="1">
      <c r="A30" t="inlineStr">
        <is>
          <t>A 14597-2020</t>
        </is>
      </c>
      <c r="B30" s="1" t="n">
        <v>43902</v>
      </c>
      <c r="C30" s="1" t="n">
        <v>45695</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45695</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45695</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45695</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45695</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24304-2020</t>
        </is>
      </c>
      <c r="B35" s="1" t="n">
        <v>43976</v>
      </c>
      <c r="C35" s="1" t="n">
        <v>45695</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45695</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45695</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45695</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45695</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45695</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45695</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19019-2024</t>
        </is>
      </c>
      <c r="B42" s="1" t="n">
        <v>45427</v>
      </c>
      <c r="C42" s="1" t="n">
        <v>45695</v>
      </c>
      <c r="D42" t="inlineStr">
        <is>
          <t>SKÅNE LÄN</t>
        </is>
      </c>
      <c r="E42" t="inlineStr">
        <is>
          <t>HÄSSLEHOLM</t>
        </is>
      </c>
      <c r="G42" t="n">
        <v>5.4</v>
      </c>
      <c r="H42" t="n">
        <v>0</v>
      </c>
      <c r="I42" t="n">
        <v>4</v>
      </c>
      <c r="J42" t="n">
        <v>0</v>
      </c>
      <c r="K42" t="n">
        <v>1</v>
      </c>
      <c r="L42" t="n">
        <v>0</v>
      </c>
      <c r="M42" t="n">
        <v>0</v>
      </c>
      <c r="N42" t="n">
        <v>0</v>
      </c>
      <c r="O42" t="n">
        <v>1</v>
      </c>
      <c r="P42" t="n">
        <v>1</v>
      </c>
      <c r="Q42" t="n">
        <v>5</v>
      </c>
      <c r="R42" s="2" t="inlineStr">
        <is>
          <t>Ädelkronlav
Fällmossa
Havstulpanlav
Klippfrullania
Rostfläck</t>
        </is>
      </c>
      <c r="S42">
        <f>HYPERLINK("https://klasma.github.io/Logging_1293/artfynd/A 19019-2024 artfynd.xlsx", "A 19019-2024")</f>
        <v/>
      </c>
      <c r="T42">
        <f>HYPERLINK("https://klasma.github.io/Logging_1293/kartor/A 19019-2024 karta.png", "A 19019-2024")</f>
        <v/>
      </c>
      <c r="V42">
        <f>HYPERLINK("https://klasma.github.io/Logging_1293/klagomål/A 19019-2024 FSC-klagomål.docx", "A 19019-2024")</f>
        <v/>
      </c>
      <c r="W42">
        <f>HYPERLINK("https://klasma.github.io/Logging_1293/klagomålsmail/A 19019-2024 FSC-klagomål mail.docx", "A 19019-2024")</f>
        <v/>
      </c>
      <c r="X42">
        <f>HYPERLINK("https://klasma.github.io/Logging_1293/tillsyn/A 19019-2024 tillsynsbegäran.docx", "A 19019-2024")</f>
        <v/>
      </c>
      <c r="Y42">
        <f>HYPERLINK("https://klasma.github.io/Logging_1293/tillsynsmail/A 19019-2024 tillsynsbegäran mail.docx", "A 19019-2024")</f>
        <v/>
      </c>
    </row>
    <row r="43" ht="15" customHeight="1">
      <c r="A43" t="inlineStr">
        <is>
          <t>A 20194-2024</t>
        </is>
      </c>
      <c r="B43" s="1" t="n">
        <v>45434</v>
      </c>
      <c r="C43" s="1" t="n">
        <v>45695</v>
      </c>
      <c r="D43" t="inlineStr">
        <is>
          <t>SKÅNE LÄN</t>
        </is>
      </c>
      <c r="E43" t="inlineStr">
        <is>
          <t>HÖRBY</t>
        </is>
      </c>
      <c r="G43" t="n">
        <v>4.4</v>
      </c>
      <c r="H43" t="n">
        <v>0</v>
      </c>
      <c r="I43" t="n">
        <v>2</v>
      </c>
      <c r="J43" t="n">
        <v>0</v>
      </c>
      <c r="K43" t="n">
        <v>0</v>
      </c>
      <c r="L43" t="n">
        <v>1</v>
      </c>
      <c r="M43" t="n">
        <v>2</v>
      </c>
      <c r="N43" t="n">
        <v>0</v>
      </c>
      <c r="O43" t="n">
        <v>3</v>
      </c>
      <c r="P43" t="n">
        <v>3</v>
      </c>
      <c r="Q43" t="n">
        <v>5</v>
      </c>
      <c r="R43" s="2" t="inlineStr">
        <is>
          <t>Naverlönn
Skogsalm
Ask
Scharlakansskål
Stor häxört</t>
        </is>
      </c>
      <c r="S43">
        <f>HYPERLINK("https://klasma.github.io/Logging_1266/artfynd/A 20194-2024 artfynd.xlsx", "A 20194-2024")</f>
        <v/>
      </c>
      <c r="T43">
        <f>HYPERLINK("https://klasma.github.io/Logging_1266/kartor/A 20194-2024 karta.png", "A 20194-2024")</f>
        <v/>
      </c>
      <c r="V43">
        <f>HYPERLINK("https://klasma.github.io/Logging_1266/klagomål/A 20194-2024 FSC-klagomål.docx", "A 20194-2024")</f>
        <v/>
      </c>
      <c r="W43">
        <f>HYPERLINK("https://klasma.github.io/Logging_1266/klagomålsmail/A 20194-2024 FSC-klagomål mail.docx", "A 20194-2024")</f>
        <v/>
      </c>
      <c r="X43">
        <f>HYPERLINK("https://klasma.github.io/Logging_1266/tillsyn/A 20194-2024 tillsynsbegäran.docx", "A 20194-2024")</f>
        <v/>
      </c>
      <c r="Y43">
        <f>HYPERLINK("https://klasma.github.io/Logging_1266/tillsynsmail/A 20194-2024 tillsynsbegäran mail.docx", "A 20194-2024")</f>
        <v/>
      </c>
    </row>
    <row r="44" ht="15" customHeight="1">
      <c r="A44" t="inlineStr">
        <is>
          <t>A 19986-2019</t>
        </is>
      </c>
      <c r="B44" s="1" t="n">
        <v>43567</v>
      </c>
      <c r="C44" s="1" t="n">
        <v>45695</v>
      </c>
      <c r="D44" t="inlineStr">
        <is>
          <t>SKÅNE LÄN</t>
        </is>
      </c>
      <c r="E44" t="inlineStr">
        <is>
          <t>SIMRISHAMN</t>
        </is>
      </c>
      <c r="G44" t="n">
        <v>2</v>
      </c>
      <c r="H44" t="n">
        <v>1</v>
      </c>
      <c r="I44" t="n">
        <v>1</v>
      </c>
      <c r="J44" t="n">
        <v>1</v>
      </c>
      <c r="K44" t="n">
        <v>1</v>
      </c>
      <c r="L44" t="n">
        <v>0</v>
      </c>
      <c r="M44" t="n">
        <v>0</v>
      </c>
      <c r="N44" t="n">
        <v>0</v>
      </c>
      <c r="O44" t="n">
        <v>2</v>
      </c>
      <c r="P44" t="n">
        <v>1</v>
      </c>
      <c r="Q44" t="n">
        <v>4</v>
      </c>
      <c r="R44" s="2" t="inlineStr">
        <is>
          <t>Småvänderot
Majviva
Axag
Gullviva</t>
        </is>
      </c>
      <c r="S44">
        <f>HYPERLINK("https://klasma.github.io/Logging_1291/artfynd/A 19986-2019 artfynd.xlsx", "A 19986-2019")</f>
        <v/>
      </c>
      <c r="T44">
        <f>HYPERLINK("https://klasma.github.io/Logging_1291/kartor/A 19986-2019 karta.png", "A 19986-2019")</f>
        <v/>
      </c>
      <c r="V44">
        <f>HYPERLINK("https://klasma.github.io/Logging_1291/klagomål/A 19986-2019 FSC-klagomål.docx", "A 19986-2019")</f>
        <v/>
      </c>
      <c r="W44">
        <f>HYPERLINK("https://klasma.github.io/Logging_1291/klagomålsmail/A 19986-2019 FSC-klagomål mail.docx", "A 19986-2019")</f>
        <v/>
      </c>
      <c r="X44">
        <f>HYPERLINK("https://klasma.github.io/Logging_1291/tillsyn/A 19986-2019 tillsynsbegäran.docx", "A 19986-2019")</f>
        <v/>
      </c>
      <c r="Y44">
        <f>HYPERLINK("https://klasma.github.io/Logging_1291/tillsynsmail/A 19986-2019 tillsynsbegäran mail.docx", "A 19986-2019")</f>
        <v/>
      </c>
    </row>
    <row r="45" ht="15" customHeight="1">
      <c r="A45" t="inlineStr">
        <is>
          <t>A 55942-2019</t>
        </is>
      </c>
      <c r="B45" s="1" t="n">
        <v>43755</v>
      </c>
      <c r="C45" s="1" t="n">
        <v>45695</v>
      </c>
      <c r="D45" t="inlineStr">
        <is>
          <t>SKÅNE LÄN</t>
        </is>
      </c>
      <c r="E45" t="inlineStr">
        <is>
          <t>KÄVLINGE</t>
        </is>
      </c>
      <c r="F45" t="inlineStr">
        <is>
          <t>Övriga Aktiebolag</t>
        </is>
      </c>
      <c r="G45" t="n">
        <v>5.4</v>
      </c>
      <c r="H45" t="n">
        <v>0</v>
      </c>
      <c r="I45" t="n">
        <v>3</v>
      </c>
      <c r="J45" t="n">
        <v>1</v>
      </c>
      <c r="K45" t="n">
        <v>0</v>
      </c>
      <c r="L45" t="n">
        <v>0</v>
      </c>
      <c r="M45" t="n">
        <v>0</v>
      </c>
      <c r="N45" t="n">
        <v>0</v>
      </c>
      <c r="O45" t="n">
        <v>1</v>
      </c>
      <c r="P45" t="n">
        <v>0</v>
      </c>
      <c r="Q45" t="n">
        <v>4</v>
      </c>
      <c r="R45" s="2" t="inlineStr">
        <is>
          <t>Paddfot
Bokoxe
Guldlockmossa
Lönnlav</t>
        </is>
      </c>
      <c r="S45">
        <f>HYPERLINK("https://klasma.github.io/Logging_1261/artfynd/A 55942-2019 artfynd.xlsx", "A 55942-2019")</f>
        <v/>
      </c>
      <c r="T45">
        <f>HYPERLINK("https://klasma.github.io/Logging_1261/kartor/A 55942-2019 karta.png", "A 55942-2019")</f>
        <v/>
      </c>
      <c r="V45">
        <f>HYPERLINK("https://klasma.github.io/Logging_1261/klagomål/A 55942-2019 FSC-klagomål.docx", "A 55942-2019")</f>
        <v/>
      </c>
      <c r="W45">
        <f>HYPERLINK("https://klasma.github.io/Logging_1261/klagomålsmail/A 55942-2019 FSC-klagomål mail.docx", "A 55942-2019")</f>
        <v/>
      </c>
      <c r="X45">
        <f>HYPERLINK("https://klasma.github.io/Logging_1261/tillsyn/A 55942-2019 tillsynsbegäran.docx", "A 55942-2019")</f>
        <v/>
      </c>
      <c r="Y45">
        <f>HYPERLINK("https://klasma.github.io/Logging_1261/tillsynsmail/A 55942-2019 tillsynsbegäran mail.docx", "A 55942-2019")</f>
        <v/>
      </c>
    </row>
    <row r="46" ht="15" customHeight="1">
      <c r="A46" t="inlineStr">
        <is>
          <t>A 56519-2019</t>
        </is>
      </c>
      <c r="B46" s="1" t="n">
        <v>43763</v>
      </c>
      <c r="C46" s="1" t="n">
        <v>45695</v>
      </c>
      <c r="D46" t="inlineStr">
        <is>
          <t>SKÅNE LÄN</t>
        </is>
      </c>
      <c r="E46" t="inlineStr">
        <is>
          <t>TOMELILLA</t>
        </is>
      </c>
      <c r="F46" t="inlineStr">
        <is>
          <t>Övriga Aktiebolag</t>
        </is>
      </c>
      <c r="G46" t="n">
        <v>3.2</v>
      </c>
      <c r="H46" t="n">
        <v>1</v>
      </c>
      <c r="I46" t="n">
        <v>2</v>
      </c>
      <c r="J46" t="n">
        <v>2</v>
      </c>
      <c r="K46" t="n">
        <v>0</v>
      </c>
      <c r="L46" t="n">
        <v>0</v>
      </c>
      <c r="M46" t="n">
        <v>0</v>
      </c>
      <c r="N46" t="n">
        <v>0</v>
      </c>
      <c r="O46" t="n">
        <v>2</v>
      </c>
      <c r="P46" t="n">
        <v>0</v>
      </c>
      <c r="Q46" t="n">
        <v>4</v>
      </c>
      <c r="R46" s="2" t="inlineStr">
        <is>
          <t>Barbastell
Krusfrö
Kransrams
Sårläka</t>
        </is>
      </c>
      <c r="S46">
        <f>HYPERLINK("https://klasma.github.io/Logging_1270/artfynd/A 56519-2019 artfynd.xlsx", "A 56519-2019")</f>
        <v/>
      </c>
      <c r="T46">
        <f>HYPERLINK("https://klasma.github.io/Logging_1270/kartor/A 56519-2019 karta.png", "A 56519-2019")</f>
        <v/>
      </c>
      <c r="V46">
        <f>HYPERLINK("https://klasma.github.io/Logging_1270/klagomål/A 56519-2019 FSC-klagomål.docx", "A 56519-2019")</f>
        <v/>
      </c>
      <c r="W46">
        <f>HYPERLINK("https://klasma.github.io/Logging_1270/klagomålsmail/A 56519-2019 FSC-klagomål mail.docx", "A 56519-2019")</f>
        <v/>
      </c>
      <c r="X46">
        <f>HYPERLINK("https://klasma.github.io/Logging_1270/tillsyn/A 56519-2019 tillsynsbegäran.docx", "A 56519-2019")</f>
        <v/>
      </c>
      <c r="Y46">
        <f>HYPERLINK("https://klasma.github.io/Logging_1270/tillsynsmail/A 56519-2019 tillsynsbegäran mail.docx", "A 56519-2019")</f>
        <v/>
      </c>
    </row>
    <row r="47" ht="15" customHeight="1">
      <c r="A47" t="inlineStr">
        <is>
          <t>A 59155-2022</t>
        </is>
      </c>
      <c r="B47" s="1" t="n">
        <v>44897</v>
      </c>
      <c r="C47" s="1" t="n">
        <v>45695</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60427-2022</t>
        </is>
      </c>
      <c r="B48" s="1" t="n">
        <v>44911</v>
      </c>
      <c r="C48" s="1" t="n">
        <v>45695</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24278-2023</t>
        </is>
      </c>
      <c r="B49" s="1" t="n">
        <v>45079</v>
      </c>
      <c r="C49" s="1" t="n">
        <v>45695</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28703-2023</t>
        </is>
      </c>
      <c r="B50" s="1" t="n">
        <v>45103</v>
      </c>
      <c r="C50" s="1" t="n">
        <v>45695</v>
      </c>
      <c r="D50" t="inlineStr">
        <is>
          <t>SKÅNE LÄN</t>
        </is>
      </c>
      <c r="E50" t="inlineStr">
        <is>
          <t>KLIPPAN</t>
        </is>
      </c>
      <c r="G50" t="n">
        <v>4.9</v>
      </c>
      <c r="H50" t="n">
        <v>2</v>
      </c>
      <c r="I50" t="n">
        <v>2</v>
      </c>
      <c r="J50" t="n">
        <v>2</v>
      </c>
      <c r="K50" t="n">
        <v>0</v>
      </c>
      <c r="L50" t="n">
        <v>0</v>
      </c>
      <c r="M50" t="n">
        <v>0</v>
      </c>
      <c r="N50" t="n">
        <v>0</v>
      </c>
      <c r="O50" t="n">
        <v>2</v>
      </c>
      <c r="P50" t="n">
        <v>0</v>
      </c>
      <c r="Q50" t="n">
        <v>4</v>
      </c>
      <c r="R50" s="2" t="inlineStr">
        <is>
          <t>Entita
Spillkråka
Blomkålssvamp
Sotriska</t>
        </is>
      </c>
      <c r="S50">
        <f>HYPERLINK("https://klasma.github.io/Logging_1276/artfynd/A 28703-2023 artfynd.xlsx", "A 28703-2023")</f>
        <v/>
      </c>
      <c r="T50">
        <f>HYPERLINK("https://klasma.github.io/Logging_1276/kartor/A 28703-2023 karta.png", "A 28703-2023")</f>
        <v/>
      </c>
      <c r="V50">
        <f>HYPERLINK("https://klasma.github.io/Logging_1276/klagomål/A 28703-2023 FSC-klagomål.docx", "A 28703-2023")</f>
        <v/>
      </c>
      <c r="W50">
        <f>HYPERLINK("https://klasma.github.io/Logging_1276/klagomålsmail/A 28703-2023 FSC-klagomål mail.docx", "A 28703-2023")</f>
        <v/>
      </c>
      <c r="X50">
        <f>HYPERLINK("https://klasma.github.io/Logging_1276/tillsyn/A 28703-2023 tillsynsbegäran.docx", "A 28703-2023")</f>
        <v/>
      </c>
      <c r="Y50">
        <f>HYPERLINK("https://klasma.github.io/Logging_1276/tillsynsmail/A 28703-2023 tillsynsbegäran mail.docx", "A 28703-2023")</f>
        <v/>
      </c>
      <c r="Z50">
        <f>HYPERLINK("https://klasma.github.io/Logging_1276/fåglar/A 28703-2023 prioriterade fågelarter.docx", "A 28703-2023")</f>
        <v/>
      </c>
    </row>
    <row r="51" ht="15" customHeight="1">
      <c r="A51" t="inlineStr">
        <is>
          <t>A 28963-2023</t>
        </is>
      </c>
      <c r="B51" s="1" t="n">
        <v>45104</v>
      </c>
      <c r="C51" s="1" t="n">
        <v>45695</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60543-2023</t>
        </is>
      </c>
      <c r="B52" s="1" t="n">
        <v>45259</v>
      </c>
      <c r="C52" s="1" t="n">
        <v>45695</v>
      </c>
      <c r="D52" t="inlineStr">
        <is>
          <t>SKÅNE LÄN</t>
        </is>
      </c>
      <c r="E52" t="inlineStr">
        <is>
          <t>SJÖBO</t>
        </is>
      </c>
      <c r="G52" t="n">
        <v>4.6</v>
      </c>
      <c r="H52" t="n">
        <v>1</v>
      </c>
      <c r="I52" t="n">
        <v>3</v>
      </c>
      <c r="J52" t="n">
        <v>1</v>
      </c>
      <c r="K52" t="n">
        <v>0</v>
      </c>
      <c r="L52" t="n">
        <v>0</v>
      </c>
      <c r="M52" t="n">
        <v>0</v>
      </c>
      <c r="N52" t="n">
        <v>0</v>
      </c>
      <c r="O52" t="n">
        <v>1</v>
      </c>
      <c r="P52" t="n">
        <v>0</v>
      </c>
      <c r="Q52" t="n">
        <v>4</v>
      </c>
      <c r="R52" s="2" t="inlineStr">
        <is>
          <t>Trollfibbla
Kransrams
Stor häxört
Tvåblad</t>
        </is>
      </c>
      <c r="S52">
        <f>HYPERLINK("https://klasma.github.io/Logging_1265/artfynd/A 60543-2023 artfynd.xlsx", "A 60543-2023")</f>
        <v/>
      </c>
      <c r="T52">
        <f>HYPERLINK("https://klasma.github.io/Logging_1265/kartor/A 60543-2023 karta.png", "A 60543-2023")</f>
        <v/>
      </c>
      <c r="V52">
        <f>HYPERLINK("https://klasma.github.io/Logging_1265/klagomål/A 60543-2023 FSC-klagomål.docx", "A 60543-2023")</f>
        <v/>
      </c>
      <c r="W52">
        <f>HYPERLINK("https://klasma.github.io/Logging_1265/klagomålsmail/A 60543-2023 FSC-klagomål mail.docx", "A 60543-2023")</f>
        <v/>
      </c>
      <c r="X52">
        <f>HYPERLINK("https://klasma.github.io/Logging_1265/tillsyn/A 60543-2023 tillsynsbegäran.docx", "A 60543-2023")</f>
        <v/>
      </c>
      <c r="Y52">
        <f>HYPERLINK("https://klasma.github.io/Logging_1265/tillsynsmail/A 60543-2023 tillsynsbegäran mail.docx", "A 60543-2023")</f>
        <v/>
      </c>
    </row>
    <row r="53" ht="15" customHeight="1">
      <c r="A53" t="inlineStr">
        <is>
          <t>A 62987-2023</t>
        </is>
      </c>
      <c r="B53" s="1" t="n">
        <v>45272</v>
      </c>
      <c r="C53" s="1" t="n">
        <v>45695</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726-2024</t>
        </is>
      </c>
      <c r="B54" s="1" t="n">
        <v>45300</v>
      </c>
      <c r="C54" s="1" t="n">
        <v>45695</v>
      </c>
      <c r="D54" t="inlineStr">
        <is>
          <t>SKÅNE LÄN</t>
        </is>
      </c>
      <c r="E54" t="inlineStr">
        <is>
          <t>HÖRBY</t>
        </is>
      </c>
      <c r="G54" t="n">
        <v>5</v>
      </c>
      <c r="H54" t="n">
        <v>3</v>
      </c>
      <c r="I54" t="n">
        <v>0</v>
      </c>
      <c r="J54" t="n">
        <v>2</v>
      </c>
      <c r="K54" t="n">
        <v>2</v>
      </c>
      <c r="L54" t="n">
        <v>0</v>
      </c>
      <c r="M54" t="n">
        <v>0</v>
      </c>
      <c r="N54" t="n">
        <v>0</v>
      </c>
      <c r="O54" t="n">
        <v>4</v>
      </c>
      <c r="P54" t="n">
        <v>2</v>
      </c>
      <c r="Q54" t="n">
        <v>4</v>
      </c>
      <c r="R54" s="2" t="inlineStr">
        <is>
          <t>Småvänderot
Tofsvipa
Björktrast
Gulsparv</t>
        </is>
      </c>
      <c r="S54">
        <f>HYPERLINK("https://klasma.github.io/Logging_1266/artfynd/A 726-2024 artfynd.xlsx", "A 726-2024")</f>
        <v/>
      </c>
      <c r="T54">
        <f>HYPERLINK("https://klasma.github.io/Logging_1266/kartor/A 726-2024 karta.png", "A 726-2024")</f>
        <v/>
      </c>
      <c r="V54">
        <f>HYPERLINK("https://klasma.github.io/Logging_1266/klagomål/A 726-2024 FSC-klagomål.docx", "A 726-2024")</f>
        <v/>
      </c>
      <c r="W54">
        <f>HYPERLINK("https://klasma.github.io/Logging_1266/klagomålsmail/A 726-2024 FSC-klagomål mail.docx", "A 726-2024")</f>
        <v/>
      </c>
      <c r="X54">
        <f>HYPERLINK("https://klasma.github.io/Logging_1266/tillsyn/A 726-2024 tillsynsbegäran.docx", "A 726-2024")</f>
        <v/>
      </c>
      <c r="Y54">
        <f>HYPERLINK("https://klasma.github.io/Logging_1266/tillsynsmail/A 726-2024 tillsynsbegäran mail.docx", "A 726-2024")</f>
        <v/>
      </c>
      <c r="Z54">
        <f>HYPERLINK("https://klasma.github.io/Logging_1266/fåglar/A 726-2024 prioriterade fågelarter.docx", "A 726-2024")</f>
        <v/>
      </c>
    </row>
    <row r="55" ht="15" customHeight="1">
      <c r="A55" t="inlineStr">
        <is>
          <t>A 2787-2024</t>
        </is>
      </c>
      <c r="B55" s="1" t="n">
        <v>45314</v>
      </c>
      <c r="C55" s="1" t="n">
        <v>45695</v>
      </c>
      <c r="D55" t="inlineStr">
        <is>
          <t>SKÅNE LÄN</t>
        </is>
      </c>
      <c r="E55" t="inlineStr">
        <is>
          <t>HÖÖR</t>
        </is>
      </c>
      <c r="G55" t="n">
        <v>0.8</v>
      </c>
      <c r="H55" t="n">
        <v>4</v>
      </c>
      <c r="I55" t="n">
        <v>0</v>
      </c>
      <c r="J55" t="n">
        <v>2</v>
      </c>
      <c r="K55" t="n">
        <v>0</v>
      </c>
      <c r="L55" t="n">
        <v>0</v>
      </c>
      <c r="M55" t="n">
        <v>0</v>
      </c>
      <c r="N55" t="n">
        <v>0</v>
      </c>
      <c r="O55" t="n">
        <v>2</v>
      </c>
      <c r="P55" t="n">
        <v>0</v>
      </c>
      <c r="Q55" t="n">
        <v>4</v>
      </c>
      <c r="R55" s="2" t="inlineStr">
        <is>
          <t>Brunlångöra
Nordfladdermus
Större brunfladdermus
Vattenfladdermus</t>
        </is>
      </c>
      <c r="S55">
        <f>HYPERLINK("https://klasma.github.io/Logging_1267/artfynd/A 2787-2024 artfynd.xlsx", "A 2787-2024")</f>
        <v/>
      </c>
      <c r="T55">
        <f>HYPERLINK("https://klasma.github.io/Logging_1267/kartor/A 2787-2024 karta.png", "A 2787-2024")</f>
        <v/>
      </c>
      <c r="V55">
        <f>HYPERLINK("https://klasma.github.io/Logging_1267/klagomål/A 2787-2024 FSC-klagomål.docx", "A 2787-2024")</f>
        <v/>
      </c>
      <c r="W55">
        <f>HYPERLINK("https://klasma.github.io/Logging_1267/klagomålsmail/A 2787-2024 FSC-klagomål mail.docx", "A 2787-2024")</f>
        <v/>
      </c>
      <c r="X55">
        <f>HYPERLINK("https://klasma.github.io/Logging_1267/tillsyn/A 2787-2024 tillsynsbegäran.docx", "A 2787-2024")</f>
        <v/>
      </c>
      <c r="Y55">
        <f>HYPERLINK("https://klasma.github.io/Logging_1267/tillsynsmail/A 2787-2024 tillsynsbegäran mail.docx", "A 2787-2024")</f>
        <v/>
      </c>
    </row>
    <row r="56" ht="15" customHeight="1">
      <c r="A56" t="inlineStr">
        <is>
          <t>A 22337-2024</t>
        </is>
      </c>
      <c r="B56" s="1" t="n">
        <v>45446</v>
      </c>
      <c r="C56" s="1" t="n">
        <v>45695</v>
      </c>
      <c r="D56" t="inlineStr">
        <is>
          <t>SKÅNE LÄN</t>
        </is>
      </c>
      <c r="E56" t="inlineStr">
        <is>
          <t>SJÖBO</t>
        </is>
      </c>
      <c r="G56" t="n">
        <v>12.6</v>
      </c>
      <c r="H56" t="n">
        <v>1</v>
      </c>
      <c r="I56" t="n">
        <v>3</v>
      </c>
      <c r="J56" t="n">
        <v>0</v>
      </c>
      <c r="K56" t="n">
        <v>1</v>
      </c>
      <c r="L56" t="n">
        <v>0</v>
      </c>
      <c r="M56" t="n">
        <v>0</v>
      </c>
      <c r="N56" t="n">
        <v>0</v>
      </c>
      <c r="O56" t="n">
        <v>1</v>
      </c>
      <c r="P56" t="n">
        <v>1</v>
      </c>
      <c r="Q56" t="n">
        <v>4</v>
      </c>
      <c r="R56" s="2" t="inlineStr">
        <is>
          <t>Fläcklungört
Kransrams
Myskmadra
Skogsknipprot</t>
        </is>
      </c>
      <c r="S56">
        <f>HYPERLINK("https://klasma.github.io/Logging_1265/artfynd/A 22337-2024 artfynd.xlsx", "A 22337-2024")</f>
        <v/>
      </c>
      <c r="T56">
        <f>HYPERLINK("https://klasma.github.io/Logging_1265/kartor/A 22337-2024 karta.png", "A 22337-2024")</f>
        <v/>
      </c>
      <c r="V56">
        <f>HYPERLINK("https://klasma.github.io/Logging_1265/klagomål/A 22337-2024 FSC-klagomål.docx", "A 22337-2024")</f>
        <v/>
      </c>
      <c r="W56">
        <f>HYPERLINK("https://klasma.github.io/Logging_1265/klagomålsmail/A 22337-2024 FSC-klagomål mail.docx", "A 22337-2024")</f>
        <v/>
      </c>
      <c r="X56">
        <f>HYPERLINK("https://klasma.github.io/Logging_1265/tillsyn/A 22337-2024 tillsynsbegäran.docx", "A 22337-2024")</f>
        <v/>
      </c>
      <c r="Y56">
        <f>HYPERLINK("https://klasma.github.io/Logging_1265/tillsynsmail/A 22337-2024 tillsynsbegäran mail.docx", "A 22337-2024")</f>
        <v/>
      </c>
    </row>
    <row r="57" ht="15" customHeight="1">
      <c r="A57" t="inlineStr">
        <is>
          <t>A 29843-2024</t>
        </is>
      </c>
      <c r="B57" s="1" t="n">
        <v>45485</v>
      </c>
      <c r="C57" s="1" t="n">
        <v>45695</v>
      </c>
      <c r="D57" t="inlineStr">
        <is>
          <t>SKÅNE LÄN</t>
        </is>
      </c>
      <c r="E57" t="inlineStr">
        <is>
          <t>HÄSSLEHOLM</t>
        </is>
      </c>
      <c r="G57" t="n">
        <v>2.7</v>
      </c>
      <c r="H57" t="n">
        <v>0</v>
      </c>
      <c r="I57" t="n">
        <v>2</v>
      </c>
      <c r="J57" t="n">
        <v>1</v>
      </c>
      <c r="K57" t="n">
        <v>1</v>
      </c>
      <c r="L57" t="n">
        <v>0</v>
      </c>
      <c r="M57" t="n">
        <v>0</v>
      </c>
      <c r="N57" t="n">
        <v>0</v>
      </c>
      <c r="O57" t="n">
        <v>2</v>
      </c>
      <c r="P57" t="n">
        <v>1</v>
      </c>
      <c r="Q57" t="n">
        <v>4</v>
      </c>
      <c r="R57" s="2" t="inlineStr">
        <is>
          <t>Gulvit blekspik
Bokvårtlav
Gulnål
Platt fjädermossa</t>
        </is>
      </c>
      <c r="S57">
        <f>HYPERLINK("https://klasma.github.io/Logging_1293/artfynd/A 29843-2024 artfynd.xlsx", "A 29843-2024")</f>
        <v/>
      </c>
      <c r="T57">
        <f>HYPERLINK("https://klasma.github.io/Logging_1293/kartor/A 29843-2024 karta.png", "A 29843-2024")</f>
        <v/>
      </c>
      <c r="V57">
        <f>HYPERLINK("https://klasma.github.io/Logging_1293/klagomål/A 29843-2024 FSC-klagomål.docx", "A 29843-2024")</f>
        <v/>
      </c>
      <c r="W57">
        <f>HYPERLINK("https://klasma.github.io/Logging_1293/klagomålsmail/A 29843-2024 FSC-klagomål mail.docx", "A 29843-2024")</f>
        <v/>
      </c>
      <c r="X57">
        <f>HYPERLINK("https://klasma.github.io/Logging_1293/tillsyn/A 29843-2024 tillsynsbegäran.docx", "A 29843-2024")</f>
        <v/>
      </c>
      <c r="Y57">
        <f>HYPERLINK("https://klasma.github.io/Logging_1293/tillsynsmail/A 29843-2024 tillsynsbegäran mail.docx", "A 29843-2024")</f>
        <v/>
      </c>
    </row>
    <row r="58" ht="15" customHeight="1">
      <c r="A58" t="inlineStr">
        <is>
          <t>A 42062-2024</t>
        </is>
      </c>
      <c r="B58" s="1" t="n">
        <v>45561</v>
      </c>
      <c r="C58" s="1" t="n">
        <v>45695</v>
      </c>
      <c r="D58" t="inlineStr">
        <is>
          <t>SKÅNE LÄN</t>
        </is>
      </c>
      <c r="E58" t="inlineStr">
        <is>
          <t>BROMÖLLA</t>
        </is>
      </c>
      <c r="G58" t="n">
        <v>12.2</v>
      </c>
      <c r="H58" t="n">
        <v>0</v>
      </c>
      <c r="I58" t="n">
        <v>4</v>
      </c>
      <c r="J58" t="n">
        <v>0</v>
      </c>
      <c r="K58" t="n">
        <v>0</v>
      </c>
      <c r="L58" t="n">
        <v>0</v>
      </c>
      <c r="M58" t="n">
        <v>0</v>
      </c>
      <c r="N58" t="n">
        <v>0</v>
      </c>
      <c r="O58" t="n">
        <v>0</v>
      </c>
      <c r="P58" t="n">
        <v>0</v>
      </c>
      <c r="Q58" t="n">
        <v>4</v>
      </c>
      <c r="R58" s="2" t="inlineStr">
        <is>
          <t>Ekskinn
Havstulpanlav
Rostfläck
Västlig hakmossa</t>
        </is>
      </c>
      <c r="S58">
        <f>HYPERLINK("https://klasma.github.io/Logging_1272/artfynd/A 42062-2024 artfynd.xlsx", "A 42062-2024")</f>
        <v/>
      </c>
      <c r="T58">
        <f>HYPERLINK("https://klasma.github.io/Logging_1272/kartor/A 42062-2024 karta.png", "A 42062-2024")</f>
        <v/>
      </c>
      <c r="V58">
        <f>HYPERLINK("https://klasma.github.io/Logging_1272/klagomål/A 42062-2024 FSC-klagomål.docx", "A 42062-2024")</f>
        <v/>
      </c>
      <c r="W58">
        <f>HYPERLINK("https://klasma.github.io/Logging_1272/klagomålsmail/A 42062-2024 FSC-klagomål mail.docx", "A 42062-2024")</f>
        <v/>
      </c>
      <c r="X58">
        <f>HYPERLINK("https://klasma.github.io/Logging_1272/tillsyn/A 42062-2024 tillsynsbegäran.docx", "A 42062-2024")</f>
        <v/>
      </c>
      <c r="Y58">
        <f>HYPERLINK("https://klasma.github.io/Logging_1272/tillsynsmail/A 42062-2024 tillsynsbegäran mail.docx", "A 42062-2024")</f>
        <v/>
      </c>
    </row>
    <row r="59" ht="15" customHeight="1">
      <c r="A59" t="inlineStr">
        <is>
          <t>A 18861-2019</t>
        </is>
      </c>
      <c r="B59" s="1" t="n">
        <v>43563</v>
      </c>
      <c r="C59" s="1" t="n">
        <v>45695</v>
      </c>
      <c r="D59" t="inlineStr">
        <is>
          <t>SKÅNE LÄN</t>
        </is>
      </c>
      <c r="E59" t="inlineStr">
        <is>
          <t>KLIPPAN</t>
        </is>
      </c>
      <c r="G59" t="n">
        <v>3</v>
      </c>
      <c r="H59" t="n">
        <v>3</v>
      </c>
      <c r="I59" t="n">
        <v>0</v>
      </c>
      <c r="J59" t="n">
        <v>1</v>
      </c>
      <c r="K59" t="n">
        <v>0</v>
      </c>
      <c r="L59" t="n">
        <v>0</v>
      </c>
      <c r="M59" t="n">
        <v>0</v>
      </c>
      <c r="N59" t="n">
        <v>0</v>
      </c>
      <c r="O59" t="n">
        <v>1</v>
      </c>
      <c r="P59" t="n">
        <v>0</v>
      </c>
      <c r="Q59" t="n">
        <v>3</v>
      </c>
      <c r="R59" s="2" t="inlineStr">
        <is>
          <t>Havsörn
Skogsduva
Trana</t>
        </is>
      </c>
      <c r="S59">
        <f>HYPERLINK("https://klasma.github.io/Logging_1276/artfynd/A 18861-2019 artfynd.xlsx", "A 18861-2019")</f>
        <v/>
      </c>
      <c r="T59">
        <f>HYPERLINK("https://klasma.github.io/Logging_1276/kartor/A 18861-2019 karta.png", "A 18861-2019")</f>
        <v/>
      </c>
      <c r="V59">
        <f>HYPERLINK("https://klasma.github.io/Logging_1276/klagomål/A 18861-2019 FSC-klagomål.docx", "A 18861-2019")</f>
        <v/>
      </c>
      <c r="W59">
        <f>HYPERLINK("https://klasma.github.io/Logging_1276/klagomålsmail/A 18861-2019 FSC-klagomål mail.docx", "A 18861-2019")</f>
        <v/>
      </c>
      <c r="X59">
        <f>HYPERLINK("https://klasma.github.io/Logging_1276/tillsyn/A 18861-2019 tillsynsbegäran.docx", "A 18861-2019")</f>
        <v/>
      </c>
      <c r="Y59">
        <f>HYPERLINK("https://klasma.github.io/Logging_1276/tillsynsmail/A 18861-2019 tillsynsbegäran mail.docx", "A 18861-2019")</f>
        <v/>
      </c>
      <c r="Z59">
        <f>HYPERLINK("https://klasma.github.io/Logging_1276/fåglar/A 18861-2019 prioriterade fågelarter.docx", "A 18861-2019")</f>
        <v/>
      </c>
    </row>
    <row r="60" ht="15" customHeight="1">
      <c r="A60" t="inlineStr">
        <is>
          <t>A 23366-2019</t>
        </is>
      </c>
      <c r="B60" s="1" t="n">
        <v>43593</v>
      </c>
      <c r="C60" s="1" t="n">
        <v>45695</v>
      </c>
      <c r="D60" t="inlineStr">
        <is>
          <t>SKÅNE LÄN</t>
        </is>
      </c>
      <c r="E60" t="inlineStr">
        <is>
          <t>KRISTIANSTAD</t>
        </is>
      </c>
      <c r="F60" t="inlineStr">
        <is>
          <t>Kommuner</t>
        </is>
      </c>
      <c r="G60" t="n">
        <v>2.1</v>
      </c>
      <c r="H60" t="n">
        <v>2</v>
      </c>
      <c r="I60" t="n">
        <v>0</v>
      </c>
      <c r="J60" t="n">
        <v>2</v>
      </c>
      <c r="K60" t="n">
        <v>1</v>
      </c>
      <c r="L60" t="n">
        <v>0</v>
      </c>
      <c r="M60" t="n">
        <v>0</v>
      </c>
      <c r="N60" t="n">
        <v>0</v>
      </c>
      <c r="O60" t="n">
        <v>3</v>
      </c>
      <c r="P60" t="n">
        <v>1</v>
      </c>
      <c r="Q60" t="n">
        <v>3</v>
      </c>
      <c r="R60" s="2" t="inlineStr">
        <is>
          <t>Hedblomster
Svartfläckig blåvinge
Ängsmetallvinge</t>
        </is>
      </c>
      <c r="S60">
        <f>HYPERLINK("https://klasma.github.io/Logging_1290/artfynd/A 23366-2019 artfynd.xlsx", "A 23366-2019")</f>
        <v/>
      </c>
      <c r="T60">
        <f>HYPERLINK("https://klasma.github.io/Logging_1290/kartor/A 23366-2019 karta.png", "A 23366-2019")</f>
        <v/>
      </c>
      <c r="V60">
        <f>HYPERLINK("https://klasma.github.io/Logging_1290/klagomål/A 23366-2019 FSC-klagomål.docx", "A 23366-2019")</f>
        <v/>
      </c>
      <c r="W60">
        <f>HYPERLINK("https://klasma.github.io/Logging_1290/klagomålsmail/A 23366-2019 FSC-klagomål mail.docx", "A 23366-2019")</f>
        <v/>
      </c>
      <c r="X60">
        <f>HYPERLINK("https://klasma.github.io/Logging_1290/tillsyn/A 23366-2019 tillsynsbegäran.docx", "A 23366-2019")</f>
        <v/>
      </c>
      <c r="Y60">
        <f>HYPERLINK("https://klasma.github.io/Logging_1290/tillsynsmail/A 23366-2019 tillsynsbegäran mail.docx", "A 23366-2019")</f>
        <v/>
      </c>
    </row>
    <row r="61" ht="15" customHeight="1">
      <c r="A61" t="inlineStr">
        <is>
          <t>A 30721-2019</t>
        </is>
      </c>
      <c r="B61" s="1" t="n">
        <v>43636</v>
      </c>
      <c r="C61" s="1" t="n">
        <v>45695</v>
      </c>
      <c r="D61" t="inlineStr">
        <is>
          <t>SKÅNE LÄN</t>
        </is>
      </c>
      <c r="E61" t="inlineStr">
        <is>
          <t>SVEDALA</t>
        </is>
      </c>
      <c r="G61" t="n">
        <v>2</v>
      </c>
      <c r="H61" t="n">
        <v>2</v>
      </c>
      <c r="I61" t="n">
        <v>1</v>
      </c>
      <c r="J61" t="n">
        <v>1</v>
      </c>
      <c r="K61" t="n">
        <v>1</v>
      </c>
      <c r="L61" t="n">
        <v>0</v>
      </c>
      <c r="M61" t="n">
        <v>0</v>
      </c>
      <c r="N61" t="n">
        <v>0</v>
      </c>
      <c r="O61" t="n">
        <v>2</v>
      </c>
      <c r="P61" t="n">
        <v>1</v>
      </c>
      <c r="Q61" t="n">
        <v>3</v>
      </c>
      <c r="R61" s="2" t="inlineStr">
        <is>
          <t>Stare
Entita
Vätteros</t>
        </is>
      </c>
      <c r="S61">
        <f>HYPERLINK("https://klasma.github.io/Logging_1263/artfynd/A 30721-2019 artfynd.xlsx", "A 30721-2019")</f>
        <v/>
      </c>
      <c r="T61">
        <f>HYPERLINK("https://klasma.github.io/Logging_1263/kartor/A 30721-2019 karta.png", "A 30721-2019")</f>
        <v/>
      </c>
      <c r="V61">
        <f>HYPERLINK("https://klasma.github.io/Logging_1263/klagomål/A 30721-2019 FSC-klagomål.docx", "A 30721-2019")</f>
        <v/>
      </c>
      <c r="W61">
        <f>HYPERLINK("https://klasma.github.io/Logging_1263/klagomålsmail/A 30721-2019 FSC-klagomål mail.docx", "A 30721-2019")</f>
        <v/>
      </c>
      <c r="X61">
        <f>HYPERLINK("https://klasma.github.io/Logging_1263/tillsyn/A 30721-2019 tillsynsbegäran.docx", "A 30721-2019")</f>
        <v/>
      </c>
      <c r="Y61">
        <f>HYPERLINK("https://klasma.github.io/Logging_1263/tillsynsmail/A 30721-2019 tillsynsbegäran mail.docx", "A 30721-2019")</f>
        <v/>
      </c>
      <c r="Z61">
        <f>HYPERLINK("https://klasma.github.io/Logging_1263/fåglar/A 30721-2019 prioriterade fågelarter.docx", "A 30721-2019")</f>
        <v/>
      </c>
    </row>
    <row r="62" ht="15" customHeight="1">
      <c r="A62" t="inlineStr">
        <is>
          <t>A 43229-2019</t>
        </is>
      </c>
      <c r="B62" s="1" t="n">
        <v>43700</v>
      </c>
      <c r="C62" s="1" t="n">
        <v>45695</v>
      </c>
      <c r="D62" t="inlineStr">
        <is>
          <t>SKÅNE LÄN</t>
        </is>
      </c>
      <c r="E62" t="inlineStr">
        <is>
          <t>LUND</t>
        </is>
      </c>
      <c r="G62" t="n">
        <v>12.3</v>
      </c>
      <c r="H62" t="n">
        <v>3</v>
      </c>
      <c r="I62" t="n">
        <v>0</v>
      </c>
      <c r="J62" t="n">
        <v>1</v>
      </c>
      <c r="K62" t="n">
        <v>0</v>
      </c>
      <c r="L62" t="n">
        <v>0</v>
      </c>
      <c r="M62" t="n">
        <v>0</v>
      </c>
      <c r="N62" t="n">
        <v>0</v>
      </c>
      <c r="O62" t="n">
        <v>1</v>
      </c>
      <c r="P62" t="n">
        <v>0</v>
      </c>
      <c r="Q62" t="n">
        <v>3</v>
      </c>
      <c r="R62" s="2" t="inlineStr">
        <is>
          <t>Spillkråka
Nötkråka
Ätlig groda</t>
        </is>
      </c>
      <c r="S62">
        <f>HYPERLINK("https://klasma.github.io/Logging_1281/artfynd/A 43229-2019 artfynd.xlsx", "A 43229-2019")</f>
        <v/>
      </c>
      <c r="T62">
        <f>HYPERLINK("https://klasma.github.io/Logging_1281/kartor/A 43229-2019 karta.png", "A 43229-2019")</f>
        <v/>
      </c>
      <c r="V62">
        <f>HYPERLINK("https://klasma.github.io/Logging_1281/klagomål/A 43229-2019 FSC-klagomål.docx", "A 43229-2019")</f>
        <v/>
      </c>
      <c r="W62">
        <f>HYPERLINK("https://klasma.github.io/Logging_1281/klagomålsmail/A 43229-2019 FSC-klagomål mail.docx", "A 43229-2019")</f>
        <v/>
      </c>
      <c r="X62">
        <f>HYPERLINK("https://klasma.github.io/Logging_1281/tillsyn/A 43229-2019 tillsynsbegäran.docx", "A 43229-2019")</f>
        <v/>
      </c>
      <c r="Y62">
        <f>HYPERLINK("https://klasma.github.io/Logging_1281/tillsynsmail/A 43229-2019 tillsynsbegäran mail.docx", "A 43229-2019")</f>
        <v/>
      </c>
      <c r="Z62">
        <f>HYPERLINK("https://klasma.github.io/Logging_1281/fåglar/A 43229-2019 prioriterade fågelarter.docx", "A 43229-2019")</f>
        <v/>
      </c>
    </row>
    <row r="63" ht="15" customHeight="1">
      <c r="A63" t="inlineStr">
        <is>
          <t>A 61588-2019</t>
        </is>
      </c>
      <c r="B63" s="1" t="n">
        <v>43777</v>
      </c>
      <c r="C63" s="1" t="n">
        <v>45695</v>
      </c>
      <c r="D63" t="inlineStr">
        <is>
          <t>SKÅNE LÄN</t>
        </is>
      </c>
      <c r="E63" t="inlineStr">
        <is>
          <t>SVALÖV</t>
        </is>
      </c>
      <c r="G63" t="n">
        <v>0.9</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61588-2019 artfynd.xlsx", "A 61588-2019")</f>
        <v/>
      </c>
      <c r="T63">
        <f>HYPERLINK("https://klasma.github.io/Logging_1214/kartor/A 61588-2019 karta.png", "A 61588-2019")</f>
        <v/>
      </c>
      <c r="V63">
        <f>HYPERLINK("https://klasma.github.io/Logging_1214/klagomål/A 61588-2019 FSC-klagomål.docx", "A 61588-2019")</f>
        <v/>
      </c>
      <c r="W63">
        <f>HYPERLINK("https://klasma.github.io/Logging_1214/klagomålsmail/A 61588-2019 FSC-klagomål mail.docx", "A 61588-2019")</f>
        <v/>
      </c>
      <c r="X63">
        <f>HYPERLINK("https://klasma.github.io/Logging_1214/tillsyn/A 61588-2019 tillsynsbegäran.docx", "A 61588-2019")</f>
        <v/>
      </c>
      <c r="Y63">
        <f>HYPERLINK("https://klasma.github.io/Logging_1214/tillsynsmail/A 61588-2019 tillsynsbegäran mail.docx", "A 61588-2019")</f>
        <v/>
      </c>
    </row>
    <row r="64" ht="15" customHeight="1">
      <c r="A64" t="inlineStr">
        <is>
          <t>A 61593-2019</t>
        </is>
      </c>
      <c r="B64" s="1" t="n">
        <v>43777</v>
      </c>
      <c r="C64" s="1" t="n">
        <v>45695</v>
      </c>
      <c r="D64" t="inlineStr">
        <is>
          <t>SKÅNE LÄN</t>
        </is>
      </c>
      <c r="E64" t="inlineStr">
        <is>
          <t>SVALÖV</t>
        </is>
      </c>
      <c r="G64" t="n">
        <v>0.4</v>
      </c>
      <c r="H64" t="n">
        <v>0</v>
      </c>
      <c r="I64" t="n">
        <v>2</v>
      </c>
      <c r="J64" t="n">
        <v>0</v>
      </c>
      <c r="K64" t="n">
        <v>0</v>
      </c>
      <c r="L64" t="n">
        <v>1</v>
      </c>
      <c r="M64" t="n">
        <v>0</v>
      </c>
      <c r="N64" t="n">
        <v>0</v>
      </c>
      <c r="O64" t="n">
        <v>1</v>
      </c>
      <c r="P64" t="n">
        <v>1</v>
      </c>
      <c r="Q64" t="n">
        <v>3</v>
      </c>
      <c r="R64" s="2" t="inlineStr">
        <is>
          <t>Ask
Springkorn
Stor häxört</t>
        </is>
      </c>
      <c r="S64">
        <f>HYPERLINK("https://klasma.github.io/Logging_1214/artfynd/A 61593-2019 artfynd.xlsx", "A 61593-2019")</f>
        <v/>
      </c>
      <c r="T64">
        <f>HYPERLINK("https://klasma.github.io/Logging_1214/kartor/A 61593-2019 karta.png", "A 61593-2019")</f>
        <v/>
      </c>
      <c r="V64">
        <f>HYPERLINK("https://klasma.github.io/Logging_1214/klagomål/A 61593-2019 FSC-klagomål.docx", "A 61593-2019")</f>
        <v/>
      </c>
      <c r="W64">
        <f>HYPERLINK("https://klasma.github.io/Logging_1214/klagomålsmail/A 61593-2019 FSC-klagomål mail.docx", "A 61593-2019")</f>
        <v/>
      </c>
      <c r="X64">
        <f>HYPERLINK("https://klasma.github.io/Logging_1214/tillsyn/A 61593-2019 tillsynsbegäran.docx", "A 61593-2019")</f>
        <v/>
      </c>
      <c r="Y64">
        <f>HYPERLINK("https://klasma.github.io/Logging_1214/tillsynsmail/A 61593-2019 tillsynsbegäran mail.docx", "A 61593-2019")</f>
        <v/>
      </c>
    </row>
    <row r="65" ht="15" customHeight="1">
      <c r="A65" t="inlineStr">
        <is>
          <t>A 68737-2019</t>
        </is>
      </c>
      <c r="B65" s="1" t="n">
        <v>43819</v>
      </c>
      <c r="C65" s="1" t="n">
        <v>45695</v>
      </c>
      <c r="D65" t="inlineStr">
        <is>
          <t>SKÅNE LÄN</t>
        </is>
      </c>
      <c r="E65" t="inlineStr">
        <is>
          <t>KLIPPAN</t>
        </is>
      </c>
      <c r="F65" t="inlineStr">
        <is>
          <t>Sveaskog</t>
        </is>
      </c>
      <c r="G65" t="n">
        <v>3.1</v>
      </c>
      <c r="H65" t="n">
        <v>1</v>
      </c>
      <c r="I65" t="n">
        <v>2</v>
      </c>
      <c r="J65" t="n">
        <v>1</v>
      </c>
      <c r="K65" t="n">
        <v>0</v>
      </c>
      <c r="L65" t="n">
        <v>0</v>
      </c>
      <c r="M65" t="n">
        <v>0</v>
      </c>
      <c r="N65" t="n">
        <v>0</v>
      </c>
      <c r="O65" t="n">
        <v>1</v>
      </c>
      <c r="P65" t="n">
        <v>0</v>
      </c>
      <c r="Q65" t="n">
        <v>3</v>
      </c>
      <c r="R65" s="2" t="inlineStr">
        <is>
          <t>Spillkråka
Rostfläck
Västlig hakmossa</t>
        </is>
      </c>
      <c r="S65">
        <f>HYPERLINK("https://klasma.github.io/Logging_1276/artfynd/A 68737-2019 artfynd.xlsx", "A 68737-2019")</f>
        <v/>
      </c>
      <c r="T65">
        <f>HYPERLINK("https://klasma.github.io/Logging_1276/kartor/A 68737-2019 karta.png", "A 68737-2019")</f>
        <v/>
      </c>
      <c r="V65">
        <f>HYPERLINK("https://klasma.github.io/Logging_1276/klagomål/A 68737-2019 FSC-klagomål.docx", "A 68737-2019")</f>
        <v/>
      </c>
      <c r="W65">
        <f>HYPERLINK("https://klasma.github.io/Logging_1276/klagomålsmail/A 68737-2019 FSC-klagomål mail.docx", "A 68737-2019")</f>
        <v/>
      </c>
      <c r="X65">
        <f>HYPERLINK("https://klasma.github.io/Logging_1276/tillsyn/A 68737-2019 tillsynsbegäran.docx", "A 68737-2019")</f>
        <v/>
      </c>
      <c r="Y65">
        <f>HYPERLINK("https://klasma.github.io/Logging_1276/tillsynsmail/A 68737-2019 tillsynsbegäran mail.docx", "A 68737-2019")</f>
        <v/>
      </c>
      <c r="Z65">
        <f>HYPERLINK("https://klasma.github.io/Logging_1276/fåglar/A 68737-2019 prioriterade fågelarter.docx", "A 68737-2019")</f>
        <v/>
      </c>
    </row>
    <row r="66" ht="15" customHeight="1">
      <c r="A66" t="inlineStr">
        <is>
          <t>A 1233-2020</t>
        </is>
      </c>
      <c r="B66" s="1" t="n">
        <v>43828</v>
      </c>
      <c r="C66" s="1" t="n">
        <v>45695</v>
      </c>
      <c r="D66" t="inlineStr">
        <is>
          <t>SKÅNE LÄN</t>
        </is>
      </c>
      <c r="E66" t="inlineStr">
        <is>
          <t>SVALÖV</t>
        </is>
      </c>
      <c r="G66" t="n">
        <v>7.8</v>
      </c>
      <c r="H66" t="n">
        <v>0</v>
      </c>
      <c r="I66" t="n">
        <v>2</v>
      </c>
      <c r="J66" t="n">
        <v>0</v>
      </c>
      <c r="K66" t="n">
        <v>0</v>
      </c>
      <c r="L66" t="n">
        <v>1</v>
      </c>
      <c r="M66" t="n">
        <v>0</v>
      </c>
      <c r="N66" t="n">
        <v>0</v>
      </c>
      <c r="O66" t="n">
        <v>1</v>
      </c>
      <c r="P66" t="n">
        <v>1</v>
      </c>
      <c r="Q66" t="n">
        <v>3</v>
      </c>
      <c r="R66" s="2" t="inlineStr">
        <is>
          <t>Ask
Myskmadra
Stor häxört</t>
        </is>
      </c>
      <c r="S66">
        <f>HYPERLINK("https://klasma.github.io/Logging_1214/artfynd/A 1233-2020 artfynd.xlsx", "A 1233-2020")</f>
        <v/>
      </c>
      <c r="T66">
        <f>HYPERLINK("https://klasma.github.io/Logging_1214/kartor/A 1233-2020 karta.png", "A 1233-2020")</f>
        <v/>
      </c>
      <c r="V66">
        <f>HYPERLINK("https://klasma.github.io/Logging_1214/klagomål/A 1233-2020 FSC-klagomål.docx", "A 1233-2020")</f>
        <v/>
      </c>
      <c r="W66">
        <f>HYPERLINK("https://klasma.github.io/Logging_1214/klagomålsmail/A 1233-2020 FSC-klagomål mail.docx", "A 1233-2020")</f>
        <v/>
      </c>
      <c r="X66">
        <f>HYPERLINK("https://klasma.github.io/Logging_1214/tillsyn/A 1233-2020 tillsynsbegäran.docx", "A 1233-2020")</f>
        <v/>
      </c>
      <c r="Y66">
        <f>HYPERLINK("https://klasma.github.io/Logging_1214/tillsynsmail/A 1233-2020 tillsynsbegäran mail.docx", "A 1233-2020")</f>
        <v/>
      </c>
    </row>
    <row r="67" ht="15" customHeight="1">
      <c r="A67" t="inlineStr">
        <is>
          <t>A 13380-2020</t>
        </is>
      </c>
      <c r="B67" s="1" t="n">
        <v>43902</v>
      </c>
      <c r="C67" s="1" t="n">
        <v>45695</v>
      </c>
      <c r="D67" t="inlineStr">
        <is>
          <t>SKÅNE LÄN</t>
        </is>
      </c>
      <c r="E67" t="inlineStr">
        <is>
          <t>ÖSTRA GÖINGE</t>
        </is>
      </c>
      <c r="G67" t="n">
        <v>1.3</v>
      </c>
      <c r="H67" t="n">
        <v>0</v>
      </c>
      <c r="I67" t="n">
        <v>2</v>
      </c>
      <c r="J67" t="n">
        <v>0</v>
      </c>
      <c r="K67" t="n">
        <v>1</v>
      </c>
      <c r="L67" t="n">
        <v>0</v>
      </c>
      <c r="M67" t="n">
        <v>0</v>
      </c>
      <c r="N67" t="n">
        <v>0</v>
      </c>
      <c r="O67" t="n">
        <v>1</v>
      </c>
      <c r="P67" t="n">
        <v>1</v>
      </c>
      <c r="Q67" t="n">
        <v>3</v>
      </c>
      <c r="R67" s="2" t="inlineStr">
        <is>
          <t>Småvänderot
Rödgul trumpetsvamp
Stor revmossa</t>
        </is>
      </c>
      <c r="S67">
        <f>HYPERLINK("https://klasma.github.io/Logging_1256/artfynd/A 13380-2020 artfynd.xlsx", "A 13380-2020")</f>
        <v/>
      </c>
      <c r="T67">
        <f>HYPERLINK("https://klasma.github.io/Logging_1256/kartor/A 13380-2020 karta.png", "A 13380-2020")</f>
        <v/>
      </c>
      <c r="V67">
        <f>HYPERLINK("https://klasma.github.io/Logging_1256/klagomål/A 13380-2020 FSC-klagomål.docx", "A 13380-2020")</f>
        <v/>
      </c>
      <c r="W67">
        <f>HYPERLINK("https://klasma.github.io/Logging_1256/klagomålsmail/A 13380-2020 FSC-klagomål mail.docx", "A 13380-2020")</f>
        <v/>
      </c>
      <c r="X67">
        <f>HYPERLINK("https://klasma.github.io/Logging_1256/tillsyn/A 13380-2020 tillsynsbegäran.docx", "A 13380-2020")</f>
        <v/>
      </c>
      <c r="Y67">
        <f>HYPERLINK("https://klasma.github.io/Logging_1256/tillsynsmail/A 13380-2020 tillsynsbegäran mail.docx", "A 13380-2020")</f>
        <v/>
      </c>
    </row>
    <row r="68" ht="15" customHeight="1">
      <c r="A68" t="inlineStr">
        <is>
          <t>A 18197-2020</t>
        </is>
      </c>
      <c r="B68" s="1" t="n">
        <v>43927</v>
      </c>
      <c r="C68" s="1" t="n">
        <v>45695</v>
      </c>
      <c r="D68" t="inlineStr">
        <is>
          <t>SKÅNE LÄN</t>
        </is>
      </c>
      <c r="E68" t="inlineStr">
        <is>
          <t>BÅSTAD</t>
        </is>
      </c>
      <c r="G68" t="n">
        <v>3.2</v>
      </c>
      <c r="H68" t="n">
        <v>0</v>
      </c>
      <c r="I68" t="n">
        <v>3</v>
      </c>
      <c r="J68" t="n">
        <v>0</v>
      </c>
      <c r="K68" t="n">
        <v>0</v>
      </c>
      <c r="L68" t="n">
        <v>0</v>
      </c>
      <c r="M68" t="n">
        <v>0</v>
      </c>
      <c r="N68" t="n">
        <v>0</v>
      </c>
      <c r="O68" t="n">
        <v>0</v>
      </c>
      <c r="P68" t="n">
        <v>0</v>
      </c>
      <c r="Q68" t="n">
        <v>3</v>
      </c>
      <c r="R68" s="2" t="inlineStr">
        <is>
          <t>Guldlockmossa
Stubbspretmossa
Västlig hakmossa</t>
        </is>
      </c>
      <c r="S68">
        <f>HYPERLINK("https://klasma.github.io/Logging_1278/artfynd/A 18197-2020 artfynd.xlsx", "A 18197-2020")</f>
        <v/>
      </c>
      <c r="T68">
        <f>HYPERLINK("https://klasma.github.io/Logging_1278/kartor/A 18197-2020 karta.png", "A 18197-2020")</f>
        <v/>
      </c>
      <c r="V68">
        <f>HYPERLINK("https://klasma.github.io/Logging_1278/klagomål/A 18197-2020 FSC-klagomål.docx", "A 18197-2020")</f>
        <v/>
      </c>
      <c r="W68">
        <f>HYPERLINK("https://klasma.github.io/Logging_1278/klagomålsmail/A 18197-2020 FSC-klagomål mail.docx", "A 18197-2020")</f>
        <v/>
      </c>
      <c r="X68">
        <f>HYPERLINK("https://klasma.github.io/Logging_1278/tillsyn/A 18197-2020 tillsynsbegäran.docx", "A 18197-2020")</f>
        <v/>
      </c>
      <c r="Y68">
        <f>HYPERLINK("https://klasma.github.io/Logging_1278/tillsynsmail/A 18197-2020 tillsynsbegäran mail.docx", "A 18197-2020")</f>
        <v/>
      </c>
    </row>
    <row r="69" ht="15" customHeight="1">
      <c r="A69" t="inlineStr">
        <is>
          <t>A 25363-2020</t>
        </is>
      </c>
      <c r="B69" s="1" t="n">
        <v>43980</v>
      </c>
      <c r="C69" s="1" t="n">
        <v>45695</v>
      </c>
      <c r="D69" t="inlineStr">
        <is>
          <t>SKÅNE LÄN</t>
        </is>
      </c>
      <c r="E69" t="inlineStr">
        <is>
          <t>TRELLEBORG</t>
        </is>
      </c>
      <c r="G69" t="n">
        <v>1.5</v>
      </c>
      <c r="H69" t="n">
        <v>0</v>
      </c>
      <c r="I69" t="n">
        <v>2</v>
      </c>
      <c r="J69" t="n">
        <v>0</v>
      </c>
      <c r="K69" t="n">
        <v>0</v>
      </c>
      <c r="L69" t="n">
        <v>1</v>
      </c>
      <c r="M69" t="n">
        <v>0</v>
      </c>
      <c r="N69" t="n">
        <v>0</v>
      </c>
      <c r="O69" t="n">
        <v>1</v>
      </c>
      <c r="P69" t="n">
        <v>1</v>
      </c>
      <c r="Q69" t="n">
        <v>3</v>
      </c>
      <c r="R69" s="2" t="inlineStr">
        <is>
          <t>Lundäxing
Stor häxört
Svart trolldruva</t>
        </is>
      </c>
      <c r="S69">
        <f>HYPERLINK("https://klasma.github.io/Logging_1287/artfynd/A 25363-2020 artfynd.xlsx", "A 25363-2020")</f>
        <v/>
      </c>
      <c r="T69">
        <f>HYPERLINK("https://klasma.github.io/Logging_1287/kartor/A 25363-2020 karta.png", "A 25363-2020")</f>
        <v/>
      </c>
      <c r="V69">
        <f>HYPERLINK("https://klasma.github.io/Logging_1287/klagomål/A 25363-2020 FSC-klagomål.docx", "A 25363-2020")</f>
        <v/>
      </c>
      <c r="W69">
        <f>HYPERLINK("https://klasma.github.io/Logging_1287/klagomålsmail/A 25363-2020 FSC-klagomål mail.docx", "A 25363-2020")</f>
        <v/>
      </c>
      <c r="X69">
        <f>HYPERLINK("https://klasma.github.io/Logging_1287/tillsyn/A 25363-2020 tillsynsbegäran.docx", "A 25363-2020")</f>
        <v/>
      </c>
      <c r="Y69">
        <f>HYPERLINK("https://klasma.github.io/Logging_1287/tillsynsmail/A 25363-2020 tillsynsbegäran mail.docx", "A 25363-2020")</f>
        <v/>
      </c>
    </row>
    <row r="70" ht="15" customHeight="1">
      <c r="A70" t="inlineStr">
        <is>
          <t>A 30682-2020</t>
        </is>
      </c>
      <c r="B70" s="1" t="n">
        <v>44008</v>
      </c>
      <c r="C70" s="1" t="n">
        <v>45695</v>
      </c>
      <c r="D70" t="inlineStr">
        <is>
          <t>SKÅNE LÄN</t>
        </is>
      </c>
      <c r="E70" t="inlineStr">
        <is>
          <t>KRISTIANSTAD</t>
        </is>
      </c>
      <c r="F70" t="inlineStr">
        <is>
          <t>Kommuner</t>
        </is>
      </c>
      <c r="G70" t="n">
        <v>0.9</v>
      </c>
      <c r="H70" t="n">
        <v>1</v>
      </c>
      <c r="I70" t="n">
        <v>0</v>
      </c>
      <c r="J70" t="n">
        <v>2</v>
      </c>
      <c r="K70" t="n">
        <v>1</v>
      </c>
      <c r="L70" t="n">
        <v>0</v>
      </c>
      <c r="M70" t="n">
        <v>0</v>
      </c>
      <c r="N70" t="n">
        <v>0</v>
      </c>
      <c r="O70" t="n">
        <v>3</v>
      </c>
      <c r="P70" t="n">
        <v>1</v>
      </c>
      <c r="Q70" t="n">
        <v>3</v>
      </c>
      <c r="R70" s="2" t="inlineStr">
        <is>
          <t>Hedblomster
Stortapetserarbi
Ängsmetallvinge</t>
        </is>
      </c>
      <c r="S70">
        <f>HYPERLINK("https://klasma.github.io/Logging_1290/artfynd/A 30682-2020 artfynd.xlsx", "A 30682-2020")</f>
        <v/>
      </c>
      <c r="T70">
        <f>HYPERLINK("https://klasma.github.io/Logging_1290/kartor/A 30682-2020 karta.png", "A 30682-2020")</f>
        <v/>
      </c>
      <c r="V70">
        <f>HYPERLINK("https://klasma.github.io/Logging_1290/klagomål/A 30682-2020 FSC-klagomål.docx", "A 30682-2020")</f>
        <v/>
      </c>
      <c r="W70">
        <f>HYPERLINK("https://klasma.github.io/Logging_1290/klagomålsmail/A 30682-2020 FSC-klagomål mail.docx", "A 30682-2020")</f>
        <v/>
      </c>
      <c r="X70">
        <f>HYPERLINK("https://klasma.github.io/Logging_1290/tillsyn/A 30682-2020 tillsynsbegäran.docx", "A 30682-2020")</f>
        <v/>
      </c>
      <c r="Y70">
        <f>HYPERLINK("https://klasma.github.io/Logging_1290/tillsynsmail/A 30682-2020 tillsynsbegäran mail.docx", "A 30682-2020")</f>
        <v/>
      </c>
    </row>
    <row r="71" ht="15" customHeight="1">
      <c r="A71" t="inlineStr">
        <is>
          <t>A 59303-2020</t>
        </is>
      </c>
      <c r="B71" s="1" t="n">
        <v>44147</v>
      </c>
      <c r="C71" s="1" t="n">
        <v>45695</v>
      </c>
      <c r="D71" t="inlineStr">
        <is>
          <t>SKÅNE LÄN</t>
        </is>
      </c>
      <c r="E71" t="inlineStr">
        <is>
          <t>HÄSSLEHOLM</t>
        </is>
      </c>
      <c r="G71" t="n">
        <v>13</v>
      </c>
      <c r="H71" t="n">
        <v>1</v>
      </c>
      <c r="I71" t="n">
        <v>1</v>
      </c>
      <c r="J71" t="n">
        <v>1</v>
      </c>
      <c r="K71" t="n">
        <v>0</v>
      </c>
      <c r="L71" t="n">
        <v>1</v>
      </c>
      <c r="M71" t="n">
        <v>0</v>
      </c>
      <c r="N71" t="n">
        <v>0</v>
      </c>
      <c r="O71" t="n">
        <v>2</v>
      </c>
      <c r="P71" t="n">
        <v>1</v>
      </c>
      <c r="Q71" t="n">
        <v>3</v>
      </c>
      <c r="R71" s="2" t="inlineStr">
        <is>
          <t>Dvärgjohannesört
Borsttåg
Kambräken</t>
        </is>
      </c>
      <c r="S71">
        <f>HYPERLINK("https://klasma.github.io/Logging_1293/artfynd/A 59303-2020 artfynd.xlsx", "A 59303-2020")</f>
        <v/>
      </c>
      <c r="T71">
        <f>HYPERLINK("https://klasma.github.io/Logging_1293/kartor/A 59303-2020 karta.png", "A 59303-2020")</f>
        <v/>
      </c>
      <c r="V71">
        <f>HYPERLINK("https://klasma.github.io/Logging_1293/klagomål/A 59303-2020 FSC-klagomål.docx", "A 59303-2020")</f>
        <v/>
      </c>
      <c r="W71">
        <f>HYPERLINK("https://klasma.github.io/Logging_1293/klagomålsmail/A 59303-2020 FSC-klagomål mail.docx", "A 59303-2020")</f>
        <v/>
      </c>
      <c r="X71">
        <f>HYPERLINK("https://klasma.github.io/Logging_1293/tillsyn/A 59303-2020 tillsynsbegäran.docx", "A 59303-2020")</f>
        <v/>
      </c>
      <c r="Y71">
        <f>HYPERLINK("https://klasma.github.io/Logging_1293/tillsynsmail/A 59303-2020 tillsynsbegäran mail.docx", "A 59303-2020")</f>
        <v/>
      </c>
    </row>
    <row r="72" ht="15" customHeight="1">
      <c r="A72" t="inlineStr">
        <is>
          <t>A 1876-2021</t>
        </is>
      </c>
      <c r="B72" s="1" t="n">
        <v>44210</v>
      </c>
      <c r="C72" s="1" t="n">
        <v>45695</v>
      </c>
      <c r="D72" t="inlineStr">
        <is>
          <t>SKÅNE LÄN</t>
        </is>
      </c>
      <c r="E72" t="inlineStr">
        <is>
          <t>OSBY</t>
        </is>
      </c>
      <c r="G72" t="n">
        <v>4.3</v>
      </c>
      <c r="H72" t="n">
        <v>3</v>
      </c>
      <c r="I72" t="n">
        <v>0</v>
      </c>
      <c r="J72" t="n">
        <v>1</v>
      </c>
      <c r="K72" t="n">
        <v>0</v>
      </c>
      <c r="L72" t="n">
        <v>1</v>
      </c>
      <c r="M72" t="n">
        <v>0</v>
      </c>
      <c r="N72" t="n">
        <v>0</v>
      </c>
      <c r="O72" t="n">
        <v>2</v>
      </c>
      <c r="P72" t="n">
        <v>1</v>
      </c>
      <c r="Q72" t="n">
        <v>3</v>
      </c>
      <c r="R72" s="2" t="inlineStr">
        <is>
          <t>Tornseglare
Svartvit flugsnappare
Kungsfågel</t>
        </is>
      </c>
      <c r="S72">
        <f>HYPERLINK("https://klasma.github.io/Logging_1273/artfynd/A 1876-2021 artfynd.xlsx", "A 1876-2021")</f>
        <v/>
      </c>
      <c r="T72">
        <f>HYPERLINK("https://klasma.github.io/Logging_1273/kartor/A 1876-2021 karta.png", "A 1876-2021")</f>
        <v/>
      </c>
      <c r="V72">
        <f>HYPERLINK("https://klasma.github.io/Logging_1273/klagomål/A 1876-2021 FSC-klagomål.docx", "A 1876-2021")</f>
        <v/>
      </c>
      <c r="W72">
        <f>HYPERLINK("https://klasma.github.io/Logging_1273/klagomålsmail/A 1876-2021 FSC-klagomål mail.docx", "A 1876-2021")</f>
        <v/>
      </c>
      <c r="X72">
        <f>HYPERLINK("https://klasma.github.io/Logging_1273/tillsyn/A 1876-2021 tillsynsbegäran.docx", "A 1876-2021")</f>
        <v/>
      </c>
      <c r="Y72">
        <f>HYPERLINK("https://klasma.github.io/Logging_1273/tillsynsmail/A 1876-2021 tillsynsbegäran mail.docx", "A 1876-2021")</f>
        <v/>
      </c>
      <c r="Z72">
        <f>HYPERLINK("https://klasma.github.io/Logging_1273/fåglar/A 1876-2021 prioriterade fågelarter.docx", "A 1876-2021")</f>
        <v/>
      </c>
    </row>
    <row r="73" ht="15" customHeight="1">
      <c r="A73" t="inlineStr">
        <is>
          <t>A 22968-2021</t>
        </is>
      </c>
      <c r="B73" s="1" t="n">
        <v>44328</v>
      </c>
      <c r="C73" s="1" t="n">
        <v>45695</v>
      </c>
      <c r="D73" t="inlineStr">
        <is>
          <t>SKÅNE LÄN</t>
        </is>
      </c>
      <c r="E73" t="inlineStr">
        <is>
          <t>KRISTIANSTAD</t>
        </is>
      </c>
      <c r="G73" t="n">
        <v>1.1</v>
      </c>
      <c r="H73" t="n">
        <v>1</v>
      </c>
      <c r="I73" t="n">
        <v>0</v>
      </c>
      <c r="J73" t="n">
        <v>1</v>
      </c>
      <c r="K73" t="n">
        <v>0</v>
      </c>
      <c r="L73" t="n">
        <v>1</v>
      </c>
      <c r="M73" t="n">
        <v>0</v>
      </c>
      <c r="N73" t="n">
        <v>0</v>
      </c>
      <c r="O73" t="n">
        <v>2</v>
      </c>
      <c r="P73" t="n">
        <v>1</v>
      </c>
      <c r="Q73" t="n">
        <v>3</v>
      </c>
      <c r="R73" s="2" t="inlineStr">
        <is>
          <t>Prakttagging
Tallticka
Grönsiska</t>
        </is>
      </c>
      <c r="S73">
        <f>HYPERLINK("https://klasma.github.io/Logging_1290/artfynd/A 22968-2021 artfynd.xlsx", "A 22968-2021")</f>
        <v/>
      </c>
      <c r="T73">
        <f>HYPERLINK("https://klasma.github.io/Logging_1290/kartor/A 22968-2021 karta.png", "A 22968-2021")</f>
        <v/>
      </c>
      <c r="V73">
        <f>HYPERLINK("https://klasma.github.io/Logging_1290/klagomål/A 22968-2021 FSC-klagomål.docx", "A 22968-2021")</f>
        <v/>
      </c>
      <c r="W73">
        <f>HYPERLINK("https://klasma.github.io/Logging_1290/klagomålsmail/A 22968-2021 FSC-klagomål mail.docx", "A 22968-2021")</f>
        <v/>
      </c>
      <c r="X73">
        <f>HYPERLINK("https://klasma.github.io/Logging_1290/tillsyn/A 22968-2021 tillsynsbegäran.docx", "A 22968-2021")</f>
        <v/>
      </c>
      <c r="Y73">
        <f>HYPERLINK("https://klasma.github.io/Logging_1290/tillsynsmail/A 22968-2021 tillsynsbegäran mail.docx", "A 22968-2021")</f>
        <v/>
      </c>
      <c r="Z73">
        <f>HYPERLINK("https://klasma.github.io/Logging_1290/fåglar/A 22968-2021 prioriterade fågelarter.docx", "A 22968-2021")</f>
        <v/>
      </c>
    </row>
    <row r="74" ht="15" customHeight="1">
      <c r="A74" t="inlineStr">
        <is>
          <t>A 52020-2021</t>
        </is>
      </c>
      <c r="B74" s="1" t="n">
        <v>44463</v>
      </c>
      <c r="C74" s="1" t="n">
        <v>45695</v>
      </c>
      <c r="D74" t="inlineStr">
        <is>
          <t>SKÅNE LÄN</t>
        </is>
      </c>
      <c r="E74" t="inlineStr">
        <is>
          <t>KRISTIANSTAD</t>
        </is>
      </c>
      <c r="G74" t="n">
        <v>1</v>
      </c>
      <c r="H74" t="n">
        <v>3</v>
      </c>
      <c r="I74" t="n">
        <v>0</v>
      </c>
      <c r="J74" t="n">
        <v>0</v>
      </c>
      <c r="K74" t="n">
        <v>0</v>
      </c>
      <c r="L74" t="n">
        <v>1</v>
      </c>
      <c r="M74" t="n">
        <v>0</v>
      </c>
      <c r="N74" t="n">
        <v>0</v>
      </c>
      <c r="O74" t="n">
        <v>1</v>
      </c>
      <c r="P74" t="n">
        <v>1</v>
      </c>
      <c r="Q74" t="n">
        <v>3</v>
      </c>
      <c r="R74" s="2" t="inlineStr">
        <is>
          <t>Grönfink
Järnsparv
Kungsfågel</t>
        </is>
      </c>
      <c r="S74">
        <f>HYPERLINK("https://klasma.github.io/Logging_1290/artfynd/A 52020-2021 artfynd.xlsx", "A 52020-2021")</f>
        <v/>
      </c>
      <c r="T74">
        <f>HYPERLINK("https://klasma.github.io/Logging_1290/kartor/A 52020-2021 karta.png", "A 52020-2021")</f>
        <v/>
      </c>
      <c r="V74">
        <f>HYPERLINK("https://klasma.github.io/Logging_1290/klagomål/A 52020-2021 FSC-klagomål.docx", "A 52020-2021")</f>
        <v/>
      </c>
      <c r="W74">
        <f>HYPERLINK("https://klasma.github.io/Logging_1290/klagomålsmail/A 52020-2021 FSC-klagomål mail.docx", "A 52020-2021")</f>
        <v/>
      </c>
      <c r="X74">
        <f>HYPERLINK("https://klasma.github.io/Logging_1290/tillsyn/A 52020-2021 tillsynsbegäran.docx", "A 52020-2021")</f>
        <v/>
      </c>
      <c r="Y74">
        <f>HYPERLINK("https://klasma.github.io/Logging_1290/tillsynsmail/A 52020-2021 tillsynsbegäran mail.docx", "A 52020-2021")</f>
        <v/>
      </c>
      <c r="Z74">
        <f>HYPERLINK("https://klasma.github.io/Logging_1290/fåglar/A 52020-2021 prioriterade fågelarter.docx", "A 52020-2021")</f>
        <v/>
      </c>
    </row>
    <row r="75" ht="15" customHeight="1">
      <c r="A75" t="inlineStr">
        <is>
          <t>A 52039-2021</t>
        </is>
      </c>
      <c r="B75" s="1" t="n">
        <v>44463</v>
      </c>
      <c r="C75" s="1" t="n">
        <v>45695</v>
      </c>
      <c r="D75" t="inlineStr">
        <is>
          <t>SKÅNE LÄN</t>
        </is>
      </c>
      <c r="E75" t="inlineStr">
        <is>
          <t>KRISTIANSTAD</t>
        </is>
      </c>
      <c r="G75" t="n">
        <v>3.1</v>
      </c>
      <c r="H75" t="n">
        <v>3</v>
      </c>
      <c r="I75" t="n">
        <v>0</v>
      </c>
      <c r="J75" t="n">
        <v>1</v>
      </c>
      <c r="K75" t="n">
        <v>0</v>
      </c>
      <c r="L75" t="n">
        <v>0</v>
      </c>
      <c r="M75" t="n">
        <v>0</v>
      </c>
      <c r="N75" t="n">
        <v>0</v>
      </c>
      <c r="O75" t="n">
        <v>1</v>
      </c>
      <c r="P75" t="n">
        <v>0</v>
      </c>
      <c r="Q75" t="n">
        <v>3</v>
      </c>
      <c r="R75" s="2" t="inlineStr">
        <is>
          <t>Entita
Järnsparv
Gullviva</t>
        </is>
      </c>
      <c r="S75">
        <f>HYPERLINK("https://klasma.github.io/Logging_1290/artfynd/A 52039-2021 artfynd.xlsx", "A 52039-2021")</f>
        <v/>
      </c>
      <c r="T75">
        <f>HYPERLINK("https://klasma.github.io/Logging_1290/kartor/A 52039-2021 karta.png", "A 52039-2021")</f>
        <v/>
      </c>
      <c r="V75">
        <f>HYPERLINK("https://klasma.github.io/Logging_1290/klagomål/A 52039-2021 FSC-klagomål.docx", "A 52039-2021")</f>
        <v/>
      </c>
      <c r="W75">
        <f>HYPERLINK("https://klasma.github.io/Logging_1290/klagomålsmail/A 52039-2021 FSC-klagomål mail.docx", "A 52039-2021")</f>
        <v/>
      </c>
      <c r="X75">
        <f>HYPERLINK("https://klasma.github.io/Logging_1290/tillsyn/A 52039-2021 tillsynsbegäran.docx", "A 52039-2021")</f>
        <v/>
      </c>
      <c r="Y75">
        <f>HYPERLINK("https://klasma.github.io/Logging_1290/tillsynsmail/A 52039-2021 tillsynsbegäran mail.docx", "A 52039-2021")</f>
        <v/>
      </c>
      <c r="Z75">
        <f>HYPERLINK("https://klasma.github.io/Logging_1290/fåglar/A 52039-2021 prioriterade fågelarter.docx", "A 52039-2021")</f>
        <v/>
      </c>
    </row>
    <row r="76" ht="15" customHeight="1">
      <c r="A76" t="inlineStr">
        <is>
          <t>A 54542-2021</t>
        </is>
      </c>
      <c r="B76" s="1" t="n">
        <v>44473</v>
      </c>
      <c r="C76" s="1" t="n">
        <v>45695</v>
      </c>
      <c r="D76" t="inlineStr">
        <is>
          <t>SKÅNE LÄN</t>
        </is>
      </c>
      <c r="E76" t="inlineStr">
        <is>
          <t>KRISTIANSTAD</t>
        </is>
      </c>
      <c r="G76" t="n">
        <v>9.6</v>
      </c>
      <c r="H76" t="n">
        <v>1</v>
      </c>
      <c r="I76" t="n">
        <v>1</v>
      </c>
      <c r="J76" t="n">
        <v>2</v>
      </c>
      <c r="K76" t="n">
        <v>0</v>
      </c>
      <c r="L76" t="n">
        <v>0</v>
      </c>
      <c r="M76" t="n">
        <v>0</v>
      </c>
      <c r="N76" t="n">
        <v>0</v>
      </c>
      <c r="O76" t="n">
        <v>2</v>
      </c>
      <c r="P76" t="n">
        <v>0</v>
      </c>
      <c r="Q76" t="n">
        <v>3</v>
      </c>
      <c r="R76" s="2" t="inlineStr">
        <is>
          <t>Havsörn
Tallticka
Grovticka</t>
        </is>
      </c>
      <c r="S76">
        <f>HYPERLINK("https://klasma.github.io/Logging_1290/artfynd/A 54542-2021 artfynd.xlsx", "A 54542-2021")</f>
        <v/>
      </c>
      <c r="T76">
        <f>HYPERLINK("https://klasma.github.io/Logging_1290/kartor/A 54542-2021 karta.png", "A 54542-2021")</f>
        <v/>
      </c>
      <c r="V76">
        <f>HYPERLINK("https://klasma.github.io/Logging_1290/klagomål/A 54542-2021 FSC-klagomål.docx", "A 54542-2021")</f>
        <v/>
      </c>
      <c r="W76">
        <f>HYPERLINK("https://klasma.github.io/Logging_1290/klagomålsmail/A 54542-2021 FSC-klagomål mail.docx", "A 54542-2021")</f>
        <v/>
      </c>
      <c r="X76">
        <f>HYPERLINK("https://klasma.github.io/Logging_1290/tillsyn/A 54542-2021 tillsynsbegäran.docx", "A 54542-2021")</f>
        <v/>
      </c>
      <c r="Y76">
        <f>HYPERLINK("https://klasma.github.io/Logging_1290/tillsynsmail/A 54542-2021 tillsynsbegäran mail.docx", "A 54542-2021")</f>
        <v/>
      </c>
      <c r="Z76">
        <f>HYPERLINK("https://klasma.github.io/Logging_1290/fåglar/A 54542-2021 prioriterade fågelarter.docx", "A 54542-2021")</f>
        <v/>
      </c>
    </row>
    <row r="77" ht="15" customHeight="1">
      <c r="A77" t="inlineStr">
        <is>
          <t>A 1481-2022</t>
        </is>
      </c>
      <c r="B77" s="1" t="n">
        <v>44573</v>
      </c>
      <c r="C77" s="1" t="n">
        <v>45695</v>
      </c>
      <c r="D77" t="inlineStr">
        <is>
          <t>SKÅNE LÄN</t>
        </is>
      </c>
      <c r="E77" t="inlineStr">
        <is>
          <t>KÄVLINGE</t>
        </is>
      </c>
      <c r="G77" t="n">
        <v>7.8</v>
      </c>
      <c r="H77" t="n">
        <v>1</v>
      </c>
      <c r="I77" t="n">
        <v>1</v>
      </c>
      <c r="J77" t="n">
        <v>2</v>
      </c>
      <c r="K77" t="n">
        <v>0</v>
      </c>
      <c r="L77" t="n">
        <v>0</v>
      </c>
      <c r="M77" t="n">
        <v>0</v>
      </c>
      <c r="N77" t="n">
        <v>0</v>
      </c>
      <c r="O77" t="n">
        <v>2</v>
      </c>
      <c r="P77" t="n">
        <v>0</v>
      </c>
      <c r="Q77" t="n">
        <v>3</v>
      </c>
      <c r="R77" s="2" t="inlineStr">
        <is>
          <t>Grönsångare
Sadelmurkla
Kragjordstjärna</t>
        </is>
      </c>
      <c r="S77">
        <f>HYPERLINK("https://klasma.github.io/Logging_1261/artfynd/A 1481-2022 artfynd.xlsx", "A 1481-2022")</f>
        <v/>
      </c>
      <c r="T77">
        <f>HYPERLINK("https://klasma.github.io/Logging_1261/kartor/A 1481-2022 karta.png", "A 1481-2022")</f>
        <v/>
      </c>
      <c r="V77">
        <f>HYPERLINK("https://klasma.github.io/Logging_1261/klagomål/A 1481-2022 FSC-klagomål.docx", "A 1481-2022")</f>
        <v/>
      </c>
      <c r="W77">
        <f>HYPERLINK("https://klasma.github.io/Logging_1261/klagomålsmail/A 1481-2022 FSC-klagomål mail.docx", "A 1481-2022")</f>
        <v/>
      </c>
      <c r="X77">
        <f>HYPERLINK("https://klasma.github.io/Logging_1261/tillsyn/A 1481-2022 tillsynsbegäran.docx", "A 1481-2022")</f>
        <v/>
      </c>
      <c r="Y77">
        <f>HYPERLINK("https://klasma.github.io/Logging_1261/tillsynsmail/A 1481-2022 tillsynsbegäran mail.docx", "A 1481-2022")</f>
        <v/>
      </c>
      <c r="Z77">
        <f>HYPERLINK("https://klasma.github.io/Logging_1261/fåglar/A 1481-2022 prioriterade fågelarter.docx", "A 1481-2022")</f>
        <v/>
      </c>
    </row>
    <row r="78" ht="15" customHeight="1">
      <c r="A78" t="inlineStr">
        <is>
          <t>A 31351-2022</t>
        </is>
      </c>
      <c r="B78" s="1" t="n">
        <v>44774</v>
      </c>
      <c r="C78" s="1" t="n">
        <v>45695</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37031-2022</t>
        </is>
      </c>
      <c r="B79" s="1" t="n">
        <v>44806</v>
      </c>
      <c r="C79" s="1" t="n">
        <v>45695</v>
      </c>
      <c r="D79" t="inlineStr">
        <is>
          <t>SKÅNE LÄN</t>
        </is>
      </c>
      <c r="E79" t="inlineStr">
        <is>
          <t>KLIPPAN</t>
        </is>
      </c>
      <c r="G79" t="n">
        <v>2.8</v>
      </c>
      <c r="H79" t="n">
        <v>0</v>
      </c>
      <c r="I79" t="n">
        <v>3</v>
      </c>
      <c r="J79" t="n">
        <v>0</v>
      </c>
      <c r="K79" t="n">
        <v>0</v>
      </c>
      <c r="L79" t="n">
        <v>0</v>
      </c>
      <c r="M79" t="n">
        <v>0</v>
      </c>
      <c r="N79" t="n">
        <v>0</v>
      </c>
      <c r="O79" t="n">
        <v>0</v>
      </c>
      <c r="P79" t="n">
        <v>0</v>
      </c>
      <c r="Q79" t="n">
        <v>3</v>
      </c>
      <c r="R79" s="2" t="inlineStr">
        <is>
          <t>Blåmossa
Dvärgkällmossa
Västlig husmossa</t>
        </is>
      </c>
      <c r="S79">
        <f>HYPERLINK("https://klasma.github.io/Logging_1276/artfynd/A 37031-2022 artfynd.xlsx", "A 37031-2022")</f>
        <v/>
      </c>
      <c r="T79">
        <f>HYPERLINK("https://klasma.github.io/Logging_1276/kartor/A 37031-2022 karta.png", "A 37031-2022")</f>
        <v/>
      </c>
      <c r="V79">
        <f>HYPERLINK("https://klasma.github.io/Logging_1276/klagomål/A 37031-2022 FSC-klagomål.docx", "A 37031-2022")</f>
        <v/>
      </c>
      <c r="W79">
        <f>HYPERLINK("https://klasma.github.io/Logging_1276/klagomålsmail/A 37031-2022 FSC-klagomål mail.docx", "A 37031-2022")</f>
        <v/>
      </c>
      <c r="X79">
        <f>HYPERLINK("https://klasma.github.io/Logging_1276/tillsyn/A 37031-2022 tillsynsbegäran.docx", "A 37031-2022")</f>
        <v/>
      </c>
      <c r="Y79">
        <f>HYPERLINK("https://klasma.github.io/Logging_1276/tillsynsmail/A 37031-2022 tillsynsbegäran mail.docx", "A 37031-2022")</f>
        <v/>
      </c>
    </row>
    <row r="80" ht="15" customHeight="1">
      <c r="A80" t="inlineStr">
        <is>
          <t>A 40509-2022</t>
        </is>
      </c>
      <c r="B80" s="1" t="n">
        <v>44823</v>
      </c>
      <c r="C80" s="1" t="n">
        <v>45695</v>
      </c>
      <c r="D80" t="inlineStr">
        <is>
          <t>SKÅNE LÄN</t>
        </is>
      </c>
      <c r="E80" t="inlineStr">
        <is>
          <t>KRISTIANSTAD</t>
        </is>
      </c>
      <c r="F80" t="inlineStr">
        <is>
          <t>Sveaskog</t>
        </is>
      </c>
      <c r="G80" t="n">
        <v>1.8</v>
      </c>
      <c r="H80" t="n">
        <v>0</v>
      </c>
      <c r="I80" t="n">
        <v>1</v>
      </c>
      <c r="J80" t="n">
        <v>1</v>
      </c>
      <c r="K80" t="n">
        <v>1</v>
      </c>
      <c r="L80" t="n">
        <v>0</v>
      </c>
      <c r="M80" t="n">
        <v>0</v>
      </c>
      <c r="N80" t="n">
        <v>0</v>
      </c>
      <c r="O80" t="n">
        <v>2</v>
      </c>
      <c r="P80" t="n">
        <v>1</v>
      </c>
      <c r="Q80" t="n">
        <v>3</v>
      </c>
      <c r="R80" s="2" t="inlineStr">
        <is>
          <t>Småvänderot
Skogslysing
Svart trolldruva</t>
        </is>
      </c>
      <c r="S80">
        <f>HYPERLINK("https://klasma.github.io/Logging_1290/artfynd/A 40509-2022 artfynd.xlsx", "A 40509-2022")</f>
        <v/>
      </c>
      <c r="T80">
        <f>HYPERLINK("https://klasma.github.io/Logging_1290/kartor/A 40509-2022 karta.png", "A 40509-2022")</f>
        <v/>
      </c>
      <c r="V80">
        <f>HYPERLINK("https://klasma.github.io/Logging_1290/klagomål/A 40509-2022 FSC-klagomål.docx", "A 40509-2022")</f>
        <v/>
      </c>
      <c r="W80">
        <f>HYPERLINK("https://klasma.github.io/Logging_1290/klagomålsmail/A 40509-2022 FSC-klagomål mail.docx", "A 40509-2022")</f>
        <v/>
      </c>
      <c r="X80">
        <f>HYPERLINK("https://klasma.github.io/Logging_1290/tillsyn/A 40509-2022 tillsynsbegäran.docx", "A 40509-2022")</f>
        <v/>
      </c>
      <c r="Y80">
        <f>HYPERLINK("https://klasma.github.io/Logging_1290/tillsynsmail/A 40509-2022 tillsynsbegäran mail.docx", "A 40509-2022")</f>
        <v/>
      </c>
    </row>
    <row r="81" ht="15" customHeight="1">
      <c r="A81" t="inlineStr">
        <is>
          <t>A 62060-2022</t>
        </is>
      </c>
      <c r="B81" s="1" t="n">
        <v>44918</v>
      </c>
      <c r="C81" s="1" t="n">
        <v>45695</v>
      </c>
      <c r="D81" t="inlineStr">
        <is>
          <t>SKÅNE LÄN</t>
        </is>
      </c>
      <c r="E81" t="inlineStr">
        <is>
          <t>ÖSTRA GÖINGE</t>
        </is>
      </c>
      <c r="G81" t="n">
        <v>2.7</v>
      </c>
      <c r="H81" t="n">
        <v>0</v>
      </c>
      <c r="I81" t="n">
        <v>1</v>
      </c>
      <c r="J81" t="n">
        <v>2</v>
      </c>
      <c r="K81" t="n">
        <v>0</v>
      </c>
      <c r="L81" t="n">
        <v>0</v>
      </c>
      <c r="M81" t="n">
        <v>0</v>
      </c>
      <c r="N81" t="n">
        <v>0</v>
      </c>
      <c r="O81" t="n">
        <v>2</v>
      </c>
      <c r="P81" t="n">
        <v>0</v>
      </c>
      <c r="Q81" t="n">
        <v>3</v>
      </c>
      <c r="R81" s="2" t="inlineStr">
        <is>
          <t>Desmeknopp
Matt pricklav
Grå skärelav</t>
        </is>
      </c>
      <c r="S81">
        <f>HYPERLINK("https://klasma.github.io/Logging_1256/artfynd/A 62060-2022 artfynd.xlsx", "A 62060-2022")</f>
        <v/>
      </c>
      <c r="T81">
        <f>HYPERLINK("https://klasma.github.io/Logging_1256/kartor/A 62060-2022 karta.png", "A 62060-2022")</f>
        <v/>
      </c>
      <c r="V81">
        <f>HYPERLINK("https://klasma.github.io/Logging_1256/klagomål/A 62060-2022 FSC-klagomål.docx", "A 62060-2022")</f>
        <v/>
      </c>
      <c r="W81">
        <f>HYPERLINK("https://klasma.github.io/Logging_1256/klagomålsmail/A 62060-2022 FSC-klagomål mail.docx", "A 62060-2022")</f>
        <v/>
      </c>
      <c r="X81">
        <f>HYPERLINK("https://klasma.github.io/Logging_1256/tillsyn/A 62060-2022 tillsynsbegäran.docx", "A 62060-2022")</f>
        <v/>
      </c>
      <c r="Y81">
        <f>HYPERLINK("https://klasma.github.io/Logging_1256/tillsynsmail/A 62060-2022 tillsynsbegäran mail.docx", "A 62060-2022")</f>
        <v/>
      </c>
    </row>
    <row r="82" ht="15" customHeight="1">
      <c r="A82" t="inlineStr">
        <is>
          <t>A 2943-2023</t>
        </is>
      </c>
      <c r="B82" s="1" t="n">
        <v>44945</v>
      </c>
      <c r="C82" s="1" t="n">
        <v>45695</v>
      </c>
      <c r="D82" t="inlineStr">
        <is>
          <t>SKÅNE LÄN</t>
        </is>
      </c>
      <c r="E82" t="inlineStr">
        <is>
          <t>BÅSTAD</t>
        </is>
      </c>
      <c r="G82" t="n">
        <v>11.3</v>
      </c>
      <c r="H82" t="n">
        <v>1</v>
      </c>
      <c r="I82" t="n">
        <v>1</v>
      </c>
      <c r="J82" t="n">
        <v>0</v>
      </c>
      <c r="K82" t="n">
        <v>0</v>
      </c>
      <c r="L82" t="n">
        <v>0</v>
      </c>
      <c r="M82" t="n">
        <v>1</v>
      </c>
      <c r="N82" t="n">
        <v>0</v>
      </c>
      <c r="O82" t="n">
        <v>1</v>
      </c>
      <c r="P82" t="n">
        <v>1</v>
      </c>
      <c r="Q82" t="n">
        <v>3</v>
      </c>
      <c r="R82" s="2" t="inlineStr">
        <is>
          <t>Skogsalm
Sårläka
Grönvit nattviol</t>
        </is>
      </c>
      <c r="S82">
        <f>HYPERLINK("https://klasma.github.io/Logging_1278/artfynd/A 2943-2023 artfynd.xlsx", "A 2943-2023")</f>
        <v/>
      </c>
      <c r="T82">
        <f>HYPERLINK("https://klasma.github.io/Logging_1278/kartor/A 2943-2023 karta.png", "A 2943-2023")</f>
        <v/>
      </c>
      <c r="V82">
        <f>HYPERLINK("https://klasma.github.io/Logging_1278/klagomål/A 2943-2023 FSC-klagomål.docx", "A 2943-2023")</f>
        <v/>
      </c>
      <c r="W82">
        <f>HYPERLINK("https://klasma.github.io/Logging_1278/klagomålsmail/A 2943-2023 FSC-klagomål mail.docx", "A 2943-2023")</f>
        <v/>
      </c>
      <c r="X82">
        <f>HYPERLINK("https://klasma.github.io/Logging_1278/tillsyn/A 2943-2023 tillsynsbegäran.docx", "A 2943-2023")</f>
        <v/>
      </c>
      <c r="Y82">
        <f>HYPERLINK("https://klasma.github.io/Logging_1278/tillsynsmail/A 2943-2023 tillsynsbegäran mail.docx", "A 2943-2023")</f>
        <v/>
      </c>
    </row>
    <row r="83" ht="15" customHeight="1">
      <c r="A83" t="inlineStr">
        <is>
          <t>A 7554-2023</t>
        </is>
      </c>
      <c r="B83" s="1" t="n">
        <v>44967</v>
      </c>
      <c r="C83" s="1" t="n">
        <v>45695</v>
      </c>
      <c r="D83" t="inlineStr">
        <is>
          <t>SKÅNE LÄN</t>
        </is>
      </c>
      <c r="E83" t="inlineStr">
        <is>
          <t>BROMÖLLA</t>
        </is>
      </c>
      <c r="G83" t="n">
        <v>2.8</v>
      </c>
      <c r="H83" t="n">
        <v>0</v>
      </c>
      <c r="I83" t="n">
        <v>3</v>
      </c>
      <c r="J83" t="n">
        <v>0</v>
      </c>
      <c r="K83" t="n">
        <v>0</v>
      </c>
      <c r="L83" t="n">
        <v>0</v>
      </c>
      <c r="M83" t="n">
        <v>0</v>
      </c>
      <c r="N83" t="n">
        <v>0</v>
      </c>
      <c r="O83" t="n">
        <v>0</v>
      </c>
      <c r="P83" t="n">
        <v>0</v>
      </c>
      <c r="Q83" t="n">
        <v>3</v>
      </c>
      <c r="R83" s="2" t="inlineStr">
        <is>
          <t>Stor häxört
Svart trolldruva
Underviol</t>
        </is>
      </c>
      <c r="S83">
        <f>HYPERLINK("https://klasma.github.io/Logging_1272/artfynd/A 7554-2023 artfynd.xlsx", "A 7554-2023")</f>
        <v/>
      </c>
      <c r="T83">
        <f>HYPERLINK("https://klasma.github.io/Logging_1272/kartor/A 7554-2023 karta.png", "A 7554-2023")</f>
        <v/>
      </c>
      <c r="V83">
        <f>HYPERLINK("https://klasma.github.io/Logging_1272/klagomål/A 7554-2023 FSC-klagomål.docx", "A 7554-2023")</f>
        <v/>
      </c>
      <c r="W83">
        <f>HYPERLINK("https://klasma.github.io/Logging_1272/klagomålsmail/A 7554-2023 FSC-klagomål mail.docx", "A 7554-2023")</f>
        <v/>
      </c>
      <c r="X83">
        <f>HYPERLINK("https://klasma.github.io/Logging_1272/tillsyn/A 7554-2023 tillsynsbegäran.docx", "A 7554-2023")</f>
        <v/>
      </c>
      <c r="Y83">
        <f>HYPERLINK("https://klasma.github.io/Logging_1272/tillsynsmail/A 7554-2023 tillsynsbegäran mail.docx", "A 7554-2023")</f>
        <v/>
      </c>
    </row>
    <row r="84" ht="15" customHeight="1">
      <c r="A84" t="inlineStr">
        <is>
          <t>A 12576-2023</t>
        </is>
      </c>
      <c r="B84" s="1" t="n">
        <v>45000</v>
      </c>
      <c r="C84" s="1" t="n">
        <v>45695</v>
      </c>
      <c r="D84" t="inlineStr">
        <is>
          <t>SKÅNE LÄN</t>
        </is>
      </c>
      <c r="E84" t="inlineStr">
        <is>
          <t>KRISTIANSTAD</t>
        </is>
      </c>
      <c r="G84" t="n">
        <v>5.8</v>
      </c>
      <c r="H84" t="n">
        <v>0</v>
      </c>
      <c r="I84" t="n">
        <v>0</v>
      </c>
      <c r="J84" t="n">
        <v>2</v>
      </c>
      <c r="K84" t="n">
        <v>1</v>
      </c>
      <c r="L84" t="n">
        <v>0</v>
      </c>
      <c r="M84" t="n">
        <v>0</v>
      </c>
      <c r="N84" t="n">
        <v>0</v>
      </c>
      <c r="O84" t="n">
        <v>3</v>
      </c>
      <c r="P84" t="n">
        <v>1</v>
      </c>
      <c r="Q84" t="n">
        <v>3</v>
      </c>
      <c r="R84" s="2" t="inlineStr">
        <is>
          <t>Bukspolsnäcka
Lamellsnäcka
Tandsnäcka</t>
        </is>
      </c>
      <c r="S84">
        <f>HYPERLINK("https://klasma.github.io/Logging_1290/artfynd/A 12576-2023 artfynd.xlsx", "A 12576-2023")</f>
        <v/>
      </c>
      <c r="T84">
        <f>HYPERLINK("https://klasma.github.io/Logging_1290/kartor/A 12576-2023 karta.png", "A 12576-2023")</f>
        <v/>
      </c>
      <c r="V84">
        <f>HYPERLINK("https://klasma.github.io/Logging_1290/klagomål/A 12576-2023 FSC-klagomål.docx", "A 12576-2023")</f>
        <v/>
      </c>
      <c r="W84">
        <f>HYPERLINK("https://klasma.github.io/Logging_1290/klagomålsmail/A 12576-2023 FSC-klagomål mail.docx", "A 12576-2023")</f>
        <v/>
      </c>
      <c r="X84">
        <f>HYPERLINK("https://klasma.github.io/Logging_1290/tillsyn/A 12576-2023 tillsynsbegäran.docx", "A 12576-2023")</f>
        <v/>
      </c>
      <c r="Y84">
        <f>HYPERLINK("https://klasma.github.io/Logging_1290/tillsynsmail/A 12576-2023 tillsynsbegäran mail.docx", "A 12576-2023")</f>
        <v/>
      </c>
    </row>
    <row r="85" ht="15" customHeight="1">
      <c r="A85" t="inlineStr">
        <is>
          <t>A 18969-2023</t>
        </is>
      </c>
      <c r="B85" s="1" t="n">
        <v>45044</v>
      </c>
      <c r="C85" s="1" t="n">
        <v>45695</v>
      </c>
      <c r="D85" t="inlineStr">
        <is>
          <t>SKÅNE LÄN</t>
        </is>
      </c>
      <c r="E85" t="inlineStr">
        <is>
          <t>SJÖBO</t>
        </is>
      </c>
      <c r="G85" t="n">
        <v>5.7</v>
      </c>
      <c r="H85" t="n">
        <v>0</v>
      </c>
      <c r="I85" t="n">
        <v>3</v>
      </c>
      <c r="J85" t="n">
        <v>0</v>
      </c>
      <c r="K85" t="n">
        <v>0</v>
      </c>
      <c r="L85" t="n">
        <v>0</v>
      </c>
      <c r="M85" t="n">
        <v>0</v>
      </c>
      <c r="N85" t="n">
        <v>0</v>
      </c>
      <c r="O85" t="n">
        <v>0</v>
      </c>
      <c r="P85" t="n">
        <v>0</v>
      </c>
      <c r="Q85" t="n">
        <v>3</v>
      </c>
      <c r="R85" s="2" t="inlineStr">
        <is>
          <t>Kransrams
Lundbräsma
Platt fjädermossa</t>
        </is>
      </c>
      <c r="S85">
        <f>HYPERLINK("https://klasma.github.io/Logging_1265/artfynd/A 18969-2023 artfynd.xlsx", "A 18969-2023")</f>
        <v/>
      </c>
      <c r="T85">
        <f>HYPERLINK("https://klasma.github.io/Logging_1265/kartor/A 18969-2023 karta.png", "A 18969-2023")</f>
        <v/>
      </c>
      <c r="V85">
        <f>HYPERLINK("https://klasma.github.io/Logging_1265/klagomål/A 18969-2023 FSC-klagomål.docx", "A 18969-2023")</f>
        <v/>
      </c>
      <c r="W85">
        <f>HYPERLINK("https://klasma.github.io/Logging_1265/klagomålsmail/A 18969-2023 FSC-klagomål mail.docx", "A 18969-2023")</f>
        <v/>
      </c>
      <c r="X85">
        <f>HYPERLINK("https://klasma.github.io/Logging_1265/tillsyn/A 18969-2023 tillsynsbegäran.docx", "A 18969-2023")</f>
        <v/>
      </c>
      <c r="Y85">
        <f>HYPERLINK("https://klasma.github.io/Logging_1265/tillsynsmail/A 18969-2023 tillsynsbegäran mail.docx", "A 18969-2023")</f>
        <v/>
      </c>
    </row>
    <row r="86" ht="15" customHeight="1">
      <c r="A86" t="inlineStr">
        <is>
          <t>A 19517-2023</t>
        </is>
      </c>
      <c r="B86" s="1" t="n">
        <v>45050</v>
      </c>
      <c r="C86" s="1" t="n">
        <v>45695</v>
      </c>
      <c r="D86" t="inlineStr">
        <is>
          <t>SKÅNE LÄN</t>
        </is>
      </c>
      <c r="E86" t="inlineStr">
        <is>
          <t>HÖÖR</t>
        </is>
      </c>
      <c r="G86" t="n">
        <v>6.2</v>
      </c>
      <c r="H86" t="n">
        <v>1</v>
      </c>
      <c r="I86" t="n">
        <v>2</v>
      </c>
      <c r="J86" t="n">
        <v>0</v>
      </c>
      <c r="K86" t="n">
        <v>1</v>
      </c>
      <c r="L86" t="n">
        <v>0</v>
      </c>
      <c r="M86" t="n">
        <v>0</v>
      </c>
      <c r="N86" t="n">
        <v>0</v>
      </c>
      <c r="O86" t="n">
        <v>1</v>
      </c>
      <c r="P86" t="n">
        <v>1</v>
      </c>
      <c r="Q86" t="n">
        <v>3</v>
      </c>
      <c r="R86" s="2" t="inlineStr">
        <is>
          <t>Backsippa
Dvärghäxört
Liten stinksvamp</t>
        </is>
      </c>
      <c r="S86">
        <f>HYPERLINK("https://klasma.github.io/Logging_1267/artfynd/A 19517-2023 artfynd.xlsx", "A 19517-2023")</f>
        <v/>
      </c>
      <c r="T86">
        <f>HYPERLINK("https://klasma.github.io/Logging_1267/kartor/A 19517-2023 karta.png", "A 19517-2023")</f>
        <v/>
      </c>
      <c r="V86">
        <f>HYPERLINK("https://klasma.github.io/Logging_1267/klagomål/A 19517-2023 FSC-klagomål.docx", "A 19517-2023")</f>
        <v/>
      </c>
      <c r="W86">
        <f>HYPERLINK("https://klasma.github.io/Logging_1267/klagomålsmail/A 19517-2023 FSC-klagomål mail.docx", "A 19517-2023")</f>
        <v/>
      </c>
      <c r="X86">
        <f>HYPERLINK("https://klasma.github.io/Logging_1267/tillsyn/A 19517-2023 tillsynsbegäran.docx", "A 19517-2023")</f>
        <v/>
      </c>
      <c r="Y86">
        <f>HYPERLINK("https://klasma.github.io/Logging_1267/tillsynsmail/A 19517-2023 tillsynsbegäran mail.docx", "A 19517-2023")</f>
        <v/>
      </c>
    </row>
    <row r="87" ht="15" customHeight="1">
      <c r="A87" t="inlineStr">
        <is>
          <t>A 27902-2023</t>
        </is>
      </c>
      <c r="B87" s="1" t="n">
        <v>45098</v>
      </c>
      <c r="C87" s="1" t="n">
        <v>45695</v>
      </c>
      <c r="D87" t="inlineStr">
        <is>
          <t>SKÅNE LÄN</t>
        </is>
      </c>
      <c r="E87" t="inlineStr">
        <is>
          <t>HÖÖR</t>
        </is>
      </c>
      <c r="G87" t="n">
        <v>10.3</v>
      </c>
      <c r="H87" t="n">
        <v>0</v>
      </c>
      <c r="I87" t="n">
        <v>1</v>
      </c>
      <c r="J87" t="n">
        <v>0</v>
      </c>
      <c r="K87" t="n">
        <v>1</v>
      </c>
      <c r="L87" t="n">
        <v>0</v>
      </c>
      <c r="M87" t="n">
        <v>1</v>
      </c>
      <c r="N87" t="n">
        <v>0</v>
      </c>
      <c r="O87" t="n">
        <v>2</v>
      </c>
      <c r="P87" t="n">
        <v>2</v>
      </c>
      <c r="Q87" t="n">
        <v>3</v>
      </c>
      <c r="R87" s="2" t="inlineStr">
        <is>
          <t>Skogsalm
Småvänderot
Granbräken</t>
        </is>
      </c>
      <c r="S87">
        <f>HYPERLINK("https://klasma.github.io/Logging_1267/artfynd/A 27902-2023 artfynd.xlsx", "A 27902-2023")</f>
        <v/>
      </c>
      <c r="T87">
        <f>HYPERLINK("https://klasma.github.io/Logging_1267/kartor/A 27902-2023 karta.png", "A 27902-2023")</f>
        <v/>
      </c>
      <c r="V87">
        <f>HYPERLINK("https://klasma.github.io/Logging_1267/klagomål/A 27902-2023 FSC-klagomål.docx", "A 27902-2023")</f>
        <v/>
      </c>
      <c r="W87">
        <f>HYPERLINK("https://klasma.github.io/Logging_1267/klagomålsmail/A 27902-2023 FSC-klagomål mail.docx", "A 27902-2023")</f>
        <v/>
      </c>
      <c r="X87">
        <f>HYPERLINK("https://klasma.github.io/Logging_1267/tillsyn/A 27902-2023 tillsynsbegäran.docx", "A 27902-2023")</f>
        <v/>
      </c>
      <c r="Y87">
        <f>HYPERLINK("https://klasma.github.io/Logging_1267/tillsynsmail/A 27902-2023 tillsynsbegäran mail.docx", "A 27902-2023")</f>
        <v/>
      </c>
    </row>
    <row r="88" ht="15" customHeight="1">
      <c r="A88" t="inlineStr">
        <is>
          <t>A 28874-2023</t>
        </is>
      </c>
      <c r="B88" s="1" t="n">
        <v>45104</v>
      </c>
      <c r="C88" s="1" t="n">
        <v>45695</v>
      </c>
      <c r="D88" t="inlineStr">
        <is>
          <t>SKÅNE LÄN</t>
        </is>
      </c>
      <c r="E88" t="inlineStr">
        <is>
          <t>ÄNGELHOLM</t>
        </is>
      </c>
      <c r="G88" t="n">
        <v>9</v>
      </c>
      <c r="H88" t="n">
        <v>1</v>
      </c>
      <c r="I88" t="n">
        <v>2</v>
      </c>
      <c r="J88" t="n">
        <v>0</v>
      </c>
      <c r="K88" t="n">
        <v>0</v>
      </c>
      <c r="L88" t="n">
        <v>0</v>
      </c>
      <c r="M88" t="n">
        <v>0</v>
      </c>
      <c r="N88" t="n">
        <v>0</v>
      </c>
      <c r="O88" t="n">
        <v>0</v>
      </c>
      <c r="P88" t="n">
        <v>0</v>
      </c>
      <c r="Q88" t="n">
        <v>3</v>
      </c>
      <c r="R88" s="2" t="inlineStr">
        <is>
          <t>Blåmossa
Stubbspretmossa
Revlummer</t>
        </is>
      </c>
      <c r="S88">
        <f>HYPERLINK("https://klasma.github.io/Logging_1292/artfynd/A 28874-2023 artfynd.xlsx", "A 28874-2023")</f>
        <v/>
      </c>
      <c r="T88">
        <f>HYPERLINK("https://klasma.github.io/Logging_1292/kartor/A 28874-2023 karta.png", "A 28874-2023")</f>
        <v/>
      </c>
      <c r="V88">
        <f>HYPERLINK("https://klasma.github.io/Logging_1292/klagomål/A 28874-2023 FSC-klagomål.docx", "A 28874-2023")</f>
        <v/>
      </c>
      <c r="W88">
        <f>HYPERLINK("https://klasma.github.io/Logging_1292/klagomålsmail/A 28874-2023 FSC-klagomål mail.docx", "A 28874-2023")</f>
        <v/>
      </c>
      <c r="X88">
        <f>HYPERLINK("https://klasma.github.io/Logging_1292/tillsyn/A 28874-2023 tillsynsbegäran.docx", "A 28874-2023")</f>
        <v/>
      </c>
      <c r="Y88">
        <f>HYPERLINK("https://klasma.github.io/Logging_1292/tillsynsmail/A 28874-2023 tillsynsbegäran mail.docx", "A 28874-2023")</f>
        <v/>
      </c>
    </row>
    <row r="89" ht="15" customHeight="1">
      <c r="A89" t="inlineStr">
        <is>
          <t>A 34816-2023</t>
        </is>
      </c>
      <c r="B89" s="1" t="n">
        <v>45141</v>
      </c>
      <c r="C89" s="1" t="n">
        <v>45695</v>
      </c>
      <c r="D89" t="inlineStr">
        <is>
          <t>SKÅNE LÄN</t>
        </is>
      </c>
      <c r="E89" t="inlineStr">
        <is>
          <t>SVALÖV</t>
        </is>
      </c>
      <c r="G89" t="n">
        <v>1.6</v>
      </c>
      <c r="H89" t="n">
        <v>0</v>
      </c>
      <c r="I89" t="n">
        <v>1</v>
      </c>
      <c r="J89" t="n">
        <v>1</v>
      </c>
      <c r="K89" t="n">
        <v>1</v>
      </c>
      <c r="L89" t="n">
        <v>0</v>
      </c>
      <c r="M89" t="n">
        <v>0</v>
      </c>
      <c r="N89" t="n">
        <v>0</v>
      </c>
      <c r="O89" t="n">
        <v>2</v>
      </c>
      <c r="P89" t="n">
        <v>1</v>
      </c>
      <c r="Q89" t="n">
        <v>3</v>
      </c>
      <c r="R89" s="2" t="inlineStr">
        <is>
          <t>Bokblombock
Koralltaggsvamp
Jättesvampmal</t>
        </is>
      </c>
      <c r="S89">
        <f>HYPERLINK("https://klasma.github.io/Logging_1214/artfynd/A 34816-2023 artfynd.xlsx", "A 34816-2023")</f>
        <v/>
      </c>
      <c r="T89">
        <f>HYPERLINK("https://klasma.github.io/Logging_1214/kartor/A 34816-2023 karta.png", "A 34816-2023")</f>
        <v/>
      </c>
      <c r="V89">
        <f>HYPERLINK("https://klasma.github.io/Logging_1214/klagomål/A 34816-2023 FSC-klagomål.docx", "A 34816-2023")</f>
        <v/>
      </c>
      <c r="W89">
        <f>HYPERLINK("https://klasma.github.io/Logging_1214/klagomålsmail/A 34816-2023 FSC-klagomål mail.docx", "A 34816-2023")</f>
        <v/>
      </c>
      <c r="X89">
        <f>HYPERLINK("https://klasma.github.io/Logging_1214/tillsyn/A 34816-2023 tillsynsbegäran.docx", "A 34816-2023")</f>
        <v/>
      </c>
      <c r="Y89">
        <f>HYPERLINK("https://klasma.github.io/Logging_1214/tillsynsmail/A 34816-2023 tillsynsbegäran mail.docx", "A 34816-2023")</f>
        <v/>
      </c>
    </row>
    <row r="90" ht="15" customHeight="1">
      <c r="A90" t="inlineStr">
        <is>
          <t>A 38703-2023</t>
        </is>
      </c>
      <c r="B90" s="1" t="n">
        <v>45163</v>
      </c>
      <c r="C90" s="1" t="n">
        <v>45695</v>
      </c>
      <c r="D90" t="inlineStr">
        <is>
          <t>SKÅNE LÄN</t>
        </is>
      </c>
      <c r="E90" t="inlineStr">
        <is>
          <t>KRISTIANSTAD</t>
        </is>
      </c>
      <c r="G90" t="n">
        <v>7.6</v>
      </c>
      <c r="H90" t="n">
        <v>2</v>
      </c>
      <c r="I90" t="n">
        <v>0</v>
      </c>
      <c r="J90" t="n">
        <v>2</v>
      </c>
      <c r="K90" t="n">
        <v>0</v>
      </c>
      <c r="L90" t="n">
        <v>0</v>
      </c>
      <c r="M90" t="n">
        <v>0</v>
      </c>
      <c r="N90" t="n">
        <v>0</v>
      </c>
      <c r="O90" t="n">
        <v>2</v>
      </c>
      <c r="P90" t="n">
        <v>0</v>
      </c>
      <c r="Q90" t="n">
        <v>3</v>
      </c>
      <c r="R90" s="2" t="inlineStr">
        <is>
          <t>Backtimjan
Spillkråka
Törnskata</t>
        </is>
      </c>
      <c r="S90">
        <f>HYPERLINK("https://klasma.github.io/Logging_1290/artfynd/A 38703-2023 artfynd.xlsx", "A 38703-2023")</f>
        <v/>
      </c>
      <c r="T90">
        <f>HYPERLINK("https://klasma.github.io/Logging_1290/kartor/A 38703-2023 karta.png", "A 38703-2023")</f>
        <v/>
      </c>
      <c r="V90">
        <f>HYPERLINK("https://klasma.github.io/Logging_1290/klagomål/A 38703-2023 FSC-klagomål.docx", "A 38703-2023")</f>
        <v/>
      </c>
      <c r="W90">
        <f>HYPERLINK("https://klasma.github.io/Logging_1290/klagomålsmail/A 38703-2023 FSC-klagomål mail.docx", "A 38703-2023")</f>
        <v/>
      </c>
      <c r="X90">
        <f>HYPERLINK("https://klasma.github.io/Logging_1290/tillsyn/A 38703-2023 tillsynsbegäran.docx", "A 38703-2023")</f>
        <v/>
      </c>
      <c r="Y90">
        <f>HYPERLINK("https://klasma.github.io/Logging_1290/tillsynsmail/A 38703-2023 tillsynsbegäran mail.docx", "A 38703-2023")</f>
        <v/>
      </c>
      <c r="Z90">
        <f>HYPERLINK("https://klasma.github.io/Logging_1290/fåglar/A 38703-2023 prioriterade fågelarter.docx", "A 38703-2023")</f>
        <v/>
      </c>
    </row>
    <row r="91" ht="15" customHeight="1">
      <c r="A91" t="inlineStr">
        <is>
          <t>A 54644-2023</t>
        </is>
      </c>
      <c r="B91" s="1" t="n">
        <v>45235</v>
      </c>
      <c r="C91" s="1" t="n">
        <v>45695</v>
      </c>
      <c r="D91" t="inlineStr">
        <is>
          <t>SKÅNE LÄN</t>
        </is>
      </c>
      <c r="E91" t="inlineStr">
        <is>
          <t>KLIPPAN</t>
        </is>
      </c>
      <c r="G91" t="n">
        <v>9.6</v>
      </c>
      <c r="H91" t="n">
        <v>2</v>
      </c>
      <c r="I91" t="n">
        <v>1</v>
      </c>
      <c r="J91" t="n">
        <v>1</v>
      </c>
      <c r="K91" t="n">
        <v>0</v>
      </c>
      <c r="L91" t="n">
        <v>0</v>
      </c>
      <c r="M91" t="n">
        <v>0</v>
      </c>
      <c r="N91" t="n">
        <v>0</v>
      </c>
      <c r="O91" t="n">
        <v>1</v>
      </c>
      <c r="P91" t="n">
        <v>0</v>
      </c>
      <c r="Q91" t="n">
        <v>3</v>
      </c>
      <c r="R91" s="2" t="inlineStr">
        <is>
          <t>Spillkråka
Havstulpanlav
Skogsduva</t>
        </is>
      </c>
      <c r="S91">
        <f>HYPERLINK("https://klasma.github.io/Logging_1276/artfynd/A 54644-2023 artfynd.xlsx", "A 54644-2023")</f>
        <v/>
      </c>
      <c r="T91">
        <f>HYPERLINK("https://klasma.github.io/Logging_1276/kartor/A 54644-2023 karta.png", "A 54644-2023")</f>
        <v/>
      </c>
      <c r="V91">
        <f>HYPERLINK("https://klasma.github.io/Logging_1276/klagomål/A 54644-2023 FSC-klagomål.docx", "A 54644-2023")</f>
        <v/>
      </c>
      <c r="W91">
        <f>HYPERLINK("https://klasma.github.io/Logging_1276/klagomålsmail/A 54644-2023 FSC-klagomål mail.docx", "A 54644-2023")</f>
        <v/>
      </c>
      <c r="X91">
        <f>HYPERLINK("https://klasma.github.io/Logging_1276/tillsyn/A 54644-2023 tillsynsbegäran.docx", "A 54644-2023")</f>
        <v/>
      </c>
      <c r="Y91">
        <f>HYPERLINK("https://klasma.github.io/Logging_1276/tillsynsmail/A 54644-2023 tillsynsbegäran mail.docx", "A 54644-2023")</f>
        <v/>
      </c>
      <c r="Z91">
        <f>HYPERLINK("https://klasma.github.io/Logging_1276/fåglar/A 54644-2023 prioriterade fågelarter.docx", "A 54644-2023")</f>
        <v/>
      </c>
    </row>
    <row r="92" ht="15" customHeight="1">
      <c r="A92" t="inlineStr">
        <is>
          <t>A 56742-2023</t>
        </is>
      </c>
      <c r="B92" s="1" t="n">
        <v>45238</v>
      </c>
      <c r="C92" s="1" t="n">
        <v>45695</v>
      </c>
      <c r="D92" t="inlineStr">
        <is>
          <t>SKÅNE LÄN</t>
        </is>
      </c>
      <c r="E92" t="inlineStr">
        <is>
          <t>HÖRBY</t>
        </is>
      </c>
      <c r="G92" t="n">
        <v>8.699999999999999</v>
      </c>
      <c r="H92" t="n">
        <v>2</v>
      </c>
      <c r="I92" t="n">
        <v>1</v>
      </c>
      <c r="J92" t="n">
        <v>1</v>
      </c>
      <c r="K92" t="n">
        <v>0</v>
      </c>
      <c r="L92" t="n">
        <v>0</v>
      </c>
      <c r="M92" t="n">
        <v>0</v>
      </c>
      <c r="N92" t="n">
        <v>0</v>
      </c>
      <c r="O92" t="n">
        <v>1</v>
      </c>
      <c r="P92" t="n">
        <v>0</v>
      </c>
      <c r="Q92" t="n">
        <v>3</v>
      </c>
      <c r="R92" s="2" t="inlineStr">
        <is>
          <t>Mindre hackspett
Scharlakansskål
Skogsödla</t>
        </is>
      </c>
      <c r="S92">
        <f>HYPERLINK("https://klasma.github.io/Logging_1266/artfynd/A 56742-2023 artfynd.xlsx", "A 56742-2023")</f>
        <v/>
      </c>
      <c r="T92">
        <f>HYPERLINK("https://klasma.github.io/Logging_1266/kartor/A 56742-2023 karta.png", "A 56742-2023")</f>
        <v/>
      </c>
      <c r="V92">
        <f>HYPERLINK("https://klasma.github.io/Logging_1266/klagomål/A 56742-2023 FSC-klagomål.docx", "A 56742-2023")</f>
        <v/>
      </c>
      <c r="W92">
        <f>HYPERLINK("https://klasma.github.io/Logging_1266/klagomålsmail/A 56742-2023 FSC-klagomål mail.docx", "A 56742-2023")</f>
        <v/>
      </c>
      <c r="X92">
        <f>HYPERLINK("https://klasma.github.io/Logging_1266/tillsyn/A 56742-2023 tillsynsbegäran.docx", "A 56742-2023")</f>
        <v/>
      </c>
      <c r="Y92">
        <f>HYPERLINK("https://klasma.github.io/Logging_1266/tillsynsmail/A 56742-2023 tillsynsbegäran mail.docx", "A 56742-2023")</f>
        <v/>
      </c>
      <c r="Z92">
        <f>HYPERLINK("https://klasma.github.io/Logging_1266/fåglar/A 56742-2023 prioriterade fågelarter.docx", "A 56742-2023")</f>
        <v/>
      </c>
    </row>
    <row r="93" ht="15" customHeight="1">
      <c r="A93" t="inlineStr">
        <is>
          <t>A 62654-2023</t>
        </is>
      </c>
      <c r="B93" s="1" t="n">
        <v>45271</v>
      </c>
      <c r="C93" s="1" t="n">
        <v>45695</v>
      </c>
      <c r="D93" t="inlineStr">
        <is>
          <t>SKÅNE LÄN</t>
        </is>
      </c>
      <c r="E93" t="inlineStr">
        <is>
          <t>OSBY</t>
        </is>
      </c>
      <c r="F93" t="inlineStr">
        <is>
          <t>Naturvårdsverket</t>
        </is>
      </c>
      <c r="G93" t="n">
        <v>8.699999999999999</v>
      </c>
      <c r="H93" t="n">
        <v>3</v>
      </c>
      <c r="I93" t="n">
        <v>0</v>
      </c>
      <c r="J93" t="n">
        <v>2</v>
      </c>
      <c r="K93" t="n">
        <v>0</v>
      </c>
      <c r="L93" t="n">
        <v>0</v>
      </c>
      <c r="M93" t="n">
        <v>0</v>
      </c>
      <c r="N93" t="n">
        <v>0</v>
      </c>
      <c r="O93" t="n">
        <v>2</v>
      </c>
      <c r="P93" t="n">
        <v>0</v>
      </c>
      <c r="Q93" t="n">
        <v>3</v>
      </c>
      <c r="R93" s="2" t="inlineStr">
        <is>
          <t>Entita
Mindre hackspett
Kungsfågel</t>
        </is>
      </c>
      <c r="S93">
        <f>HYPERLINK("https://klasma.github.io/Logging_1273/artfynd/A 62654-2023 artfynd.xlsx", "A 62654-2023")</f>
        <v/>
      </c>
      <c r="T93">
        <f>HYPERLINK("https://klasma.github.io/Logging_1273/kartor/A 62654-2023 karta.png", "A 62654-2023")</f>
        <v/>
      </c>
      <c r="V93">
        <f>HYPERLINK("https://klasma.github.io/Logging_1273/klagomål/A 62654-2023 FSC-klagomål.docx", "A 62654-2023")</f>
        <v/>
      </c>
      <c r="W93">
        <f>HYPERLINK("https://klasma.github.io/Logging_1273/klagomålsmail/A 62654-2023 FSC-klagomål mail.docx", "A 62654-2023")</f>
        <v/>
      </c>
      <c r="X93">
        <f>HYPERLINK("https://klasma.github.io/Logging_1273/tillsyn/A 62654-2023 tillsynsbegäran.docx", "A 62654-2023")</f>
        <v/>
      </c>
      <c r="Y93">
        <f>HYPERLINK("https://klasma.github.io/Logging_1273/tillsynsmail/A 62654-2023 tillsynsbegäran mail.docx", "A 62654-2023")</f>
        <v/>
      </c>
      <c r="Z93">
        <f>HYPERLINK("https://klasma.github.io/Logging_1273/fåglar/A 62654-2023 prioriterade fågelarter.docx", "A 62654-2023")</f>
        <v/>
      </c>
    </row>
    <row r="94" ht="15" customHeight="1">
      <c r="A94" t="inlineStr">
        <is>
          <t>A 64633-2023</t>
        </is>
      </c>
      <c r="B94" s="1" t="n">
        <v>45281</v>
      </c>
      <c r="C94" s="1" t="n">
        <v>45695</v>
      </c>
      <c r="D94" t="inlineStr">
        <is>
          <t>SKÅNE LÄN</t>
        </is>
      </c>
      <c r="E94" t="inlineStr">
        <is>
          <t>HÖRBY</t>
        </is>
      </c>
      <c r="G94" t="n">
        <v>1.4</v>
      </c>
      <c r="H94" t="n">
        <v>0</v>
      </c>
      <c r="I94" t="n">
        <v>1</v>
      </c>
      <c r="J94" t="n">
        <v>2</v>
      </c>
      <c r="K94" t="n">
        <v>0</v>
      </c>
      <c r="L94" t="n">
        <v>0</v>
      </c>
      <c r="M94" t="n">
        <v>0</v>
      </c>
      <c r="N94" t="n">
        <v>0</v>
      </c>
      <c r="O94" t="n">
        <v>2</v>
      </c>
      <c r="P94" t="n">
        <v>0</v>
      </c>
      <c r="Q94" t="n">
        <v>3</v>
      </c>
      <c r="R94" s="2" t="inlineStr">
        <is>
          <t>Fläckig glansspinnare
Skogslysing
Stor häxört</t>
        </is>
      </c>
      <c r="S94">
        <f>HYPERLINK("https://klasma.github.io/Logging_1266/artfynd/A 64633-2023 artfynd.xlsx", "A 64633-2023")</f>
        <v/>
      </c>
      <c r="T94">
        <f>HYPERLINK("https://klasma.github.io/Logging_1266/kartor/A 64633-2023 karta.png", "A 64633-2023")</f>
        <v/>
      </c>
      <c r="V94">
        <f>HYPERLINK("https://klasma.github.io/Logging_1266/klagomål/A 64633-2023 FSC-klagomål.docx", "A 64633-2023")</f>
        <v/>
      </c>
      <c r="W94">
        <f>HYPERLINK("https://klasma.github.io/Logging_1266/klagomålsmail/A 64633-2023 FSC-klagomål mail.docx", "A 64633-2023")</f>
        <v/>
      </c>
      <c r="X94">
        <f>HYPERLINK("https://klasma.github.io/Logging_1266/tillsyn/A 64633-2023 tillsynsbegäran.docx", "A 64633-2023")</f>
        <v/>
      </c>
      <c r="Y94">
        <f>HYPERLINK("https://klasma.github.io/Logging_1266/tillsynsmail/A 64633-2023 tillsynsbegäran mail.docx", "A 64633-2023")</f>
        <v/>
      </c>
    </row>
    <row r="95" ht="15" customHeight="1">
      <c r="A95" t="inlineStr">
        <is>
          <t>A 905-2024</t>
        </is>
      </c>
      <c r="B95" s="1" t="n">
        <v>45301</v>
      </c>
      <c r="C95" s="1" t="n">
        <v>45695</v>
      </c>
      <c r="D95" t="inlineStr">
        <is>
          <t>SKÅNE LÄN</t>
        </is>
      </c>
      <c r="E95" t="inlineStr">
        <is>
          <t>ÄNGELHOLM</t>
        </is>
      </c>
      <c r="G95" t="n">
        <v>4.9</v>
      </c>
      <c r="H95" t="n">
        <v>0</v>
      </c>
      <c r="I95" t="n">
        <v>1</v>
      </c>
      <c r="J95" t="n">
        <v>2</v>
      </c>
      <c r="K95" t="n">
        <v>0</v>
      </c>
      <c r="L95" t="n">
        <v>0</v>
      </c>
      <c r="M95" t="n">
        <v>0</v>
      </c>
      <c r="N95" t="n">
        <v>0</v>
      </c>
      <c r="O95" t="n">
        <v>2</v>
      </c>
      <c r="P95" t="n">
        <v>0</v>
      </c>
      <c r="Q95" t="n">
        <v>3</v>
      </c>
      <c r="R95" s="2" t="inlineStr">
        <is>
          <t>Boktigerfluga
Desmeknopp
Myskmadra</t>
        </is>
      </c>
      <c r="S95">
        <f>HYPERLINK("https://klasma.github.io/Logging_1292/artfynd/A 905-2024 artfynd.xlsx", "A 905-2024")</f>
        <v/>
      </c>
      <c r="T95">
        <f>HYPERLINK("https://klasma.github.io/Logging_1292/kartor/A 905-2024 karta.png", "A 905-2024")</f>
        <v/>
      </c>
      <c r="V95">
        <f>HYPERLINK("https://klasma.github.io/Logging_1292/klagomål/A 905-2024 FSC-klagomål.docx", "A 905-2024")</f>
        <v/>
      </c>
      <c r="W95">
        <f>HYPERLINK("https://klasma.github.io/Logging_1292/klagomålsmail/A 905-2024 FSC-klagomål mail.docx", "A 905-2024")</f>
        <v/>
      </c>
      <c r="X95">
        <f>HYPERLINK("https://klasma.github.io/Logging_1292/tillsyn/A 905-2024 tillsynsbegäran.docx", "A 905-2024")</f>
        <v/>
      </c>
      <c r="Y95">
        <f>HYPERLINK("https://klasma.github.io/Logging_1292/tillsynsmail/A 905-2024 tillsynsbegäran mail.docx", "A 905-2024")</f>
        <v/>
      </c>
    </row>
    <row r="96" ht="15" customHeight="1">
      <c r="A96" t="inlineStr">
        <is>
          <t>A 2888-2024</t>
        </is>
      </c>
      <c r="B96" s="1" t="n">
        <v>45315</v>
      </c>
      <c r="C96" s="1" t="n">
        <v>45695</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5468-2024</t>
        </is>
      </c>
      <c r="B97" s="1" t="n">
        <v>45332</v>
      </c>
      <c r="C97" s="1" t="n">
        <v>45695</v>
      </c>
      <c r="D97" t="inlineStr">
        <is>
          <t>SKÅNE LÄN</t>
        </is>
      </c>
      <c r="E97" t="inlineStr">
        <is>
          <t>ÖSTRA GÖINGE</t>
        </is>
      </c>
      <c r="G97" t="n">
        <v>3.2</v>
      </c>
      <c r="H97" t="n">
        <v>0</v>
      </c>
      <c r="I97" t="n">
        <v>0</v>
      </c>
      <c r="J97" t="n">
        <v>2</v>
      </c>
      <c r="K97" t="n">
        <v>1</v>
      </c>
      <c r="L97" t="n">
        <v>0</v>
      </c>
      <c r="M97" t="n">
        <v>0</v>
      </c>
      <c r="N97" t="n">
        <v>0</v>
      </c>
      <c r="O97" t="n">
        <v>3</v>
      </c>
      <c r="P97" t="n">
        <v>1</v>
      </c>
      <c r="Q97" t="n">
        <v>3</v>
      </c>
      <c r="R97" s="2" t="inlineStr">
        <is>
          <t>Slåttergubbe
Månlåsbräken
Svinrot</t>
        </is>
      </c>
      <c r="S97">
        <f>HYPERLINK("https://klasma.github.io/Logging_1256/artfynd/A 5468-2024 artfynd.xlsx", "A 5468-2024")</f>
        <v/>
      </c>
      <c r="T97">
        <f>HYPERLINK("https://klasma.github.io/Logging_1256/kartor/A 5468-2024 karta.png", "A 5468-2024")</f>
        <v/>
      </c>
      <c r="V97">
        <f>HYPERLINK("https://klasma.github.io/Logging_1256/klagomål/A 5468-2024 FSC-klagomål.docx", "A 5468-2024")</f>
        <v/>
      </c>
      <c r="W97">
        <f>HYPERLINK("https://klasma.github.io/Logging_1256/klagomålsmail/A 5468-2024 FSC-klagomål mail.docx", "A 5468-2024")</f>
        <v/>
      </c>
      <c r="X97">
        <f>HYPERLINK("https://klasma.github.io/Logging_1256/tillsyn/A 5468-2024 tillsynsbegäran.docx", "A 5468-2024")</f>
        <v/>
      </c>
      <c r="Y97">
        <f>HYPERLINK("https://klasma.github.io/Logging_1256/tillsynsmail/A 5468-2024 tillsynsbegäran mail.docx", "A 5468-2024")</f>
        <v/>
      </c>
    </row>
    <row r="98" ht="15" customHeight="1">
      <c r="A98" t="inlineStr">
        <is>
          <t>A 7616-2024</t>
        </is>
      </c>
      <c r="B98" s="1" t="n">
        <v>45348</v>
      </c>
      <c r="C98" s="1" t="n">
        <v>45695</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20193-2024</t>
        </is>
      </c>
      <c r="B99" s="1" t="n">
        <v>45434</v>
      </c>
      <c r="C99" s="1" t="n">
        <v>45695</v>
      </c>
      <c r="D99" t="inlineStr">
        <is>
          <t>SKÅNE LÄN</t>
        </is>
      </c>
      <c r="E99" t="inlineStr">
        <is>
          <t>HÖRBY</t>
        </is>
      </c>
      <c r="G99" t="n">
        <v>11.2</v>
      </c>
      <c r="H99" t="n">
        <v>0</v>
      </c>
      <c r="I99" t="n">
        <v>3</v>
      </c>
      <c r="J99" t="n">
        <v>0</v>
      </c>
      <c r="K99" t="n">
        <v>0</v>
      </c>
      <c r="L99" t="n">
        <v>0</v>
      </c>
      <c r="M99" t="n">
        <v>0</v>
      </c>
      <c r="N99" t="n">
        <v>0</v>
      </c>
      <c r="O99" t="n">
        <v>0</v>
      </c>
      <c r="P99" t="n">
        <v>0</v>
      </c>
      <c r="Q99" t="n">
        <v>3</v>
      </c>
      <c r="R99" s="2" t="inlineStr">
        <is>
          <t>Strutbräken
Vätteros
Vårärt</t>
        </is>
      </c>
      <c r="S99">
        <f>HYPERLINK("https://klasma.github.io/Logging_1266/artfynd/A 20193-2024 artfynd.xlsx", "A 20193-2024")</f>
        <v/>
      </c>
      <c r="T99">
        <f>HYPERLINK("https://klasma.github.io/Logging_1266/kartor/A 20193-2024 karta.png", "A 20193-2024")</f>
        <v/>
      </c>
      <c r="V99">
        <f>HYPERLINK("https://klasma.github.io/Logging_1266/klagomål/A 20193-2024 FSC-klagomål.docx", "A 20193-2024")</f>
        <v/>
      </c>
      <c r="W99">
        <f>HYPERLINK("https://klasma.github.io/Logging_1266/klagomålsmail/A 20193-2024 FSC-klagomål mail.docx", "A 20193-2024")</f>
        <v/>
      </c>
      <c r="X99">
        <f>HYPERLINK("https://klasma.github.io/Logging_1266/tillsyn/A 20193-2024 tillsynsbegäran.docx", "A 20193-2024")</f>
        <v/>
      </c>
      <c r="Y99">
        <f>HYPERLINK("https://klasma.github.io/Logging_1266/tillsynsmail/A 20193-2024 tillsynsbegäran mail.docx", "A 20193-2024")</f>
        <v/>
      </c>
    </row>
    <row r="100" ht="15" customHeight="1">
      <c r="A100" t="inlineStr">
        <is>
          <t>A 27244-2024</t>
        </is>
      </c>
      <c r="B100" s="1" t="n">
        <v>45471</v>
      </c>
      <c r="C100" s="1" t="n">
        <v>45695</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27430-2024</t>
        </is>
      </c>
      <c r="B101" s="1" t="n">
        <v>45474</v>
      </c>
      <c r="C101" s="1" t="n">
        <v>45695</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31926-2024</t>
        </is>
      </c>
      <c r="B102" s="1" t="n">
        <v>45510</v>
      </c>
      <c r="C102" s="1" t="n">
        <v>45695</v>
      </c>
      <c r="D102" t="inlineStr">
        <is>
          <t>SKÅNE LÄN</t>
        </is>
      </c>
      <c r="E102" t="inlineStr">
        <is>
          <t>ÖRKELLJUNGA</t>
        </is>
      </c>
      <c r="G102" t="n">
        <v>1.9</v>
      </c>
      <c r="H102" t="n">
        <v>0</v>
      </c>
      <c r="I102" t="n">
        <v>3</v>
      </c>
      <c r="J102" t="n">
        <v>0</v>
      </c>
      <c r="K102" t="n">
        <v>0</v>
      </c>
      <c r="L102" t="n">
        <v>0</v>
      </c>
      <c r="M102" t="n">
        <v>0</v>
      </c>
      <c r="N102" t="n">
        <v>0</v>
      </c>
      <c r="O102" t="n">
        <v>0</v>
      </c>
      <c r="P102" t="n">
        <v>0</v>
      </c>
      <c r="Q102" t="n">
        <v>3</v>
      </c>
      <c r="R102" s="2" t="inlineStr">
        <is>
          <t>Havstulpanlav
Klippfrullania
Västlig hakmossa</t>
        </is>
      </c>
      <c r="S102">
        <f>HYPERLINK("https://klasma.github.io/Logging_1257/artfynd/A 31926-2024 artfynd.xlsx", "A 31926-2024")</f>
        <v/>
      </c>
      <c r="T102">
        <f>HYPERLINK("https://klasma.github.io/Logging_1257/kartor/A 31926-2024 karta.png", "A 31926-2024")</f>
        <v/>
      </c>
      <c r="V102">
        <f>HYPERLINK("https://klasma.github.io/Logging_1257/klagomål/A 31926-2024 FSC-klagomål.docx", "A 31926-2024")</f>
        <v/>
      </c>
      <c r="W102">
        <f>HYPERLINK("https://klasma.github.io/Logging_1257/klagomålsmail/A 31926-2024 FSC-klagomål mail.docx", "A 31926-2024")</f>
        <v/>
      </c>
      <c r="X102">
        <f>HYPERLINK("https://klasma.github.io/Logging_1257/tillsyn/A 31926-2024 tillsynsbegäran.docx", "A 31926-2024")</f>
        <v/>
      </c>
      <c r="Y102">
        <f>HYPERLINK("https://klasma.github.io/Logging_1257/tillsynsmail/A 31926-2024 tillsynsbegäran mail.docx", "A 31926-2024")</f>
        <v/>
      </c>
    </row>
    <row r="103" ht="15" customHeight="1">
      <c r="A103" t="inlineStr">
        <is>
          <t>A 44079-2024</t>
        </is>
      </c>
      <c r="B103" s="1" t="n">
        <v>45572</v>
      </c>
      <c r="C103" s="1" t="n">
        <v>45695</v>
      </c>
      <c r="D103" t="inlineStr">
        <is>
          <t>SKÅNE LÄN</t>
        </is>
      </c>
      <c r="E103" t="inlineStr">
        <is>
          <t>BROMÖLLA</t>
        </is>
      </c>
      <c r="G103" t="n">
        <v>3.1</v>
      </c>
      <c r="H103" t="n">
        <v>0</v>
      </c>
      <c r="I103" t="n">
        <v>3</v>
      </c>
      <c r="J103" t="n">
        <v>0</v>
      </c>
      <c r="K103" t="n">
        <v>0</v>
      </c>
      <c r="L103" t="n">
        <v>0</v>
      </c>
      <c r="M103" t="n">
        <v>0</v>
      </c>
      <c r="N103" t="n">
        <v>0</v>
      </c>
      <c r="O103" t="n">
        <v>0</v>
      </c>
      <c r="P103" t="n">
        <v>0</v>
      </c>
      <c r="Q103" t="n">
        <v>3</v>
      </c>
      <c r="R103" s="2" t="inlineStr">
        <is>
          <t>Stor häxört
Svart trolldruva
Underviol</t>
        </is>
      </c>
      <c r="S103">
        <f>HYPERLINK("https://klasma.github.io/Logging_1272/artfynd/A 44079-2024 artfynd.xlsx", "A 44079-2024")</f>
        <v/>
      </c>
      <c r="T103">
        <f>HYPERLINK("https://klasma.github.io/Logging_1272/kartor/A 44079-2024 karta.png", "A 44079-2024")</f>
        <v/>
      </c>
      <c r="V103">
        <f>HYPERLINK("https://klasma.github.io/Logging_1272/klagomål/A 44079-2024 FSC-klagomål.docx", "A 44079-2024")</f>
        <v/>
      </c>
      <c r="W103">
        <f>HYPERLINK("https://klasma.github.io/Logging_1272/klagomålsmail/A 44079-2024 FSC-klagomål mail.docx", "A 44079-2024")</f>
        <v/>
      </c>
      <c r="X103">
        <f>HYPERLINK("https://klasma.github.io/Logging_1272/tillsyn/A 44079-2024 tillsynsbegäran.docx", "A 44079-2024")</f>
        <v/>
      </c>
      <c r="Y103">
        <f>HYPERLINK("https://klasma.github.io/Logging_1272/tillsynsmail/A 44079-2024 tillsynsbegäran mail.docx", "A 44079-2024")</f>
        <v/>
      </c>
    </row>
    <row r="104" ht="15" customHeight="1">
      <c r="A104" t="inlineStr">
        <is>
          <t>A 46256-2024</t>
        </is>
      </c>
      <c r="B104" s="1" t="n">
        <v>45581</v>
      </c>
      <c r="C104" s="1" t="n">
        <v>45695</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46706-2024</t>
        </is>
      </c>
      <c r="B105" s="1" t="n">
        <v>45583</v>
      </c>
      <c r="C105" s="1" t="n">
        <v>45695</v>
      </c>
      <c r="D105" t="inlineStr">
        <is>
          <t>SKÅNE LÄN</t>
        </is>
      </c>
      <c r="E105" t="inlineStr">
        <is>
          <t>ÖSTRA GÖINGE</t>
        </is>
      </c>
      <c r="G105" t="n">
        <v>3.1</v>
      </c>
      <c r="H105" t="n">
        <v>3</v>
      </c>
      <c r="I105" t="n">
        <v>0</v>
      </c>
      <c r="J105" t="n">
        <v>2</v>
      </c>
      <c r="K105" t="n">
        <v>0</v>
      </c>
      <c r="L105" t="n">
        <v>0</v>
      </c>
      <c r="M105" t="n">
        <v>0</v>
      </c>
      <c r="N105" t="n">
        <v>0</v>
      </c>
      <c r="O105" t="n">
        <v>2</v>
      </c>
      <c r="P105" t="n">
        <v>0</v>
      </c>
      <c r="Q105" t="n">
        <v>3</v>
      </c>
      <c r="R105" s="2" t="inlineStr">
        <is>
          <t>Entita
Talltita
Kungsfågel</t>
        </is>
      </c>
      <c r="S105">
        <f>HYPERLINK("https://klasma.github.io/Logging_1256/artfynd/A 46706-2024 artfynd.xlsx", "A 46706-2024")</f>
        <v/>
      </c>
      <c r="T105">
        <f>HYPERLINK("https://klasma.github.io/Logging_1256/kartor/A 46706-2024 karta.png", "A 46706-2024")</f>
        <v/>
      </c>
      <c r="V105">
        <f>HYPERLINK("https://klasma.github.io/Logging_1256/klagomål/A 46706-2024 FSC-klagomål.docx", "A 46706-2024")</f>
        <v/>
      </c>
      <c r="W105">
        <f>HYPERLINK("https://klasma.github.io/Logging_1256/klagomålsmail/A 46706-2024 FSC-klagomål mail.docx", "A 46706-2024")</f>
        <v/>
      </c>
      <c r="X105">
        <f>HYPERLINK("https://klasma.github.io/Logging_1256/tillsyn/A 46706-2024 tillsynsbegäran.docx", "A 46706-2024")</f>
        <v/>
      </c>
      <c r="Y105">
        <f>HYPERLINK("https://klasma.github.io/Logging_1256/tillsynsmail/A 46706-2024 tillsynsbegäran mail.docx", "A 46706-2024")</f>
        <v/>
      </c>
      <c r="Z105">
        <f>HYPERLINK("https://klasma.github.io/Logging_1256/fåglar/A 46706-2024 prioriterade fågelarter.docx", "A 46706-2024")</f>
        <v/>
      </c>
    </row>
    <row r="106" ht="15" customHeight="1">
      <c r="A106" t="inlineStr">
        <is>
          <t>A 51680-2024</t>
        </is>
      </c>
      <c r="B106" s="1" t="n">
        <v>45607</v>
      </c>
      <c r="C106" s="1" t="n">
        <v>45695</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53826-2024</t>
        </is>
      </c>
      <c r="B107" s="1" t="n">
        <v>45615</v>
      </c>
      <c r="C107" s="1" t="n">
        <v>45695</v>
      </c>
      <c r="D107" t="inlineStr">
        <is>
          <t>SKÅNE LÄN</t>
        </is>
      </c>
      <c r="E107" t="inlineStr">
        <is>
          <t>ESLÖV</t>
        </is>
      </c>
      <c r="G107" t="n">
        <v>1.2</v>
      </c>
      <c r="H107" t="n">
        <v>1</v>
      </c>
      <c r="I107" t="n">
        <v>1</v>
      </c>
      <c r="J107" t="n">
        <v>1</v>
      </c>
      <c r="K107" t="n">
        <v>0</v>
      </c>
      <c r="L107" t="n">
        <v>1</v>
      </c>
      <c r="M107" t="n">
        <v>0</v>
      </c>
      <c r="N107" t="n">
        <v>0</v>
      </c>
      <c r="O107" t="n">
        <v>2</v>
      </c>
      <c r="P107" t="n">
        <v>1</v>
      </c>
      <c r="Q107" t="n">
        <v>3</v>
      </c>
      <c r="R107" s="2" t="inlineStr">
        <is>
          <t>Ask
Desmeknopp
Skogsknipprot</t>
        </is>
      </c>
      <c r="S107">
        <f>HYPERLINK("https://klasma.github.io/Logging_1285/artfynd/A 53826-2024 artfynd.xlsx", "A 53826-2024")</f>
        <v/>
      </c>
      <c r="T107">
        <f>HYPERLINK("https://klasma.github.io/Logging_1285/kartor/A 53826-2024 karta.png", "A 53826-2024")</f>
        <v/>
      </c>
      <c r="V107">
        <f>HYPERLINK("https://klasma.github.io/Logging_1285/klagomål/A 53826-2024 FSC-klagomål.docx", "A 53826-2024")</f>
        <v/>
      </c>
      <c r="W107">
        <f>HYPERLINK("https://klasma.github.io/Logging_1285/klagomålsmail/A 53826-2024 FSC-klagomål mail.docx", "A 53826-2024")</f>
        <v/>
      </c>
      <c r="X107">
        <f>HYPERLINK("https://klasma.github.io/Logging_1285/tillsyn/A 53826-2024 tillsynsbegäran.docx", "A 53826-2024")</f>
        <v/>
      </c>
      <c r="Y107">
        <f>HYPERLINK("https://klasma.github.io/Logging_1285/tillsynsmail/A 53826-2024 tillsynsbegäran mail.docx", "A 53826-2024")</f>
        <v/>
      </c>
    </row>
    <row r="108" ht="15" customHeight="1">
      <c r="A108" t="inlineStr">
        <is>
          <t>A 57726-2024</t>
        </is>
      </c>
      <c r="B108" s="1" t="n">
        <v>45630</v>
      </c>
      <c r="C108" s="1" t="n">
        <v>45695</v>
      </c>
      <c r="D108" t="inlineStr">
        <is>
          <t>SKÅNE LÄN</t>
        </is>
      </c>
      <c r="E108" t="inlineStr">
        <is>
          <t>LUND</t>
        </is>
      </c>
      <c r="G108" t="n">
        <v>11.4</v>
      </c>
      <c r="H108" t="n">
        <v>2</v>
      </c>
      <c r="I108" t="n">
        <v>0</v>
      </c>
      <c r="J108" t="n">
        <v>2</v>
      </c>
      <c r="K108" t="n">
        <v>1</v>
      </c>
      <c r="L108" t="n">
        <v>0</v>
      </c>
      <c r="M108" t="n">
        <v>0</v>
      </c>
      <c r="N108" t="n">
        <v>0</v>
      </c>
      <c r="O108" t="n">
        <v>3</v>
      </c>
      <c r="P108" t="n">
        <v>1</v>
      </c>
      <c r="Q108" t="n">
        <v>3</v>
      </c>
      <c r="R108" s="2" t="inlineStr">
        <is>
          <t>Silkesslidskivling
Duvhök
Grönsångare</t>
        </is>
      </c>
      <c r="S108">
        <f>HYPERLINK("https://klasma.github.io/Logging_1281/artfynd/A 57726-2024 artfynd.xlsx", "A 57726-2024")</f>
        <v/>
      </c>
      <c r="T108">
        <f>HYPERLINK("https://klasma.github.io/Logging_1281/kartor/A 57726-2024 karta.png", "A 57726-2024")</f>
        <v/>
      </c>
      <c r="V108">
        <f>HYPERLINK("https://klasma.github.io/Logging_1281/klagomål/A 57726-2024 FSC-klagomål.docx", "A 57726-2024")</f>
        <v/>
      </c>
      <c r="W108">
        <f>HYPERLINK("https://klasma.github.io/Logging_1281/klagomålsmail/A 57726-2024 FSC-klagomål mail.docx", "A 57726-2024")</f>
        <v/>
      </c>
      <c r="X108">
        <f>HYPERLINK("https://klasma.github.io/Logging_1281/tillsyn/A 57726-2024 tillsynsbegäran.docx", "A 57726-2024")</f>
        <v/>
      </c>
      <c r="Y108">
        <f>HYPERLINK("https://klasma.github.io/Logging_1281/tillsynsmail/A 57726-2024 tillsynsbegäran mail.docx", "A 57726-2024")</f>
        <v/>
      </c>
      <c r="Z108">
        <f>HYPERLINK("https://klasma.github.io/Logging_1281/fåglar/A 57726-2024 prioriterade fågelarter.docx", "A 57726-2024")</f>
        <v/>
      </c>
    </row>
    <row r="109" ht="15" customHeight="1">
      <c r="A109" t="inlineStr">
        <is>
          <t>A 513-2025</t>
        </is>
      </c>
      <c r="B109" s="1" t="n">
        <v>45664</v>
      </c>
      <c r="C109" s="1" t="n">
        <v>45695</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2823-2025</t>
        </is>
      </c>
      <c r="B110" s="1" t="n">
        <v>45677</v>
      </c>
      <c r="C110" s="1" t="n">
        <v>45695</v>
      </c>
      <c r="D110" t="inlineStr">
        <is>
          <t>SKÅNE LÄN</t>
        </is>
      </c>
      <c r="E110" t="inlineStr">
        <is>
          <t>HÖRBY</t>
        </is>
      </c>
      <c r="G110" t="n">
        <v>21.1</v>
      </c>
      <c r="H110" t="n">
        <v>2</v>
      </c>
      <c r="I110" t="n">
        <v>0</v>
      </c>
      <c r="J110" t="n">
        <v>1</v>
      </c>
      <c r="K110" t="n">
        <v>0</v>
      </c>
      <c r="L110" t="n">
        <v>0</v>
      </c>
      <c r="M110" t="n">
        <v>0</v>
      </c>
      <c r="N110" t="n">
        <v>0</v>
      </c>
      <c r="O110" t="n">
        <v>1</v>
      </c>
      <c r="P110" t="n">
        <v>0</v>
      </c>
      <c r="Q110" t="n">
        <v>3</v>
      </c>
      <c r="R110" s="2" t="inlineStr">
        <is>
          <t>Borsttåg
Grönvit nattviol
Revlummer</t>
        </is>
      </c>
      <c r="S110">
        <f>HYPERLINK("https://klasma.github.io/Logging_1266/artfynd/A 2823-2025 artfynd.xlsx", "A 2823-2025")</f>
        <v/>
      </c>
      <c r="T110">
        <f>HYPERLINK("https://klasma.github.io/Logging_1266/kartor/A 2823-2025 karta.png", "A 2823-2025")</f>
        <v/>
      </c>
      <c r="V110">
        <f>HYPERLINK("https://klasma.github.io/Logging_1266/klagomål/A 2823-2025 FSC-klagomål.docx", "A 2823-2025")</f>
        <v/>
      </c>
      <c r="W110">
        <f>HYPERLINK("https://klasma.github.io/Logging_1266/klagomålsmail/A 2823-2025 FSC-klagomål mail.docx", "A 2823-2025")</f>
        <v/>
      </c>
      <c r="X110">
        <f>HYPERLINK("https://klasma.github.io/Logging_1266/tillsyn/A 2823-2025 tillsynsbegäran.docx", "A 2823-2025")</f>
        <v/>
      </c>
      <c r="Y110">
        <f>HYPERLINK("https://klasma.github.io/Logging_1266/tillsynsmail/A 2823-2025 tillsynsbegäran mail.docx", "A 2823-2025")</f>
        <v/>
      </c>
    </row>
    <row r="111" ht="15" customHeight="1">
      <c r="A111" t="inlineStr">
        <is>
          <t>A 30713-2019</t>
        </is>
      </c>
      <c r="B111" s="1" t="n">
        <v>43636</v>
      </c>
      <c r="C111" s="1" t="n">
        <v>45695</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45695</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45695</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45695</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45695</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45695</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45695</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45695</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45695</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45695</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45695</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45695</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45695</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45695</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45695</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45695</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45695</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45695</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45695</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45695</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45695</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45695</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45695</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45695</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45695</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45695</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45695</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45695</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45695</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45695</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45695</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45695</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45695</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45695</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45695</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45695</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45695</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45695</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45695</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45695</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45695</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45695</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45695</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45695</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45695</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45695</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45695</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45695</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45695</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45695</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45695</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45695</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45695</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45695</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45695</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45695</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45695</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45695</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45695</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45695</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45695</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45695</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45695</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45695</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45695</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45695</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45695</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45695</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45695</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45695</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45695</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45695</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45695</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45695</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45695</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45695</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45695</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45695</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45695</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45695</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45695</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45695</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45695</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45695</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45695</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45695</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45695</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45695</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45695</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45695</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45695</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45695</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45695</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45695</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45695</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45695</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45695</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45695</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45695</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45695</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45695</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45695</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45695</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45695</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45695</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45695</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45695</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45695</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45695</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45695</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45695</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45695</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45695</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45695</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45695</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45695</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45695</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45695</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45695</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45695</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45695</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45695</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45695</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45695</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45695</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45695</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45695</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45695</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45695</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45695</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45695</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45695</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45695</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45695</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45695</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45695</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45695</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45695</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45695</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45695</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45695</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45695</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45695</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45695</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45695</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45695</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45695</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45695</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45695</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45695</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45695</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45695</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45695</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45695</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45695</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45695</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45695</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45695</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45695</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45695</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45695</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45695</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45695</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45695</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45695</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45695</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45695</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45695</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45695</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45695</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45695</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45695</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45695</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45695</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45695</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45695</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45695</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45695</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45695</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45695</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45695</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45695</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45695</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45695</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45695</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45695</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45695</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45695</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45695</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45695</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45695</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45695</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45695</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45695</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45695</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45695</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45695</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45695</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45695</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45695</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45695</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45695</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45695</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45695</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45695</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45695</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45695</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45695</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45695</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45695</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45695</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45695</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45695</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45695</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45695</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45695</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45695</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45695</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45695</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45695</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45695</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45695</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45695</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45695</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45695</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45695</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45695</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45695</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45695</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45695</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45695</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45695</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45695</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45695</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45695</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45695</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45695</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45695</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45695</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45695</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45695</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45695</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45695</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45695</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45695</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45695</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45695</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45695</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45695</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45695</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45695</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45695</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45695</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45695</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45695</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45695</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45695</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45695</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45695</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45695</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45695</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45695</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45695</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45695</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45695</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45695</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45695</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45695</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45695</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45695</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45695</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45695</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45695</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45695</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45695</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45695</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45695</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45695</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45695</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45695</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45695</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45695</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45695</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4816-2025</t>
        </is>
      </c>
      <c r="B394" s="1" t="n">
        <v>45688</v>
      </c>
      <c r="C394" s="1" t="n">
        <v>45695</v>
      </c>
      <c r="D394" t="inlineStr">
        <is>
          <t>SKÅNE LÄN</t>
        </is>
      </c>
      <c r="E394" t="inlineStr">
        <is>
          <t>LUND</t>
        </is>
      </c>
      <c r="G394" t="n">
        <v>7.7</v>
      </c>
      <c r="H394" t="n">
        <v>0</v>
      </c>
      <c r="I394" t="n">
        <v>1</v>
      </c>
      <c r="J394" t="n">
        <v>0</v>
      </c>
      <c r="K394" t="n">
        <v>0</v>
      </c>
      <c r="L394" t="n">
        <v>0</v>
      </c>
      <c r="M394" t="n">
        <v>0</v>
      </c>
      <c r="N394" t="n">
        <v>0</v>
      </c>
      <c r="O394" t="n">
        <v>0</v>
      </c>
      <c r="P394" t="n">
        <v>0</v>
      </c>
      <c r="Q394" t="n">
        <v>1</v>
      </c>
      <c r="R394" s="2" t="inlineStr">
        <is>
          <t>Strutbräken</t>
        </is>
      </c>
      <c r="S394">
        <f>HYPERLINK("https://klasma.github.io/Logging_1281/artfynd/A 4816-2025 artfynd.xlsx", "A 4816-2025")</f>
        <v/>
      </c>
      <c r="T394">
        <f>HYPERLINK("https://klasma.github.io/Logging_1281/kartor/A 4816-2025 karta.png", "A 4816-2025")</f>
        <v/>
      </c>
      <c r="V394">
        <f>HYPERLINK("https://klasma.github.io/Logging_1281/klagomål/A 4816-2025 FSC-klagomål.docx", "A 4816-2025")</f>
        <v/>
      </c>
      <c r="W394">
        <f>HYPERLINK("https://klasma.github.io/Logging_1281/klagomålsmail/A 4816-2025 FSC-klagomål mail.docx", "A 4816-2025")</f>
        <v/>
      </c>
      <c r="X394">
        <f>HYPERLINK("https://klasma.github.io/Logging_1281/tillsyn/A 4816-2025 tillsynsbegäran.docx", "A 4816-2025")</f>
        <v/>
      </c>
      <c r="Y394">
        <f>HYPERLINK("https://klasma.github.io/Logging_1281/tillsynsmail/A 4816-2025 tillsynsbegäran mail.docx", "A 4816-2025")</f>
        <v/>
      </c>
    </row>
    <row r="395" ht="15" customHeight="1">
      <c r="A395" t="inlineStr">
        <is>
          <t>A 4792-2025</t>
        </is>
      </c>
      <c r="B395" s="1" t="n">
        <v>45688</v>
      </c>
      <c r="C395" s="1" t="n">
        <v>45695</v>
      </c>
      <c r="D395" t="inlineStr">
        <is>
          <t>SKÅNE LÄN</t>
        </is>
      </c>
      <c r="E395" t="inlineStr">
        <is>
          <t>LUND</t>
        </is>
      </c>
      <c r="G395" t="n">
        <v>5.9</v>
      </c>
      <c r="H395" t="n">
        <v>0</v>
      </c>
      <c r="I395" t="n">
        <v>0</v>
      </c>
      <c r="J395" t="n">
        <v>1</v>
      </c>
      <c r="K395" t="n">
        <v>0</v>
      </c>
      <c r="L395" t="n">
        <v>0</v>
      </c>
      <c r="M395" t="n">
        <v>0</v>
      </c>
      <c r="N395" t="n">
        <v>0</v>
      </c>
      <c r="O395" t="n">
        <v>1</v>
      </c>
      <c r="P395" t="n">
        <v>0</v>
      </c>
      <c r="Q395" t="n">
        <v>1</v>
      </c>
      <c r="R395" s="2" t="inlineStr">
        <is>
          <t>Oxtungssvamp</t>
        </is>
      </c>
      <c r="S395">
        <f>HYPERLINK("https://klasma.github.io/Logging_1281/artfynd/A 4792-2025 artfynd.xlsx", "A 4792-2025")</f>
        <v/>
      </c>
      <c r="T395">
        <f>HYPERLINK("https://klasma.github.io/Logging_1281/kartor/A 4792-2025 karta.png", "A 4792-2025")</f>
        <v/>
      </c>
      <c r="V395">
        <f>HYPERLINK("https://klasma.github.io/Logging_1281/klagomål/A 4792-2025 FSC-klagomål.docx", "A 4792-2025")</f>
        <v/>
      </c>
      <c r="W395">
        <f>HYPERLINK("https://klasma.github.io/Logging_1281/klagomålsmail/A 4792-2025 FSC-klagomål mail.docx", "A 4792-2025")</f>
        <v/>
      </c>
      <c r="X395">
        <f>HYPERLINK("https://klasma.github.io/Logging_1281/tillsyn/A 4792-2025 tillsynsbegäran.docx", "A 4792-2025")</f>
        <v/>
      </c>
      <c r="Y395">
        <f>HYPERLINK("https://klasma.github.io/Logging_1281/tillsynsmail/A 4792-2025 tillsynsbegäran mail.docx", "A 4792-2025")</f>
        <v/>
      </c>
    </row>
    <row r="396" ht="15" customHeight="1">
      <c r="A396" t="inlineStr">
        <is>
          <t>A 4725-2025</t>
        </is>
      </c>
      <c r="B396" s="1" t="n">
        <v>45688</v>
      </c>
      <c r="C396" s="1" t="n">
        <v>45695</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4746-2025</t>
        </is>
      </c>
      <c r="B397" s="1" t="n">
        <v>45688</v>
      </c>
      <c r="C397" s="1" t="n">
        <v>45695</v>
      </c>
      <c r="D397" t="inlineStr">
        <is>
          <t>SKÅNE LÄN</t>
        </is>
      </c>
      <c r="E397" t="inlineStr">
        <is>
          <t>LUND</t>
        </is>
      </c>
      <c r="G397" t="n">
        <v>1.1</v>
      </c>
      <c r="H397" t="n">
        <v>1</v>
      </c>
      <c r="I397" t="n">
        <v>0</v>
      </c>
      <c r="J397" t="n">
        <v>1</v>
      </c>
      <c r="K397" t="n">
        <v>0</v>
      </c>
      <c r="L397" t="n">
        <v>0</v>
      </c>
      <c r="M397" t="n">
        <v>0</v>
      </c>
      <c r="N397" t="n">
        <v>0</v>
      </c>
      <c r="O397" t="n">
        <v>1</v>
      </c>
      <c r="P397" t="n">
        <v>0</v>
      </c>
      <c r="Q397" t="n">
        <v>1</v>
      </c>
      <c r="R397" s="2" t="inlineStr">
        <is>
          <t>Svartvit flugsnappare</t>
        </is>
      </c>
      <c r="S397">
        <f>HYPERLINK("https://klasma.github.io/Logging_1281/artfynd/A 4746-2025 artfynd.xlsx", "A 4746-2025")</f>
        <v/>
      </c>
      <c r="T397">
        <f>HYPERLINK("https://klasma.github.io/Logging_1281/kartor/A 4746-2025 karta.png", "A 4746-2025")</f>
        <v/>
      </c>
      <c r="V397">
        <f>HYPERLINK("https://klasma.github.io/Logging_1281/klagomål/A 4746-2025 FSC-klagomål.docx", "A 4746-2025")</f>
        <v/>
      </c>
      <c r="W397">
        <f>HYPERLINK("https://klasma.github.io/Logging_1281/klagomålsmail/A 4746-2025 FSC-klagomål mail.docx", "A 4746-2025")</f>
        <v/>
      </c>
      <c r="X397">
        <f>HYPERLINK("https://klasma.github.io/Logging_1281/tillsyn/A 4746-2025 tillsynsbegäran.docx", "A 4746-2025")</f>
        <v/>
      </c>
      <c r="Y397">
        <f>HYPERLINK("https://klasma.github.io/Logging_1281/tillsynsmail/A 4746-2025 tillsynsbegäran mail.docx", "A 4746-2025")</f>
        <v/>
      </c>
      <c r="Z397">
        <f>HYPERLINK("https://klasma.github.io/Logging_1281/fåglar/A 4746-2025 prioriterade fågelarter.docx", "A 4746-2025")</f>
        <v/>
      </c>
    </row>
    <row r="398" ht="15" customHeight="1">
      <c r="A398" t="inlineStr">
        <is>
          <t>A 18175-2019</t>
        </is>
      </c>
      <c r="B398" s="1" t="n">
        <v>43556</v>
      </c>
      <c r="C398" s="1" t="n">
        <v>45695</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45695</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45695</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45695</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45695</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45695</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45695</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45695</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45695</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45695</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45695</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45695</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45695</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45695</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45695</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45695</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45695</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45695</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45695</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45695</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45695</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45695</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45695</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45695</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45695</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45695</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45695</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45695</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45695</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45695</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45695</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45695</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45695</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45695</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45695</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45695</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45695</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45695</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45695</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45695</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45695</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45695</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45695</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45695</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45695</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45695</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45695</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45695</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45695</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45695</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45695</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45695</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45695</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45695</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45695</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45695</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45695</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45695</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45695</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45695</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45695</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45695</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45695</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45695</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45695</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45695</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45695</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45695</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45695</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45695</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45695</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45695</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45695</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45695</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45695</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45695</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45695</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45695</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45695</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45695</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45695</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45695</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45695</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45695</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45695</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45695</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45695</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45695</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45695</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45695</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45695</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45695</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45695</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45695</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45695</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45695</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45695</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45695</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45695</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45695</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45695</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45695</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45695</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45695</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45695</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45695</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45695</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45695</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45695</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45695</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45695</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45695</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45695</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45695</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45695</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45695</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45695</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45695</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45695</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45695</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45695</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45695</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45695</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45695</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45695</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45695</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45695</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45695</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45695</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45695</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45695</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45695</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45695</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45695</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45695</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45695</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45695</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45695</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45695</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45695</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45695</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45695</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45695</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45695</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45695</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45695</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45695</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45695</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45695</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45695</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45695</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45695</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45695</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45695</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45695</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45695</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45695</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45695</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45695</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45695</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45695</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45695</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45695</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45695</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45695</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45695</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45695</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45695</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45695</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45695</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45695</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45695</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45695</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45695</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45695</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45695</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45695</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45695</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45695</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45695</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45695</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45695</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45695</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45695</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45695</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45695</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45695</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45695</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45695</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45695</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45695</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45695</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45695</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45695</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45695</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45695</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45695</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45695</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45695</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45695</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45695</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45695</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45695</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45695</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45695</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45695</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45695</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45695</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45695</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45695</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45695</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45695</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45695</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45695</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45695</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45695</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45695</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45695</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45695</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45695</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45695</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45695</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45695</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45695</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45695</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45695</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45695</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45695</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45695</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45695</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45695</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45695</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45695</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45695</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45695</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45695</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45695</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45695</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45695</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45695</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45695</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45695</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45695</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45695</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45695</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45695</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45695</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45695</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45695</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45695</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45695</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45695</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45695</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45695</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45695</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45695</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45695</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45695</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45695</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45695</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45695</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45695</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45695</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45695</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45695</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45695</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45695</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45695</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45695</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45695</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45695</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45695</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45695</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45695</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45695</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45695</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45695</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45695</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45695</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45695</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45695</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45695</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45695</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45695</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45695</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45695</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45695</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45695</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45695</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45695</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45695</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45695</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45695</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45695</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45695</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45695</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45695</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45695</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45695</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45695</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45695</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45695</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45695</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45695</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45695</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45695</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45695</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45695</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45695</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45695</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45695</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45695</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45695</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45695</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45695</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45695</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45695</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45695</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45695</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45695</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45695</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45695</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45695</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45695</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45695</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45695</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45695</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45695</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45695</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45695</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45695</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45695</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45695</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45695</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45695</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45695</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45695</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45695</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45695</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45695</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45695</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45695</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45695</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45695</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45695</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45695</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45695</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45695</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45695</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45695</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45695</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45695</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45695</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45695</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45695</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45695</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45695</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45695</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45695</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45695</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45695</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45695</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45695</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45695</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45695</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45695</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45695</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45695</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45695</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45695</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45695</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45695</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45695</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45695</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45695</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45695</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45695</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45695</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45695</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45695</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45695</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45695</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45695</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45695</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45695</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45695</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45695</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45695</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45695</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45695</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45695</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45695</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45695</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45695</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45695</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45695</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45695</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45695</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45695</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45695</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45695</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45695</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45695</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45695</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45695</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45695</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45695</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45695</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45695</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45695</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45695</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45695</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45695</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45695</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45695</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45695</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45695</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45695</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45695</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45695</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45695</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45695</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45695</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45695</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45695</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45695</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45695</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45695</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45695</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45695</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45695</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45695</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45695</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45695</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45695</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45695</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45695</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45695</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45695</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45695</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45695</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45695</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45695</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45695</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45695</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45695</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45695</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45695</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45695</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45695</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45695</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45695</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45695</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45695</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45695</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45695</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45695</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45695</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45695</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45695</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45695</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45695</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45695</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45695</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45695</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45695</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45695</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45695</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45695</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45695</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45695</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45695</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45695</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45695</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45695</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45695</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45695</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45695</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45695</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45695</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45695</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45695</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45695</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45695</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45695</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45695</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45695</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45695</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45695</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45695</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45695</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45695</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45695</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45695</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45695</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45695</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45695</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45695</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45695</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45695</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45695</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45695</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45695</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45695</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45695</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45695</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45695</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45695</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45695</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45695</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45695</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45695</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45695</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45695</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45695</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45695</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45695</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45695</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45695</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45695</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45695</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45695</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45695</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45695</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45695</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45695</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45695</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45695</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45695</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45695</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45695</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45695</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45695</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45695</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45695</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45695</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45695</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45695</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45695</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45695</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45695</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45695</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45695</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45695</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45695</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45695</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45695</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45695</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45695</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45695</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45695</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45695</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45695</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45695</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45695</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45695</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45695</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45695</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45695</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45695</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45695</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45695</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45695</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45695</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45695</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45695</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45695</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45695</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45695</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45695</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45695</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45695</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45695</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45695</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45695</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45695</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45695</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45695</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45695</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45695</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45695</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45695</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45695</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45695</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45695</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45695</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45695</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45695</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45695</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45695</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45695</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45695</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45695</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45695</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45695</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45695</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45695</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45695</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45695</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45695</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45695</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45695</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45695</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45695</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45695</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45695</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45695</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45695</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45695</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45695</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45695</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45695</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45695</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45695</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45695</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45695</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45695</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45695</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45695</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45695</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45695</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45695</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45695</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45695</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45695</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45695</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45695</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45695</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45695</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45695</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45695</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45695</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45695</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45695</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45695</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45695</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45695</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45695</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45695</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45695</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45695</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45695</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45695</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45695</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45695</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45695</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45695</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45695</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45695</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45695</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45695</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45695</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45695</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45695</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45695</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45695</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45695</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45695</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45695</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45695</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45695</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45695</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45695</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45695</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45695</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45695</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45695</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45695</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45695</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45695</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45695</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45695</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45695</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45695</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45695</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45695</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45695</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45695</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45695</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45695</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45695</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45695</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45695</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45695</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45695</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45695</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45695</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45695</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45695</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45695</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45695</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45695</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45695</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45695</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45695</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45695</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45695</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45695</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45695</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45695</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45695</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45695</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45695</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45695</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45695</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45695</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45695</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45695</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45695</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45695</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45695</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45695</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45695</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45695</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45695</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45695</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45695</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45695</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45695</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45695</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45695</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45695</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45695</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45695</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45695</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45695</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45695</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45695</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45695</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45695</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45695</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45695</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45695</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45695</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45695</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45695</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45695</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45695</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45695</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45695</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45695</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45695</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45695</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45695</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45695</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45695</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45695</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45695</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45695</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45695</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45695</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45695</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45695</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45695</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45695</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45695</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45695</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45695</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45695</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45695</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45695</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45695</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45695</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45695</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45695</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45695</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45695</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45695</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45695</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45695</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45695</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45695</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45695</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45695</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45695</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45695</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45695</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45695</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45695</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45695</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45695</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45695</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45695</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45695</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45695</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45695</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45695</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45695</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45695</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45695</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45695</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45695</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45695</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45695</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45695</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45695</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45695</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45695</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45695</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45695</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45695</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45695</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45695</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45695</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45695</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45695</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45695</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45695</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45695</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45695</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45695</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45695</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45695</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45695</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45695</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45695</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45695</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45695</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45695</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45695</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45695</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45695</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45695</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45695</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45695</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45695</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45695</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45695</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45695</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45695</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45695</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45695</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45695</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45695</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45695</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45695</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45695</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45695</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45695</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45695</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45695</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45695</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45695</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45695</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45695</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45695</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45695</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45695</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45695</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45695</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45695</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45695</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45695</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45695</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45695</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45695</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45695</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45695</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45695</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45695</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45695</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45695</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45695</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45695</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45695</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45695</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45695</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45695</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45695</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45695</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45695</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45695</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45695</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45695</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45695</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45695</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45695</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45695</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45695</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45695</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45695</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45695</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45695</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45695</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45695</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45695</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45695</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45695</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45695</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45695</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45695</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45695</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45695</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45695</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45695</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45695</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45695</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45695</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45695</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45695</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45695</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45695</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45695</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45695</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45695</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45695</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45695</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45695</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45695</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45695</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45695</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45695</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45695</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45695</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45695</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45695</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45695</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45695</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45695</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45695</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45695</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45695</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45695</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45695</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45695</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45695</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45695</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45695</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45695</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45695</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45695</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45695</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45695</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45695</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45695</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45695</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45695</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45695</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45695</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45695</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45695</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45695</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45695</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45695</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45695</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45695</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45695</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45695</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45695</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45695</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45695</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45695</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45695</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45695</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45695</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45695</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45695</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45695</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45695</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45695</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45695</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45695</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45695</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45695</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45695</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45695</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45695</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45695</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45695</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45695</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45695</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45695</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45695</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45695</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45695</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45695</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45695</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45695</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45695</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45695</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45695</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45695</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45695</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45695</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45695</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45695</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45695</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45695</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45695</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45695</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45695</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45695</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45695</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45695</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45695</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45695</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45695</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45695</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45695</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45695</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45695</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45695</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45695</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45695</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45695</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45695</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45695</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45695</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45695</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45695</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45695</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45695</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45695</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45695</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45695</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45695</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45695</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45695</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45695</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45695</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45695</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45695</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45695</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45695</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45695</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45695</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45695</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45695</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45695</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45695</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45695</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45695</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45695</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45695</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45695</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45695</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45695</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45695</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45695</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45695</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45695</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45695</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45695</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45695</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45695</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45695</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45695</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45695</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45695</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45695</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45695</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45695</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45695</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45695</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45695</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45695</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45695</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45695</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45695</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45695</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45695</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45695</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45695</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45695</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45695</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45695</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45695</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45695</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45695</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45695</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45695</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45695</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45695</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45695</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45695</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45695</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45695</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45695</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45695</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45695</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45695</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45695</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45695</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45695</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45695</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45695</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45695</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45695</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45695</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45695</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45695</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45695</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45695</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45695</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45695</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45695</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45695</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45695</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45695</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45695</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45695</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45695</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45695</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45695</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45695</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45695</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45695</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45695</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45695</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45695</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45695</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45695</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45695</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45695</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45695</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45695</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45695</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45695</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45695</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45695</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45695</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45695</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45695</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45695</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45695</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45695</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45695</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45695</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45695</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45695</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45695</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45695</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45695</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45695</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45695</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45695</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45695</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45695</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45695</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45695</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45695</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45695</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45695</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45695</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45695</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45695</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45695</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45695</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45695</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45695</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45695</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45695</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45695</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45695</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45695</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45695</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45695</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45695</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45695</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45695</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45695</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45695</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45695</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45695</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45695</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45695</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45695</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45695</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45695</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45695</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45695</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45695</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45695</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45695</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45695</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45695</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45695</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45695</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45695</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45695</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45695</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45695</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45695</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45695</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45695</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45695</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45695</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45695</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45695</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45695</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45695</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45695</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45695</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45695</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45695</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45695</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45695</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45695</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45695</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45695</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45695</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45695</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45695</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45695</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45695</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45695</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45695</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45695</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45695</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45695</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45695</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45695</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45695</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45695</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45695</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45695</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45695</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45695</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45695</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45695</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45695</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45695</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45695</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45695</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45695</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45695</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45695</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45695</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45695</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45695</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45695</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45695</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45695</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45695</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45695</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45695</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45695</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45695</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45695</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45695</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45695</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45695</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45695</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45695</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45695</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45695</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45695</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45695</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45695</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45695</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45695</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45695</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45695</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45695</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45695</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45695</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45695</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45695</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45695</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45695</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45695</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45695</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45695</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45695</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45695</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45695</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45695</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45695</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45695</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45695</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45695</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45695</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45695</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45695</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45695</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45695</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45695</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45695</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45695</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45695</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45695</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45695</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45695</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45695</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45695</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45695</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45695</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45695</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45695</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45695</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45695</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45695</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45695</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45695</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45695</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45695</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45695</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45695</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45695</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45695</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45695</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45695</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45695</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45695</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45695</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45695</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45695</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45695</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45695</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45695</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45695</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45695</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45695</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45695</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45695</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45695</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45695</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45695</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45695</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45695</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45695</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45695</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45695</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45695</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45695</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45695</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45695</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45695</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45695</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45695</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45695</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45695</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45695</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45695</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45695</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45695</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45695</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45695</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45695</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45695</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45695</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45695</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45695</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45695</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45695</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45695</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45695</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45695</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45695</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45695</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45695</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45695</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45695</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45695</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45695</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45695</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45695</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45695</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45695</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45695</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45695</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45695</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45695</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45695</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45695</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45695</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45695</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45695</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45695</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45695</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45695</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45695</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45695</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45695</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45695</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45695</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45695</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45695</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45695</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45695</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45695</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45695</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45695</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45695</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45695</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45695</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45695</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45695</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45695</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45695</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45695</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45695</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45695</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45695</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45695</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45695</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45695</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45695</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45695</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45695</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45695</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45695</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45695</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45695</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45695</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45695</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45695</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45695</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45695</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45695</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45695</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45695</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45695</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45695</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45695</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45695</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45695</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45695</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45695</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45695</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45695</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45695</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45695</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45695</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45695</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45695</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45695</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45695</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45695</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45695</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45695</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45695</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45695</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45695</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45695</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45695</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45695</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45695</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45695</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45695</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45695</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45695</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45695</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45695</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45695</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45695</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45695</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45695</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45695</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45695</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45695</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45695</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45695</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45695</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45695</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45695</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45695</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45695</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45695</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45695</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45695</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45695</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45695</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45695</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45695</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45695</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45695</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45695</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45695</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45695</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45695</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45695</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45695</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45695</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45695</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45695</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45695</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45695</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45695</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45695</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45695</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45695</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45695</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45695</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45695</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45695</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45695</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45695</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45695</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45695</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45695</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45695</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45695</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45695</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45695</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45695</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45695</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45695</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45695</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45695</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45695</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45695</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45695</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45695</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45695</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45695</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45695</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45695</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45695</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45695</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45695</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45695</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45695</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45695</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45695</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45695</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45695</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45695</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45695</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45695</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45695</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45695</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45695</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45695</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45695</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45695</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45695</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45695</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45695</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45695</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45695</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45695</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45695</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45695</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45695</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45695</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45695</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45695</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45695</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45695</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45695</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45695</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45695</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45695</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45695</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45695</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45695</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45695</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45695</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45695</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45695</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45695</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45695</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45695</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45695</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45695</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45695</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45695</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45695</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45695</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45695</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45695</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45695</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45695</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45695</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45695</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45695</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45695</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45695</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45695</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45695</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45695</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45695</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45695</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45695</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45695</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45695</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45695</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45695</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45695</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45695</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45695</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45695</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45695</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45695</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45695</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45695</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45695</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45695</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45695</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45695</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45695</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45695</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45695</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45695</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45695</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45695</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45695</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45695</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45695</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45695</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45695</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45695</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45695</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45695</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45695</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45695</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45695</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45695</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45695</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45695</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45695</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45695</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45695</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45695</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45695</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45695</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45695</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45695</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45695</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45695</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45695</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45695</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45695</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45695</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45695</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45695</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45695</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45695</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45695</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45695</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45695</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45695</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45695</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45695</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45695</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45695</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45695</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45695</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45695</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45695</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45695</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45695</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45695</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45695</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45695</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45695</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45695</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45695</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45695</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45695</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45695</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45695</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45695</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45695</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45695</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45695</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45695</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45695</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45695</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45695</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45695</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45695</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45695</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45695</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45695</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45695</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45695</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45695</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45695</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45695</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45695</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45695</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45695</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45695</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45695</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45695</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45695</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45695</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45695</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45695</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45695</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45695</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45695</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45695</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45695</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45695</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45695</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45695</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45695</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45695</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45695</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45695</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45695</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45695</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45695</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45695</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45695</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45695</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45695</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45695</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45695</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45695</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45695</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45695</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45695</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45695</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45695</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45695</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45695</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45695</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45695</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45695</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45695</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45695</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45695</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45695</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45695</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45695</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45695</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45695</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45695</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45695</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45695</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45695</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45695</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45695</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45695</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45695</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45695</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45695</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45695</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45695</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45695</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45695</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45695</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45695</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45695</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45695</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45695</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45695</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45695</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45695</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45695</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45695</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45695</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45695</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45695</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45695</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45695</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45695</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45695</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45695</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45695</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45695</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45695</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45695</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45695</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45695</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45695</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45695</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45695</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45695</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45695</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45695</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45695</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45695</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45695</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45695</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45695</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45695</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45695</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45695</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45695</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45695</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45695</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45695</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45695</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45695</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45695</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45695</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45695</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45695</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45695</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45695</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45695</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45695</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45695</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45695</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45695</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45695</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45695</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45695</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45695</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45695</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45695</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45695</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45695</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45695</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45695</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45695</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45695</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45695</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45695</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45695</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45695</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45695</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45695</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45695</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45695</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45695</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45695</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45695</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45695</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45695</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45695</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45695</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45695</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45695</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45695</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45695</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45695</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45695</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45695</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45695</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45695</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45695</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45695</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45695</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45695</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45695</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45695</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45695</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45695</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45695</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45695</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45695</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45695</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45695</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45695</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45695</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45695</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45695</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45695</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45695</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45695</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45695</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45695</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45695</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45695</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45695</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45695</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45695</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45695</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45695</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45695</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45695</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45695</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45695</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45695</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45695</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45695</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45695</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45695</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45695</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45695</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45695</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45695</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45695</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45695</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45695</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45695</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45695</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45695</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45695</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45695</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45695</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45695</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45695</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45695</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45695</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45695</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45695</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45695</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45695</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45695</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45695</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45695</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45695</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45695</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45695</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45695</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45695</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45695</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45695</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45695</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45695</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45695</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45695</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45695</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45695</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45695</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45695</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45695</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45695</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45695</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45695</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45695</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45695</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45695</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45695</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45695</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45695</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45695</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45695</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45695</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45695</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45695</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45695</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45695</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45695</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45695</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45695</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45695</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45695</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45695</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45695</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45695</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45695</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45695</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45695</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45695</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45695</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45695</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45695</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45695</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45695</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45695</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45695</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45695</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45695</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45695</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45695</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45695</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45695</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45695</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45695</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45695</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45695</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45695</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45695</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45695</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45695</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45695</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45695</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45695</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45695</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45695</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45695</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45695</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45695</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45695</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45695</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45695</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45695</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45695</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45695</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45695</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45695</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45695</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45695</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45695</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45695</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45695</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45695</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45695</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45695</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45695</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45695</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45695</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45695</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45695</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45695</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45695</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45695</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45695</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45695</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45695</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45695</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45695</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45695</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45695</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45695</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45695</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45695</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45695</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45695</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45695</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45695</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45695</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45695</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45695</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45695</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45695</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45695</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45695</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45695</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45695</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45695</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45695</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45695</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45695</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45695</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45695</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45695</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45695</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45695</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45695</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45695</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45695</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45695</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45695</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45695</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45695</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45695</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45695</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45695</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45695</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45695</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45695</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45695</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45695</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45695</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45695</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45695</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45695</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45695</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45695</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45695</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45695</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45695</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45695</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45695</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45695</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45695</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45695</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45695</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45695</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45695</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45695</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45695</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45695</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45695</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45695</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45695</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45695</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45695</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45695</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45695</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45695</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45695</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45695</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45695</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45695</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45695</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45695</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45695</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45695</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45695</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45695</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45695</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45695</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45695</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45695</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45695</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45695</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45695</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45695</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45695</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45695</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45695</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45695</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45695</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45695</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45695</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45695</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45695</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45695</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45695</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45695</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45695</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45695</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45695</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45695</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45695</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45695</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45695</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45695</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45695</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45695</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45695</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45695</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45695</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45695</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45695</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45695</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45695</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45695</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45695</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45695</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45695</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45695</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45695</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45695</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45695</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45695</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45695</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45695</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45695</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45695</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45695</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45695</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45695</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45695</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45695</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45695</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45695</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45695</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45695</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45695</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45695</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45695</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45695</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45695</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45695</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45695</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45695</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45695</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45695</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45695</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45695</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45695</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45695</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45695</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45695</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45695</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45695</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45695</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45695</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45695</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45695</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45695</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45695</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45695</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45695</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45695</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45695</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45695</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45695</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45695</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45695</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45695</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45695</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45695</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45695</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45695</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45695</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45695</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45695</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45695</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45695</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45695</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45695</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45695</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45695</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45695</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45695</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45695</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45695</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45695</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45695</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45695</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45695</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45695</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45695</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45695</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45695</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45695</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45695</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45695</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45695</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45695</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45695</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45695</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45695</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45695</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45695</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45695</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45695</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45695</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45695</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45695</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45695</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45695</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45695</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45695</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45695</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45695</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45695</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45695</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45695</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45695</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45695</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45695</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45695</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45695</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45695</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45695</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45695</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45695</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45695</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45695</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45695</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45695</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45695</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45695</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45695</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45695</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45695</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45695</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45695</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45695</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45695</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45695</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45695</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45695</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45695</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45695</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45695</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45695</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45695</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45695</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45695</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45695</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45695</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45695</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45695</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45695</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45695</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45695</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45695</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45695</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45695</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45695</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45695</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45695</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45695</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45695</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45695</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45695</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45695</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45695</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45695</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45695</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45695</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45695</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45695</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45695</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45695</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45695</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45695</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45695</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45695</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45695</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45695</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45695</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45695</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45695</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45695</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45695</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45695</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45695</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45695</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45695</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45695</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45695</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45695</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45695</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45695</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45695</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45695</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45695</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45695</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45695</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45695</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45695</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45695</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45695</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45695</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45695</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45695</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45695</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45695</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45695</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45695</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45695</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45695</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45695</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45695</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45695</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45695</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45695</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45695</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45695</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45695</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45695</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45695</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45695</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45695</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45695</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45695</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45695</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45695</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45695</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45695</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45695</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45695</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45695</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45695</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45695</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45695</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45695</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45695</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45695</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45695</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45695</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45695</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45695</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45695</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45695</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45695</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45695</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45695</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45695</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45695</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45695</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45695</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45695</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45695</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45695</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45695</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45695</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45695</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45695</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45695</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45695</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45695</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45695</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45695</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45695</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45695</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45695</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45695</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45695</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45695</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45695</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45695</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45695</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45695</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45695</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45695</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45695</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45695</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45695</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45695</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45695</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45695</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45695</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45695</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45695</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45695</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45695</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45695</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45695</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45695</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45695</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45695</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45695</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45695</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45695</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45695</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45695</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45695</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45695</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45695</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45695</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45695</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45695</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45695</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45695</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45695</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45695</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45695</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45695</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45695</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45695</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45695</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45695</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45695</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45695</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45695</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45695</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45695</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45695</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45695</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45695</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45695</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45695</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45695</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45695</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45695</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45695</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45695</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45695</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45695</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45695</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45695</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45695</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45695</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45695</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45695</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45695</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45695</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45695</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45695</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45695</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45695</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45695</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45695</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45695</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45695</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45695</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45695</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45695</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45695</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45695</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45695</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45695</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45695</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45695</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45695</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45695</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45695</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45695</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45695</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45695</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45695</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45695</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45695</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45695</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45695</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45695</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45695</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45695</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45695</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45695</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45695</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45695</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45695</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45695</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45695</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45695</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45695</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45695</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45695</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45695</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45695</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45695</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45695</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45695</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45695</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45695</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45695</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45695</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45695</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45695</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45695</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45695</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45695</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45695</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45695</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45695</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45695</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45695</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45695</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45695</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45695</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45695</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45695</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45695</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45695</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45695</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45695</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45695</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45695</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45695</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45695</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45695</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45695</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45695</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45695</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45695</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45695</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45695</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45695</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45695</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45695</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45695</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45695</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45695</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45695</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45695</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45695</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45695</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45695</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45695</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45695</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45695</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45695</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45695</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45695</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45695</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45695</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45695</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45695</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45695</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45695</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45695</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45695</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45695</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45695</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45695</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45695</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45695</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45695</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45695</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45695</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45695</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45695</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45695</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45695</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45695</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45695</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45695</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45695</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45695</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45695</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45695</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45695</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45695</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45695</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45695</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45695</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45695</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45695</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45695</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45695</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45695</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45695</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45695</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45695</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45695</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45695</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45695</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45695</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45695</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45695</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45695</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45695</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45695</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45695</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45695</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45695</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45695</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45695</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45695</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45695</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45695</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45695</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45695</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45695</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45695</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45695</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45695</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45695</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45695</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45695</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45695</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45695</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45695</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45695</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45695</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45695</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45695</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45695</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45695</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45695</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45695</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45695</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45695</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45695</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45695</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45695</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45695</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45695</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45695</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45695</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45695</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45695</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45695</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45695</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45695</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45695</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45695</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45695</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45695</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45695</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45695</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45695</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45695</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45695</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45695</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45695</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45695</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45695</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45695</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45695</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45695</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45695</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45695</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45695</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45695</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45695</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45695</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45695</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45695</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45695</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45695</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45695</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45695</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45695</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45695</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45695</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45695</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45695</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45695</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45695</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45695</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45695</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45695</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45695</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45695</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45695</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45695</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45695</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45695</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45695</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45695</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45695</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45695</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45695</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45695</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45695</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45695</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45695</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45695</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45695</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45695</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45695</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45695</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45695</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45695</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45695</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45695</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45695</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45695</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45695</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45695</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45695</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45695</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45695</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45695</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45695</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45695</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45695</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45695</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45695</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45695</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45695</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45695</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45695</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45695</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45695</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45695</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45695</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45695</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45695</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45695</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45695</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45695</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45695</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45695</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45695</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45695</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45695</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45695</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45695</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45695</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45695</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45695</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45695</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45695</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45695</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45695</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45695</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45695</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45695</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45695</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45695</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45695</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45695</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45695</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45695</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45695</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45695</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45695</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45695</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45695</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45695</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45695</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45695</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45695</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45695</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45695</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45695</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45695</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45695</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45695</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45695</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45695</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45695</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45695</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45695</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45695</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45695</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45695</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45695</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45695</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45695</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45695</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45695</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45695</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45695</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45695</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45695</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45695</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45695</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45695</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45695</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45695</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45695</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45695</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45695</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45695</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45695</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45695</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45695</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45695</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45695</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45695</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45695</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45695</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45695</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45695</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45695</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45695</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45695</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45695</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45695</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45695</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45695</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45695</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45695</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45695</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45695</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45695</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45695</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45695</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45695</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45695</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45695</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45695</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45695</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45695</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45695</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45695</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45695</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45695</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45695</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45695</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45695</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45695</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45695</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45695</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45695</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45695</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45695</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45695</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45695</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45695</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45695</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45695</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45695</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45695</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45695</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45695</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45695</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45695</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45695</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45695</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45695</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45695</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45695</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45695</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45695</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45695</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45695</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45695</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45695</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45695</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45695</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45695</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45695</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45695</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45695</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45695</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45695</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45695</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45695</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45695</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45695</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45695</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45695</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45695</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45695</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45695</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45695</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45695</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45695</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45695</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45695</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45695</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45695</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45695</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45695</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45695</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45695</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45695</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45695</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45695</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45695</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45695</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45695</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45695</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45695</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45695</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45695</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45695</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45695</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45695</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45695</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45695</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45695</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45695</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45695</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45695</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45695</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45695</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45695</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45695</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45695</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45695</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45695</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45695</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45695</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45695</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45695</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45695</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45695</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45695</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45695</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45695</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45695</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45695</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45695</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45695</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45695</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45695</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45695</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45695</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45695</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45695</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45695</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45695</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45695</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45695</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45695</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45695</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45695</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45695</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45695</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45695</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45695</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45695</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45695</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45695</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45695</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45695</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45695</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45695</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45695</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45695</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45695</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45695</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45695</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45695</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45695</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45695</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45695</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45695</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45695</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45695</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45695</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45695</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45695</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45695</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45695</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45695</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45695</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45695</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45695</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45695</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45695</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45695</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45695</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45695</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45695</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45695</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45695</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45695</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45695</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45695</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45695</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45695</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45695</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45695</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45695</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45695</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45695</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45695</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45695</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45695</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45695</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45695</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45695</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45695</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45695</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45695</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45695</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45695</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45695</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45695</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45695</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45695</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45695</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45695</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45695</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45695</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45695</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45695</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45695</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45695</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45695</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45695</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45695</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45695</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45695</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45695</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45695</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45695</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45695</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45695</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45695</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45695</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45695</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45695</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45695</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45695</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45695</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45695</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45695</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45695</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45695</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45695</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45695</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45695</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45695</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45695</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45695</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45695</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45695</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45695</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45695</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45695</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45695</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45695</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45695</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45695</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45695</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45695</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45695</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45695</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45695</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45695</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45695</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45695</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45695</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45695</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45695</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45695</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45695</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45695</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45695</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45695</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45695</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45695</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45695</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45695</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45695</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45695</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45695</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45695</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45695</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45695</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45695</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45695</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45695</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45695</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45695</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45695</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45695</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45695</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45695</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45695</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45695</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45695</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45695</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45695</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45695</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45695</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45695</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45695</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45695</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45695</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45695</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45695</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45695</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45695</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45695</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45695</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45695</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45695</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45695</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45695</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45695</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45695</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45695</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45695</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45695</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45695</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45695</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45695</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45695</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45695</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45695</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45695</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45695</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45695</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45695</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45695</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45695</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45695</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45695</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45695</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45695</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45695</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45695</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45695</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45695</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45695</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45695</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45695</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45695</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45695</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45695</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45695</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45695</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45695</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45695</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45695</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45695</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45695</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45695</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45695</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45695</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45695</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45695</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45695</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45695</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45695</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45695</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45695</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45695</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45695</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45695</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45695</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45695</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45695</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45695</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45695</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45695</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45695</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45695</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45695</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45695</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45695</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45695</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45695</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45695</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45695</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45695</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45695</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45695</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45695</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45695</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45695</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45695</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45695</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45695</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45695</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45695</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45695</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45695</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45695</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45695</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45695</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45695</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45695</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45695</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45695</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45695</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45695</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45695</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45695</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45695</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45695</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45695</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45695</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45695</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45695</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45695</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45695</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45695</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45695</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45695</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45695</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45695</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45695</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45695</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45695</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45695</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45695</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45695</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45695</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45695</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45695</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45695</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45695</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45695</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45695</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45695</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45695</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45695</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45695</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45695</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45695</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45695</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45695</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45695</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45695</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45695</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45695</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45695</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45695</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45695</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45695</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45695</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45695</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45695</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45695</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45695</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45695</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45695</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45695</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45695</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45695</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45695</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45695</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45695</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45695</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45695</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45695</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45695</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45695</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45695</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45695</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45695</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45695</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45695</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45695</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45695</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45695</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45695</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45695</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45695</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45695</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45695</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45695</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45695</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45695</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45695</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45695</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45695</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45695</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45695</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45695</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45695</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45695</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45695</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45695</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45695</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45695</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45695</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45695</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45695</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45695</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45695</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45695</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45695</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45695</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45695</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45695</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45695</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45695</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45695</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45695</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45695</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45695</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45695</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45695</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45695</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45695</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45695</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45695</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45695</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45695</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45695</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45695</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45695</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45695</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45695</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45695</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45695</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45695</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45695</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45695</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45695</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45695</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45695</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45695</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45695</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45695</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45695</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45695</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45695</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45695</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45695</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45695</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45695</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45695</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45695</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45695</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45695</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45695</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45695</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45695</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45695</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45695</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45695</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45695</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45695</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45695</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45695</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45695</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45695</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45695</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45695</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45695</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45695</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45695</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45695</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45695</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45695</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45695</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45695</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45695</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45695</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45695</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45695</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45695</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45695</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45695</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45695</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45695</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45695</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45695</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45695</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45695</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45695</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45695</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45695</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45695</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45695</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45695</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45695</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45695</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45695</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45695</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45695</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45695</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45695</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45695</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45695</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45695</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45695</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45695</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45695</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45695</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45695</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45695</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45695</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45695</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45695</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45695</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45695</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45695</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45695</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45695</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45695</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45695</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45695</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45695</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45695</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45695</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45695</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45695</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45695</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45695</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45695</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45695</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45695</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45695</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45695</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45695</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45695</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45695</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45695</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45695</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45695</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45695</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45695</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45695</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45695</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45695</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45695</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45695</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45695</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45695</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45695</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45695</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45695</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45695</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45695</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45695</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45695</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45695</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45695</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45695</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45695</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45695</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45695</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45695</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45695</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45695</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45695</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45695</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45695</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45695</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45695</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45695</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45695</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45695</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45695</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45695</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45695</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45695</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45695</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45695</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45695</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45695</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45695</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45695</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45695</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45695</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45695</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45695</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45695</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45695</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45695</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45695</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45695</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45695</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45695</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45695</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45695</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45695</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45695</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45695</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45695</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45695</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45695</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45695</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45695</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45695</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45695</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45695</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45695</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45695</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45695</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45695</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45695</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45695</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45695</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45695</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45695</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45695</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45695</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45695</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45695</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45695</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45695</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45695</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45695</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45695</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45695</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45695</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45695</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45695</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45695</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45695</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45695</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45695</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45695</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45695</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45695</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45695</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45695</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45695</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45695</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45695</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45695</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45695</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45695</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45695</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45695</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45695</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45695</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45695</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45695</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45695</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45695</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45695</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45695</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45695</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45695</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45695</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45695</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45695</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45695</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45695</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45695</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45695</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45695</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45695</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45695</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45695</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45695</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45695</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45695</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45695</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45695</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45695</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45695</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45695</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45695</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45695</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45695</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45695</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45695</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45695</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45695</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45695</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45695</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45695</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45695</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45695</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45695</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45695</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45695</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45695</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45695</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45695</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45695</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45695</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45695</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45695</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45695</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45695</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45695</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45695</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45695</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45695</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45695</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45695</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45695</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45695</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45695</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45695</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45695</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45695</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45695</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45695</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45695</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45695</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45695</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45695</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45695</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45695</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45695</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45695</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45695</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45695</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45695</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45695</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45695</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45695</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45695</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45695</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45695</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45695</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45695</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45695</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45695</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45695</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45695</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45695</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45695</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45695</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45695</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45695</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45695</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45695</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45695</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45695</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45695</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45695</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45695</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45695</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45695</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45695</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45695</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45695</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45695</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45695</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45695</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45695</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45695</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45695</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45695</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45695</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45695</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45695</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45695</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45695</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45695</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45695</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45695</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45695</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45695</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45695</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45695</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45695</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45695</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45695</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45695</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45695</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45695</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45695</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45695</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45695</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45695</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45695</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45695</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45695</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45695</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45695</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45695</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45695</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45695</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45695</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45695</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45695</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45695</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45695</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45695</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45695</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45695</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45695</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45695</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45695</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45695</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45695</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45695</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45695</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45695</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45695</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45695</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45695</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45695</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45695</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45695</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45695</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45695</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45695</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45695</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45695</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45695</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45695</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45695</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45695</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45695</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45695</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45695</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45695</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45695</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45695</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45695</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45695</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45695</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45695</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45695</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45695</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45695</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45695</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45695</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45695</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45695</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45695</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45695</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45695</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45695</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45695</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45695</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45695</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45695</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45695</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45695</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45695</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45695</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45695</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45695</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45695</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45695</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45695</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45695</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45695</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45695</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45695</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45695</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45695</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45695</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45695</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45695</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45695</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45695</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45695</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45695</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45695</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45695</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45695</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45695</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45695</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45695</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45695</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45695</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45695</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45695</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45695</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45695</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45695</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45695</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45695</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45695</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45695</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45695</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45695</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45695</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45695</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45695</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45695</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45695</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45695</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45695</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45695</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45695</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45695</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45695</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45695</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45695</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45695</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45695</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45695</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45695</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45695</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45695</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45695</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45695</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45695</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45695</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45695</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45695</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45695</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45695</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45695</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45695</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45695</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45695</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45695</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45695</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45695</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45695</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45695</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45695</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45695</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45695</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45695</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45695</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45695</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45695</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45695</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45695</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45695</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45695</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45695</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45695</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45695</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45695</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45695</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45695</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45695</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45695</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45695</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45695</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45695</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45695</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45695</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45695</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45695</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45695</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45695</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45695</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45695</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45695</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45695</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45695</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45695</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45695</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45695</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45695</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45695</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45695</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45695</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45695</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45695</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45695</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45695</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45695</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45695</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45695</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45695</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45695</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45695</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45695</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45695</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45695</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45695</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45695</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45695</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45695</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45695</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45695</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45695</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45695</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45695</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45695</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45695</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45695</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45695</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45695</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45695</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45695</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45695</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45695</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45695</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45695</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45695</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45695</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45695</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45695</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45695</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45695</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45695</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45695</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45695</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45695</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45695</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45695</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45695</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45695</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45695</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45695</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45695</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45695</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45695</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45695</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45695</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45695</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45695</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45695</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45695</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45695</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45695</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45695</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45695</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45695</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45695</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45695</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45695</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45695</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45695</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45695</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45695</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45695</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45695</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45695</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45695</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45695</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45695</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45695</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45695</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45695</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45695</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45695</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45695</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45695</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45695</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45695</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45695</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45695</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45695</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45695</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45695</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45695</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45695</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45695</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45695</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45695</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45695</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45695</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45695</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45695</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45695</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45695</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45695</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45695</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45695</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45695</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45695</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45695</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45695</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45695</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45695</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45695</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45695</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45695</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45695</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45695</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45695</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45695</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45695</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45695</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45695</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45695</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45695</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45695</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45695</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45695</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45695</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45695</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45695</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45695</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45695</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45695</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45695</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45695</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45695</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45695</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45695</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45695</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45695</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45695</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45695</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45695</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45695</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45695</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45695</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45695</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45695</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45695</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45695</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45695</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45695</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45695</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45695</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45695</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45695</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45695</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45695</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45695</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45695</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45695</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45695</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45695</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45695</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45695</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45695</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45695</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45695</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45695</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45695</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45695</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45695</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45695</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45695</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45695</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45695</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45695</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45695</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45695</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45695</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45695</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45695</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45695</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45695</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45695</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45695</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45695</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45695</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45695</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45695</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45695</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45695</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45695</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45695</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45695</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45695</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45695</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45695</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45695</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45695</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45695</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45695</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45695</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45695</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45695</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45695</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45695</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45695</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45695</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45695</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45695</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45695</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45695</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45695</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45695</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45695</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45695</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45695</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45695</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45695</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45695</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45695</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45695</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45695</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45695</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45695</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45695</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45695</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45695</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45695</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45695</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45695</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45695</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45695</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45695</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45695</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45695</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45695</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45695</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45695</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45695</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45695</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45695</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45695</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45695</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45695</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45695</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45695</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45695</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45695</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45695</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45695</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45695</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45695</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45695</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45695</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45695</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45695</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45695</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45695</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45695</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45695</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45695</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45695</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45695</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45695</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45695</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45695</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45695</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45695</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45695</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45695</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45695</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45695</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45695</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45695</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45695</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45695</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45695</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45695</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45695</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45695</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45695</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45695</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45695</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45695</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45695</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45695</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45695</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45695</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45695</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45695</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45695</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45695</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45695</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45695</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45695</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45695</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45695</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45695</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45695</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45695</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45695</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45695</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45695</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45695</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45695</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45695</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45695</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45695</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45695</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45695</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45695</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45695</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45695</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45695</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45695</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45695</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45695</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45695</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45695</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45695</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45695</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45695</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45695</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45695</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45695</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45695</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45695</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45695</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45695</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45695</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45695</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45695</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45695</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45695</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45695</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45695</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45695</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45695</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45695</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45695</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45695</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45695</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45695</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45695</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45695</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45695</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45695</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45695</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45695</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45695</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45695</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45695</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45695</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45695</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45695</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45695</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45695</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45695</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45695</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45695</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45695</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45695</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45695</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45695</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45695</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45695</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45695</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45695</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45695</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45695</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45695</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45695</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45695</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45695</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45695</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45695</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45695</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45695</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45695</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45695</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45695</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45695</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45695</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45695</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45695</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45695</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45695</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45695</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45695</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45695</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45695</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45695</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45695</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45695</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45695</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45695</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45695</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45695</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45695</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45695</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45695</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45695</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45695</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45695</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45695</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45695</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45695</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45695</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45695</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45695</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45695</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45695</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45695</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45695</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45695</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45695</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45695</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45695</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45695</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45695</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45695</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45695</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45695</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45695</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45695</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45695</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45695</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45695</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45695</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45695</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45695</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45695</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45695</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45695</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45695</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45695</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45695</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45695</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45695</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45695</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45695</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45695</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45695</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45695</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45695</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45695</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45695</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45695</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45695</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45695</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45695</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45695</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45695</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45695</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45695</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45695</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45695</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45695</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45695</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45695</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45695</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45695</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45695</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45695</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45695</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45695</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45695</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45695</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45695</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45695</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45695</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45695</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45695</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45695</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45695</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45695</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45695</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45695</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45695</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45695</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45695</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45695</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45695</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45695</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45695</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45695</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45695</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45695</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45695</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45695</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45695</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45695</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45695</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45695</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45695</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45695</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45695</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45695</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45695</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45695</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45695</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45695</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45695</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45695</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45695</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45695</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45695</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45695</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45695</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45695</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45695</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45695</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45695</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45695</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45695</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45695</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45695</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45695</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45695</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45695</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45695</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45695</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45695</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45695</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45695</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45695</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45695</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45695</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45695</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45695</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45695</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45695</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45695</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45695</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45695</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45695</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45695</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45695</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45695</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45695</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45695</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45695</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45695</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45695</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45695</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45695</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45695</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45695</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45695</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45695</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45695</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45695</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45695</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45695</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45695</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45695</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45695</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45695</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45695</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45695</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45695</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45695</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45695</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45695</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45695</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45695</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45695</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45695</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45695</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45695</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45695</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45695</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45695</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45695</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45695</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45695</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45695</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45695</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45695</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45695</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45695</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45695</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45695</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45695</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45695</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45695</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45695</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45695</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45695</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45695</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45695</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45695</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45695</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45695</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45695</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45695</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45695</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45695</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45695</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45695</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45695</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45695</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45695</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45695</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45695</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45695</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45695</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45695</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45695</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45695</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45695</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45695</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45695</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45695</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45695</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45695</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45695</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45695</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45695</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45695</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45695</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45695</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45695</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45695</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45695</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45695</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45695</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45695</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45695</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45695</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45695</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45695</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45695</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45695</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45695</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45695</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45695</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45695</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45695</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45695</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45695</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45695</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45695</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45695</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45695</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45695</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45695</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45695</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45695</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45695</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45695</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45695</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45695</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45695</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45695</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45695</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45695</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45695</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45695</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45695</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45695</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45695</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45695</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45695</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45695</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45695</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45695</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45695</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45695</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45695</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45695</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45695</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45695</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45695</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45695</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45695</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45695</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45695</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45695</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45695</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45695</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45695</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45695</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45695</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45695</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45695</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45695</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45695</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45695</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45695</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45695</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45695</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45695</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45695</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45695</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45695</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45695</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45695</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45695</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45695</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45695</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45695</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45695</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45695</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45695</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45695</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45695</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45695</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45695</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45695</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45695</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45695</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45695</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45695</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45695</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45695</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45695</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45695</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45695</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45695</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45695</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45695</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45695</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45695</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45695</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45695</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45695</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45695</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45695</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45695</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45695</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45695</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45695</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45695</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45695</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45695</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45695</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45695</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45695</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45695</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45695</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45695</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45695</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45695</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45695</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45695</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45695</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45695</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45695</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45695</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45695</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45695</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45695</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45695</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45695</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45695</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45695</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45695</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45695</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45695</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45695</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45695</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45695</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45695</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45695</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45695</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45695</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45695</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45695</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45695</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45695</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45695</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45695</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45695</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45695</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45695</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45695</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45695</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45695</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45695</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45695</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45695</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45695</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45695</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45695</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45695</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45695</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45695</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45695</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45695</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45695</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45695</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45695</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45695</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45695</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45695</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45695</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45695</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45695</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45695</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45695</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45695</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45695</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45695</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45695</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45695</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45695</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45695</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45695</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45695</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45695</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45695</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45695</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45695</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45695</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45695</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45695</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45695</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45695</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45695</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45695</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45695</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45695</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45695</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45695</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45695</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45695</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45695</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45695</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45695</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45695</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45695</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45695</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45695</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45695</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45695</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45695</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45695</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45695</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45695</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45695</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45695</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45695</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45695</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45695</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45695</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45695</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45695</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45695</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45695</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45695</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45695</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45695</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45695</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45695</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45695</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45695</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45695</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45695</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45695</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45695</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45695</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45695</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45695</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45695</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45695</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45695</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45695</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45695</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45695</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45695</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45695</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45695</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45695</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45695</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45695</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45695</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45695</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45695</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45695</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45695</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45695</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45695</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45695</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45695</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45695</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45695</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45695</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45695</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45695</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45695</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45695</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45695</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45695</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45695</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45695</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45695</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45695</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45695</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45695</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45695</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45695</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45695</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45695</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45695</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45695</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45695</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45695</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45695</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45695</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45695</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45695</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45695</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45695</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45695</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45695</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45695</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45695</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45695</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45695</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45695</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45695</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45695</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45695</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45695</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45695</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45695</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45695</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45695</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45695</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45695</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45695</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45695</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45695</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45695</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45695</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45695</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45695</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45695</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45695</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45695</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45695</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45695</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45695</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45695</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45695</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45695</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45695</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45695</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45695</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45695</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45695</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45695</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45695</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45695</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45695</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45695</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45695</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45695</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45695</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45695</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45695</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45695</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45695</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45695</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45695</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45695</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45695</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45695</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45695</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45695</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45695</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45695</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45695</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45695</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45695</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45695</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45695</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45695</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45695</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45695</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45695</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45695</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45695</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45695</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45695</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45695</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45695</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45695</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45695</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45695</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45695</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45695</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45695</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45695</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45695</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45695</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45695</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45695</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45695</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45695</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45695</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45695</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45695</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45695</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45695</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45695</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45695</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45695</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45695</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45695</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45695</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45695</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45695</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45695</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45695</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45695</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45695</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45695</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45695</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45695</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45695</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45695</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45695</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45695</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45695</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45695</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45695</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45695</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45695</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45695</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45695</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45695</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45695</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45695</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45695</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45695</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45695</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45695</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45695</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45695</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45695</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45695</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45695</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45695</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45695</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45695</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45695</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45695</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45695</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45695</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45695</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45695</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45695</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45695</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45695</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45695</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45695</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45695</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45695</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45695</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45695</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45695</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45695</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45695</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45695</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45695</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45695</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45695</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45695</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45695</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45695</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45695</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45695</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45695</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45695</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45695</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45695</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45695</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45695</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45695</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45695</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45695</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45695</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45695</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45695</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45695</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45695</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45695</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45695</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45695</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45695</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45695</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45695</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45695</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45695</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45695</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45695</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45695</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45695</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45695</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45695</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45695</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45695</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45695</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45695</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45695</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45695</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45695</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45695</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45695</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45695</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45695</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45695</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45695</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45695</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45695</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45695</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45695</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45695</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45695</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45695</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45695</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45695</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45695</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45695</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45695</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45695</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45695</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45695</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45695</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45695</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45695</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45695</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45695</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45695</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45695</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45695</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45695</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45695</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45695</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45695</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45695</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45695</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45695</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45695</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45695</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45695</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45695</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45695</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45695</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45695</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45695</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45695</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45695</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45695</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45695</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45695</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45695</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45695</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45695</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45695</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45695</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45695</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45695</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45695</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45695</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45695</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45695</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45695</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45695</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45695</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45695</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45695</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45695</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45695</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45695</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45695</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45695</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45695</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45695</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45695</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45695</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45695</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45695</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45695</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45695</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45695</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45695</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45695</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45695</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45695</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45695</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45695</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45695</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45695</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45695</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45695</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45695</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45695</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45695</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45695</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45695</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45695</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45695</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45695</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45695</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45695</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45695</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45695</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45695</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45695</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45695</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45695</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45695</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45695</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45695</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45695</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45695</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45695</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45695</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45695</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45695</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45695</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45695</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45695</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45695</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45695</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45695</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45695</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45695</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45695</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45695</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45695</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45695</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45695</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45695</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45695</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45695</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45695</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45695</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45695</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45695</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45695</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45695</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45695</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45695</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45695</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45695</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45695</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45695</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45695</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45695</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45695</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45695</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45695</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45695</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45695</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45695</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45695</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45695</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45695</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45695</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45695</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45695</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45695</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45695</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45695</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45695</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45695</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45695</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45695</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45695</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45695</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45695</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45695</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45695</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45695</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45695</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45695</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45695</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45695</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45695</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45695</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45695</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45695</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45695</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45695</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45695</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45695</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45695</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45695</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45695</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45695</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45695</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45695</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45695</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45695</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45695</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45695</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45695</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45695</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45695</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45695</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45695</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45695</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45695</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45695</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45695</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45695</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45695</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45695</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45695</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45695</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45695</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45695</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45695</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45695</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45695</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45695</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45695</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45695</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45695</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45695</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45695</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45695</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45695</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45695</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45695</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45695</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45695</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45695</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45695</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45695</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45695</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45695</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45695</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45695</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45695</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45695</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45695</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45695</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45695</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45695</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45695</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45695</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45695</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45695</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45695</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45695</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45695</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45695</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45695</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45695</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45695</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45695</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45695</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45695</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45695</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45695</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45695</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45695</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45695</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45695</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45695</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45695</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45695</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45695</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45695</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45695</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45695</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45695</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45695</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45695</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45695</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45695</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45695</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45695</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45695</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45695</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45695</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45695</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45695</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45695</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45695</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45695</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45695</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45695</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45695</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45695</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45695</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45695</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45695</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45695</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45695</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45695</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45695</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45695</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45695</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45695</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45695</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45695</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45695</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45695</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45695</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45695</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45695</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45695</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45695</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45695</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45695</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45695</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45695</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45695</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45695</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45695</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45695</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45695</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45695</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45695</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45695</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45695</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45695</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45695</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45695</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45695</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45695</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45695</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45695</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45695</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45695</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45695</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45695</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45695</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45695</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45695</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45695</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45695</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45695</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45695</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45695</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45695</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45695</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45695</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45695</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45695</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45695</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45695</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45695</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45695</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45695</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45695</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45695</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45695</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45695</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45695</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45695</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45695</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45695</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45695</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45695</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45695</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45695</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45695</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45695</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45695</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45695</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45695</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45695</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45695</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45695</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45695</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45695</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45695</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45695</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45695</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45695</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45695</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45695</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45695</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45695</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45695</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45695</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45695</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45695</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45695</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45695</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45695</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45695</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45695</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45695</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45695</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45695</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45695</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45695</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45695</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45695</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45695</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45695</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45695</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45695</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45695</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45695</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45695</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45695</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45695</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45695</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45695</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45695</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45695</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45695</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45695</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45695</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45695</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45695</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45695</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45695</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45695</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45695</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45695</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45695</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45695</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45695</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45695</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45695</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45695</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45695</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45695</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45695</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45695</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45695</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45695</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45695</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45695</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45695</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45695</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45695</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45695</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45695</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45695</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45695</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45695</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45695</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45695</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45695</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45695</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45695</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45695</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45695</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45695</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45695</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45695</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45695</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45695</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45695</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45695</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45695</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45695</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45695</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45695</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45695</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45695</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45695</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45695</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45695</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45695</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45695</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45695</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45695</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45695</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45695</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45695</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45695</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45695</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45695</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45695</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45695</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45695</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45695</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45695</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45695</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45695</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45695</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45695</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45695</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45695</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45695</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45695</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45695</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45695</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45695</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45695</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45695</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45695</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45695</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45695</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45695</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45695</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45695</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45695</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45695</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45695</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45695</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45695</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45695</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45695</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45695</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45695</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45695</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45695</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45695</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45695</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45695</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45695</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45695</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45695</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45695</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45695</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45695</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45695</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45695</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45695</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45695</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45695</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45695</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45695</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45695</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45695</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45695</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45695</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45695</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45695</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45695</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45695</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45695</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45695</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45695</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45695</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45695</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45695</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45695</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45695</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45695</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45695</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45695</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45695</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45695</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45695</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45695</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45695</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45695</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45695</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45695</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45695</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45695</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45695</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45695</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45695</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45695</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45695</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45695</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45695</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45695</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45695</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45695</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45695</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45695</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45695</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45695</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45695</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45695</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45695</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45695</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45695</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45695</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45695</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45695</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45695</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45695</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45695</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45695</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45695</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45695</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45695</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45695</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45695</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45695</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45695</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45695</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45695</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45695</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45695</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45695</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45695</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45695</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45695</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45695</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45695</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45695</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45695</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45695</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45695</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45695</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45695</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45695</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45695</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45695</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45695</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45695</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45695</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45695</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45695</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45695</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45695</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45695</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45695</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45695</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45695</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45695</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45695</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45695</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45695</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45695</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45695</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45695</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45695</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45695</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45695</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45695</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45695</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45695</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45695</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45695</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45695</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45695</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45695</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45695</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45695</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45695</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45695</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45695</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45695</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45695</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45695</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45695</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45695</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45695</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45695</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45695</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45695</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45695</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45695</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45695</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45695</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45695</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45695</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45695</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45695</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45695</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45695</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45695</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45695</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45695</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45695</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45695</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45695</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45695</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45695</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45695</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45695</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45695</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45695</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45695</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45695</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45695</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45695</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45695</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45695</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45695</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45695</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45695</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45695</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45695</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45695</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45695</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45695</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45695</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45695</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45695</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45695</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45695</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45695</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45695</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45695</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45695</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45695</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45695</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45695</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45695</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45695</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45695</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45695</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45695</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45695</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45695</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45695</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45695</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45695</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45695</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45695</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45695</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45695</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45695</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45695</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45695</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45695</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45695</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45695</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45695</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45695</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45695</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45695</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45695</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45695</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45695</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45695</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45695</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45695</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45695</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45695</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45695</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45695</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45695</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45695</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45695</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45695</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45695</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45695</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45695</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45695</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45695</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45695</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45695</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45695</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45695</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45695</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45695</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45695</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45695</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45695</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45695</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45695</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45695</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45695</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45695</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45695</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45695</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45695</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45695</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45695</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45695</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45695</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45695</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45695</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45695</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45695</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45695</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45695</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45695</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45695</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45695</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45695</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45695</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45695</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45695</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45695</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45695</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45695</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45695</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45695</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45695</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45695</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45695</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45695</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45695</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45695</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45695</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45695</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45695</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45695</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45695</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45695</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45695</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45695</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45695</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45695</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45695</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45695</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45695</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45695</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45695</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45695</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45695</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45695</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45695</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45695</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45695</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45695</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45695</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45695</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45695</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45695</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45695</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45695</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45695</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45695</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45695</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45695</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45695</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45695</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45695</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45695</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45695</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45695</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45695</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45695</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45695</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45695</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45695</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45695</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45695</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45695</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45695</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45695</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45695</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45695</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45695</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45695</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45695</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45695</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45695</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45695</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45695</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45695</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45695</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45695</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45695</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45695</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45695</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45695</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45695</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45695</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45695</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45695</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45695</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45695</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45695</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45695</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45695</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45695</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45695</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45695</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45695</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45695</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45695</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45695</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45695</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45695</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45695</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45695</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45695</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45695</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45695</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45695</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45695</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45695</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45695</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45695</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45695</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45695</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45695</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45695</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45695</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45695</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45695</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45695</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45695</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45695</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45695</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45695</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45695</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45695</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45695</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45695</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45695</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45695</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45695</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45695</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45695</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45695</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45695</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45695</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45695</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45695</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45695</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45695</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45695</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45695</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45695</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45695</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45695</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45695</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45695</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45695</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45695</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45695</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45695</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45695</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45695</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45695</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45695</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45695</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45695</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45695</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45695</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45695</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45695</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45695</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45695</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45695</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45695</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45695</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45695</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45695</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45695</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45695</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45695</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45695</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45695</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45695</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45695</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45695</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45695</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45695</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45695</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45695</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45695</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45695</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45695</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45695</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45695</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45695</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45695</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45695</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45695</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45695</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45695</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45695</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45695</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45695</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45695</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45695</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45695</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45695</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45695</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45695</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45695</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45695</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45695</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45695</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45695</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45695</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45695</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45695</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45695</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45695</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45695</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45695</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45695</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45695</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45695</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45695</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45695</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45695</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45695</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45695</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45695</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45695</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45695</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45695</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45695</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45695</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45695</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45695</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45695</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45695</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45695</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45695</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45695</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45695</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45695</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45695</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45695</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45695</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45695</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45695</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45695</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45695</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45695</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45695</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45695</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45695</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45695</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45695</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45695</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45695</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45695</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45695</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45695</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45695</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45695</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45695</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45695</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45695</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45695</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45695</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45695</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45695</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45695</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45695</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45695</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45695</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45695</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45695</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45695</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45695</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45695</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45695</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45695</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45695</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45695</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45695</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45695</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45695</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45695</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45695</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45695</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45695</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45695</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45695</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45695</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45695</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45695</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45695</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45695</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45695</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45695</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45695</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45695</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45695</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45695</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45695</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45695</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45695</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45695</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45695</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45695</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45695</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45695</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45695</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45695</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45695</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45695</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45695</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45695</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45695</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45695</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45695</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45695</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45695</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45695</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45695</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45695</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45695</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45695</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45695</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45695</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45695</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45695</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45695</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45695</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45695</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45695</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45695</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45695</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45695</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45695</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45695</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45695</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45695</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45695</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45695</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45695</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45695</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45695</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45695</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45695</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45695</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45695</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45695</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45695</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45695</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45695</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45695</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45695</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45695</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45695</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45695</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45695</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45695</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45695</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45695</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45695</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45695</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45695</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45695</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45695</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45695</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45695</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45695</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45695</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45695</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45695</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45695</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45695</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45695</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45695</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45695</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45695</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45695</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45695</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45695</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45695</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45695</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45695</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45695</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45695</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45695</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45695</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45695</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45695</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45695</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45695</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45695</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45695</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45695</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45695</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45695</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45695</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45695</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45695</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45695</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45695</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45695</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45695</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45695</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45695</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45695</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45695</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45695</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45695</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45695</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45695</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45695</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45695</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45695</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45695</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45695</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45695</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45695</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45695</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45695</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45695</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45695</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45695</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45695</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45695</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45695</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45695</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45695</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45695</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45695</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45695</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45695</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45695</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45695</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45695</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45695</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45695</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45695</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45695</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45695</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45695</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45695</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45695</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45695</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45695</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45695</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45695</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45695</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45695</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45695</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45695</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45695</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45695</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45695</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45695</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45695</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45695</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45695</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45695</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45695</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45695</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45695</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45695</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45695</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45695</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45695</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45695</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45695</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45695</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45695</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45695</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45695</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45695</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45695</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45695</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45695</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45695</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45695</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45695</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45695</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45695</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45695</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45695</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45695</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45695</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45695</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45695</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45695</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45695</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45695</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45695</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45695</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45695</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45695</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45695</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45695</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45695</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45695</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45695</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45695</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45695</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45695</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45695</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45695</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45695</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45695</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45695</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45695</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45695</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45695</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45695</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45695</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45695</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45695</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45695</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45695</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45695</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45695</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45695</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45695</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45695</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45695</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45695</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45695</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45695</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45695</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45695</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45695</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45695</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45695</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45695</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45695</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45695</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45695</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45695</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45695</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45695</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45695</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45695</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45695</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45695</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45695</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45695</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45695</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45695</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45695</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45695</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45695</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45695</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45695</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45695</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45695</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45695</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45695</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45695</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45695</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45695</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45695</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45695</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45695</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45695</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45695</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45695</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45695</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45695</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45695</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45695</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45695</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45695</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45695</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45695</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45695</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45695</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45695</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45695</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45695</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45695</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45695</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45695</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45695</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45695</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45695</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45695</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45695</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45695</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45695</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45695</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45695</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45695</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45695</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45695</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45695</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45695</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45695</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45695</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45695</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45695</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45695</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45695</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45695</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45695</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45695</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45695</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45695</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45695</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45695</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45695</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45695</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45695</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45695</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45695</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45695</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45695</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45695</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45695</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45695</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45695</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45695</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45695</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45695</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45695</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45695</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45695</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45695</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45695</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45695</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45695</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45695</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45695</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45695</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45695</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45695</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45695</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45695</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45695</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45695</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45695</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45695</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45695</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45695</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45695</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45695</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45695</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45695</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45695</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45695</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45695</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45695</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45695</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45695</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45695</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45695</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45695</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45695</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45695</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45695</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45695</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45695</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45695</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45695</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45695</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45695</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45695</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45695</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45695</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45695</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45695</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45695</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45695</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45695</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45695</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45695</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45695</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45695</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45695</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45695</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45695</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45695</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45695</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45695</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45695</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45695</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45695</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45695</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45695</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45695</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45695</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45695</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45695</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45695</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45695</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45695</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45695</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45695</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45695</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45695</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45695</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45695</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45695</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45695</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45695</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45695</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45695</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45695</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45695</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45695</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45695</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45695</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45695</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45695</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45695</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45695</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45695</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45695</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45695</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45695</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45695</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45695</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45695</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45695</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45695</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45695</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45695</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45695</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45695</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45695</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45695</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45695</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45695</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45695</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45695</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45695</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45695</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45695</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45695</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45695</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45695</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45695</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45695</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45695</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45695</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45695</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45695</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45695</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45695</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45695</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45695</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45695</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45695</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45695</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45695</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45695</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45695</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45695</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45695</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45695</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45695</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45695</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45695</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45695</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45695</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45695</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45695</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45695</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45695</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45695</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45695</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45695</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45695</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45695</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45695</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45695</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45695</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45695</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45695</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45695</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45695</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45695</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45695</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45695</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45695</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45695</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45695</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45695</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45695</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45695</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45695</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45695</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45695</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45695</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45695</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45695</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45695</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45695</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45695</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45695</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45695</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45695</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45695</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45695</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45695</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45695</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45695</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45695</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45695</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45695</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45695</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45695</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45695</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45695</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45695</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45695</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45695</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45695</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45695</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45695</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45695</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45695</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45695</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45695</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45695</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45695</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45695</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45695</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45695</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45695</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45695</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45695</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45695</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45695</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45695</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45695</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45695</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45695</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45695</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45695</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45695</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45695</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45695</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45695</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45695</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45695</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45695</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45695</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45695</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45695</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45695</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45695</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45695</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45695</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45695</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45695</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45695</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45695</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45695</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45695</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45695</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45695</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45695</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45695</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45695</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45695</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45695</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45695</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45695</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45695</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45695</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45695</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45695</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45695</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45695</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45695</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45695</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45695</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45695</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45695</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45695</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45695</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45695</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45695</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45695</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45695</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45695</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45695</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45695</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45695</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45695</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45695</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45695</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45695</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45695</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45695</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45695</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45695</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45695</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45695</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45695</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45695</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45695</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45695</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45695</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45695</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45695</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45695</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45695</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45695</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45695</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45695</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45695</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45695</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45695</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45695</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45695</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45695</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45695</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45695</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45695</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45695</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45695</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45695</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45695</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45695</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45695</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45695</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45695</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45695</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45695</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45695</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45695</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45695</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45695</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45695</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45695</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45695</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45695</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45695</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45695</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45695</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45695</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45695</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45695</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45695</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45695</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45695</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45695</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45695</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45695</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45695</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45695</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45695</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45695</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45695</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45695</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45695</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45695</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45695</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45695</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45695</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45695</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45695</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45695</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45695</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45695</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45695</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45695</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45695</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45695</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45695</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45695</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45695</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45695</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45695</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45695</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45695</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45695</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45695</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45695</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45695</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45695</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45695</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45695</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45695</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45695</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45695</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45695</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45695</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45695</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45695</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45695</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45695</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45695</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45695</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45695</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45695</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45695</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45695</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45695</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45695</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45695</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45695</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45695</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45695</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45695</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45695</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45695</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45695</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45695</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45695</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45695</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45695</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45695</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45695</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45695</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45695</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45695</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45695</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45695</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45695</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45695</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45695</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45695</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45695</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45695</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45695</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45695</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45695</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45695</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45695</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45695</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45695</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45695</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45695</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45695</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45695</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45695</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45695</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45695</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45695</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45695</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45695</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45695</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45695</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45695</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45695</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45695</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45695</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45695</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45695</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45695</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45695</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45695</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45695</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45695</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45695</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45695</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45695</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45695</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45695</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45695</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45695</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45695</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45695</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45695</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45695</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45695</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45695</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45695</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45695</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45695</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45695</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45695</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45695</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45695</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45695</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45695</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45695</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45695</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45695</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45695</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45695</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45695</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45695</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45695</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45695</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45695</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45695</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45695</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45695</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45695</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45695</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45695</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45695</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45695</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45695</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45695</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45695</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45695</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45695</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45695</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45695</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45695</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45695</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45695</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45695</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45695</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45695</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45695</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45695</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45695</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45695</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45695</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45695</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45695</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45695</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45695</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45695</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45695</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45695</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45695</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45695</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45695</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45695</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45695</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45695</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45695</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45695</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45695</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45695</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45695</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45695</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45695</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45695</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45695</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45695</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45695</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45695</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45695</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45695</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45695</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533-2025</t>
        </is>
      </c>
      <c r="B7221" s="1" t="n">
        <v>45664</v>
      </c>
      <c r="C7221" s="1" t="n">
        <v>45695</v>
      </c>
      <c r="D7221" t="inlineStr">
        <is>
          <t>SKÅNE LÄN</t>
        </is>
      </c>
      <c r="E7221" t="inlineStr">
        <is>
          <t>KRISTIANSTAD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45695</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45695</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45695</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45695</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531-2025</t>
        </is>
      </c>
      <c r="B7226" s="1" t="n">
        <v>45664</v>
      </c>
      <c r="C7226" s="1" t="n">
        <v>45695</v>
      </c>
      <c r="D7226" t="inlineStr">
        <is>
          <t>SKÅNE LÄN</t>
        </is>
      </c>
      <c r="E7226" t="inlineStr">
        <is>
          <t>HÖÖR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829-2025</t>
        </is>
      </c>
      <c r="B7227" s="1" t="n">
        <v>45665</v>
      </c>
      <c r="C7227" s="1" t="n">
        <v>45695</v>
      </c>
      <c r="D7227" t="inlineStr">
        <is>
          <t>SKÅNE LÄN</t>
        </is>
      </c>
      <c r="E7227" t="inlineStr">
        <is>
          <t>HÄSSLEHOLM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853-2025</t>
        </is>
      </c>
      <c r="B7228" s="1" t="n">
        <v>45665</v>
      </c>
      <c r="C7228" s="1" t="n">
        <v>45695</v>
      </c>
      <c r="D7228" t="inlineStr">
        <is>
          <t>SKÅNE LÄN</t>
        </is>
      </c>
      <c r="E7228" t="inlineStr">
        <is>
          <t>KLIPPAN</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45695</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863-2025</t>
        </is>
      </c>
      <c r="B7230" s="1" t="n">
        <v>45665</v>
      </c>
      <c r="C7230" s="1" t="n">
        <v>45695</v>
      </c>
      <c r="D7230" t="inlineStr">
        <is>
          <t>SKÅNE LÄN</t>
        </is>
      </c>
      <c r="E7230" t="inlineStr">
        <is>
          <t>OSBY</t>
        </is>
      </c>
      <c r="F7230" t="inlineStr">
        <is>
          <t>Sveaskog</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871-2025</t>
        </is>
      </c>
      <c r="B7231" s="1" t="n">
        <v>45665</v>
      </c>
      <c r="C7231" s="1" t="n">
        <v>45695</v>
      </c>
      <c r="D7231" t="inlineStr">
        <is>
          <t>SKÅNE LÄN</t>
        </is>
      </c>
      <c r="E7231" t="inlineStr">
        <is>
          <t>OSBY</t>
        </is>
      </c>
      <c r="F7231" t="inlineStr">
        <is>
          <t>Sveaskog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1064-2025</t>
        </is>
      </c>
      <c r="B7232" s="1" t="n">
        <v>45665</v>
      </c>
      <c r="C7232" s="1" t="n">
        <v>45695</v>
      </c>
      <c r="D7232" t="inlineStr">
        <is>
          <t>SKÅNE LÄN</t>
        </is>
      </c>
      <c r="E7232" t="inlineStr">
        <is>
          <t>KRISTIANSTAD</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45695</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758-2025</t>
        </is>
      </c>
      <c r="B7234" s="1" t="n">
        <v>45665</v>
      </c>
      <c r="C7234" s="1" t="n">
        <v>45695</v>
      </c>
      <c r="D7234" t="inlineStr">
        <is>
          <t>SKÅNE LÄN</t>
        </is>
      </c>
      <c r="E7234" t="inlineStr">
        <is>
          <t>KRISTIANSTAD</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751-2025</t>
        </is>
      </c>
      <c r="B7235" s="1" t="n">
        <v>45665</v>
      </c>
      <c r="C7235" s="1" t="n">
        <v>45695</v>
      </c>
      <c r="D7235" t="inlineStr">
        <is>
          <t>SKÅNE LÄN</t>
        </is>
      </c>
      <c r="E7235" t="inlineStr">
        <is>
          <t>KRISTIANSTAD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755-2025</t>
        </is>
      </c>
      <c r="B7236" s="1" t="n">
        <v>45665</v>
      </c>
      <c r="C7236" s="1" t="n">
        <v>45695</v>
      </c>
      <c r="D7236" t="inlineStr">
        <is>
          <t>SKÅNE LÄN</t>
        </is>
      </c>
      <c r="E7236" t="inlineStr">
        <is>
          <t>KRISTIANSTAD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45695</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872-2025</t>
        </is>
      </c>
      <c r="B7238" s="1" t="n">
        <v>45665</v>
      </c>
      <c r="C7238" s="1" t="n">
        <v>45695</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962-2025</t>
        </is>
      </c>
      <c r="B7239" s="1" t="n">
        <v>45666</v>
      </c>
      <c r="C7239" s="1" t="n">
        <v>45695</v>
      </c>
      <c r="D7239" t="inlineStr">
        <is>
          <t>SKÅNE LÄN</t>
        </is>
      </c>
      <c r="E7239" t="inlineStr">
        <is>
          <t>HÖÖR</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982-2025</t>
        </is>
      </c>
      <c r="B7240" s="1" t="n">
        <v>45666</v>
      </c>
      <c r="C7240" s="1" t="n">
        <v>45695</v>
      </c>
      <c r="D7240" t="inlineStr">
        <is>
          <t>SKÅNE LÄN</t>
        </is>
      </c>
      <c r="E7240" t="inlineStr">
        <is>
          <t>PERSTORP</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995-2025</t>
        </is>
      </c>
      <c r="B7241" s="1" t="n">
        <v>45666</v>
      </c>
      <c r="C7241" s="1" t="n">
        <v>45695</v>
      </c>
      <c r="D7241" t="inlineStr">
        <is>
          <t>SKÅNE LÄN</t>
        </is>
      </c>
      <c r="E7241" t="inlineStr">
        <is>
          <t>TOMELILLA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1077-2025</t>
        </is>
      </c>
      <c r="B7242" s="1" t="n">
        <v>45666</v>
      </c>
      <c r="C7242" s="1" t="n">
        <v>45695</v>
      </c>
      <c r="D7242" t="inlineStr">
        <is>
          <t>SKÅNE LÄN</t>
        </is>
      </c>
      <c r="E7242" t="inlineStr">
        <is>
          <t>OSBY</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984-2025</t>
        </is>
      </c>
      <c r="B7243" s="1" t="n">
        <v>45666</v>
      </c>
      <c r="C7243" s="1" t="n">
        <v>45695</v>
      </c>
      <c r="D7243" t="inlineStr">
        <is>
          <t>SKÅNE LÄN</t>
        </is>
      </c>
      <c r="E7243" t="inlineStr">
        <is>
          <t>PERSTORP</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1031-2025</t>
        </is>
      </c>
      <c r="B7244" s="1" t="n">
        <v>45666</v>
      </c>
      <c r="C7244" s="1" t="n">
        <v>45695</v>
      </c>
      <c r="D7244" t="inlineStr">
        <is>
          <t>SKÅNE LÄN</t>
        </is>
      </c>
      <c r="E7244" t="inlineStr">
        <is>
          <t>SJÖBO</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1107-2025</t>
        </is>
      </c>
      <c r="B7245" s="1" t="n">
        <v>45666</v>
      </c>
      <c r="C7245" s="1" t="n">
        <v>45695</v>
      </c>
      <c r="D7245" t="inlineStr">
        <is>
          <t>SKÅNE LÄN</t>
        </is>
      </c>
      <c r="E7245" t="inlineStr">
        <is>
          <t>OSBY</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1068-2025</t>
        </is>
      </c>
      <c r="B7246" s="1" t="n">
        <v>45666</v>
      </c>
      <c r="C7246" s="1" t="n">
        <v>45695</v>
      </c>
      <c r="D7246" t="inlineStr">
        <is>
          <t>SKÅNE LÄN</t>
        </is>
      </c>
      <c r="E7246" t="inlineStr">
        <is>
          <t>OSBY</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1098-2025</t>
        </is>
      </c>
      <c r="B7247" s="1" t="n">
        <v>45666</v>
      </c>
      <c r="C7247" s="1" t="n">
        <v>45695</v>
      </c>
      <c r="D7247" t="inlineStr">
        <is>
          <t>SKÅNE LÄN</t>
        </is>
      </c>
      <c r="E7247" t="inlineStr">
        <is>
          <t>SJÖBO</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1152-2025</t>
        </is>
      </c>
      <c r="B7248" s="1" t="n">
        <v>45666</v>
      </c>
      <c r="C7248" s="1" t="n">
        <v>45695</v>
      </c>
      <c r="D7248" t="inlineStr">
        <is>
          <t>SKÅNE LÄN</t>
        </is>
      </c>
      <c r="E7248" t="inlineStr">
        <is>
          <t>OSBY</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1153-2025</t>
        </is>
      </c>
      <c r="B7249" s="1" t="n">
        <v>45666</v>
      </c>
      <c r="C7249" s="1" t="n">
        <v>45695</v>
      </c>
      <c r="D7249" t="inlineStr">
        <is>
          <t>SKÅNE LÄN</t>
        </is>
      </c>
      <c r="E7249" t="inlineStr">
        <is>
          <t>OSBY</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1159-2025</t>
        </is>
      </c>
      <c r="B7250" s="1" t="n">
        <v>45666</v>
      </c>
      <c r="C7250" s="1" t="n">
        <v>45695</v>
      </c>
      <c r="D7250" t="inlineStr">
        <is>
          <t>SKÅNE LÄN</t>
        </is>
      </c>
      <c r="E7250" t="inlineStr">
        <is>
          <t>ÖSTRA GÖINGE</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45695</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45695</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1271-2025</t>
        </is>
      </c>
      <c r="B7253" s="1" t="n">
        <v>45667</v>
      </c>
      <c r="C7253" s="1" t="n">
        <v>45695</v>
      </c>
      <c r="D7253" t="inlineStr">
        <is>
          <t>SKÅNE LÄN</t>
        </is>
      </c>
      <c r="E7253" t="inlineStr">
        <is>
          <t>KRISTIANSTAD</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1408-2025</t>
        </is>
      </c>
      <c r="B7254" s="1" t="n">
        <v>45667</v>
      </c>
      <c r="C7254" s="1" t="n">
        <v>45695</v>
      </c>
      <c r="D7254" t="inlineStr">
        <is>
          <t>SKÅNE LÄN</t>
        </is>
      </c>
      <c r="E7254" t="inlineStr">
        <is>
          <t>BROMÖLLA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1424-2025</t>
        </is>
      </c>
      <c r="B7255" s="1" t="n">
        <v>45668</v>
      </c>
      <c r="C7255" s="1" t="n">
        <v>45695</v>
      </c>
      <c r="D7255" t="inlineStr">
        <is>
          <t>SKÅNE LÄN</t>
        </is>
      </c>
      <c r="E7255" t="inlineStr">
        <is>
          <t>KRISTIANSTAD</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1426-2025</t>
        </is>
      </c>
      <c r="B7256" s="1" t="n">
        <v>45668</v>
      </c>
      <c r="C7256" s="1" t="n">
        <v>45695</v>
      </c>
      <c r="D7256" t="inlineStr">
        <is>
          <t>SKÅNE LÄN</t>
        </is>
      </c>
      <c r="E7256" t="inlineStr">
        <is>
          <t>KRISTIANSTAD</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1427-2025</t>
        </is>
      </c>
      <c r="B7257" s="1" t="n">
        <v>45668</v>
      </c>
      <c r="C7257" s="1" t="n">
        <v>45695</v>
      </c>
      <c r="D7257" t="inlineStr">
        <is>
          <t>SKÅNE LÄN</t>
        </is>
      </c>
      <c r="E7257" t="inlineStr">
        <is>
          <t>KRISTIANSTAD</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45695</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1639-2025</t>
        </is>
      </c>
      <c r="B7259" s="1" t="n">
        <v>45670</v>
      </c>
      <c r="C7259" s="1" t="n">
        <v>45695</v>
      </c>
      <c r="D7259" t="inlineStr">
        <is>
          <t>SKÅNE LÄN</t>
        </is>
      </c>
      <c r="E7259" t="inlineStr">
        <is>
          <t>ÄNGELHOLM</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1604-2025</t>
        </is>
      </c>
      <c r="B7260" s="1" t="n">
        <v>45670</v>
      </c>
      <c r="C7260" s="1" t="n">
        <v>45695</v>
      </c>
      <c r="D7260" t="inlineStr">
        <is>
          <t>SKÅNE LÄN</t>
        </is>
      </c>
      <c r="E7260" t="inlineStr">
        <is>
          <t>ÖRKELLJUNGA</t>
        </is>
      </c>
      <c r="F7260" t="inlineStr">
        <is>
          <t>Kommuner</t>
        </is>
      </c>
      <c r="G7260" t="n">
        <v>7</v>
      </c>
      <c r="H7260" t="n">
        <v>0</v>
      </c>
      <c r="I7260" t="n">
        <v>0</v>
      </c>
      <c r="J7260" t="n">
        <v>0</v>
      </c>
      <c r="K7260" t="n">
        <v>0</v>
      </c>
      <c r="L7260" t="n">
        <v>0</v>
      </c>
      <c r="M7260" t="n">
        <v>0</v>
      </c>
      <c r="N7260" t="n">
        <v>0</v>
      </c>
      <c r="O7260" t="n">
        <v>0</v>
      </c>
      <c r="P7260" t="n">
        <v>0</v>
      </c>
      <c r="Q7260" t="n">
        <v>0</v>
      </c>
      <c r="R7260" s="2" t="inlineStr"/>
    </row>
    <row r="7261" ht="15" customHeight="1">
      <c r="A7261" t="inlineStr">
        <is>
          <t>A 1703-2025</t>
        </is>
      </c>
      <c r="B7261" s="1" t="n">
        <v>45670</v>
      </c>
      <c r="C7261" s="1" t="n">
        <v>45695</v>
      </c>
      <c r="D7261" t="inlineStr">
        <is>
          <t>SKÅNE LÄN</t>
        </is>
      </c>
      <c r="E7261" t="inlineStr">
        <is>
          <t>HÄSSLEHOLM</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1616-2025</t>
        </is>
      </c>
      <c r="B7262" s="1" t="n">
        <v>45670</v>
      </c>
      <c r="C7262" s="1" t="n">
        <v>45695</v>
      </c>
      <c r="D7262" t="inlineStr">
        <is>
          <t>SKÅNE LÄN</t>
        </is>
      </c>
      <c r="E7262" t="inlineStr">
        <is>
          <t>HÄSSLEHOLM</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1644-2025</t>
        </is>
      </c>
      <c r="B7263" s="1" t="n">
        <v>45670</v>
      </c>
      <c r="C7263" s="1" t="n">
        <v>45695</v>
      </c>
      <c r="D7263" t="inlineStr">
        <is>
          <t>SKÅNE LÄN</t>
        </is>
      </c>
      <c r="E7263" t="inlineStr">
        <is>
          <t>ÄNGELHOLM</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1660-2025</t>
        </is>
      </c>
      <c r="B7264" s="1" t="n">
        <v>45670</v>
      </c>
      <c r="C7264" s="1" t="n">
        <v>45695</v>
      </c>
      <c r="D7264" t="inlineStr">
        <is>
          <t>SKÅNE LÄN</t>
        </is>
      </c>
      <c r="E7264" t="inlineStr">
        <is>
          <t>KRISTIANSTAD</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1621-2025</t>
        </is>
      </c>
      <c r="B7265" s="1" t="n">
        <v>45670</v>
      </c>
      <c r="C7265" s="1" t="n">
        <v>45695</v>
      </c>
      <c r="D7265" t="inlineStr">
        <is>
          <t>SKÅNE LÄN</t>
        </is>
      </c>
      <c r="E7265" t="inlineStr">
        <is>
          <t>OSBY</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1692-2025</t>
        </is>
      </c>
      <c r="B7266" s="1" t="n">
        <v>45670</v>
      </c>
      <c r="C7266" s="1" t="n">
        <v>45695</v>
      </c>
      <c r="D7266" t="inlineStr">
        <is>
          <t>SKÅNE LÄN</t>
        </is>
      </c>
      <c r="E7266" t="inlineStr">
        <is>
          <t>HÄSSLEHOLM</t>
        </is>
      </c>
      <c r="F7266" t="inlineStr">
        <is>
          <t>Övriga Aktiebolag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1706-2025</t>
        </is>
      </c>
      <c r="B7267" s="1" t="n">
        <v>45670</v>
      </c>
      <c r="C7267" s="1" t="n">
        <v>45695</v>
      </c>
      <c r="D7267" t="inlineStr">
        <is>
          <t>SKÅNE LÄN</t>
        </is>
      </c>
      <c r="E7267" t="inlineStr">
        <is>
          <t>HÄSSLEHOLM</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1772-2025</t>
        </is>
      </c>
      <c r="B7268" s="1" t="n">
        <v>45671</v>
      </c>
      <c r="C7268" s="1" t="n">
        <v>45695</v>
      </c>
      <c r="D7268" t="inlineStr">
        <is>
          <t>SKÅNE LÄN</t>
        </is>
      </c>
      <c r="E7268" t="inlineStr">
        <is>
          <t>KRISTIANSTAD</t>
        </is>
      </c>
      <c r="G7268" t="n">
        <v>9.6</v>
      </c>
      <c r="H7268" t="n">
        <v>0</v>
      </c>
      <c r="I7268" t="n">
        <v>0</v>
      </c>
      <c r="J7268" t="n">
        <v>0</v>
      </c>
      <c r="K7268" t="n">
        <v>0</v>
      </c>
      <c r="L7268" t="n">
        <v>0</v>
      </c>
      <c r="M7268" t="n">
        <v>0</v>
      </c>
      <c r="N7268" t="n">
        <v>0</v>
      </c>
      <c r="O7268" t="n">
        <v>0</v>
      </c>
      <c r="P7268" t="n">
        <v>0</v>
      </c>
      <c r="Q7268" t="n">
        <v>0</v>
      </c>
      <c r="R7268" s="2" t="inlineStr"/>
    </row>
    <row r="7269" ht="15" customHeight="1">
      <c r="A7269" t="inlineStr">
        <is>
          <t>A 1816-2025</t>
        </is>
      </c>
      <c r="B7269" s="1" t="n">
        <v>45671</v>
      </c>
      <c r="C7269" s="1" t="n">
        <v>45695</v>
      </c>
      <c r="D7269" t="inlineStr">
        <is>
          <t>SKÅNE LÄN</t>
        </is>
      </c>
      <c r="E7269" t="inlineStr">
        <is>
          <t>PERSTORP</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1865-2025</t>
        </is>
      </c>
      <c r="B7270" s="1" t="n">
        <v>45671</v>
      </c>
      <c r="C7270" s="1" t="n">
        <v>45695</v>
      </c>
      <c r="D7270" t="inlineStr">
        <is>
          <t>SKÅNE LÄN</t>
        </is>
      </c>
      <c r="E7270" t="inlineStr">
        <is>
          <t>SJÖBO</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1901-2025</t>
        </is>
      </c>
      <c r="B7271" s="1" t="n">
        <v>45671</v>
      </c>
      <c r="C7271" s="1" t="n">
        <v>45695</v>
      </c>
      <c r="D7271" t="inlineStr">
        <is>
          <t>SKÅNE LÄN</t>
        </is>
      </c>
      <c r="E7271" t="inlineStr">
        <is>
          <t>SVALÖV</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1863-2025</t>
        </is>
      </c>
      <c r="B7272" s="1" t="n">
        <v>45671</v>
      </c>
      <c r="C7272" s="1" t="n">
        <v>45695</v>
      </c>
      <c r="D7272" t="inlineStr">
        <is>
          <t>SKÅNE LÄN</t>
        </is>
      </c>
      <c r="E7272" t="inlineStr">
        <is>
          <t>HÖRBY</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1879-2025</t>
        </is>
      </c>
      <c r="B7273" s="1" t="n">
        <v>45671</v>
      </c>
      <c r="C7273" s="1" t="n">
        <v>45695</v>
      </c>
      <c r="D7273" t="inlineStr">
        <is>
          <t>SKÅNE LÄN</t>
        </is>
      </c>
      <c r="E7273" t="inlineStr">
        <is>
          <t>SJÖBO</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1920-2025</t>
        </is>
      </c>
      <c r="B7274" s="1" t="n">
        <v>45671</v>
      </c>
      <c r="C7274" s="1" t="n">
        <v>45695</v>
      </c>
      <c r="D7274" t="inlineStr">
        <is>
          <t>SKÅNE LÄN</t>
        </is>
      </c>
      <c r="E7274" t="inlineStr">
        <is>
          <t>SVALÖV</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1783-2025</t>
        </is>
      </c>
      <c r="B7275" s="1" t="n">
        <v>45671</v>
      </c>
      <c r="C7275" s="1" t="n">
        <v>45695</v>
      </c>
      <c r="D7275" t="inlineStr">
        <is>
          <t>SKÅNE LÄN</t>
        </is>
      </c>
      <c r="E7275" t="inlineStr">
        <is>
          <t>ÖRKELLJUNGA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1846-2025</t>
        </is>
      </c>
      <c r="B7276" s="1" t="n">
        <v>45671</v>
      </c>
      <c r="C7276" s="1" t="n">
        <v>45695</v>
      </c>
      <c r="D7276" t="inlineStr">
        <is>
          <t>SKÅNE LÄN</t>
        </is>
      </c>
      <c r="E7276" t="inlineStr">
        <is>
          <t>SJÖBO</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1858-2025</t>
        </is>
      </c>
      <c r="B7277" s="1" t="n">
        <v>45671</v>
      </c>
      <c r="C7277" s="1" t="n">
        <v>45695</v>
      </c>
      <c r="D7277" t="inlineStr">
        <is>
          <t>SKÅNE LÄN</t>
        </is>
      </c>
      <c r="E7277" t="inlineStr">
        <is>
          <t>SJÖBO</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1886-2025</t>
        </is>
      </c>
      <c r="B7278" s="1" t="n">
        <v>45671</v>
      </c>
      <c r="C7278" s="1" t="n">
        <v>45695</v>
      </c>
      <c r="D7278" t="inlineStr">
        <is>
          <t>SKÅNE LÄN</t>
        </is>
      </c>
      <c r="E7278" t="inlineStr">
        <is>
          <t>HÄSSLEHOLM</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1943-2025</t>
        </is>
      </c>
      <c r="B7279" s="1" t="n">
        <v>45672</v>
      </c>
      <c r="C7279" s="1" t="n">
        <v>45695</v>
      </c>
      <c r="D7279" t="inlineStr">
        <is>
          <t>SKÅNE LÄN</t>
        </is>
      </c>
      <c r="E7279" t="inlineStr">
        <is>
          <t>KRISTIANSTAD</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45695</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1940-2025</t>
        </is>
      </c>
      <c r="B7281" s="1" t="n">
        <v>45672</v>
      </c>
      <c r="C7281" s="1" t="n">
        <v>45695</v>
      </c>
      <c r="D7281" t="inlineStr">
        <is>
          <t>SKÅNE LÄN</t>
        </is>
      </c>
      <c r="E7281" t="inlineStr">
        <is>
          <t>KRISTIANSTAD</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2079-2025</t>
        </is>
      </c>
      <c r="B7282" s="1" t="n">
        <v>45672</v>
      </c>
      <c r="C7282" s="1" t="n">
        <v>45695</v>
      </c>
      <c r="D7282" t="inlineStr">
        <is>
          <t>SKÅNE LÄN</t>
        </is>
      </c>
      <c r="E7282" t="inlineStr">
        <is>
          <t>BÅSTAD</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2083-2025</t>
        </is>
      </c>
      <c r="B7283" s="1" t="n">
        <v>45672</v>
      </c>
      <c r="C7283" s="1" t="n">
        <v>45695</v>
      </c>
      <c r="D7283" t="inlineStr">
        <is>
          <t>SKÅNE LÄN</t>
        </is>
      </c>
      <c r="E7283" t="inlineStr">
        <is>
          <t>KLIPPAN</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2108-2025</t>
        </is>
      </c>
      <c r="B7284" s="1" t="n">
        <v>45672</v>
      </c>
      <c r="C7284" s="1" t="n">
        <v>45695</v>
      </c>
      <c r="D7284" t="inlineStr">
        <is>
          <t>SKÅNE LÄN</t>
        </is>
      </c>
      <c r="E7284" t="inlineStr">
        <is>
          <t>HÖÖR</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2114-2025</t>
        </is>
      </c>
      <c r="B7285" s="1" t="n">
        <v>45672</v>
      </c>
      <c r="C7285" s="1" t="n">
        <v>45695</v>
      </c>
      <c r="D7285" t="inlineStr">
        <is>
          <t>SKÅNE LÄN</t>
        </is>
      </c>
      <c r="E7285" t="inlineStr">
        <is>
          <t>HÖÖR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2399-2025</t>
        </is>
      </c>
      <c r="B7286" s="1" t="n">
        <v>45672</v>
      </c>
      <c r="C7286" s="1" t="n">
        <v>45695</v>
      </c>
      <c r="D7286" t="inlineStr">
        <is>
          <t>SKÅNE LÄN</t>
        </is>
      </c>
      <c r="E7286" t="inlineStr">
        <is>
          <t>ÖRKELLJUNGA</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2202-2025</t>
        </is>
      </c>
      <c r="B7287" s="1" t="n">
        <v>45673</v>
      </c>
      <c r="C7287" s="1" t="n">
        <v>45695</v>
      </c>
      <c r="D7287" t="inlineStr">
        <is>
          <t>SKÅNE LÄN</t>
        </is>
      </c>
      <c r="E7287" t="inlineStr">
        <is>
          <t>ÄNGELHOLM</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2242-2025</t>
        </is>
      </c>
      <c r="B7288" s="1" t="n">
        <v>45673</v>
      </c>
      <c r="C7288" s="1" t="n">
        <v>45695</v>
      </c>
      <c r="D7288" t="inlineStr">
        <is>
          <t>SKÅNE LÄN</t>
        </is>
      </c>
      <c r="E7288" t="inlineStr">
        <is>
          <t>KLIPPAN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2170-2025</t>
        </is>
      </c>
      <c r="B7289" s="1" t="n">
        <v>45673</v>
      </c>
      <c r="C7289" s="1" t="n">
        <v>45695</v>
      </c>
      <c r="D7289" t="inlineStr">
        <is>
          <t>SKÅNE LÄN</t>
        </is>
      </c>
      <c r="E7289" t="inlineStr">
        <is>
          <t>HÖRBY</t>
        </is>
      </c>
      <c r="G7289" t="n">
        <v>3.6</v>
      </c>
      <c r="H7289" t="n">
        <v>0</v>
      </c>
      <c r="I7289" t="n">
        <v>0</v>
      </c>
      <c r="J7289" t="n">
        <v>0</v>
      </c>
      <c r="K7289" t="n">
        <v>0</v>
      </c>
      <c r="L7289" t="n">
        <v>0</v>
      </c>
      <c r="M7289" t="n">
        <v>0</v>
      </c>
      <c r="N7289" t="n">
        <v>0</v>
      </c>
      <c r="O7289" t="n">
        <v>0</v>
      </c>
      <c r="P7289" t="n">
        <v>0</v>
      </c>
      <c r="Q7289" t="n">
        <v>0</v>
      </c>
      <c r="R7289" s="2" t="inlineStr"/>
    </row>
    <row r="7290" ht="15" customHeight="1">
      <c r="A7290" t="inlineStr">
        <is>
          <t>A 2248-2025</t>
        </is>
      </c>
      <c r="B7290" s="1" t="n">
        <v>45673</v>
      </c>
      <c r="C7290" s="1" t="n">
        <v>45695</v>
      </c>
      <c r="D7290" t="inlineStr">
        <is>
          <t>SKÅNE LÄN</t>
        </is>
      </c>
      <c r="E7290" t="inlineStr">
        <is>
          <t>LUND</t>
        </is>
      </c>
      <c r="G7290" t="n">
        <v>11.7</v>
      </c>
      <c r="H7290" t="n">
        <v>0</v>
      </c>
      <c r="I7290" t="n">
        <v>0</v>
      </c>
      <c r="J7290" t="n">
        <v>0</v>
      </c>
      <c r="K7290" t="n">
        <v>0</v>
      </c>
      <c r="L7290" t="n">
        <v>0</v>
      </c>
      <c r="M7290" t="n">
        <v>0</v>
      </c>
      <c r="N7290" t="n">
        <v>0</v>
      </c>
      <c r="O7290" t="n">
        <v>0</v>
      </c>
      <c r="P7290" t="n">
        <v>0</v>
      </c>
      <c r="Q7290" t="n">
        <v>0</v>
      </c>
      <c r="R7290" s="2" t="inlineStr"/>
    </row>
    <row r="7291" ht="15" customHeight="1">
      <c r="A7291" t="inlineStr">
        <is>
          <t>A 2252-2025</t>
        </is>
      </c>
      <c r="B7291" s="1" t="n">
        <v>45673</v>
      </c>
      <c r="C7291" s="1" t="n">
        <v>45695</v>
      </c>
      <c r="D7291" t="inlineStr">
        <is>
          <t>SKÅNE LÄN</t>
        </is>
      </c>
      <c r="E7291" t="inlineStr">
        <is>
          <t>KLIPPAN</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2262-2025</t>
        </is>
      </c>
      <c r="B7292" s="1" t="n">
        <v>45673</v>
      </c>
      <c r="C7292" s="1" t="n">
        <v>45695</v>
      </c>
      <c r="D7292" t="inlineStr">
        <is>
          <t>SKÅNE LÄN</t>
        </is>
      </c>
      <c r="E7292" t="inlineStr">
        <is>
          <t>KLIPPAN</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2267-2025</t>
        </is>
      </c>
      <c r="B7293" s="1" t="n">
        <v>45673</v>
      </c>
      <c r="C7293" s="1" t="n">
        <v>45695</v>
      </c>
      <c r="D7293" t="inlineStr">
        <is>
          <t>SKÅNE LÄN</t>
        </is>
      </c>
      <c r="E7293" t="inlineStr">
        <is>
          <t>HÄSSLEHOLM</t>
        </is>
      </c>
      <c r="G7293" t="n">
        <v>7.9</v>
      </c>
      <c r="H7293" t="n">
        <v>0</v>
      </c>
      <c r="I7293" t="n">
        <v>0</v>
      </c>
      <c r="J7293" t="n">
        <v>0</v>
      </c>
      <c r="K7293" t="n">
        <v>0</v>
      </c>
      <c r="L7293" t="n">
        <v>0</v>
      </c>
      <c r="M7293" t="n">
        <v>0</v>
      </c>
      <c r="N7293" t="n">
        <v>0</v>
      </c>
      <c r="O7293" t="n">
        <v>0</v>
      </c>
      <c r="P7293" t="n">
        <v>0</v>
      </c>
      <c r="Q7293" t="n">
        <v>0</v>
      </c>
      <c r="R7293" s="2" t="inlineStr"/>
    </row>
    <row r="7294" ht="15" customHeight="1">
      <c r="A7294" t="inlineStr">
        <is>
          <t>A 2395-2025</t>
        </is>
      </c>
      <c r="B7294" s="1" t="n">
        <v>45674</v>
      </c>
      <c r="C7294" s="1" t="n">
        <v>45695</v>
      </c>
      <c r="D7294" t="inlineStr">
        <is>
          <t>SKÅNE LÄN</t>
        </is>
      </c>
      <c r="E7294" t="inlineStr">
        <is>
          <t>ÖRKELLJUNGA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2405-2025</t>
        </is>
      </c>
      <c r="B7295" s="1" t="n">
        <v>45674</v>
      </c>
      <c r="C7295" s="1" t="n">
        <v>45695</v>
      </c>
      <c r="D7295" t="inlineStr">
        <is>
          <t>SKÅNE LÄN</t>
        </is>
      </c>
      <c r="E7295" t="inlineStr">
        <is>
          <t>ÖRKELLJUNGA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2448-2025</t>
        </is>
      </c>
      <c r="B7296" s="1" t="n">
        <v>45674</v>
      </c>
      <c r="C7296" s="1" t="n">
        <v>45695</v>
      </c>
      <c r="D7296" t="inlineStr">
        <is>
          <t>SKÅNE LÄN</t>
        </is>
      </c>
      <c r="E7296" t="inlineStr">
        <is>
          <t>BROMÖLLA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2415-2025</t>
        </is>
      </c>
      <c r="B7297" s="1" t="n">
        <v>45674</v>
      </c>
      <c r="C7297" s="1" t="n">
        <v>45695</v>
      </c>
      <c r="D7297" t="inlineStr">
        <is>
          <t>SKÅNE LÄN</t>
        </is>
      </c>
      <c r="E7297" t="inlineStr">
        <is>
          <t>SVEDALA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2453-2025</t>
        </is>
      </c>
      <c r="B7298" s="1" t="n">
        <v>45674</v>
      </c>
      <c r="C7298" s="1" t="n">
        <v>45695</v>
      </c>
      <c r="D7298" t="inlineStr">
        <is>
          <t>SKÅNE LÄN</t>
        </is>
      </c>
      <c r="E7298" t="inlineStr">
        <is>
          <t>BROMÖLLA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2408-2025</t>
        </is>
      </c>
      <c r="B7299" s="1" t="n">
        <v>45674</v>
      </c>
      <c r="C7299" s="1" t="n">
        <v>45695</v>
      </c>
      <c r="D7299" t="inlineStr">
        <is>
          <t>SKÅNE LÄN</t>
        </is>
      </c>
      <c r="E7299" t="inlineStr">
        <is>
          <t>SVEDALA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2543-2025</t>
        </is>
      </c>
      <c r="B7300" s="1" t="n">
        <v>45674</v>
      </c>
      <c r="C7300" s="1" t="n">
        <v>45695</v>
      </c>
      <c r="D7300" t="inlineStr">
        <is>
          <t>SKÅNE LÄN</t>
        </is>
      </c>
      <c r="E7300" t="inlineStr">
        <is>
          <t>ÖSTRA GÖINGE</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2588-2025</t>
        </is>
      </c>
      <c r="B7301" s="1" t="n">
        <v>45674</v>
      </c>
      <c r="C7301" s="1" t="n">
        <v>45695</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2550-2025</t>
        </is>
      </c>
      <c r="B7302" s="1" t="n">
        <v>45674</v>
      </c>
      <c r="C7302" s="1" t="n">
        <v>45695</v>
      </c>
      <c r="D7302" t="inlineStr">
        <is>
          <t>SKÅNE LÄN</t>
        </is>
      </c>
      <c r="E7302" t="inlineStr">
        <is>
          <t>ÖRKELLJUNGA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2587-2025</t>
        </is>
      </c>
      <c r="B7303" s="1" t="n">
        <v>45674</v>
      </c>
      <c r="C7303" s="1" t="n">
        <v>45695</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45695</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2780-2025</t>
        </is>
      </c>
      <c r="B7305" s="1" t="n">
        <v>45677</v>
      </c>
      <c r="C7305" s="1" t="n">
        <v>45695</v>
      </c>
      <c r="D7305" t="inlineStr">
        <is>
          <t>SKÅNE LÄN</t>
        </is>
      </c>
      <c r="E7305" t="inlineStr">
        <is>
          <t>HÖRBY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2863-2025</t>
        </is>
      </c>
      <c r="B7306" s="1" t="n">
        <v>45677</v>
      </c>
      <c r="C7306" s="1" t="n">
        <v>45695</v>
      </c>
      <c r="D7306" t="inlineStr">
        <is>
          <t>SKÅNE LÄN</t>
        </is>
      </c>
      <c r="E7306" t="inlineStr">
        <is>
          <t>HÄSSLEHOLM</t>
        </is>
      </c>
      <c r="F7306" t="inlineStr">
        <is>
          <t>Övriga Aktiebolag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2911-2025</t>
        </is>
      </c>
      <c r="B7307" s="1" t="n">
        <v>45677</v>
      </c>
      <c r="C7307" s="1" t="n">
        <v>45695</v>
      </c>
      <c r="D7307" t="inlineStr">
        <is>
          <t>SKÅNE LÄN</t>
        </is>
      </c>
      <c r="E7307" t="inlineStr">
        <is>
          <t>OSBY</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2816-2025</t>
        </is>
      </c>
      <c r="B7308" s="1" t="n">
        <v>45677</v>
      </c>
      <c r="C7308" s="1" t="n">
        <v>45695</v>
      </c>
      <c r="D7308" t="inlineStr">
        <is>
          <t>SKÅNE LÄN</t>
        </is>
      </c>
      <c r="E7308" t="inlineStr">
        <is>
          <t>HÖRBY</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45695</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45695</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3205-2025</t>
        </is>
      </c>
      <c r="B7311" s="1" t="n">
        <v>45679</v>
      </c>
      <c r="C7311" s="1" t="n">
        <v>45695</v>
      </c>
      <c r="D7311" t="inlineStr">
        <is>
          <t>SKÅNE LÄN</t>
        </is>
      </c>
      <c r="E7311" t="inlineStr">
        <is>
          <t>ÖRKELLJUNGA</t>
        </is>
      </c>
      <c r="F7311" t="inlineStr">
        <is>
          <t>Kyrkan</t>
        </is>
      </c>
      <c r="G7311" t="n">
        <v>6.7</v>
      </c>
      <c r="H7311" t="n">
        <v>0</v>
      </c>
      <c r="I7311" t="n">
        <v>0</v>
      </c>
      <c r="J7311" t="n">
        <v>0</v>
      </c>
      <c r="K7311" t="n">
        <v>0</v>
      </c>
      <c r="L7311" t="n">
        <v>0</v>
      </c>
      <c r="M7311" t="n">
        <v>0</v>
      </c>
      <c r="N7311" t="n">
        <v>0</v>
      </c>
      <c r="O7311" t="n">
        <v>0</v>
      </c>
      <c r="P7311" t="n">
        <v>0</v>
      </c>
      <c r="Q7311" t="n">
        <v>0</v>
      </c>
      <c r="R7311" s="2" t="inlineStr"/>
    </row>
    <row r="7312" ht="15" customHeight="1">
      <c r="A7312" t="inlineStr">
        <is>
          <t>A 3297-2025</t>
        </is>
      </c>
      <c r="B7312" s="1" t="n">
        <v>45679</v>
      </c>
      <c r="C7312" s="1" t="n">
        <v>45695</v>
      </c>
      <c r="D7312" t="inlineStr">
        <is>
          <t>SKÅNE LÄN</t>
        </is>
      </c>
      <c r="E7312" t="inlineStr">
        <is>
          <t>HÄSSLEHOLM</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3317-2025</t>
        </is>
      </c>
      <c r="B7313" s="1" t="n">
        <v>45679</v>
      </c>
      <c r="C7313" s="1" t="n">
        <v>45695</v>
      </c>
      <c r="D7313" t="inlineStr">
        <is>
          <t>SKÅNE LÄN</t>
        </is>
      </c>
      <c r="E7313" t="inlineStr">
        <is>
          <t>HÄSSLEHOLM</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3291-2025</t>
        </is>
      </c>
      <c r="B7314" s="1" t="n">
        <v>45679</v>
      </c>
      <c r="C7314" s="1" t="n">
        <v>45695</v>
      </c>
      <c r="D7314" t="inlineStr">
        <is>
          <t>SKÅNE LÄN</t>
        </is>
      </c>
      <c r="E7314" t="inlineStr">
        <is>
          <t>TOMELILLA</t>
        </is>
      </c>
      <c r="F7314" t="inlineStr">
        <is>
          <t>Övriga Aktiebolag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3294-2025</t>
        </is>
      </c>
      <c r="B7315" s="1" t="n">
        <v>45679</v>
      </c>
      <c r="C7315" s="1" t="n">
        <v>45695</v>
      </c>
      <c r="D7315" t="inlineStr">
        <is>
          <t>SKÅNE LÄN</t>
        </is>
      </c>
      <c r="E7315" t="inlineStr">
        <is>
          <t>HÄSSLEHOLM</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45695</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45695</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3524-2025</t>
        </is>
      </c>
      <c r="B7318" s="1" t="n">
        <v>45680</v>
      </c>
      <c r="C7318" s="1" t="n">
        <v>45695</v>
      </c>
      <c r="D7318" t="inlineStr">
        <is>
          <t>SKÅNE LÄN</t>
        </is>
      </c>
      <c r="E7318" t="inlineStr">
        <is>
          <t>ESLÖV</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3565-2025</t>
        </is>
      </c>
      <c r="B7319" s="1" t="n">
        <v>45680</v>
      </c>
      <c r="C7319" s="1" t="n">
        <v>45695</v>
      </c>
      <c r="D7319" t="inlineStr">
        <is>
          <t>SKÅNE LÄN</t>
        </is>
      </c>
      <c r="E7319" t="inlineStr">
        <is>
          <t>ÄNGELHOLM</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3534-2025</t>
        </is>
      </c>
      <c r="B7320" s="1" t="n">
        <v>45680</v>
      </c>
      <c r="C7320" s="1" t="n">
        <v>45695</v>
      </c>
      <c r="D7320" t="inlineStr">
        <is>
          <t>SKÅNE LÄN</t>
        </is>
      </c>
      <c r="E7320" t="inlineStr">
        <is>
          <t>HÖRBY</t>
        </is>
      </c>
      <c r="F7320" t="inlineStr">
        <is>
          <t>Kyrkan</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3542-2025</t>
        </is>
      </c>
      <c r="B7321" s="1" t="n">
        <v>45680</v>
      </c>
      <c r="C7321" s="1" t="n">
        <v>45695</v>
      </c>
      <c r="D7321" t="inlineStr">
        <is>
          <t>SKÅNE LÄN</t>
        </is>
      </c>
      <c r="E7321" t="inlineStr">
        <is>
          <t>HÖRBY</t>
        </is>
      </c>
      <c r="F7321" t="inlineStr">
        <is>
          <t>Kyrkan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3591-2025</t>
        </is>
      </c>
      <c r="B7322" s="1" t="n">
        <v>45681</v>
      </c>
      <c r="C7322" s="1" t="n">
        <v>45695</v>
      </c>
      <c r="D7322" t="inlineStr">
        <is>
          <t>SKÅNE LÄN</t>
        </is>
      </c>
      <c r="E7322" t="inlineStr">
        <is>
          <t>HÖRBY</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3776-2025</t>
        </is>
      </c>
      <c r="B7323" s="1" t="n">
        <v>45681</v>
      </c>
      <c r="C7323" s="1" t="n">
        <v>45695</v>
      </c>
      <c r="D7323" t="inlineStr">
        <is>
          <t>SKÅNE LÄN</t>
        </is>
      </c>
      <c r="E7323" t="inlineStr">
        <is>
          <t>HÄSSLEHOLM</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3705-2025</t>
        </is>
      </c>
      <c r="B7324" s="1" t="n">
        <v>45681</v>
      </c>
      <c r="C7324" s="1" t="n">
        <v>45695</v>
      </c>
      <c r="D7324" t="inlineStr">
        <is>
          <t>SKÅNE LÄN</t>
        </is>
      </c>
      <c r="E7324" t="inlineStr">
        <is>
          <t>OSBY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3612-2025</t>
        </is>
      </c>
      <c r="B7325" s="1" t="n">
        <v>45681</v>
      </c>
      <c r="C7325" s="1" t="n">
        <v>45695</v>
      </c>
      <c r="D7325" t="inlineStr">
        <is>
          <t>SKÅNE LÄN</t>
        </is>
      </c>
      <c r="E7325" t="inlineStr">
        <is>
          <t>HÖÖR</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45695</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3941-2025</t>
        </is>
      </c>
      <c r="B7327" s="1" t="n">
        <v>45684</v>
      </c>
      <c r="C7327" s="1" t="n">
        <v>45695</v>
      </c>
      <c r="D7327" t="inlineStr">
        <is>
          <t>SKÅNE LÄN</t>
        </is>
      </c>
      <c r="E7327" t="inlineStr">
        <is>
          <t>ÖRKELLJUNGA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3888-2025</t>
        </is>
      </c>
      <c r="B7328" s="1" t="n">
        <v>45684</v>
      </c>
      <c r="C7328" s="1" t="n">
        <v>45695</v>
      </c>
      <c r="D7328" t="inlineStr">
        <is>
          <t>SKÅNE LÄN</t>
        </is>
      </c>
      <c r="E7328" t="inlineStr">
        <is>
          <t>OSBY</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4117-2025</t>
        </is>
      </c>
      <c r="B7329" s="1" t="n">
        <v>45684</v>
      </c>
      <c r="C7329" s="1" t="n">
        <v>45695</v>
      </c>
      <c r="D7329" t="inlineStr">
        <is>
          <t>SKÅNE LÄN</t>
        </is>
      </c>
      <c r="E7329" t="inlineStr">
        <is>
          <t>ÄNGELHOLM</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3915-2025</t>
        </is>
      </c>
      <c r="B7330" s="1" t="n">
        <v>45684</v>
      </c>
      <c r="C7330" s="1" t="n">
        <v>45695</v>
      </c>
      <c r="D7330" t="inlineStr">
        <is>
          <t>SKÅNE LÄN</t>
        </is>
      </c>
      <c r="E7330" t="inlineStr">
        <is>
          <t>HÖÖR</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4040-2025</t>
        </is>
      </c>
      <c r="B7331" s="1" t="n">
        <v>45684</v>
      </c>
      <c r="C7331" s="1" t="n">
        <v>45695</v>
      </c>
      <c r="D7331" t="inlineStr">
        <is>
          <t>SKÅNE LÄN</t>
        </is>
      </c>
      <c r="E7331" t="inlineStr">
        <is>
          <t>HÄSSLEHOLM</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4104-2025</t>
        </is>
      </c>
      <c r="B7332" s="1" t="n">
        <v>45684</v>
      </c>
      <c r="C7332" s="1" t="n">
        <v>45695</v>
      </c>
      <c r="D7332" t="inlineStr">
        <is>
          <t>SKÅNE LÄN</t>
        </is>
      </c>
      <c r="E7332" t="inlineStr">
        <is>
          <t>HÄSSLEHOLM</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4245-2025</t>
        </is>
      </c>
      <c r="B7333" s="1" t="n">
        <v>45685</v>
      </c>
      <c r="C7333" s="1" t="n">
        <v>45695</v>
      </c>
      <c r="D7333" t="inlineStr">
        <is>
          <t>SKÅNE LÄN</t>
        </is>
      </c>
      <c r="E7333" t="inlineStr">
        <is>
          <t>HÖÖR</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4231-2025</t>
        </is>
      </c>
      <c r="B7334" s="1" t="n">
        <v>45685</v>
      </c>
      <c r="C7334" s="1" t="n">
        <v>45695</v>
      </c>
      <c r="D7334" t="inlineStr">
        <is>
          <t>SKÅNE LÄN</t>
        </is>
      </c>
      <c r="E7334" t="inlineStr">
        <is>
          <t>OSBY</t>
        </is>
      </c>
      <c r="F7334" t="inlineStr">
        <is>
          <t>Sveaskog</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4248-2025</t>
        </is>
      </c>
      <c r="B7335" s="1" t="n">
        <v>45685</v>
      </c>
      <c r="C7335" s="1" t="n">
        <v>45695</v>
      </c>
      <c r="D7335" t="inlineStr">
        <is>
          <t>SKÅNE LÄN</t>
        </is>
      </c>
      <c r="E7335" t="inlineStr">
        <is>
          <t>KRISTIANSTAD</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4177-2025</t>
        </is>
      </c>
      <c r="B7336" s="1" t="n">
        <v>45685</v>
      </c>
      <c r="C7336" s="1" t="n">
        <v>45695</v>
      </c>
      <c r="D7336" t="inlineStr">
        <is>
          <t>SKÅNE LÄN</t>
        </is>
      </c>
      <c r="E7336" t="inlineStr">
        <is>
          <t>ÖSTRA GÖINGE</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4185-2025</t>
        </is>
      </c>
      <c r="B7337" s="1" t="n">
        <v>45685</v>
      </c>
      <c r="C7337" s="1" t="n">
        <v>45695</v>
      </c>
      <c r="D7337" t="inlineStr">
        <is>
          <t>SKÅNE LÄN</t>
        </is>
      </c>
      <c r="E7337" t="inlineStr">
        <is>
          <t>ÖSTRA GÖINGE</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4198-2025</t>
        </is>
      </c>
      <c r="B7338" s="1" t="n">
        <v>45685</v>
      </c>
      <c r="C7338" s="1" t="n">
        <v>45695</v>
      </c>
      <c r="D7338" t="inlineStr">
        <is>
          <t>SKÅNE LÄN</t>
        </is>
      </c>
      <c r="E7338" t="inlineStr">
        <is>
          <t>SIMRISHAMN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4247-2025</t>
        </is>
      </c>
      <c r="B7339" s="1" t="n">
        <v>45685</v>
      </c>
      <c r="C7339" s="1" t="n">
        <v>45695</v>
      </c>
      <c r="D7339" t="inlineStr">
        <is>
          <t>SKÅNE LÄN</t>
        </is>
      </c>
      <c r="E7339" t="inlineStr">
        <is>
          <t>HÖÖR</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4256-2025</t>
        </is>
      </c>
      <c r="B7340" s="1" t="n">
        <v>45685</v>
      </c>
      <c r="C7340" s="1" t="n">
        <v>45695</v>
      </c>
      <c r="D7340" t="inlineStr">
        <is>
          <t>SKÅNE LÄN</t>
        </is>
      </c>
      <c r="E7340" t="inlineStr">
        <is>
          <t>BÅSTAD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4229-2025</t>
        </is>
      </c>
      <c r="B7341" s="1" t="n">
        <v>45685</v>
      </c>
      <c r="C7341" s="1" t="n">
        <v>45695</v>
      </c>
      <c r="D7341" t="inlineStr">
        <is>
          <t>SKÅNE LÄN</t>
        </is>
      </c>
      <c r="E7341" t="inlineStr">
        <is>
          <t>OSBY</t>
        </is>
      </c>
      <c r="F7341" t="inlineStr">
        <is>
          <t>Sveaskog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4209-2025</t>
        </is>
      </c>
      <c r="B7342" s="1" t="n">
        <v>45685</v>
      </c>
      <c r="C7342" s="1" t="n">
        <v>45695</v>
      </c>
      <c r="D7342" t="inlineStr">
        <is>
          <t>SKÅNE LÄN</t>
        </is>
      </c>
      <c r="E7342" t="inlineStr">
        <is>
          <t>OSBY</t>
        </is>
      </c>
      <c r="G7342" t="n">
        <v>7.8</v>
      </c>
      <c r="H7342" t="n">
        <v>0</v>
      </c>
      <c r="I7342" t="n">
        <v>0</v>
      </c>
      <c r="J7342" t="n">
        <v>0</v>
      </c>
      <c r="K7342" t="n">
        <v>0</v>
      </c>
      <c r="L7342" t="n">
        <v>0</v>
      </c>
      <c r="M7342" t="n">
        <v>0</v>
      </c>
      <c r="N7342" t="n">
        <v>0</v>
      </c>
      <c r="O7342" t="n">
        <v>0</v>
      </c>
      <c r="P7342" t="n">
        <v>0</v>
      </c>
      <c r="Q7342" t="n">
        <v>0</v>
      </c>
      <c r="R7342" s="2" t="inlineStr"/>
    </row>
    <row r="7343" ht="15" customHeight="1">
      <c r="A7343" t="inlineStr">
        <is>
          <t>A 4232-2025</t>
        </is>
      </c>
      <c r="B7343" s="1" t="n">
        <v>45685</v>
      </c>
      <c r="C7343" s="1" t="n">
        <v>45695</v>
      </c>
      <c r="D7343" t="inlineStr">
        <is>
          <t>SKÅNE LÄN</t>
        </is>
      </c>
      <c r="E7343" t="inlineStr">
        <is>
          <t>OSBY</t>
        </is>
      </c>
      <c r="F7343" t="inlineStr">
        <is>
          <t>Sveaskog</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4196-2025</t>
        </is>
      </c>
      <c r="B7344" s="1" t="n">
        <v>45685</v>
      </c>
      <c r="C7344" s="1" t="n">
        <v>45695</v>
      </c>
      <c r="D7344" t="inlineStr">
        <is>
          <t>SKÅNE LÄN</t>
        </is>
      </c>
      <c r="E7344" t="inlineStr">
        <is>
          <t>ÖSTRA GÖINGE</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4425-2025</t>
        </is>
      </c>
      <c r="B7345" s="1" t="n">
        <v>45686</v>
      </c>
      <c r="C7345" s="1" t="n">
        <v>45695</v>
      </c>
      <c r="D7345" t="inlineStr">
        <is>
          <t>SKÅNE LÄN</t>
        </is>
      </c>
      <c r="E7345" t="inlineStr">
        <is>
          <t>ÖSTRA GÖINGE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4458-2025</t>
        </is>
      </c>
      <c r="B7346" s="1" t="n">
        <v>45686</v>
      </c>
      <c r="C7346" s="1" t="n">
        <v>45695</v>
      </c>
      <c r="D7346" t="inlineStr">
        <is>
          <t>SKÅNE LÄN</t>
        </is>
      </c>
      <c r="E7346" t="inlineStr">
        <is>
          <t>ÖSTRA GÖINGE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4363-2025</t>
        </is>
      </c>
      <c r="B7347" s="1" t="n">
        <v>45686</v>
      </c>
      <c r="C7347" s="1" t="n">
        <v>45695</v>
      </c>
      <c r="D7347" t="inlineStr">
        <is>
          <t>SKÅNE LÄN</t>
        </is>
      </c>
      <c r="E7347" t="inlineStr">
        <is>
          <t>OSBY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4460-2025</t>
        </is>
      </c>
      <c r="B7348" s="1" t="n">
        <v>45686</v>
      </c>
      <c r="C7348" s="1" t="n">
        <v>45695</v>
      </c>
      <c r="D7348" t="inlineStr">
        <is>
          <t>SKÅNE LÄN</t>
        </is>
      </c>
      <c r="E7348" t="inlineStr">
        <is>
          <t>ÖSTRA GÖINGE</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4496-2025</t>
        </is>
      </c>
      <c r="B7349" s="1" t="n">
        <v>45686</v>
      </c>
      <c r="C7349" s="1" t="n">
        <v>45695</v>
      </c>
      <c r="D7349" t="inlineStr">
        <is>
          <t>SKÅNE LÄN</t>
        </is>
      </c>
      <c r="E7349" t="inlineStr">
        <is>
          <t>OSBY</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4421-2025</t>
        </is>
      </c>
      <c r="B7350" s="1" t="n">
        <v>45686</v>
      </c>
      <c r="C7350" s="1" t="n">
        <v>45695</v>
      </c>
      <c r="D7350" t="inlineStr">
        <is>
          <t>SKÅNE LÄN</t>
        </is>
      </c>
      <c r="E7350" t="inlineStr">
        <is>
          <t>KRISTIANSTAD</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4411-2025</t>
        </is>
      </c>
      <c r="B7351" s="1" t="n">
        <v>45686</v>
      </c>
      <c r="C7351" s="1" t="n">
        <v>45695</v>
      </c>
      <c r="D7351" t="inlineStr">
        <is>
          <t>SKÅNE LÄN</t>
        </is>
      </c>
      <c r="E7351" t="inlineStr">
        <is>
          <t>OSBY</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4435-2025</t>
        </is>
      </c>
      <c r="B7352" s="1" t="n">
        <v>45686</v>
      </c>
      <c r="C7352" s="1" t="n">
        <v>45695</v>
      </c>
      <c r="D7352" t="inlineStr">
        <is>
          <t>SKÅNE LÄN</t>
        </is>
      </c>
      <c r="E7352" t="inlineStr">
        <is>
          <t>ÖSTRA GÖINGE</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4431-2025</t>
        </is>
      </c>
      <c r="B7353" s="1" t="n">
        <v>45686</v>
      </c>
      <c r="C7353" s="1" t="n">
        <v>45695</v>
      </c>
      <c r="D7353" t="inlineStr">
        <is>
          <t>SKÅNE LÄN</t>
        </is>
      </c>
      <c r="E7353" t="inlineStr">
        <is>
          <t>ÖSTRA GÖINGE</t>
        </is>
      </c>
      <c r="G7353" t="n">
        <v>9.6</v>
      </c>
      <c r="H7353" t="n">
        <v>0</v>
      </c>
      <c r="I7353" t="n">
        <v>0</v>
      </c>
      <c r="J7353" t="n">
        <v>0</v>
      </c>
      <c r="K7353" t="n">
        <v>0</v>
      </c>
      <c r="L7353" t="n">
        <v>0</v>
      </c>
      <c r="M7353" t="n">
        <v>0</v>
      </c>
      <c r="N7353" t="n">
        <v>0</v>
      </c>
      <c r="O7353" t="n">
        <v>0</v>
      </c>
      <c r="P7353" t="n">
        <v>0</v>
      </c>
      <c r="Q7353" t="n">
        <v>0</v>
      </c>
      <c r="R7353" s="2" t="inlineStr"/>
    </row>
    <row r="7354" ht="15" customHeight="1">
      <c r="A7354" t="inlineStr">
        <is>
          <t>A 4555-2025</t>
        </is>
      </c>
      <c r="B7354" s="1" t="n">
        <v>45687</v>
      </c>
      <c r="C7354" s="1" t="n">
        <v>45695</v>
      </c>
      <c r="D7354" t="inlineStr">
        <is>
          <t>SKÅNE LÄN</t>
        </is>
      </c>
      <c r="E7354" t="inlineStr">
        <is>
          <t>HÖRBY</t>
        </is>
      </c>
      <c r="F7354" t="inlineStr">
        <is>
          <t>Sveaskog</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4579-2025</t>
        </is>
      </c>
      <c r="B7355" s="1" t="n">
        <v>45687</v>
      </c>
      <c r="C7355" s="1" t="n">
        <v>45695</v>
      </c>
      <c r="D7355" t="inlineStr">
        <is>
          <t>SKÅNE LÄN</t>
        </is>
      </c>
      <c r="E7355" t="inlineStr">
        <is>
          <t>HÄSSLEHOLM</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4595-2025</t>
        </is>
      </c>
      <c r="B7356" s="1" t="n">
        <v>45687</v>
      </c>
      <c r="C7356" s="1" t="n">
        <v>45695</v>
      </c>
      <c r="D7356" t="inlineStr">
        <is>
          <t>SKÅNE LÄN</t>
        </is>
      </c>
      <c r="E7356" t="inlineStr">
        <is>
          <t>HÄSSLEHOLM</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4615-2025</t>
        </is>
      </c>
      <c r="B7357" s="1" t="n">
        <v>45687</v>
      </c>
      <c r="C7357" s="1" t="n">
        <v>45695</v>
      </c>
      <c r="D7357" t="inlineStr">
        <is>
          <t>SKÅNE LÄN</t>
        </is>
      </c>
      <c r="E7357" t="inlineStr">
        <is>
          <t>HÄSSLEHOLM</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4565-2025</t>
        </is>
      </c>
      <c r="B7358" s="1" t="n">
        <v>45687</v>
      </c>
      <c r="C7358" s="1" t="n">
        <v>45695</v>
      </c>
      <c r="D7358" t="inlineStr">
        <is>
          <t>SKÅNE LÄN</t>
        </is>
      </c>
      <c r="E7358" t="inlineStr">
        <is>
          <t>OSBY</t>
        </is>
      </c>
      <c r="F7358" t="inlineStr">
        <is>
          <t>Sveaskog</t>
        </is>
      </c>
      <c r="G7358" t="n">
        <v>9.1</v>
      </c>
      <c r="H7358" t="n">
        <v>0</v>
      </c>
      <c r="I7358" t="n">
        <v>0</v>
      </c>
      <c r="J7358" t="n">
        <v>0</v>
      </c>
      <c r="K7358" t="n">
        <v>0</v>
      </c>
      <c r="L7358" t="n">
        <v>0</v>
      </c>
      <c r="M7358" t="n">
        <v>0</v>
      </c>
      <c r="N7358" t="n">
        <v>0</v>
      </c>
      <c r="O7358" t="n">
        <v>0</v>
      </c>
      <c r="P7358" t="n">
        <v>0</v>
      </c>
      <c r="Q7358" t="n">
        <v>0</v>
      </c>
      <c r="R7358" s="2" t="inlineStr"/>
    </row>
    <row r="7359" ht="15" customHeight="1">
      <c r="A7359" t="inlineStr">
        <is>
          <t>A 4589-2025</t>
        </is>
      </c>
      <c r="B7359" s="1" t="n">
        <v>45687</v>
      </c>
      <c r="C7359" s="1" t="n">
        <v>45695</v>
      </c>
      <c r="D7359" t="inlineStr">
        <is>
          <t>SKÅNE LÄN</t>
        </is>
      </c>
      <c r="E7359" t="inlineStr">
        <is>
          <t>HÄSSLEHOLM</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4605-2025</t>
        </is>
      </c>
      <c r="B7360" s="1" t="n">
        <v>45687</v>
      </c>
      <c r="C7360" s="1" t="n">
        <v>45695</v>
      </c>
      <c r="D7360" t="inlineStr">
        <is>
          <t>SKÅNE LÄN</t>
        </is>
      </c>
      <c r="E7360" t="inlineStr">
        <is>
          <t>ÄNGELHOLM</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4574-2025</t>
        </is>
      </c>
      <c r="B7361" s="1" t="n">
        <v>45687</v>
      </c>
      <c r="C7361" s="1" t="n">
        <v>45695</v>
      </c>
      <c r="D7361" t="inlineStr">
        <is>
          <t>SKÅNE LÄN</t>
        </is>
      </c>
      <c r="E7361" t="inlineStr">
        <is>
          <t>BJUV</t>
        </is>
      </c>
      <c r="F7361" t="inlineStr">
        <is>
          <t>Kyrkan</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4598-2025</t>
        </is>
      </c>
      <c r="B7362" s="1" t="n">
        <v>45687</v>
      </c>
      <c r="C7362" s="1" t="n">
        <v>45695</v>
      </c>
      <c r="D7362" t="inlineStr">
        <is>
          <t>SKÅNE LÄN</t>
        </is>
      </c>
      <c r="E7362" t="inlineStr">
        <is>
          <t>HÄSSLEHOLM</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4756-2025</t>
        </is>
      </c>
      <c r="B7363" s="1" t="n">
        <v>45688</v>
      </c>
      <c r="C7363" s="1" t="n">
        <v>45695</v>
      </c>
      <c r="D7363" t="inlineStr">
        <is>
          <t>SKÅNE LÄN</t>
        </is>
      </c>
      <c r="E7363" t="inlineStr">
        <is>
          <t>HÖRBY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4788-2025</t>
        </is>
      </c>
      <c r="B7364" s="1" t="n">
        <v>45688</v>
      </c>
      <c r="C7364" s="1" t="n">
        <v>45695</v>
      </c>
      <c r="D7364" t="inlineStr">
        <is>
          <t>SKÅNE LÄN</t>
        </is>
      </c>
      <c r="E7364" t="inlineStr">
        <is>
          <t>LUND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4807-2025</t>
        </is>
      </c>
      <c r="B7365" s="1" t="n">
        <v>45688</v>
      </c>
      <c r="C7365" s="1" t="n">
        <v>45695</v>
      </c>
      <c r="D7365" t="inlineStr">
        <is>
          <t>SKÅNE LÄN</t>
        </is>
      </c>
      <c r="E7365" t="inlineStr">
        <is>
          <t>OSBY</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4820-2025</t>
        </is>
      </c>
      <c r="B7366" s="1" t="n">
        <v>45688</v>
      </c>
      <c r="C7366" s="1" t="n">
        <v>45695</v>
      </c>
      <c r="D7366" t="inlineStr">
        <is>
          <t>SKÅNE LÄN</t>
        </is>
      </c>
      <c r="E7366" t="inlineStr">
        <is>
          <t>KLIPPAN</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4708-2025</t>
        </is>
      </c>
      <c r="B7367" s="1" t="n">
        <v>45688</v>
      </c>
      <c r="C7367" s="1" t="n">
        <v>45695</v>
      </c>
      <c r="D7367" t="inlineStr">
        <is>
          <t>SKÅNE LÄN</t>
        </is>
      </c>
      <c r="E7367" t="inlineStr">
        <is>
          <t>OSBY</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4811-2025</t>
        </is>
      </c>
      <c r="B7368" s="1" t="n">
        <v>45688</v>
      </c>
      <c r="C7368" s="1" t="n">
        <v>45695</v>
      </c>
      <c r="D7368" t="inlineStr">
        <is>
          <t>SKÅNE LÄN</t>
        </is>
      </c>
      <c r="E7368" t="inlineStr">
        <is>
          <t>LUND</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4803-2025</t>
        </is>
      </c>
      <c r="B7369" s="1" t="n">
        <v>45688</v>
      </c>
      <c r="C7369" s="1" t="n">
        <v>45695</v>
      </c>
      <c r="D7369" t="inlineStr">
        <is>
          <t>SKÅNE LÄN</t>
        </is>
      </c>
      <c r="E7369" t="inlineStr">
        <is>
          <t>LUND</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4787-2025</t>
        </is>
      </c>
      <c r="B7370" s="1" t="n">
        <v>45688</v>
      </c>
      <c r="C7370" s="1" t="n">
        <v>45695</v>
      </c>
      <c r="D7370" t="inlineStr">
        <is>
          <t>SKÅNE LÄN</t>
        </is>
      </c>
      <c r="E7370" t="inlineStr">
        <is>
          <t>ÖSTRA GÖINGE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4755-2025</t>
        </is>
      </c>
      <c r="B7371" s="1" t="n">
        <v>45688</v>
      </c>
      <c r="C7371" s="1" t="n">
        <v>45695</v>
      </c>
      <c r="D7371" t="inlineStr">
        <is>
          <t>SKÅNE LÄN</t>
        </is>
      </c>
      <c r="E7371" t="inlineStr">
        <is>
          <t>LUND</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4734-2025</t>
        </is>
      </c>
      <c r="B7372" s="1" t="n">
        <v>45688</v>
      </c>
      <c r="C7372" s="1" t="n">
        <v>45695</v>
      </c>
      <c r="D7372" t="inlineStr">
        <is>
          <t>SKÅNE LÄN</t>
        </is>
      </c>
      <c r="E7372" t="inlineStr">
        <is>
          <t>HÄSSLEHOLM</t>
        </is>
      </c>
      <c r="G7372" t="n">
        <v>19.6</v>
      </c>
      <c r="H7372" t="n">
        <v>0</v>
      </c>
      <c r="I7372" t="n">
        <v>0</v>
      </c>
      <c r="J7372" t="n">
        <v>0</v>
      </c>
      <c r="K7372" t="n">
        <v>0</v>
      </c>
      <c r="L7372" t="n">
        <v>0</v>
      </c>
      <c r="M7372" t="n">
        <v>0</v>
      </c>
      <c r="N7372" t="n">
        <v>0</v>
      </c>
      <c r="O7372" t="n">
        <v>0</v>
      </c>
      <c r="P7372" t="n">
        <v>0</v>
      </c>
      <c r="Q7372" t="n">
        <v>0</v>
      </c>
      <c r="R7372" s="2" t="inlineStr"/>
    </row>
    <row r="7373" ht="15" customHeight="1">
      <c r="A7373" t="inlineStr">
        <is>
          <t>A 4710-2025</t>
        </is>
      </c>
      <c r="B7373" s="1" t="n">
        <v>45688</v>
      </c>
      <c r="C7373" s="1" t="n">
        <v>45695</v>
      </c>
      <c r="D7373" t="inlineStr">
        <is>
          <t>SKÅNE LÄN</t>
        </is>
      </c>
      <c r="E7373" t="inlineStr">
        <is>
          <t>OSBY</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4806-2025</t>
        </is>
      </c>
      <c r="B7374" s="1" t="n">
        <v>45688</v>
      </c>
      <c r="C7374" s="1" t="n">
        <v>45695</v>
      </c>
      <c r="D7374" t="inlineStr">
        <is>
          <t>SKÅNE LÄN</t>
        </is>
      </c>
      <c r="E7374" t="inlineStr">
        <is>
          <t>HÄSSLEHOLM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4761-2025</t>
        </is>
      </c>
      <c r="B7375" s="1" t="n">
        <v>45688</v>
      </c>
      <c r="C7375" s="1" t="n">
        <v>45695</v>
      </c>
      <c r="D7375" t="inlineStr">
        <is>
          <t>SKÅNE LÄN</t>
        </is>
      </c>
      <c r="E7375" t="inlineStr">
        <is>
          <t>LUND</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4805-2025</t>
        </is>
      </c>
      <c r="B7376" s="1" t="n">
        <v>45688</v>
      </c>
      <c r="C7376" s="1" t="n">
        <v>45695</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4809-2025</t>
        </is>
      </c>
      <c r="B7377" s="1" t="n">
        <v>45688</v>
      </c>
      <c r="C7377" s="1" t="n">
        <v>45695</v>
      </c>
      <c r="D7377" t="inlineStr">
        <is>
          <t>SKÅNE LÄN</t>
        </is>
      </c>
      <c r="E7377" t="inlineStr">
        <is>
          <t>HÄSSLEHOLM</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4833-2025</t>
        </is>
      </c>
      <c r="B7378" s="1" t="n">
        <v>45688</v>
      </c>
      <c r="C7378" s="1" t="n">
        <v>45695</v>
      </c>
      <c r="D7378" t="inlineStr">
        <is>
          <t>SKÅNE LÄN</t>
        </is>
      </c>
      <c r="E7378" t="inlineStr">
        <is>
          <t>OSBY</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5059-2025</t>
        </is>
      </c>
      <c r="B7379" s="1" t="n">
        <v>45691</v>
      </c>
      <c r="C7379" s="1" t="n">
        <v>45695</v>
      </c>
      <c r="D7379" t="inlineStr">
        <is>
          <t>SKÅNE LÄN</t>
        </is>
      </c>
      <c r="E7379" t="inlineStr">
        <is>
          <t>LUND</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5226-2025</t>
        </is>
      </c>
      <c r="B7380" s="1" t="n">
        <v>45691</v>
      </c>
      <c r="C7380" s="1" t="n">
        <v>45695</v>
      </c>
      <c r="D7380" t="inlineStr">
        <is>
          <t>SKÅNE LÄN</t>
        </is>
      </c>
      <c r="E7380" t="inlineStr">
        <is>
          <t>ÖSTRA GÖINGE</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5242-2025</t>
        </is>
      </c>
      <c r="B7381" s="1" t="n">
        <v>45692</v>
      </c>
      <c r="C7381" s="1" t="n">
        <v>45695</v>
      </c>
      <c r="D7381" t="inlineStr">
        <is>
          <t>SKÅNE LÄN</t>
        </is>
      </c>
      <c r="E7381" t="inlineStr">
        <is>
          <t>HÄSSLEHOLM</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5391-2025</t>
        </is>
      </c>
      <c r="B7382" s="1" t="n">
        <v>45692</v>
      </c>
      <c r="C7382" s="1" t="n">
        <v>45695</v>
      </c>
      <c r="D7382" t="inlineStr">
        <is>
          <t>SKÅNE LÄN</t>
        </is>
      </c>
      <c r="E7382" t="inlineStr">
        <is>
          <t>OSBY</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5252-2025</t>
        </is>
      </c>
      <c r="B7383" s="1" t="n">
        <v>45692</v>
      </c>
      <c r="C7383" s="1" t="n">
        <v>45695</v>
      </c>
      <c r="D7383" t="inlineStr">
        <is>
          <t>SKÅNE LÄN</t>
        </is>
      </c>
      <c r="E7383" t="inlineStr">
        <is>
          <t>HÄSSLEHOLM</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5444-2025</t>
        </is>
      </c>
      <c r="B7384" s="1" t="n">
        <v>45692</v>
      </c>
      <c r="C7384" s="1" t="n">
        <v>45695</v>
      </c>
      <c r="D7384" t="inlineStr">
        <is>
          <t>SKÅNE LÄN</t>
        </is>
      </c>
      <c r="E7384" t="inlineStr">
        <is>
          <t>SJÖBO</t>
        </is>
      </c>
      <c r="F7384" t="inlineStr">
        <is>
          <t>Övriga Aktiebolag</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5354-2025</t>
        </is>
      </c>
      <c r="B7385" s="1" t="n">
        <v>45692</v>
      </c>
      <c r="C7385" s="1" t="n">
        <v>45695</v>
      </c>
      <c r="D7385" t="inlineStr">
        <is>
          <t>SKÅNE LÄN</t>
        </is>
      </c>
      <c r="E7385" t="inlineStr">
        <is>
          <t>KRISTIANSTAD</t>
        </is>
      </c>
      <c r="G7385" t="n">
        <v>5.9</v>
      </c>
      <c r="H7385" t="n">
        <v>0</v>
      </c>
      <c r="I7385" t="n">
        <v>0</v>
      </c>
      <c r="J7385" t="n">
        <v>0</v>
      </c>
      <c r="K7385" t="n">
        <v>0</v>
      </c>
      <c r="L7385" t="n">
        <v>0</v>
      </c>
      <c r="M7385" t="n">
        <v>0</v>
      </c>
      <c r="N7385" t="n">
        <v>0</v>
      </c>
      <c r="O7385" t="n">
        <v>0</v>
      </c>
      <c r="P7385" t="n">
        <v>0</v>
      </c>
      <c r="Q7385" t="n">
        <v>0</v>
      </c>
      <c r="R7385" s="2" t="inlineStr"/>
    </row>
    <row r="7386" ht="15" customHeight="1">
      <c r="A7386" t="inlineStr">
        <is>
          <t>A 5532-2025</t>
        </is>
      </c>
      <c r="B7386" s="1" t="n">
        <v>45693</v>
      </c>
      <c r="C7386" s="1" t="n">
        <v>45695</v>
      </c>
      <c r="D7386" t="inlineStr">
        <is>
          <t>SKÅNE LÄN</t>
        </is>
      </c>
      <c r="E7386" t="inlineStr">
        <is>
          <t>HÄSSLEHOLM</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5594-2025</t>
        </is>
      </c>
      <c r="B7387" s="1" t="n">
        <v>45693</v>
      </c>
      <c r="C7387" s="1" t="n">
        <v>45695</v>
      </c>
      <c r="D7387" t="inlineStr">
        <is>
          <t>SKÅNE LÄN</t>
        </is>
      </c>
      <c r="E7387" t="inlineStr">
        <is>
          <t>KRISTIANSTAD</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5658-2025</t>
        </is>
      </c>
      <c r="B7388" s="1" t="n">
        <v>45693</v>
      </c>
      <c r="C7388" s="1" t="n">
        <v>45695</v>
      </c>
      <c r="D7388" t="inlineStr">
        <is>
          <t>SKÅNE LÄN</t>
        </is>
      </c>
      <c r="E7388" t="inlineStr">
        <is>
          <t>BROMÖLLA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5531-2025</t>
        </is>
      </c>
      <c r="B7389" s="1" t="n">
        <v>45693</v>
      </c>
      <c r="C7389" s="1" t="n">
        <v>45695</v>
      </c>
      <c r="D7389" t="inlineStr">
        <is>
          <t>SKÅNE LÄN</t>
        </is>
      </c>
      <c r="E7389" t="inlineStr">
        <is>
          <t>HÄSSLEHOLM</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5659-2025</t>
        </is>
      </c>
      <c r="B7390" s="1" t="n">
        <v>45693</v>
      </c>
      <c r="C7390" s="1" t="n">
        <v>45695</v>
      </c>
      <c r="D7390" t="inlineStr">
        <is>
          <t>SKÅNE LÄN</t>
        </is>
      </c>
      <c r="E7390" t="inlineStr">
        <is>
          <t>BROMÖLLA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5675-2025</t>
        </is>
      </c>
      <c r="B7391" s="1" t="n">
        <v>45694</v>
      </c>
      <c r="C7391" s="1" t="n">
        <v>45695</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5814-2025</t>
        </is>
      </c>
      <c r="B7392" s="1" t="n">
        <v>45694</v>
      </c>
      <c r="C7392" s="1" t="n">
        <v>45695</v>
      </c>
      <c r="D7392" t="inlineStr">
        <is>
          <t>SKÅNE LÄN</t>
        </is>
      </c>
      <c r="E7392" t="inlineStr">
        <is>
          <t>OSBY</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5810-2025</t>
        </is>
      </c>
      <c r="B7393" s="1" t="n">
        <v>45694</v>
      </c>
      <c r="C7393" s="1" t="n">
        <v>45695</v>
      </c>
      <c r="D7393" t="inlineStr">
        <is>
          <t>SKÅNE LÄN</t>
        </is>
      </c>
      <c r="E7393" t="inlineStr">
        <is>
          <t>ÖSTRA GÖINGE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5816-2025</t>
        </is>
      </c>
      <c r="B7394" s="1" t="n">
        <v>45694</v>
      </c>
      <c r="C7394" s="1" t="n">
        <v>45695</v>
      </c>
      <c r="D7394" t="inlineStr">
        <is>
          <t>SKÅNE LÄN</t>
        </is>
      </c>
      <c r="E7394" t="inlineStr">
        <is>
          <t>KRISTIANSTAD</t>
        </is>
      </c>
      <c r="F7394" t="inlineStr">
        <is>
          <t>Övriga Aktiebolag</t>
        </is>
      </c>
      <c r="G7394" t="n">
        <v>1.5</v>
      </c>
      <c r="H7394" t="n">
        <v>0</v>
      </c>
      <c r="I7394" t="n">
        <v>0</v>
      </c>
      <c r="J7394" t="n">
        <v>0</v>
      </c>
      <c r="K7394" t="n">
        <v>0</v>
      </c>
      <c r="L7394" t="n">
        <v>0</v>
      </c>
      <c r="M7394" t="n">
        <v>0</v>
      </c>
      <c r="N7394" t="n">
        <v>0</v>
      </c>
      <c r="O7394" t="n">
        <v>0</v>
      </c>
      <c r="P7394" t="n">
        <v>0</v>
      </c>
      <c r="Q7394" t="n">
        <v>0</v>
      </c>
      <c r="R7394" s="2" t="inlineStr"/>
    </row>
    <row r="7395">
      <c r="A7395" t="inlineStr">
        <is>
          <t>A 5817-2025</t>
        </is>
      </c>
      <c r="B7395" s="1" t="n">
        <v>45694</v>
      </c>
      <c r="C7395" s="1" t="n">
        <v>45695</v>
      </c>
      <c r="D7395" t="inlineStr">
        <is>
          <t>SKÅNE LÄN</t>
        </is>
      </c>
      <c r="E7395" t="inlineStr">
        <is>
          <t>BÅSTAD</t>
        </is>
      </c>
      <c r="G7395" t="n">
        <v>1.2</v>
      </c>
      <c r="H7395" t="n">
        <v>0</v>
      </c>
      <c r="I7395" t="n">
        <v>0</v>
      </c>
      <c r="J7395" t="n">
        <v>0</v>
      </c>
      <c r="K7395" t="n">
        <v>0</v>
      </c>
      <c r="L7395" t="n">
        <v>0</v>
      </c>
      <c r="M7395" t="n">
        <v>0</v>
      </c>
      <c r="N7395" t="n">
        <v>0</v>
      </c>
      <c r="O7395" t="n">
        <v>0</v>
      </c>
      <c r="P7395" t="n">
        <v>0</v>
      </c>
      <c r="Q7395" t="n">
        <v>0</v>
      </c>
      <c r="R73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2025-02-07T16:17:37Z</dcterms:created>
  <dcterms:modified xmlns:dcterms="http://purl.org/dc/terms/" xmlns:xsi="http://www.w3.org/2001/XMLSchema-instance" xsi:type="dcterms:W3CDTF">2025-02-07T16:17:44Z</dcterms:modified>
</cp:coreProperties>
</file>