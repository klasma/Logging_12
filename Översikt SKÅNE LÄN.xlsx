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45694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45694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45694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45694</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45694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45694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45694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45694</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45694</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45694</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45694</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45694</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45694</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45694</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45694</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45694</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45694</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45694</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45694</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45694</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45694</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45694</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45694</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45694</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45694</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45694</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45694</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45694</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45694</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45694</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45694</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45694</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45694</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45694</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45694</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45694</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45694</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45694</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45694</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45694</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45694</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45694</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45694</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45694</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45694</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45694</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45694</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45694</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45694</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45694</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45694</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45694</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45694</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45694</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45694</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45694</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45694</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45694</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45694</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45694</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45694</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45694</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45694</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45694</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45694</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45694</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45694</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45694</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45694</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45694</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45694</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45694</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45694</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45694</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45694</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45694</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45694</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45694</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45694</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45694</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45694</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45694</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45694</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45694</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45694</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45694</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45694</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45694</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45694</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45694</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45694</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45694</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45694</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45694</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45694</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45694</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45694</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45694</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45694</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45694</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45694</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45694</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45694</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45694</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45694</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45694</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45694</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45694</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45694</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45694</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45694</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45694</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45694</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45694</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45694</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45694</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45694</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45694</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45694</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45694</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45694</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45694</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45694</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45694</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45694</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45694</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45694</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45694</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45694</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45694</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45694</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45694</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45694</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45694</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45694</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45694</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45694</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45694</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45694</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45694</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45694</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45694</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45694</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45694</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45694</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45694</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45694</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45694</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45694</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45694</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45694</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45694</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45694</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45694</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45694</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45694</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45694</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45694</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45694</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45694</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45694</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45694</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45694</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45694</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45694</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45694</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45694</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45694</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45694</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45694</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45694</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45694</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45694</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45694</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45694</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45694</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45694</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45694</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45694</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45694</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45694</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45694</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45694</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45694</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45694</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45694</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45694</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45694</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45694</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45694</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45694</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45694</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45694</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45694</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45694</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45694</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45694</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45694</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45694</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45694</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45694</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45694</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45694</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45694</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45694</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45694</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45694</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45694</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45694</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45694</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45694</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45694</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45694</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45694</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45694</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45694</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45694</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45694</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45694</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45694</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45694</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45694</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45694</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45694</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45694</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45694</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45694</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45694</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45694</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45694</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45694</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45694</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45694</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45694</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45694</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45694</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45694</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45694</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45694</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45694</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45694</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45694</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45694</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45694</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45694</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45694</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45694</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45694</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45694</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45694</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45694</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45694</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45694</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45694</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45694</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45694</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45694</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45694</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45694</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45694</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45694</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45694</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45694</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45694</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45694</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45694</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45694</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45694</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45694</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45694</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45694</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45694</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45694</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45694</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45694</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45694</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45694</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45694</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45694</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45694</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45694</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45694</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45694</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45694</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45694</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45694</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45694</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45694</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45694</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45694</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45694</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45694</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45694</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45694</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45694</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45694</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45694</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45694</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45694</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45694</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45694</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45694</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45694</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45694</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45694</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45694</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45694</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45694</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45694</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45694</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45694</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45694</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45694</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45694</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45694</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45694</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45694</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45694</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45694</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45694</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45694</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45694</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45694</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45694</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45694</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45694</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45694</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45694</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45694</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45694</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45694</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45694</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45694</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45694</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45694</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45694</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45694</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45694</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45694</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45694</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45694</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45694</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45694</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45694</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45694</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45694</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45694</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45694</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45694</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45694</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45694</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45694</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45694</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45694</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45694</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45694</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45694</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45694</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45694</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45694</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45694</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45694</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45694</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45694</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45694</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45694</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45694</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45694</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45694</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45694</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45694</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45694</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45694</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45694</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45694</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45694</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45694</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45694</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45694</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45694</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45694</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45694</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45694</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45694</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45694</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45694</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45694</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45694</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45694</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45694</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45694</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4746-2025</t>
        </is>
      </c>
      <c r="B394" s="1" t="n">
        <v>45688</v>
      </c>
      <c r="C394" s="1" t="n">
        <v>45694</v>
      </c>
      <c r="D394" t="inlineStr">
        <is>
          <t>SKÅNE LÄN</t>
        </is>
      </c>
      <c r="E394" t="inlineStr">
        <is>
          <t>LUND</t>
        </is>
      </c>
      <c r="G394" t="n">
        <v>1.1</v>
      </c>
      <c r="H394" t="n">
        <v>1</v>
      </c>
      <c r="I394" t="n">
        <v>0</v>
      </c>
      <c r="J394" t="n">
        <v>1</v>
      </c>
      <c r="K394" t="n">
        <v>0</v>
      </c>
      <c r="L394" t="n">
        <v>0</v>
      </c>
      <c r="M394" t="n">
        <v>0</v>
      </c>
      <c r="N394" t="n">
        <v>0</v>
      </c>
      <c r="O394" t="n">
        <v>1</v>
      </c>
      <c r="P394" t="n">
        <v>0</v>
      </c>
      <c r="Q394" t="n">
        <v>1</v>
      </c>
      <c r="R394" s="2" t="inlineStr">
        <is>
          <t>Svartvit flugsnappare</t>
        </is>
      </c>
      <c r="S394">
        <f>HYPERLINK("https://klasma.github.io/Logging_1281/artfynd/A 4746-2025 artfynd.xlsx", "A 4746-2025")</f>
        <v/>
      </c>
      <c r="T394">
        <f>HYPERLINK("https://klasma.github.io/Logging_1281/kartor/A 4746-2025 karta.png", "A 4746-2025")</f>
        <v/>
      </c>
      <c r="V394">
        <f>HYPERLINK("https://klasma.github.io/Logging_1281/klagomål/A 4746-2025 FSC-klagomål.docx", "A 4746-2025")</f>
        <v/>
      </c>
      <c r="W394">
        <f>HYPERLINK("https://klasma.github.io/Logging_1281/klagomålsmail/A 4746-2025 FSC-klagomål mail.docx", "A 4746-2025")</f>
        <v/>
      </c>
      <c r="X394">
        <f>HYPERLINK("https://klasma.github.io/Logging_1281/tillsyn/A 4746-2025 tillsynsbegäran.docx", "A 4746-2025")</f>
        <v/>
      </c>
      <c r="Y394">
        <f>HYPERLINK("https://klasma.github.io/Logging_1281/tillsynsmail/A 4746-2025 tillsynsbegäran mail.docx", "A 4746-2025")</f>
        <v/>
      </c>
      <c r="Z394">
        <f>HYPERLINK("https://klasma.github.io/Logging_1281/fåglar/A 4746-2025 prioriterade fågelarter.docx", "A 4746-2025")</f>
        <v/>
      </c>
    </row>
    <row r="395" ht="15" customHeight="1">
      <c r="A395" t="inlineStr">
        <is>
          <t>A 4725-2025</t>
        </is>
      </c>
      <c r="B395" s="1" t="n">
        <v>45688</v>
      </c>
      <c r="C395" s="1" t="n">
        <v>45694</v>
      </c>
      <c r="D395" t="inlineStr">
        <is>
          <t>SKÅNE LÄN</t>
        </is>
      </c>
      <c r="E395" t="inlineStr">
        <is>
          <t>HÄSSLEHOLM</t>
        </is>
      </c>
      <c r="G395" t="n">
        <v>5.5</v>
      </c>
      <c r="H395" t="n">
        <v>1</v>
      </c>
      <c r="I395" t="n">
        <v>0</v>
      </c>
      <c r="J395" t="n">
        <v>0</v>
      </c>
      <c r="K395" t="n">
        <v>0</v>
      </c>
      <c r="L395" t="n">
        <v>0</v>
      </c>
      <c r="M395" t="n">
        <v>0</v>
      </c>
      <c r="N395" t="n">
        <v>0</v>
      </c>
      <c r="O395" t="n">
        <v>0</v>
      </c>
      <c r="P395" t="n">
        <v>0</v>
      </c>
      <c r="Q395" t="n">
        <v>1</v>
      </c>
      <c r="R395" s="2" t="inlineStr">
        <is>
          <t>Grönvit nattviol</t>
        </is>
      </c>
      <c r="S395">
        <f>HYPERLINK("https://klasma.github.io/Logging_1293/artfynd/A 4725-2025 artfynd.xlsx", "A 4725-2025")</f>
        <v/>
      </c>
      <c r="T395">
        <f>HYPERLINK("https://klasma.github.io/Logging_1293/kartor/A 4725-2025 karta.png", "A 4725-2025")</f>
        <v/>
      </c>
      <c r="V395">
        <f>HYPERLINK("https://klasma.github.io/Logging_1293/klagomål/A 4725-2025 FSC-klagomål.docx", "A 4725-2025")</f>
        <v/>
      </c>
      <c r="W395">
        <f>HYPERLINK("https://klasma.github.io/Logging_1293/klagomålsmail/A 4725-2025 FSC-klagomål mail.docx", "A 4725-2025")</f>
        <v/>
      </c>
      <c r="X395">
        <f>HYPERLINK("https://klasma.github.io/Logging_1293/tillsyn/A 4725-2025 tillsynsbegäran.docx", "A 4725-2025")</f>
        <v/>
      </c>
      <c r="Y395">
        <f>HYPERLINK("https://klasma.github.io/Logging_1293/tillsynsmail/A 4725-2025 tillsynsbegäran mail.docx", "A 4725-2025")</f>
        <v/>
      </c>
    </row>
    <row r="396" ht="15" customHeight="1">
      <c r="A396" t="inlineStr">
        <is>
          <t>A 4792-2025</t>
        </is>
      </c>
      <c r="B396" s="1" t="n">
        <v>45688</v>
      </c>
      <c r="C396" s="1" t="n">
        <v>45694</v>
      </c>
      <c r="D396" t="inlineStr">
        <is>
          <t>SKÅNE LÄN</t>
        </is>
      </c>
      <c r="E396" t="inlineStr">
        <is>
          <t>LUND</t>
        </is>
      </c>
      <c r="G396" t="n">
        <v>5.9</v>
      </c>
      <c r="H396" t="n">
        <v>0</v>
      </c>
      <c r="I396" t="n">
        <v>0</v>
      </c>
      <c r="J396" t="n">
        <v>1</v>
      </c>
      <c r="K396" t="n">
        <v>0</v>
      </c>
      <c r="L396" t="n">
        <v>0</v>
      </c>
      <c r="M396" t="n">
        <v>0</v>
      </c>
      <c r="N396" t="n">
        <v>0</v>
      </c>
      <c r="O396" t="n">
        <v>1</v>
      </c>
      <c r="P396" t="n">
        <v>0</v>
      </c>
      <c r="Q396" t="n">
        <v>1</v>
      </c>
      <c r="R396" s="2" t="inlineStr">
        <is>
          <t>Oxtungssvamp</t>
        </is>
      </c>
      <c r="S396">
        <f>HYPERLINK("https://klasma.github.io/Logging_1281/artfynd/A 4792-2025 artfynd.xlsx", "A 4792-2025")</f>
        <v/>
      </c>
      <c r="T396">
        <f>HYPERLINK("https://klasma.github.io/Logging_1281/kartor/A 4792-2025 karta.png", "A 4792-2025")</f>
        <v/>
      </c>
      <c r="V396">
        <f>HYPERLINK("https://klasma.github.io/Logging_1281/klagomål/A 4792-2025 FSC-klagomål.docx", "A 4792-2025")</f>
        <v/>
      </c>
      <c r="W396">
        <f>HYPERLINK("https://klasma.github.io/Logging_1281/klagomålsmail/A 4792-2025 FSC-klagomål mail.docx", "A 4792-2025")</f>
        <v/>
      </c>
      <c r="X396">
        <f>HYPERLINK("https://klasma.github.io/Logging_1281/tillsyn/A 4792-2025 tillsynsbegäran.docx", "A 4792-2025")</f>
        <v/>
      </c>
      <c r="Y396">
        <f>HYPERLINK("https://klasma.github.io/Logging_1281/tillsynsmail/A 4792-2025 tillsynsbegäran mail.docx", "A 4792-2025")</f>
        <v/>
      </c>
    </row>
    <row r="397" ht="15" customHeight="1">
      <c r="A397" t="inlineStr">
        <is>
          <t>A 4816-2025</t>
        </is>
      </c>
      <c r="B397" s="1" t="n">
        <v>45688</v>
      </c>
      <c r="C397" s="1" t="n">
        <v>45694</v>
      </c>
      <c r="D397" t="inlineStr">
        <is>
          <t>SKÅNE LÄN</t>
        </is>
      </c>
      <c r="E397" t="inlineStr">
        <is>
          <t>LUND</t>
        </is>
      </c>
      <c r="G397" t="n">
        <v>7.7</v>
      </c>
      <c r="H397" t="n">
        <v>0</v>
      </c>
      <c r="I397" t="n">
        <v>1</v>
      </c>
      <c r="J397" t="n">
        <v>0</v>
      </c>
      <c r="K397" t="n">
        <v>0</v>
      </c>
      <c r="L397" t="n">
        <v>0</v>
      </c>
      <c r="M397" t="n">
        <v>0</v>
      </c>
      <c r="N397" t="n">
        <v>0</v>
      </c>
      <c r="O397" t="n">
        <v>0</v>
      </c>
      <c r="P397" t="n">
        <v>0</v>
      </c>
      <c r="Q397" t="n">
        <v>1</v>
      </c>
      <c r="R397" s="2" t="inlineStr">
        <is>
          <t>Strutbräken</t>
        </is>
      </c>
      <c r="S397">
        <f>HYPERLINK("https://klasma.github.io/Logging_1281/artfynd/A 4816-2025 artfynd.xlsx", "A 4816-2025")</f>
        <v/>
      </c>
      <c r="T397">
        <f>HYPERLINK("https://klasma.github.io/Logging_1281/kartor/A 4816-2025 karta.png", "A 4816-2025")</f>
        <v/>
      </c>
      <c r="V397">
        <f>HYPERLINK("https://klasma.github.io/Logging_1281/klagomål/A 4816-2025 FSC-klagomål.docx", "A 4816-2025")</f>
        <v/>
      </c>
      <c r="W397">
        <f>HYPERLINK("https://klasma.github.io/Logging_1281/klagomålsmail/A 4816-2025 FSC-klagomål mail.docx", "A 4816-2025")</f>
        <v/>
      </c>
      <c r="X397">
        <f>HYPERLINK("https://klasma.github.io/Logging_1281/tillsyn/A 4816-2025 tillsynsbegäran.docx", "A 4816-2025")</f>
        <v/>
      </c>
      <c r="Y397">
        <f>HYPERLINK("https://klasma.github.io/Logging_1281/tillsynsmail/A 4816-2025 tillsynsbegäran mail.docx", "A 4816-2025")</f>
        <v/>
      </c>
    </row>
    <row r="398" ht="15" customHeight="1">
      <c r="A398" t="inlineStr">
        <is>
          <t>A 18175-2019</t>
        </is>
      </c>
      <c r="B398" s="1" t="n">
        <v>43556</v>
      </c>
      <c r="C398" s="1" t="n">
        <v>45694</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45694</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45694</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45694</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45694</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45694</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45694</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45694</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45694</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45694</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45694</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45694</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45694</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45694</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45694</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45694</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45694</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45694</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45694</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45694</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45694</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45694</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45694</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45694</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45694</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45694</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45694</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45694</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45694</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45694</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45694</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45694</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45694</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45694</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45694</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45694</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45694</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45694</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45694</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45694</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45694</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45694</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45694</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45694</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45694</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45694</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45694</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45694</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45694</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45694</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45694</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45694</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45694</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45694</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45694</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45694</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45694</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45694</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45694</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45694</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45694</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45694</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45694</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45694</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45694</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45694</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45694</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45694</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45694</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45694</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45694</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45694</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45694</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45694</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45694</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45694</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45694</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45694</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45694</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45694</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45694</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45694</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45694</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45694</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45694</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45694</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45694</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45694</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45694</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45694</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45694</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45694</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45694</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45694</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45694</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45694</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45694</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45694</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45694</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45694</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45694</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45694</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45694</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45694</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45694</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45694</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45694</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45694</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45694</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45694</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45694</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45694</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45694</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45694</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45694</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45694</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45694</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45694</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45694</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45694</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45694</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45694</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45694</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45694</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45694</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45694</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45694</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45694</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45694</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45694</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45694</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45694</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45694</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45694</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45694</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45694</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45694</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45694</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45694</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45694</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45694</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45694</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45694</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45694</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45694</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45694</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45694</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45694</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45694</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45694</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45694</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45694</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45694</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45694</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45694</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45694</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45694</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45694</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45694</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45694</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45694</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45694</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45694</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45694</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45694</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45694</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45694</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45694</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45694</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45694</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45694</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45694</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45694</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45694</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45694</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45694</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45694</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45694</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45694</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45694</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45694</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45694</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45694</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45694</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45694</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45694</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45694</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45694</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45694</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45694</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45694</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45694</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45694</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45694</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45694</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45694</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45694</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45694</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45694</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45694</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45694</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45694</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45694</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45694</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45694</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45694</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45694</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45694</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45694</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45694</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45694</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45694</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45694</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45694</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45694</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45694</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45694</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45694</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45694</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45694</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45694</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45694</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45694</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45694</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45694</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45694</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45694</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45694</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45694</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45694</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45694</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45694</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45694</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45694</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45694</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45694</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45694</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45694</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45694</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45694</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45694</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45694</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45694</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45694</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45694</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45694</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45694</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45694</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45694</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45694</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45694</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45694</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45694</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45694</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45694</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45694</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45694</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45694</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45694</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45694</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45694</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45694</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45694</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45694</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45694</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45694</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45694</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45694</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45694</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45694</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45694</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45694</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45694</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45694</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45694</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45694</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45694</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45694</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45694</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45694</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45694</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45694</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45694</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45694</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45694</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45694</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45694</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45694</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45694</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45694</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45694</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45694</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45694</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45694</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45694</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45694</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45694</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45694</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45694</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45694</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45694</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45694</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45694</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45694</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45694</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45694</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45694</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45694</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45694</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45694</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45694</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45694</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45694</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45694</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45694</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45694</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45694</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45694</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45694</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45694</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45694</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45694</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45694</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45694</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45694</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45694</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45694</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45694</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45694</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45694</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45694</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45694</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45694</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45694</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45694</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45694</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45694</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45694</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45694</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45694</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45694</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45694</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45694</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45694</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45694</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45694</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45694</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45694</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45694</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45694</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45694</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45694</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45694</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45694</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45694</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45694</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45694</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45694</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45694</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45694</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45694</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45694</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45694</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45694</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45694</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45694</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45694</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45694</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45694</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45694</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45694</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45694</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45694</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45694</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45694</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45694</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45694</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45694</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45694</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45694</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45694</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45694</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45694</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45694</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45694</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45694</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45694</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45694</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45694</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45694</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45694</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45694</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45694</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45694</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45694</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45694</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45694</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45694</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45694</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45694</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45694</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45694</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45694</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45694</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45694</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45694</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45694</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45694</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45694</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45694</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45694</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45694</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45694</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45694</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45694</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45694</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45694</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45694</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45694</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45694</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45694</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45694</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45694</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45694</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45694</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45694</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45694</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45694</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45694</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45694</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45694</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45694</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45694</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45694</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45694</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45694</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45694</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45694</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45694</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45694</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45694</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45694</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45694</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45694</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45694</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45694</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45694</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45694</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45694</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45694</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45694</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45694</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45694</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45694</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45694</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45694</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45694</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45694</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45694</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45694</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45694</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45694</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45694</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45694</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45694</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45694</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45694</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45694</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45694</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45694</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45694</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45694</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45694</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45694</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45694</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45694</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45694</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45694</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45694</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45694</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45694</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45694</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45694</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45694</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45694</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45694</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45694</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45694</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45694</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45694</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45694</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45694</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45694</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45694</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45694</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45694</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45694</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45694</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45694</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45694</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45694</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45694</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45694</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45694</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45694</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45694</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45694</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45694</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45694</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45694</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45694</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45694</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45694</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45694</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45694</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45694</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45694</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45694</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45694</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45694</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45694</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45694</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45694</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45694</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45694</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45694</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45694</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45694</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45694</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45694</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45694</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45694</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45694</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45694</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45694</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45694</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45694</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45694</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45694</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45694</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45694</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45694</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45694</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45694</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45694</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45694</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45694</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45694</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45694</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45694</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45694</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45694</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45694</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45694</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45694</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45694</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45694</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45694</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45694</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45694</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45694</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45694</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45694</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45694</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45694</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45694</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45694</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45694</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45694</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45694</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45694</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45694</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45694</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45694</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45694</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45694</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45694</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45694</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45694</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45694</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45694</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45694</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45694</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45694</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45694</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45694</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45694</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45694</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45694</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45694</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45694</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45694</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45694</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45694</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45694</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45694</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45694</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45694</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45694</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45694</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45694</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45694</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45694</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45694</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45694</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45694</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45694</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45694</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45694</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45694</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45694</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45694</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45694</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45694</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45694</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45694</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45694</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45694</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45694</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45694</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45694</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45694</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45694</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45694</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45694</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45694</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45694</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45694</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45694</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45694</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45694</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45694</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45694</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45694</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45694</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45694</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45694</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45694</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45694</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45694</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45694</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45694</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45694</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45694</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45694</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45694</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45694</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45694</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45694</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45694</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45694</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45694</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45694</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45694</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45694</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45694</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45694</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45694</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45694</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45694</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45694</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45694</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45694</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45694</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45694</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45694</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45694</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45694</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45694</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45694</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45694</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45694</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45694</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45694</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45694</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45694</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45694</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45694</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45694</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45694</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45694</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45694</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45694</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45694</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45694</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45694</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45694</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45694</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45694</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45694</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45694</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45694</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45694</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45694</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45694</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45694</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45694</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45694</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45694</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45694</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45694</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45694</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45694</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45694</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45694</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45694</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45694</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45694</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45694</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45694</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45694</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45694</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45694</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45694</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45694</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45694</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45694</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45694</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45694</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45694</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45694</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45694</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45694</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45694</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45694</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45694</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45694</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45694</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45694</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45694</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45694</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45694</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45694</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45694</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45694</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45694</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45694</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45694</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45694</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45694</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45694</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45694</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45694</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45694</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45694</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45694</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45694</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45694</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45694</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45694</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45694</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45694</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45694</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45694</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45694</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45694</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45694</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45694</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45694</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45694</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45694</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45694</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45694</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45694</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45694</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45694</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45694</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45694</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45694</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45694</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45694</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45694</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45694</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45694</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45694</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45694</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45694</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45694</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45694</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45694</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45694</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45694</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45694</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45694</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45694</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45694</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45694</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45694</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45694</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45694</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45694</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45694</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45694</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45694</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45694</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45694</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45694</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45694</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45694</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45694</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45694</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45694</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45694</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45694</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45694</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45694</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45694</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45694</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45694</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45694</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45694</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45694</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45694</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45694</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45694</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45694</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45694</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45694</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45694</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45694</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45694</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45694</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45694</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45694</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45694</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45694</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45694</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45694</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45694</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45694</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45694</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45694</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45694</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45694</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45694</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45694</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45694</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45694</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45694</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45694</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45694</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45694</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45694</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45694</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45694</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45694</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45694</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45694</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45694</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45694</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45694</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45694</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45694</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45694</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45694</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45694</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45694</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45694</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45694</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45694</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45694</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45694</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45694</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45694</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45694</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45694</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45694</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45694</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45694</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45694</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45694</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45694</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45694</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45694</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45694</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45694</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45694</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45694</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45694</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45694</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45694</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45694</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45694</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45694</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45694</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45694</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45694</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45694</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45694</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45694</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45694</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45694</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45694</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45694</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45694</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45694</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45694</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45694</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45694</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45694</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45694</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45694</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45694</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45694</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45694</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45694</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45694</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45694</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45694</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45694</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45694</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45694</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45694</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45694</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45694</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45694</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45694</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45694</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45694</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45694</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45694</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45694</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45694</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45694</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45694</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45694</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45694</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45694</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45694</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45694</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45694</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45694</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45694</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45694</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45694</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45694</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45694</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45694</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45694</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45694</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45694</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45694</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45694</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45694</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45694</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45694</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45694</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45694</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45694</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45694</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45694</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45694</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45694</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45694</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45694</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45694</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45694</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45694</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45694</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45694</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45694</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45694</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45694</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45694</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45694</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45694</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45694</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45694</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45694</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45694</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45694</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45694</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45694</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45694</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45694</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45694</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45694</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45694</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45694</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45694</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45694</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45694</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45694</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45694</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45694</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45694</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45694</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45694</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45694</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45694</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45694</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45694</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45694</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45694</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45694</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45694</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45694</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45694</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45694</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45694</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45694</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45694</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45694</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45694</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45694</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45694</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45694</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45694</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45694</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45694</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45694</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45694</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45694</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45694</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45694</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45694</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45694</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45694</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45694</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45694</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45694</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45694</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45694</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45694</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45694</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45694</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45694</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45694</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45694</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45694</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45694</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45694</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45694</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45694</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45694</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45694</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45694</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45694</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45694</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45694</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45694</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45694</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45694</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45694</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45694</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45694</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45694</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45694</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45694</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45694</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45694</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45694</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45694</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45694</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45694</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45694</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45694</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45694</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45694</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45694</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45694</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45694</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45694</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45694</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45694</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45694</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45694</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45694</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45694</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45694</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45694</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45694</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45694</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45694</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45694</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45694</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45694</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45694</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45694</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45694</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45694</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45694</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45694</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45694</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45694</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45694</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45694</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45694</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45694</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45694</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45694</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45694</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45694</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45694</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45694</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45694</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45694</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45694</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45694</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45694</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45694</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45694</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45694</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45694</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45694</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45694</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45694</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45694</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45694</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45694</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45694</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45694</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45694</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45694</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45694</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45694</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45694</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45694</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45694</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45694</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45694</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45694</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45694</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45694</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45694</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45694</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45694</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45694</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45694</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45694</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45694</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45694</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45694</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45694</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45694</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45694</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45694</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45694</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45694</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45694</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45694</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45694</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45694</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45694</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45694</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45694</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45694</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45694</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45694</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45694</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45694</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45694</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45694</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45694</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45694</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45694</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45694</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45694</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45694</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45694</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45694</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45694</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45694</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45694</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45694</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45694</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45694</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45694</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45694</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45694</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45694</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45694</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45694</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45694</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45694</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45694</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45694</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45694</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45694</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45694</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45694</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45694</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45694</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45694</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45694</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45694</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45694</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45694</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45694</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45694</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45694</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45694</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45694</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45694</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45694</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45694</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45694</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45694</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45694</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45694</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45694</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45694</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45694</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45694</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45694</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45694</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45694</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45694</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45694</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45694</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45694</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45694</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45694</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45694</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45694</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45694</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45694</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45694</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45694</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45694</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45694</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45694</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45694</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45694</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45694</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45694</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45694</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45694</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45694</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45694</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45694</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45694</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45694</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45694</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45694</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45694</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45694</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45694</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45694</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45694</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45694</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45694</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45694</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45694</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45694</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45694</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45694</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45694</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45694</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45694</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45694</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45694</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45694</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45694</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45694</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45694</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45694</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45694</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45694</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45694</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45694</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45694</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45694</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45694</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45694</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45694</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45694</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45694</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45694</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45694</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45694</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45694</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45694</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45694</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45694</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45694</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45694</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45694</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45694</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45694</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45694</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45694</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45694</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45694</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45694</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45694</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45694</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45694</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45694</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45694</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45694</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45694</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45694</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45694</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45694</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45694</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45694</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45694</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45694</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45694</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45694</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45694</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45694</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45694</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45694</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45694</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45694</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45694</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45694</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45694</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45694</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45694</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45694</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45694</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45694</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45694</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45694</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45694</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45694</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45694</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45694</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45694</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45694</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45694</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45694</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45694</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45694</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45694</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45694</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45694</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45694</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45694</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45694</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45694</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45694</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45694</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45694</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45694</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45694</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45694</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45694</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45694</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45694</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45694</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45694</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45694</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45694</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45694</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45694</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45694</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45694</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45694</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45694</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45694</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45694</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45694</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45694</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45694</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45694</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45694</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45694</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45694</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45694</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45694</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45694</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45694</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45694</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45694</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45694</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45694</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45694</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45694</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45694</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45694</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45694</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45694</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45694</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45694</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45694</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45694</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45694</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45694</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45694</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45694</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45694</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45694</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45694</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45694</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45694</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45694</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45694</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45694</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45694</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45694</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45694</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45694</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45694</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45694</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45694</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45694</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45694</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45694</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45694</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45694</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45694</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45694</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45694</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45694</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45694</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45694</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45694</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45694</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45694</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45694</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45694</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45694</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45694</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45694</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45694</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45694</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45694</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45694</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45694</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45694</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45694</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45694</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45694</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45694</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45694</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45694</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45694</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45694</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45694</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45694</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45694</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45694</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45694</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45694</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45694</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45694</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45694</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45694</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45694</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45694</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45694</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45694</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45694</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45694</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45694</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45694</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45694</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45694</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45694</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45694</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45694</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45694</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45694</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45694</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45694</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45694</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45694</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45694</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45694</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45694</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45694</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45694</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45694</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45694</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45694</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45694</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45694</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45694</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45694</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45694</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45694</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45694</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45694</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45694</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45694</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45694</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45694</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45694</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45694</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45694</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45694</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45694</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45694</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45694</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45694</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45694</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45694</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45694</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45694</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45694</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45694</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45694</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45694</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45694</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45694</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45694</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45694</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45694</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45694</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45694</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45694</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45694</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45694</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45694</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45694</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45694</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45694</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45694</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45694</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45694</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45694</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45694</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45694</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45694</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45694</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45694</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45694</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45694</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45694</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45694</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45694</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45694</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45694</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45694</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45694</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45694</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45694</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45694</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45694</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45694</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45694</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45694</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45694</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45694</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45694</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45694</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45694</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45694</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45694</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45694</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45694</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45694</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45694</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45694</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45694</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45694</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45694</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45694</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45694</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45694</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45694</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45694</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45694</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45694</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45694</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45694</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45694</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45694</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45694</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45694</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45694</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45694</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45694</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45694</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45694</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45694</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45694</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45694</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45694</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45694</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45694</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45694</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45694</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45694</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45694</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45694</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45694</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45694</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45694</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45694</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45694</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45694</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45694</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45694</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45694</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45694</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45694</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45694</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45694</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45694</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45694</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45694</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45694</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45694</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45694</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45694</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45694</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45694</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45694</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45694</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45694</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45694</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45694</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45694</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45694</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45694</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45694</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45694</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45694</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45694</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45694</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45694</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45694</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45694</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45694</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45694</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45694</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45694</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45694</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45694</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45694</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45694</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45694</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45694</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45694</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45694</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45694</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45694</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45694</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45694</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45694</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45694</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45694</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45694</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45694</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45694</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45694</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45694</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45694</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45694</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45694</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45694</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45694</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45694</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45694</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45694</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45694</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45694</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45694</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45694</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45694</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45694</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45694</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45694</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45694</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45694</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45694</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45694</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45694</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45694</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45694</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45694</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45694</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45694</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45694</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45694</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45694</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45694</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45694</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45694</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45694</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45694</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45694</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45694</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45694</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45694</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45694</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45694</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45694</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45694</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45694</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45694</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45694</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45694</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45694</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45694</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45694</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45694</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45694</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45694</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45694</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45694</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45694</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45694</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45694</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45694</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45694</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45694</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45694</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45694</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45694</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45694</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45694</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45694</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45694</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45694</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45694</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45694</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45694</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45694</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45694</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45694</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45694</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45694</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45694</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45694</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45694</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45694</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45694</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45694</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45694</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45694</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45694</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45694</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45694</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45694</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45694</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45694</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45694</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45694</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45694</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45694</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45694</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45694</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45694</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45694</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45694</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45694</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45694</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45694</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45694</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45694</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45694</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45694</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45694</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45694</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45694</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45694</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45694</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45694</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45694</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45694</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45694</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45694</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45694</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45694</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45694</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45694</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45694</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45694</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45694</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45694</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45694</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45694</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45694</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45694</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45694</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45694</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45694</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45694</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45694</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45694</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45694</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45694</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45694</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45694</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45694</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45694</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45694</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45694</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45694</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45694</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45694</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45694</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45694</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45694</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45694</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45694</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45694</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45694</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45694</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45694</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45694</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45694</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45694</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45694</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45694</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45694</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45694</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45694</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45694</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45694</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45694</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45694</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45694</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45694</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45694</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45694</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45694</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45694</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45694</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45694</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45694</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45694</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45694</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45694</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45694</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45694</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45694</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45694</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45694</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45694</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45694</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45694</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45694</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45694</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45694</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45694</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45694</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45694</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45694</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45694</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45694</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45694</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45694</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45694</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45694</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45694</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45694</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45694</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45694</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45694</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45694</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45694</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45694</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45694</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45694</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45694</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45694</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45694</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45694</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45694</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45694</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45694</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45694</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45694</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45694</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45694</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45694</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45694</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45694</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45694</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45694</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45694</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45694</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45694</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45694</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45694</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45694</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45694</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45694</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45694</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45694</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45694</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45694</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45694</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45694</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45694</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45694</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45694</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45694</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45694</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45694</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45694</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45694</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45694</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45694</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45694</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45694</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45694</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45694</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45694</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45694</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45694</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45694</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45694</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45694</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45694</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45694</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45694</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45694</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45694</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45694</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45694</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45694</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45694</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45694</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45694</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45694</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45694</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45694</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45694</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45694</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45694</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45694</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45694</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45694</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45694</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45694</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45694</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45694</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45694</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45694</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45694</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45694</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45694</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45694</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45694</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45694</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45694</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45694</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45694</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45694</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45694</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45694</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45694</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45694</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45694</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45694</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45694</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45694</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45694</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45694</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45694</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45694</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45694</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45694</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45694</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45694</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45694</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45694</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45694</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45694</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45694</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45694</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45694</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45694</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45694</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45694</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45694</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45694</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45694</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45694</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45694</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45694</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45694</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45694</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45694</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45694</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45694</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45694</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45694</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45694</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45694</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45694</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45694</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45694</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45694</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45694</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45694</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45694</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45694</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45694</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45694</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45694</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45694</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45694</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45694</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45694</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45694</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45694</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45694</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45694</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45694</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45694</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45694</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45694</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45694</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45694</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45694</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45694</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45694</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45694</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45694</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45694</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45694</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45694</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45694</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45694</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45694</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45694</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45694</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45694</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45694</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45694</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45694</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45694</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45694</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45694</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45694</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45694</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45694</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45694</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45694</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45694</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45694</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45694</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45694</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45694</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45694</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45694</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45694</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45694</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45694</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45694</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45694</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45694</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45694</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45694</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45694</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45694</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45694</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45694</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45694</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45694</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45694</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45694</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45694</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45694</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45694</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45694</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45694</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45694</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45694</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45694</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45694</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45694</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45694</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45694</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45694</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45694</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45694</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45694</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45694</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45694</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45694</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45694</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45694</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45694</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45694</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45694</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45694</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45694</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45694</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45694</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45694</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45694</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45694</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45694</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45694</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45694</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45694</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45694</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45694</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45694</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45694</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45694</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45694</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45694</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45694</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45694</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45694</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45694</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45694</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45694</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45694</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45694</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45694</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45694</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45694</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45694</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45694</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45694</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45694</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45694</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45694</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45694</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45694</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45694</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45694</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45694</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45694</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45694</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45694</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45694</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45694</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45694</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45694</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45694</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45694</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45694</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45694</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45694</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45694</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45694</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45694</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45694</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45694</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45694</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45694</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45694</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45694</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45694</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45694</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45694</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45694</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45694</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45694</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45694</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45694</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45694</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45694</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45694</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45694</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45694</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45694</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45694</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45694</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45694</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45694</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45694</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45694</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45694</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45694</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45694</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45694</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45694</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45694</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45694</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45694</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45694</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45694</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45694</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45694</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45694</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45694</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45694</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45694</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45694</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45694</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45694</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45694</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45694</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45694</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45694</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45694</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45694</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45694</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45694</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45694</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45694</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45694</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45694</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45694</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45694</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45694</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45694</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45694</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45694</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45694</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45694</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45694</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45694</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45694</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45694</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45694</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45694</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45694</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45694</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45694</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45694</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45694</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45694</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45694</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45694</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45694</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45694</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45694</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45694</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45694</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45694</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45694</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45694</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45694</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45694</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45694</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45694</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45694</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45694</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45694</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45694</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45694</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45694</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45694</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45694</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45694</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45694</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45694</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45694</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45694</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45694</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45694</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45694</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45694</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45694</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45694</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45694</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45694</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45694</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45694</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45694</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45694</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45694</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45694</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45694</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45694</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45694</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45694</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45694</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45694</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45694</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45694</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45694</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45694</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45694</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45694</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45694</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45694</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45694</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45694</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45694</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45694</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45694</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45694</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45694</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45694</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45694</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45694</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45694</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45694</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45694</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45694</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45694</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45694</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45694</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45694</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45694</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45694</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45694</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45694</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45694</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45694</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45694</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45694</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45694</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45694</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45694</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45694</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45694</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45694</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45694</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45694</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45694</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45694</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45694</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45694</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45694</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45694</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45694</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45694</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45694</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45694</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45694</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45694</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45694</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45694</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45694</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45694</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45694</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45694</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45694</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45694</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45694</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45694</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45694</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45694</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45694</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45694</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45694</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45694</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45694</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45694</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45694</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45694</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45694</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45694</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45694</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45694</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45694</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45694</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45694</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45694</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45694</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45694</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45694</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45694</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45694</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45694</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45694</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45694</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45694</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45694</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45694</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45694</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45694</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45694</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45694</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45694</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45694</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45694</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45694</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45694</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45694</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45694</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45694</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45694</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45694</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45694</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45694</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45694</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45694</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45694</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45694</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45694</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45694</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45694</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45694</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45694</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45694</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45694</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45694</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45694</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45694</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45694</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45694</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45694</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45694</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45694</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45694</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45694</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45694</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45694</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45694</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45694</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45694</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45694</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45694</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45694</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45694</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45694</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45694</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45694</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45694</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45694</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45694</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45694</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45694</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45694</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45694</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45694</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45694</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45694</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45694</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45694</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45694</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45694</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45694</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45694</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45694</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45694</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45694</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45694</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45694</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45694</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45694</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45694</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45694</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45694</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45694</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45694</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45694</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45694</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45694</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45694</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45694</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45694</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45694</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45694</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45694</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45694</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45694</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45694</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45694</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45694</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45694</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45694</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45694</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45694</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45694</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45694</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45694</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45694</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45694</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45694</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45694</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45694</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45694</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45694</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45694</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45694</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45694</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45694</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45694</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45694</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45694</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45694</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45694</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45694</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45694</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45694</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45694</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45694</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45694</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45694</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45694</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45694</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45694</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45694</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45694</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45694</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45694</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45694</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45694</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45694</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45694</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45694</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45694</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45694</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45694</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45694</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45694</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45694</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45694</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45694</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45694</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45694</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45694</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45694</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45694</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45694</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45694</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45694</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45694</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45694</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45694</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45694</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45694</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45694</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45694</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45694</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45694</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45694</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45694</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45694</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45694</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45694</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45694</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45694</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45694</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45694</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45694</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45694</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45694</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45694</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45694</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45694</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45694</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45694</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45694</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45694</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45694</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45694</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45694</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45694</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45694</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45694</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45694</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45694</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45694</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45694</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45694</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45694</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45694</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45694</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45694</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45694</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45694</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45694</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45694</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45694</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45694</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45694</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45694</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45694</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45694</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45694</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45694</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45694</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45694</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45694</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45694</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45694</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45694</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45694</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45694</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45694</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45694</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45694</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45694</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45694</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45694</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45694</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45694</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45694</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45694</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45694</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45694</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45694</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45694</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45694</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45694</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45694</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45694</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45694</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45694</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45694</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45694</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45694</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45694</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45694</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45694</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45694</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45694</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45694</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45694</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45694</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45694</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45694</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45694</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45694</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45694</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45694</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45694</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45694</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45694</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45694</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45694</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45694</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45694</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45694</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45694</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45694</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45694</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45694</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45694</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45694</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45694</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45694</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45694</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45694</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45694</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45694</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45694</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45694</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45694</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45694</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45694</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45694</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45694</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45694</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45694</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45694</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45694</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45694</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45694</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45694</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45694</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45694</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45694</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45694</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45694</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45694</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45694</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45694</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45694</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45694</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45694</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45694</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45694</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45694</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45694</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45694</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45694</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45694</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45694</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45694</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45694</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45694</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45694</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45694</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45694</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45694</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45694</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45694</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45694</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45694</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45694</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45694</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45694</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45694</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45694</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45694</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45694</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45694</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45694</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45694</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45694</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45694</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45694</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45694</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45694</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45694</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45694</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45694</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45694</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45694</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45694</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45694</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45694</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45694</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45694</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45694</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45694</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45694</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45694</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45694</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45694</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45694</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45694</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45694</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45694</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45694</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45694</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45694</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45694</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45694</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45694</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45694</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45694</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45694</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45694</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45694</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45694</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45694</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45694</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45694</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45694</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45694</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45694</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45694</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45694</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45694</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45694</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45694</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45694</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45694</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45694</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45694</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45694</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45694</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45694</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45694</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45694</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45694</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45694</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45694</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45694</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45694</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45694</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45694</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45694</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45694</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45694</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45694</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45694</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45694</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45694</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45694</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45694</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45694</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45694</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45694</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45694</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45694</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45694</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45694</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45694</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45694</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45694</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45694</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45694</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45694</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45694</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45694</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45694</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45694</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45694</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45694</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45694</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45694</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45694</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45694</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45694</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45694</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45694</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45694</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45694</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45694</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45694</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45694</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45694</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45694</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45694</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45694</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45694</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45694</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45694</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45694</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45694</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45694</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45694</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45694</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45694</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45694</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45694</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45694</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45694</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45694</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45694</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45694</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45694</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45694</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45694</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45694</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45694</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45694</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45694</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45694</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45694</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45694</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45694</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45694</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45694</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45694</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45694</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45694</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45694</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45694</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45694</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45694</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45694</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45694</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45694</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45694</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45694</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45694</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45694</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45694</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45694</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45694</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45694</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45694</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45694</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45694</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45694</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45694</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45694</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45694</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45694</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45694</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45694</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45694</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45694</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45694</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45694</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45694</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45694</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45694</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45694</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45694</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45694</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45694</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45694</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45694</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45694</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45694</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45694</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45694</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45694</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45694</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45694</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45694</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45694</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45694</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45694</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45694</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45694</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45694</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45694</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45694</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45694</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45694</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45694</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45694</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45694</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45694</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45694</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45694</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45694</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45694</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45694</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45694</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45694</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45694</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45694</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45694</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45694</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45694</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45694</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45694</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45694</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45694</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45694</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45694</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45694</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45694</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45694</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45694</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45694</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45694</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45694</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45694</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45694</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45694</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45694</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45694</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45694</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45694</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45694</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45694</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45694</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45694</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45694</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45694</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45694</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45694</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45694</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45694</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45694</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45694</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45694</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45694</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45694</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45694</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45694</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45694</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45694</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45694</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45694</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45694</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45694</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45694</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45694</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45694</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45694</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45694</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45694</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45694</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45694</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45694</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45694</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45694</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45694</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45694</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45694</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45694</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45694</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45694</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45694</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45694</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45694</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45694</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45694</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45694</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45694</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45694</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45694</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45694</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45694</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45694</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45694</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45694</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45694</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45694</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45694</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45694</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45694</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45694</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45694</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45694</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45694</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45694</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45694</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45694</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45694</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45694</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45694</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45694</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45694</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45694</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45694</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45694</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45694</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45694</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45694</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45694</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45694</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45694</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45694</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45694</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45694</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45694</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45694</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45694</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45694</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45694</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45694</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45694</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45694</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45694</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45694</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45694</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45694</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45694</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45694</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45694</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45694</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45694</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45694</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45694</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45694</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45694</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45694</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45694</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45694</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45694</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45694</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45694</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45694</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45694</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45694</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45694</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45694</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45694</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45694</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45694</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45694</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45694</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45694</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45694</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45694</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45694</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45694</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45694</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45694</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45694</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45694</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45694</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45694</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45694</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45694</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45694</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45694</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45694</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45694</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45694</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45694</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45694</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45694</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45694</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45694</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45694</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45694</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45694</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45694</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45694</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45694</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45694</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45694</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45694</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45694</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45694</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45694</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45694</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45694</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45694</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45694</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45694</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45694</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45694</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45694</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45694</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45694</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45694</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45694</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45694</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45694</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45694</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45694</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45694</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45694</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45694</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45694</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45694</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45694</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45694</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45694</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45694</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45694</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45694</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45694</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45694</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45694</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45694</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45694</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45694</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45694</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45694</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45694</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45694</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45694</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45694</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45694</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45694</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45694</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45694</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45694</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45694</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45694</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45694</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45694</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45694</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45694</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45694</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45694</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45694</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45694</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45694</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45694</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45694</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45694</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45694</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45694</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45694</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45694</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45694</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45694</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45694</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45694</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45694</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45694</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45694</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45694</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45694</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45694</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45694</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45694</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45694</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45694</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45694</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45694</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45694</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45694</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45694</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45694</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45694</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45694</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45694</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45694</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45694</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45694</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45694</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45694</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45694</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45694</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45694</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45694</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45694</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45694</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45694</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45694</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45694</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45694</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45694</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45694</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45694</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45694</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45694</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45694</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45694</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45694</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45694</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45694</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45694</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45694</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45694</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45694</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45694</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45694</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45694</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45694</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45694</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45694</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45694</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45694</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45694</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45694</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45694</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45694</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45694</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45694</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45694</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45694</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45694</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45694</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45694</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45694</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45694</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45694</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45694</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45694</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45694</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45694</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45694</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45694</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45694</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45694</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45694</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45694</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45694</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45694</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45694</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45694</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45694</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45694</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45694</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45694</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45694</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45694</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45694</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45694</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45694</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45694</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45694</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45694</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45694</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45694</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45694</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45694</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45694</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45694</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45694</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45694</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45694</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45694</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45694</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45694</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45694</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45694</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45694</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45694</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45694</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45694</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45694</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45694</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45694</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45694</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45694</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45694</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45694</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45694</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45694</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45694</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45694</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45694</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45694</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45694</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45694</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45694</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45694</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45694</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45694</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45694</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45694</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45694</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45694</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45694</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45694</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45694</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45694</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45694</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45694</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45694</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45694</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45694</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45694</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45694</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45694</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45694</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45694</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45694</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45694</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45694</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45694</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45694</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45694</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45694</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45694</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45694</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45694</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45694</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45694</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45694</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45694</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45694</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45694</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45694</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45694</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45694</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45694</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45694</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45694</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45694</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45694</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45694</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45694</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45694</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45694</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45694</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45694</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45694</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45694</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45694</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45694</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45694</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45694</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45694</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45694</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45694</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45694</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45694</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45694</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45694</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45694</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45694</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45694</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45694</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45694</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45694</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45694</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45694</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45694</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45694</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45694</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45694</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45694</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45694</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45694</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45694</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45694</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45694</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45694</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45694</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45694</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45694</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45694</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45694</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45694</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45694</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45694</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45694</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45694</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45694</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45694</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45694</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45694</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45694</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45694</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45694</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45694</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45694</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45694</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45694</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45694</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45694</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45694</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45694</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45694</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45694</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45694</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45694</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45694</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45694</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45694</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45694</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45694</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45694</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45694</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45694</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45694</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45694</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45694</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45694</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45694</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45694</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45694</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45694</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45694</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45694</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45694</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45694</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45694</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45694</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45694</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45694</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45694</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45694</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45694</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45694</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45694</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45694</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45694</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45694</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45694</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45694</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45694</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45694</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45694</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45694</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45694</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45694</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45694</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45694</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45694</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45694</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45694</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45694</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45694</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45694</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45694</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45694</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45694</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45694</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45694</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45694</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45694</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45694</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45694</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45694</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45694</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45694</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45694</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45694</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45694</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45694</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45694</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45694</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45694</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45694</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45694</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45694</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45694</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45694</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45694</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45694</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45694</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45694</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45694</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45694</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45694</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45694</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45694</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45694</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45694</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45694</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45694</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45694</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45694</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45694</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45694</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45694</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45694</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45694</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45694</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45694</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45694</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45694</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45694</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45694</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45694</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45694</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45694</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45694</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45694</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45694</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45694</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45694</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45694</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45694</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45694</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45694</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45694</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45694</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45694</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45694</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45694</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45694</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45694</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45694</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45694</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45694</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45694</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45694</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45694</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45694</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45694</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45694</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45694</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45694</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45694</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45694</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45694</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45694</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45694</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45694</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45694</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45694</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45694</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45694</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45694</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45694</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45694</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45694</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45694</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45694</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45694</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45694</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45694</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45694</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45694</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45694</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45694</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45694</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45694</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45694</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45694</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45694</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45694</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45694</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45694</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45694</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45694</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45694</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45694</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45694</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45694</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45694</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45694</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45694</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45694</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45694</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45694</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45694</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45694</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45694</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45694</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45694</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45694</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45694</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45694</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45694</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45694</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45694</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45694</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45694</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45694</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45694</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45694</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45694</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45694</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45694</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45694</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45694</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45694</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45694</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45694</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45694</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45694</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45694</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45694</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45694</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45694</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45694</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45694</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45694</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45694</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45694</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45694</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45694</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45694</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45694</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45694</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45694</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45694</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45694</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45694</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45694</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45694</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45694</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45694</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45694</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45694</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45694</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45694</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45694</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45694</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45694</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45694</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45694</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45694</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45694</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45694</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45694</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45694</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45694</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45694</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45694</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45694</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45694</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45694</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45694</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45694</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45694</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45694</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45694</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45694</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45694</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45694</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45694</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45694</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45694</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45694</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45694</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45694</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45694</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45694</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45694</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45694</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45694</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45694</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45694</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45694</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45694</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45694</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45694</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45694</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45694</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45694</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45694</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45694</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45694</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45694</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45694</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45694</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45694</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45694</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45694</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45694</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45694</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45694</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45694</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45694</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45694</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45694</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45694</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45694</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45694</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45694</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45694</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45694</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45694</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45694</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45694</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45694</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45694</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45694</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45694</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45694</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45694</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45694</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45694</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45694</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45694</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45694</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45694</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45694</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45694</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45694</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45694</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45694</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45694</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45694</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45694</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45694</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45694</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45694</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45694</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45694</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45694</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45694</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45694</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45694</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45694</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45694</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45694</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45694</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45694</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45694</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45694</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45694</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45694</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45694</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45694</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45694</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45694</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45694</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45694</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45694</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45694</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45694</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45694</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45694</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45694</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45694</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45694</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45694</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45694</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45694</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45694</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45694</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45694</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45694</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45694</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45694</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45694</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45694</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45694</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45694</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45694</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45694</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45694</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45694</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45694</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45694</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45694</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45694</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45694</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45694</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45694</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45694</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45694</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45694</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45694</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45694</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45694</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45694</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45694</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45694</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45694</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45694</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45694</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45694</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45694</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45694</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45694</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45694</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45694</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45694</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45694</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45694</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45694</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45694</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45694</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45694</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45694</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45694</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45694</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45694</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45694</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45694</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45694</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45694</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45694</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45694</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45694</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45694</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45694</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45694</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45694</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45694</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45694</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45694</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45694</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45694</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45694</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45694</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45694</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45694</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45694</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45694</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45694</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45694</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45694</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45694</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45694</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45694</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45694</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45694</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45694</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45694</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45694</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45694</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45694</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45694</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45694</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45694</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45694</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45694</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45694</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45694</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45694</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45694</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45694</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45694</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45694</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45694</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45694</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45694</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45694</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45694</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45694</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45694</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45694</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45694</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45694</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45694</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45694</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45694</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45694</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45694</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45694</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45694</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45694</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45694</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45694</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45694</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45694</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45694</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45694</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45694</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45694</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45694</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45694</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45694</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45694</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45694</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45694</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45694</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45694</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45694</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45694</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45694</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45694</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45694</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45694</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45694</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45694</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45694</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45694</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45694</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45694</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45694</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45694</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45694</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45694</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45694</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45694</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45694</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45694</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45694</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45694</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45694</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45694</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45694</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45694</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45694</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45694</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45694</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45694</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45694</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45694</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45694</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45694</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45694</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45694</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45694</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45694</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45694</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45694</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45694</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45694</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45694</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45694</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45694</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45694</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45694</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45694</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45694</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45694</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45694</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45694</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45694</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45694</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45694</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45694</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45694</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45694</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45694</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45694</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45694</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45694</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45694</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45694</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45694</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45694</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45694</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45694</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45694</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45694</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45694</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45694</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45694</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45694</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45694</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45694</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45694</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45694</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45694</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45694</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45694</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45694</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45694</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45694</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45694</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45694</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45694</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45694</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45694</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45694</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45694</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45694</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45694</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45694</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45694</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45694</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45694</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45694</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45694</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45694</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45694</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45694</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45694</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45694</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45694</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45694</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45694</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45694</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45694</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45694</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45694</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45694</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45694</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45694</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45694</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45694</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45694</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45694</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45694</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45694</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45694</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45694</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45694</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45694</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45694</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45694</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45694</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45694</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45694</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45694</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45694</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45694</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45694</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45694</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45694</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45694</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45694</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45694</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45694</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45694</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45694</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45694</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45694</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45694</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45694</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45694</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45694</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45694</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45694</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45694</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45694</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45694</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45694</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45694</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45694</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45694</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45694</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45694</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45694</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45694</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45694</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45694</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45694</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45694</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45694</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45694</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45694</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45694</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45694</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45694</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45694</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45694</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45694</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45694</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45694</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45694</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45694</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45694</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45694</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45694</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45694</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45694</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45694</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45694</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45694</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45694</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45694</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45694</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45694</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45694</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45694</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45694</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45694</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45694</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45694</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45694</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45694</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45694</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45694</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45694</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45694</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45694</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45694</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45694</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45694</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45694</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45694</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45694</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45694</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45694</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45694</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45694</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45694</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45694</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45694</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45694</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45694</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45694</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45694</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45694</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45694</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45694</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45694</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45694</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45694</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45694</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45694</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45694</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45694</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45694</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45694</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45694</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45694</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45694</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45694</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45694</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45694</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45694</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45694</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45694</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45694</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45694</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45694</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45694</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45694</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45694</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45694</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45694</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45694</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45694</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45694</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45694</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45694</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45694</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45694</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45694</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45694</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45694</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45694</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45694</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45694</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45694</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45694</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45694</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45694</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45694</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45694</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45694</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45694</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45694</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45694</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45694</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45694</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45694</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45694</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45694</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45694</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45694</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45694</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45694</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45694</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45694</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45694</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45694</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45694</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45694</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45694</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45694</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45694</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45694</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45694</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45694</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45694</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45694</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45694</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45694</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45694</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45694</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45694</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45694</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45694</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45694</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45694</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45694</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45694</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45694</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45694</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45694</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45694</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45694</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45694</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45694</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45694</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45694</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45694</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45694</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45694</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45694</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45694</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45694</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45694</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45694</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45694</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45694</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45694</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45694</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45694</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45694</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45694</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45694</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45694</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45694</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45694</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45694</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45694</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45694</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45694</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45694</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45694</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45694</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45694</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45694</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45694</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45694</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45694</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45694</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45694</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45694</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45694</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45694</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45694</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45694</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45694</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45694</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45694</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45694</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45694</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45694</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45694</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45694</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45694</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45694</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45694</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45694</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45694</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45694</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45694</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45694</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45694</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45694</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45694</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45694</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45694</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45694</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45694</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45694</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45694</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45694</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45694</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45694</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45694</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45694</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45694</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45694</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45694</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45694</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45694</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45694</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45694</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45694</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45694</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45694</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45694</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45694</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45694</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45694</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45694</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45694</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45694</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45694</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45694</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45694</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45694</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45694</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45694</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45694</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45694</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45694</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45694</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45694</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45694</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45694</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45694</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45694</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45694</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45694</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45694</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45694</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45694</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45694</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45694</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45694</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45694</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45694</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45694</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45694</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45694</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45694</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45694</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45694</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45694</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45694</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45694</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45694</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45694</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45694</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45694</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45694</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45694</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45694</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45694</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45694</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45694</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45694</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45694</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45694</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45694</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45694</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45694</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45694</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45694</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45694</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45694</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45694</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45694</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45694</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45694</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45694</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45694</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45694</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45694</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45694</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45694</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45694</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45694</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45694</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45694</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45694</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45694</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45694</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45694</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45694</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45694</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45694</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45694</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45694</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45694</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45694</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45694</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45694</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45694</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45694</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45694</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45694</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45694</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45694</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45694</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45694</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45694</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45694</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45694</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45694</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45694</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45694</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45694</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45694</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45694</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45694</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45694</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45694</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45694</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45694</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45694</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45694</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45694</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45694</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45694</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45694</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45694</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45694</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45694</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45694</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45694</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45694</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45694</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45694</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45694</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45694</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45694</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45694</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45694</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45694</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45694</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45694</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45694</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45694</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45694</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45694</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45694</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45694</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45694</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45694</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45694</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45694</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45694</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45694</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45694</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45694</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45694</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45694</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45694</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45694</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45694</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45694</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45694</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45694</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45694</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45694</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45694</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45694</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45694</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45694</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45694</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45694</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45694</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45694</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45694</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45694</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45694</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45694</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45694</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45694</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45694</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45694</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45694</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45694</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45694</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45694</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45694</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45694</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45694</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45694</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45694</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45694</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45694</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45694</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45694</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45694</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45694</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45694</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45694</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45694</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45694</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45694</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45694</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45694</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45694</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45694</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45694</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45694</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45694</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45694</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45694</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45694</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45694</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45694</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45694</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45694</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45694</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45694</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45694</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45694</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45694</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45694</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45694</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45694</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45694</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45694</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45694</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45694</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45694</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45694</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45694</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45694</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45694</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45694</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45694</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45694</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45694</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45694</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45694</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45694</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45694</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45694</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45694</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45694</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45694</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45694</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45694</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45694</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45694</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45694</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45694</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45694</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45694</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45694</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45694</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45694</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45694</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45694</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45694</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45694</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45694</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45694</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45694</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45694</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45694</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45694</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45694</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45694</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45694</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45694</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45694</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45694</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45694</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45694</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45694</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45694</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45694</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45694</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45694</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45694</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45694</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45694</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45694</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45694</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45694</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45694</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45694</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45694</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45694</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45694</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45694</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45694</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45694</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45694</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45694</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45694</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45694</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45694</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45694</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45694</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45694</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45694</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45694</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45694</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45694</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45694</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45694</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45694</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45694</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45694</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45694</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45694</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45694</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45694</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45694</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45694</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45694</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45694</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45694</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45694</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45694</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45694</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45694</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45694</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45694</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45694</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45694</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45694</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45694</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45694</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45694</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45694</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45694</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45694</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45694</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45694</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45694</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45694</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45694</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45694</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45694</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45694</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45694</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45694</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45694</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45694</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45694</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45694</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45694</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45694</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45694</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45694</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45694</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45694</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45694</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45694</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45694</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45694</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45694</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45694</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45694</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45694</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45694</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45694</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45694</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45694</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45694</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45694</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45694</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45694</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45694</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45694</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45694</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45694</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45694</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45694</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45694</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45694</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45694</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45694</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45694</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45694</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45694</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45694</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45694</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45694</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45694</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45694</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45694</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45694</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45694</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45694</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45694</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45694</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45694</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45694</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45694</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45694</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45694</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45694</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45694</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45694</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45694</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45694</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45694</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45694</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45694</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45694</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45694</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45694</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45694</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45694</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45694</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45694</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45694</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45694</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45694</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45694</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45694</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45694</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45694</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45694</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45694</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45694</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45694</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45694</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45694</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45694</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45694</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45694</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45694</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45694</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45694</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45694</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45694</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45694</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45694</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45694</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45694</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45694</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45694</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45694</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45694</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45694</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45694</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45694</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45694</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45694</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45694</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45694</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45694</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45694</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45694</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45694</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45694</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45694</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45694</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45694</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45694</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45694</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45694</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45694</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45694</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45694</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45694</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45694</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45694</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45694</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45694</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45694</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45694</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45694</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45694</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45694</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45694</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45694</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45694</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45694</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45694</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45694</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45694</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45694</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45694</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45694</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45694</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45694</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45694</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45694</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45694</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45694</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45694</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45694</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45694</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45694</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45694</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45694</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45694</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45694</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45694</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45694</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45694</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45694</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45694</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45694</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45694</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45694</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45694</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45694</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45694</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45694</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45694</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45694</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45694</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45694</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45694</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45694</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45694</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45694</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45694</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45694</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45694</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45694</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45694</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45694</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45694</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45694</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45694</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45694</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45694</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45694</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45694</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45694</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45694</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45694</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45694</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45694</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45694</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45694</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45694</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45694</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45694</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45694</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45694</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45694</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45694</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45694</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45694</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45694</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45694</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45694</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45694</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45694</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45694</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45694</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45694</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45694</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45694</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45694</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45694</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45694</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45694</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45694</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45694</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45694</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45694</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45694</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45694</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45694</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45694</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45694</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45694</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45694</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45694</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45694</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45694</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45694</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45694</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45694</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45694</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45694</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45694</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45694</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45694</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45694</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45694</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45694</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45694</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45694</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45694</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45694</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45694</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45694</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45694</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45694</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45694</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45694</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45694</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45694</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45694</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45694</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45694</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45694</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45694</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45694</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45694</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45694</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45694</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45694</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45694</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45694</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45694</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45694</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45694</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45694</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45694</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45694</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45694</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45694</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45694</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45694</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45694</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45694</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45694</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45694</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45694</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45694</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45694</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45694</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45694</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45694</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45694</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45694</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45694</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45694</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45694</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45694</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45694</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45694</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45694</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45694</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45694</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45694</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45694</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45694</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45694</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45694</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45694</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45694</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45694</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45694</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45694</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45694</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45694</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45694</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45694</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45694</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45694</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45694</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45694</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45694</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45694</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45694</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45694</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45694</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45694</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45694</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45694</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45694</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45694</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45694</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45694</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45694</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45694</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45694</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45694</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45694</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45694</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45694</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45694</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45694</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45694</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45694</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45694</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45694</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45694</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45694</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45694</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45694</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45694</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45694</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45694</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45694</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45694</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45694</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45694</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45694</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45694</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45694</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45694</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45694</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45694</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45694</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45694</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45694</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45694</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45694</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45694</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45694</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45694</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45694</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45694</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45694</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45694</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45694</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45694</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45694</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45694</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45694</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45694</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45694</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45694</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45694</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45694</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45694</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45694</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45694</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45694</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45694</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45694</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45694</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45694</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45694</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45694</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45694</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45694</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45694</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45694</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45694</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45694</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45694</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45694</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45694</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45694</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45694</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45694</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45694</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45694</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45694</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45694</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45694</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45694</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45694</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45694</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45694</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45694</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45694</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45694</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45694</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45694</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45694</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45694</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45694</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45694</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45694</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45694</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45694</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45694</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45694</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45694</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45694</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45694</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45694</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45694</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45694</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45694</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45694</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45694</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45694</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45694</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45694</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45694</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45694</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45694</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45694</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45694</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45694</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45694</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45694</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45694</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45694</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45694</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45694</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45694</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45694</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45694</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45694</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45694</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45694</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45694</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45694</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45694</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45694</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45694</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45694</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45694</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45694</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45694</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45694</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45694</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45694</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45694</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45694</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45694</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45694</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45694</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45694</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45694</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45694</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45694</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45694</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45694</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45694</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45694</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45694</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45694</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45694</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45694</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45694</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45694</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45694</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45694</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45694</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45694</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45694</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45694</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45694</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45694</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45694</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45694</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45694</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45694</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45694</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45694</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45694</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45694</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45694</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45694</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45694</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45694</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45694</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45694</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45694</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45694</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45694</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45694</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45694</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45694</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45694</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45694</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45694</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45694</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45694</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45694</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45694</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45694</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45694</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45694</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45694</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45694</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45694</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45694</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45694</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45694</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45694</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45694</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45694</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45694</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45694</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45694</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45694</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45694</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45694</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45694</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45694</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45694</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45694</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45694</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45694</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45694</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45694</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45694</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45694</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45694</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45694</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45694</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45694</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45694</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45694</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45694</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45694</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45694</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45694</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45694</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45694</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45694</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45694</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45694</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45694</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45694</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45694</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45694</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45694</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45694</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45694</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45694</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45694</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45694</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45694</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45694</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45694</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45694</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45694</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45694</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45694</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45694</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45694</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45694</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45694</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45694</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45694</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45694</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45694</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45694</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45694</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45694</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45694</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45694</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45694</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45694</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45694</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45694</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45694</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45694</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45694</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45694</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45694</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45694</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45694</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45694</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45694</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45694</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45694</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45694</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45694</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45694</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45694</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45694</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45694</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45694</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45694</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45694</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45694</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45694</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45694</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45694</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45694</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45694</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45694</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45694</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45694</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45694</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45694</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45694</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45694</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45694</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45694</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45694</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45694</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45694</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45694</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45694</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45694</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45694</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45694</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45694</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45694</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45694</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45694</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45694</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45694</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45694</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45694</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45694</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45694</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45694</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45694</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45694</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45694</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45694</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45694</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45694</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45694</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45694</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45694</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45694</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45694</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45694</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45694</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45694</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45694</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45694</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45694</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45694</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45694</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45694</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45694</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45694</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45694</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45694</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45694</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45694</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45694</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45694</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45694</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45694</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45694</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45694</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45694</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45694</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45694</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45694</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45694</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45694</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45694</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45694</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45694</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45694</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45694</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45694</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45694</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45694</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45694</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45694</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45694</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45694</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45694</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45694</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45694</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45694</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45694</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45694</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45694</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45694</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45694</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45694</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45694</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45694</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45694</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45694</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45694</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45694</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45694</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45694</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45694</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45694</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45694</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45694</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45694</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45694</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45694</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45694</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45694</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45694</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45694</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45694</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45694</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45694</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45694</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45694</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45694</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45694</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45694</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45694</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45694</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45694</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45694</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45694</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45694</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45694</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45694</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45694</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45694</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45694</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45694</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45694</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45694</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45694</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45694</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45694</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45694</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45694</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45694</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45694</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45694</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45694</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45694</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45694</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45694</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45694</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45694</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45694</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45694</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45694</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45694</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45694</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45694</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45694</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45694</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45694</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45694</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45694</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45694</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45694</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45694</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45694</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45694</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45694</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45694</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45694</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45694</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45694</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45694</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45694</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45694</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45694</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45694</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45694</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45694</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45694</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45694</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45694</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45694</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45694</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45694</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45694</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45694</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45694</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45694</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45694</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45694</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45694</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45694</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45694</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45694</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45694</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45694</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45694</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45694</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45694</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45694</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45694</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45694</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45694</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45694</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45694</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45694</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45694</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45694</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45694</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45694</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45694</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45694</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45694</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45694</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45694</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45694</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45694</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45694</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45694</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45694</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45694</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45694</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45694</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45694</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45694</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45694</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45694</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45694</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45694</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45694</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45694</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45694</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45694</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45694</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45694</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45694</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45694</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45694</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45694</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45694</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45694</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45694</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45694</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45694</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45694</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45694</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45694</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45694</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45694</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45694</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45694</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45694</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45694</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45694</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45694</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45694</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45694</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45694</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45694</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45694</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45694</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45694</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45694</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45694</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45694</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45694</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45694</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45694</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45694</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45694</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45694</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45694</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45694</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45694</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45694</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45694</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45694</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45694</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45694</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45694</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45694</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45694</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45694</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45694</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45694</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45694</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45694</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45694</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45694</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45694</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45694</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45694</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45694</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45694</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45694</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45694</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45694</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45694</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45694</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45694</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45694</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45694</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45694</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45694</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45694</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45694</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45694</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45694</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45694</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45694</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45694</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45694</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45694</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45694</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45694</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45694</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45694</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45694</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45694</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45694</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45694</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45694</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45694</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45694</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45694</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45694</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45694</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45694</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45694</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45694</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45694</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45694</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45694</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45694</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45694</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45694</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45694</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45694</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45694</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45694</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45694</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45694</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45694</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45694</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45694</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45694</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45694</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45694</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45694</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45694</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45694</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45694</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45694</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45694</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45694</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45694</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45694</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45694</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45694</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45694</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45694</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45694</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45694</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45694</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45694</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45694</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45694</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45694</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45694</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45694</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45694</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45694</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45694</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45694</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45694</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45694</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45694</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45694</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45694</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45694</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45694</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45694</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45694</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45694</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45694</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45694</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45694</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45694</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45694</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45694</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45694</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45694</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45694</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45694</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45694</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45694</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45694</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45694</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45694</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45694</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45694</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45694</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45694</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45694</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45694</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45694</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45694</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45694</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45694</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45694</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45694</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45694</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45694</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45694</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45694</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45694</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45694</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45694</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45694</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45694</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45694</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45694</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45694</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45694</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45694</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45694</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45694</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45694</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45694</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45694</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45694</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45694</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45694</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45694</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45694</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45694</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45694</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45694</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45694</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45694</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45694</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45694</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45694</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45694</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45694</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45694</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45694</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45694</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45694</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45694</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45694</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45694</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45694</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45694</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45694</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45694</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45694</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45694</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45694</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45694</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45694</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45694</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45694</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45694</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45694</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45694</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45694</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45694</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45694</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45694</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45694</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45694</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45694</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45694</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45694</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45694</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45694</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45694</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45694</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45694</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45694</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45694</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45694</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45694</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45694</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45694</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45694</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45694</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45694</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45694</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45694</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45694</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45694</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45694</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45694</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45694</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45694</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45694</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45694</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45694</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45694</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45694</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45694</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45694</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45694</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45694</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45694</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45694</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45694</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45694</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45694</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45694</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45694</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45694</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45694</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45694</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45694</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45694</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45694</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45694</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45694</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45694</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45694</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45694</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45694</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45694</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45694</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45694</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45694</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45694</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45694</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45694</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45694</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45694</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45694</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45694</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45694</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45694</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45694</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45694</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45694</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45694</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45694</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45694</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45694</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45694</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45694</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45694</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45694</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45694</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45694</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45694</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45694</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45694</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45694</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45694</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45694</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45694</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45694</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45694</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45694</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45694</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45694</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45694</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45694</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45694</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45694</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45694</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45694</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45694</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45694</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45694</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45694</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45694</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45694</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45694</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45694</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45694</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45694</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45694</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45694</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45694</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45694</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45694</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45694</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45694</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45694</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45694</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45694</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45694</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45694</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45694</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45694</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45694</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45694</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45694</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45694</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45694</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45694</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45694</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45694</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45694</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45694</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45694</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45694</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45694</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45694</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45694</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45694</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45694</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45694</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45694</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45694</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45694</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45694</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45694</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45694</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45694</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45694</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45694</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45694</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45694</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45694</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45694</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45694</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45694</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45694</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45694</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45694</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45694</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45694</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45694</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45694</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45694</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45694</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45694</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45694</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45694</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45694</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45694</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45694</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45694</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45694</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45694</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45694</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45694</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45694</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45694</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45694</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45694</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45694</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45694</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45694</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45694</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45694</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45694</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45694</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45694</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45694</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45694</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45694</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45694</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45694</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45694</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45694</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45694</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45694</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45694</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45694</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45694</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45694</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45694</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45694</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45694</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45694</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45694</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45694</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45694</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45694</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45694</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45694</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45694</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45694</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45694</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45694</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45694</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45694</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45694</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45694</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45694</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45694</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45694</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45694</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45694</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45694</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45694</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45694</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45694</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45694</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45694</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45694</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45694</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45694</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45694</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45694</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45694</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45694</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45694</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45694</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45694</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45694</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45694</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45694</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45694</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45694</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45694</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45694</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45694</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45694</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45694</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45694</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45694</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45694</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45694</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45694</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45694</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45694</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45694</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45694</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45694</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45694</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45694</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45694</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45694</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45694</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45694</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45694</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45694</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45694</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45694</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45694</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45694</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45694</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45694</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45694</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45694</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45694</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45694</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45694</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45694</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45694</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45694</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45694</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45694</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45694</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45694</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45694</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45694</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45694</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45694</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45694</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45694</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45694</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45694</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45694</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45694</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45694</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45694</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45694</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45694</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45694</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45694</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45694</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45694</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45694</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45694</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45694</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45694</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45694</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45694</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45694</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45694</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45694</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45694</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45694</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45694</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45694</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45694</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45694</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45694</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45694</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45694</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45694</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45694</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45694</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45694</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45694</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45694</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45694</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45694</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45694</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45694</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45694</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45694</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45694</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45694</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45694</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45694</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45694</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45694</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45694</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45694</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45694</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45694</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45694</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45694</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45694</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45694</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45694</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45694</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45694</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45694</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45694</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45694</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45694</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45694</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45694</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45694</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45694</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45694</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45694</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45694</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45694</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45694</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45694</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45694</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45694</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45694</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45694</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45694</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45694</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45694</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45694</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45694</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45694</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45694</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45694</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45694</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45694</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45694</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45694</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45694</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45694</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45694</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45694</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45694</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45694</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45694</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45694</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45694</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45694</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45694</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45694</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45694</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45694</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45694</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45694</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45694</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45694</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45694</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45694</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45694</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45694</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45694</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45694</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45694</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45694</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45694</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45694</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45694</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45694</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45694</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45694</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45694</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45694</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45694</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45694</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45694</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45694</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45694</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45694</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45694</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45694</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45694</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45694</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45694</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45694</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45694</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45694</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45694</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45694</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45694</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45694</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45694</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45694</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45694</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45694</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45694</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45694</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45694</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45694</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45694</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45694</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45694</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45694</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45694</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45694</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45694</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45694</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45694</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45694</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45694</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45694</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45694</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45694</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45694</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45694</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45694</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45694</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45694</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45694</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45694</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45694</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45694</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45694</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45694</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45694</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45694</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45694</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45694</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45694</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45694</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45694</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45694</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45694</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45694</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45694</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45694</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45694</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45694</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45694</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45694</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45694</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45694</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45694</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45694</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45694</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45694</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45694</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45694</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45694</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45694</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45694</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45694</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45694</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45694</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45694</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45694</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45694</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45694</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45694</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45694</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45694</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45694</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45694</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45694</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45694</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45694</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45694</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45694</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45694</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45694</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45694</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45694</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45694</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45694</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45694</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45694</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45694</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45694</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45694</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45694</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45694</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45694</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45694</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45694</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45694</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45694</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45694</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45694</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45694</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45694</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45694</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45694</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45694</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45694</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45694</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45694</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45694</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45694</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45694</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45694</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45694</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45694</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45694</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45694</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45694</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45694</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45694</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45694</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45694</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45694</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45694</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45694</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45694</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45694</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45694</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45694</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45694</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45694</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45694</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45694</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45694</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45694</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45694</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45694</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45694</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45694</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45694</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45694</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45694</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45694</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45694</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45694</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45694</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45694</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45694</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45694</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45694</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45694</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45694</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45694</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45694</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45694</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45694</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45694</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45694</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45694</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45694</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45694</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45694</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45694</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45694</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45694</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45694</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45694</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45694</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45694</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45694</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45694</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45694</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45694</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45694</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45694</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45694</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45694</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45694</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45694</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45694</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45694</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45694</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45694</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45694</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45694</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45694</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45694</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45694</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45694</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45694</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45694</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45694</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45694</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45694</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45694</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45694</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45694</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45694</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45694</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45694</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45694</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45694</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45694</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45694</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45694</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45694</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45694</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45694</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45694</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45694</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45694</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45694</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45694</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45694</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45694</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45694</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45694</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45694</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45694</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45694</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45694</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45694</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45694</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45694</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45694</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45694</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45694</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45694</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45694</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45694</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45694</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45694</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45694</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45694</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45694</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45694</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45694</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45694</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45694</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45694</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45694</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45694</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45694</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45694</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45694</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45694</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45694</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45694</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45694</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45694</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45694</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45694</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45694</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45694</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45694</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45694</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45694</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45694</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45694</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45694</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45694</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45694</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45694</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45694</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45694</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45694</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45694</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45694</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45694</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45694</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45694</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45694</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45694</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45694</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45694</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45694</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45694</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45694</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45694</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45694</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45694</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45694</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45694</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45694</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45694</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45694</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45694</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45694</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45694</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45694</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45694</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45694</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45694</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45694</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45694</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45694</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45694</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45694</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45694</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45694</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45694</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45694</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45694</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45694</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45694</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45694</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45694</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45694</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45694</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45694</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45694</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45694</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45694</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45694</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45694</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45694</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45694</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45694</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45694</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45694</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45694</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45694</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45694</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45694</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45694</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45694</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45694</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45694</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45694</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45694</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45694</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45694</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45694</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45694</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45694</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45694</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45694</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45694</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45694</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45694</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45694</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45694</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45694</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45694</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45694</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45694</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45694</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45694</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45694</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45694</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45694</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45694</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45694</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45694</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45694</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45694</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45694</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45694</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45694</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45694</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45694</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45694</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45694</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45694</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45694</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45694</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45694</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45694</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45694</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45694</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45694</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45694</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45694</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45694</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45694</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45694</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45694</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45694</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45694</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45694</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45694</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45694</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45694</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45694</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45694</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45694</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45694</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45694</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45694</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45694</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45694</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45694</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45694</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45694</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45694</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45694</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45694</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45694</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45694</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45694</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45694</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45694</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45694</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45694</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45694</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45694</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45694</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45694</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45694</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45694</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45694</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45694</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45694</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45694</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45694</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45694</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45694</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45694</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45694</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45694</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45694</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45694</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45694</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45694</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45694</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45694</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45694</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45694</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45694</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45694</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45694</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45694</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45694</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45694</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45694</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45694</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45694</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45694</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45694</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45694</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45694</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45694</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45694</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45694</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45694</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45694</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45694</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45694</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45694</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45694</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45694</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45694</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45694</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45694</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45694</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45694</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45694</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45694</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45694</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45694</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45694</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45694</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45694</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45694</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45694</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45694</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45694</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45694</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45694</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45694</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45694</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45694</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45694</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45694</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45694</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45694</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45694</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45694</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45694</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45694</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45694</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45694</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45694</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45694</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45694</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45694</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45694</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45694</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45694</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45694</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45694</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45694</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45694</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45694</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45694</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45694</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45694</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45694</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45694</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45694</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45694</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45694</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45694</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45694</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45694</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45694</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45694</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45694</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45694</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45694</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45694</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45694</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45694</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45694</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45694</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45694</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45694</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45694</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45694</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45694</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45694</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45694</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45694</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45694</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45694</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45694</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45694</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45694</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45694</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45694</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45694</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45694</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45694</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45694</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45694</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45694</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45694</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45694</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45694</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45694</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45694</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45694</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45694</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45694</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45694</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45694</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45694</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45694</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45694</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45694</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45694</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45694</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45694</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45694</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45694</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45694</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45694</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45694</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45694</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45694</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45694</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45694</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45694</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45694</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45694</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45694</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45694</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45694</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45694</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45694</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45694</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45694</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45694</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45694</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45694</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45694</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45694</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45694</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45694</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45694</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45694</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45694</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45694</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45694</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45694</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45694</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45694</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45694</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45694</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45694</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45694</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45694</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45694</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45694</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45694</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45694</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45694</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45694</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45694</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45694</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45694</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45694</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45694</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45694</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45694</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45694</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45694</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45694</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45694</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45694</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45694</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45694</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45694</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45694</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45694</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45694</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45694</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45694</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45694</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45694</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45694</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45694</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45694</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45694</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45694</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45694</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45694</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45694</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45694</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45694</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45694</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45694</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45694</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45694</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45694</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45694</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45694</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45694</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45694</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45694</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45694</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45694</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45694</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45694</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45694</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45694</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45694</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45694</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45694</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45694</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45694</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45694</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45694</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45694</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45694</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45694</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45694</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45694</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45694</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45694</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45694</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45694</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45694</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45694</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45694</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45694</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45694</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45694</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45694</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45694</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45694</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45694</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45694</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45694</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45694</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45694</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45694</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45694</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45694</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45694</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45694</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45694</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45694</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45694</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45694</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45694</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45694</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45694</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45694</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45694</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45694</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45694</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45694</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45694</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45694</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45694</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45694</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45694</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45694</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45694</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45694</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45694</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45694</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45694</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45694</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45694</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45694</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45694</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45694</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45694</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45694</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45694</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45694</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45694</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45694</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45694</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45694</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45694</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45694</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45694</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45694</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45694</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45694</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45694</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45694</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45694</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45694</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45694</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45694</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45694</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45694</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45694</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45694</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45694</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45694</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45694</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45694</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45694</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45694</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45694</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45694</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45694</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45694</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45694</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45694</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755-2025</t>
        </is>
      </c>
      <c r="B7227" s="1" t="n">
        <v>45665</v>
      </c>
      <c r="C7227" s="1" t="n">
        <v>45694</v>
      </c>
      <c r="D7227" t="inlineStr">
        <is>
          <t>SKÅNE LÄN</t>
        </is>
      </c>
      <c r="E7227" t="inlineStr">
        <is>
          <t>KRISTIANSTAD</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720-2025</t>
        </is>
      </c>
      <c r="B7228" s="1" t="n">
        <v>45665</v>
      </c>
      <c r="C7228" s="1" t="n">
        <v>45694</v>
      </c>
      <c r="D7228" t="inlineStr">
        <is>
          <t>SKÅNE LÄN</t>
        </is>
      </c>
      <c r="E7228" t="inlineStr">
        <is>
          <t>HÄSSLEHOLM</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866-2025</t>
        </is>
      </c>
      <c r="B7229" s="1" t="n">
        <v>45665</v>
      </c>
      <c r="C7229" s="1" t="n">
        <v>45694</v>
      </c>
      <c r="D7229" t="inlineStr">
        <is>
          <t>SKÅNE LÄN</t>
        </is>
      </c>
      <c r="E7229" t="inlineStr">
        <is>
          <t>PERSTORP</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829-2025</t>
        </is>
      </c>
      <c r="B7230" s="1" t="n">
        <v>45665</v>
      </c>
      <c r="C7230" s="1" t="n">
        <v>45694</v>
      </c>
      <c r="D7230" t="inlineStr">
        <is>
          <t>SKÅNE LÄN</t>
        </is>
      </c>
      <c r="E7230" t="inlineStr">
        <is>
          <t>HÄSSLEHOLM</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853-2025</t>
        </is>
      </c>
      <c r="B7231" s="1" t="n">
        <v>45665</v>
      </c>
      <c r="C7231" s="1" t="n">
        <v>45694</v>
      </c>
      <c r="D7231" t="inlineStr">
        <is>
          <t>SKÅNE LÄN</t>
        </is>
      </c>
      <c r="E7231" t="inlineStr">
        <is>
          <t>KLIPPAN</t>
        </is>
      </c>
      <c r="G7231" t="n">
        <v>8.9</v>
      </c>
      <c r="H7231" t="n">
        <v>0</v>
      </c>
      <c r="I7231" t="n">
        <v>0</v>
      </c>
      <c r="J7231" t="n">
        <v>0</v>
      </c>
      <c r="K7231" t="n">
        <v>0</v>
      </c>
      <c r="L7231" t="n">
        <v>0</v>
      </c>
      <c r="M7231" t="n">
        <v>0</v>
      </c>
      <c r="N7231" t="n">
        <v>0</v>
      </c>
      <c r="O7231" t="n">
        <v>0</v>
      </c>
      <c r="P7231" t="n">
        <v>0</v>
      </c>
      <c r="Q7231" t="n">
        <v>0</v>
      </c>
      <c r="R7231" s="2" t="inlineStr"/>
    </row>
    <row r="7232" ht="15" customHeight="1">
      <c r="A7232" t="inlineStr">
        <is>
          <t>A 758-2025</t>
        </is>
      </c>
      <c r="B7232" s="1" t="n">
        <v>45665</v>
      </c>
      <c r="C7232" s="1" t="n">
        <v>45694</v>
      </c>
      <c r="D7232" t="inlineStr">
        <is>
          <t>SKÅNE LÄN</t>
        </is>
      </c>
      <c r="E7232" t="inlineStr">
        <is>
          <t>KRISTIANSTAD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863-2025</t>
        </is>
      </c>
      <c r="B7233" s="1" t="n">
        <v>45665</v>
      </c>
      <c r="C7233" s="1" t="n">
        <v>45694</v>
      </c>
      <c r="D7233" t="inlineStr">
        <is>
          <t>SKÅNE LÄN</t>
        </is>
      </c>
      <c r="E7233" t="inlineStr">
        <is>
          <t>OSBY</t>
        </is>
      </c>
      <c r="F7233" t="inlineStr">
        <is>
          <t>Sveaskog</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871-2025</t>
        </is>
      </c>
      <c r="B7234" s="1" t="n">
        <v>45665</v>
      </c>
      <c r="C7234" s="1" t="n">
        <v>45694</v>
      </c>
      <c r="D7234" t="inlineStr">
        <is>
          <t>SKÅNE LÄN</t>
        </is>
      </c>
      <c r="E7234" t="inlineStr">
        <is>
          <t>OSBY</t>
        </is>
      </c>
      <c r="F7234" t="inlineStr">
        <is>
          <t>Sveaskog</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1064-2025</t>
        </is>
      </c>
      <c r="B7235" s="1" t="n">
        <v>45665</v>
      </c>
      <c r="C7235" s="1" t="n">
        <v>45694</v>
      </c>
      <c r="D7235" t="inlineStr">
        <is>
          <t>SKÅNE LÄN</t>
        </is>
      </c>
      <c r="E7235" t="inlineStr">
        <is>
          <t>KRISTIANSTAD</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872-2025</t>
        </is>
      </c>
      <c r="B7236" s="1" t="n">
        <v>45665</v>
      </c>
      <c r="C7236" s="1" t="n">
        <v>45694</v>
      </c>
      <c r="D7236" t="inlineStr">
        <is>
          <t>SKÅNE LÄN</t>
        </is>
      </c>
      <c r="E7236" t="inlineStr">
        <is>
          <t>OSBY</t>
        </is>
      </c>
      <c r="F7236" t="inlineStr">
        <is>
          <t>Sveaskog</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45694</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751-2025</t>
        </is>
      </c>
      <c r="B7238" s="1" t="n">
        <v>45665</v>
      </c>
      <c r="C7238" s="1" t="n">
        <v>45694</v>
      </c>
      <c r="D7238" t="inlineStr">
        <is>
          <t>SKÅNE LÄN</t>
        </is>
      </c>
      <c r="E7238" t="inlineStr">
        <is>
          <t>KRISTIANSTAD</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962-2025</t>
        </is>
      </c>
      <c r="B7239" s="1" t="n">
        <v>45666</v>
      </c>
      <c r="C7239" s="1" t="n">
        <v>45694</v>
      </c>
      <c r="D7239" t="inlineStr">
        <is>
          <t>SKÅNE LÄN</t>
        </is>
      </c>
      <c r="E7239" t="inlineStr">
        <is>
          <t>HÖÖR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982-2025</t>
        </is>
      </c>
      <c r="B7240" s="1" t="n">
        <v>45666</v>
      </c>
      <c r="C7240" s="1" t="n">
        <v>45694</v>
      </c>
      <c r="D7240" t="inlineStr">
        <is>
          <t>SKÅNE LÄN</t>
        </is>
      </c>
      <c r="E7240" t="inlineStr">
        <is>
          <t>PERSTORP</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995-2025</t>
        </is>
      </c>
      <c r="B7241" s="1" t="n">
        <v>45666</v>
      </c>
      <c r="C7241" s="1" t="n">
        <v>45694</v>
      </c>
      <c r="D7241" t="inlineStr">
        <is>
          <t>SKÅNE LÄN</t>
        </is>
      </c>
      <c r="E7241" t="inlineStr">
        <is>
          <t>TOMELILLA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45694</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1077-2025</t>
        </is>
      </c>
      <c r="B7243" s="1" t="n">
        <v>45666</v>
      </c>
      <c r="C7243" s="1" t="n">
        <v>45694</v>
      </c>
      <c r="D7243" t="inlineStr">
        <is>
          <t>SKÅNE LÄN</t>
        </is>
      </c>
      <c r="E7243" t="inlineStr">
        <is>
          <t>OSBY</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1068-2025</t>
        </is>
      </c>
      <c r="B7244" s="1" t="n">
        <v>45666</v>
      </c>
      <c r="C7244" s="1" t="n">
        <v>45694</v>
      </c>
      <c r="D7244" t="inlineStr">
        <is>
          <t>SKÅNE LÄN</t>
        </is>
      </c>
      <c r="E7244" t="inlineStr">
        <is>
          <t>OSBY</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1031-2025</t>
        </is>
      </c>
      <c r="B7245" s="1" t="n">
        <v>45666</v>
      </c>
      <c r="C7245" s="1" t="n">
        <v>45694</v>
      </c>
      <c r="D7245" t="inlineStr">
        <is>
          <t>SKÅNE LÄN</t>
        </is>
      </c>
      <c r="E7245" t="inlineStr">
        <is>
          <t>SJÖBO</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1098-2025</t>
        </is>
      </c>
      <c r="B7246" s="1" t="n">
        <v>45666</v>
      </c>
      <c r="C7246" s="1" t="n">
        <v>45694</v>
      </c>
      <c r="D7246" t="inlineStr">
        <is>
          <t>SKÅNE LÄN</t>
        </is>
      </c>
      <c r="E7246" t="inlineStr">
        <is>
          <t>SJÖBO</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1107-2025</t>
        </is>
      </c>
      <c r="B7247" s="1" t="n">
        <v>45666</v>
      </c>
      <c r="C7247" s="1" t="n">
        <v>45694</v>
      </c>
      <c r="D7247" t="inlineStr">
        <is>
          <t>SKÅNE LÄN</t>
        </is>
      </c>
      <c r="E7247" t="inlineStr">
        <is>
          <t>OSBY</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45694</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1159-2025</t>
        </is>
      </c>
      <c r="B7249" s="1" t="n">
        <v>45666</v>
      </c>
      <c r="C7249" s="1" t="n">
        <v>45694</v>
      </c>
      <c r="D7249" t="inlineStr">
        <is>
          <t>SKÅNE LÄN</t>
        </is>
      </c>
      <c r="E7249" t="inlineStr">
        <is>
          <t>ÖSTRA GÖINGE</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1152-2025</t>
        </is>
      </c>
      <c r="B7250" s="1" t="n">
        <v>45666</v>
      </c>
      <c r="C7250" s="1" t="n">
        <v>45694</v>
      </c>
      <c r="D7250" t="inlineStr">
        <is>
          <t>SKÅNE LÄN</t>
        </is>
      </c>
      <c r="E7250" t="inlineStr">
        <is>
          <t>OSBY</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1271-2025</t>
        </is>
      </c>
      <c r="B7251" s="1" t="n">
        <v>45667</v>
      </c>
      <c r="C7251" s="1" t="n">
        <v>45694</v>
      </c>
      <c r="D7251" t="inlineStr">
        <is>
          <t>SKÅNE LÄN</t>
        </is>
      </c>
      <c r="E7251" t="inlineStr">
        <is>
          <t>KRISTIANSTAD</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1170-2025</t>
        </is>
      </c>
      <c r="B7252" s="1" t="n">
        <v>45667</v>
      </c>
      <c r="C7252" s="1" t="n">
        <v>45694</v>
      </c>
      <c r="D7252" t="inlineStr">
        <is>
          <t>SKÅNE LÄN</t>
        </is>
      </c>
      <c r="E7252" t="inlineStr">
        <is>
          <t>HÄSSLEHOLM</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1225-2025</t>
        </is>
      </c>
      <c r="B7253" s="1" t="n">
        <v>45667</v>
      </c>
      <c r="C7253" s="1" t="n">
        <v>45694</v>
      </c>
      <c r="D7253" t="inlineStr">
        <is>
          <t>SKÅNE LÄN</t>
        </is>
      </c>
      <c r="E7253" t="inlineStr">
        <is>
          <t>ÖSTRA GÖINGE</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45694</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1424-2025</t>
        </is>
      </c>
      <c r="B7255" s="1" t="n">
        <v>45668</v>
      </c>
      <c r="C7255" s="1" t="n">
        <v>45694</v>
      </c>
      <c r="D7255" t="inlineStr">
        <is>
          <t>SKÅNE LÄN</t>
        </is>
      </c>
      <c r="E7255" t="inlineStr">
        <is>
          <t>KRISTIANSTAD</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1426-2025</t>
        </is>
      </c>
      <c r="B7256" s="1" t="n">
        <v>45668</v>
      </c>
      <c r="C7256" s="1" t="n">
        <v>45694</v>
      </c>
      <c r="D7256" t="inlineStr">
        <is>
          <t>SKÅNE LÄN</t>
        </is>
      </c>
      <c r="E7256" t="inlineStr">
        <is>
          <t>KRISTIANSTAD</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1427-2025</t>
        </is>
      </c>
      <c r="B7257" s="1" t="n">
        <v>45668</v>
      </c>
      <c r="C7257" s="1" t="n">
        <v>45694</v>
      </c>
      <c r="D7257" t="inlineStr">
        <is>
          <t>SKÅNE LÄN</t>
        </is>
      </c>
      <c r="E7257" t="inlineStr">
        <is>
          <t>KRISTIANSTAD</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45694</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1604-2025</t>
        </is>
      </c>
      <c r="B7259" s="1" t="n">
        <v>45670</v>
      </c>
      <c r="C7259" s="1" t="n">
        <v>45694</v>
      </c>
      <c r="D7259" t="inlineStr">
        <is>
          <t>SKÅNE LÄN</t>
        </is>
      </c>
      <c r="E7259" t="inlineStr">
        <is>
          <t>ÖRKELLJUNGA</t>
        </is>
      </c>
      <c r="F7259" t="inlineStr">
        <is>
          <t>Kommuner</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1621-2025</t>
        </is>
      </c>
      <c r="B7260" s="1" t="n">
        <v>45670</v>
      </c>
      <c r="C7260" s="1" t="n">
        <v>45694</v>
      </c>
      <c r="D7260" t="inlineStr">
        <is>
          <t>SKÅNE LÄN</t>
        </is>
      </c>
      <c r="E7260" t="inlineStr">
        <is>
          <t>OSBY</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1616-2025</t>
        </is>
      </c>
      <c r="B7261" s="1" t="n">
        <v>45670</v>
      </c>
      <c r="C7261" s="1" t="n">
        <v>45694</v>
      </c>
      <c r="D7261" t="inlineStr">
        <is>
          <t>SKÅNE LÄN</t>
        </is>
      </c>
      <c r="E7261" t="inlineStr">
        <is>
          <t>HÄSSLEHOLM</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1644-2025</t>
        </is>
      </c>
      <c r="B7262" s="1" t="n">
        <v>45670</v>
      </c>
      <c r="C7262" s="1" t="n">
        <v>45694</v>
      </c>
      <c r="D7262" t="inlineStr">
        <is>
          <t>SKÅNE LÄN</t>
        </is>
      </c>
      <c r="E7262" t="inlineStr">
        <is>
          <t>ÄNGELHOLM</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1692-2025</t>
        </is>
      </c>
      <c r="B7263" s="1" t="n">
        <v>45670</v>
      </c>
      <c r="C7263" s="1" t="n">
        <v>45694</v>
      </c>
      <c r="D7263" t="inlineStr">
        <is>
          <t>SKÅNE LÄN</t>
        </is>
      </c>
      <c r="E7263" t="inlineStr">
        <is>
          <t>HÄSSLEHOLM</t>
        </is>
      </c>
      <c r="F7263" t="inlineStr">
        <is>
          <t>Övriga Aktiebolag</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1706-2025</t>
        </is>
      </c>
      <c r="B7264" s="1" t="n">
        <v>45670</v>
      </c>
      <c r="C7264" s="1" t="n">
        <v>45694</v>
      </c>
      <c r="D7264" t="inlineStr">
        <is>
          <t>SKÅNE LÄN</t>
        </is>
      </c>
      <c r="E7264" t="inlineStr">
        <is>
          <t>HÄSSLEHOLM</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1639-2025</t>
        </is>
      </c>
      <c r="B7265" s="1" t="n">
        <v>45670</v>
      </c>
      <c r="C7265" s="1" t="n">
        <v>45694</v>
      </c>
      <c r="D7265" t="inlineStr">
        <is>
          <t>SKÅNE LÄN</t>
        </is>
      </c>
      <c r="E7265" t="inlineStr">
        <is>
          <t>ÄNGELHOLM</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1660-2025</t>
        </is>
      </c>
      <c r="B7266" s="1" t="n">
        <v>45670</v>
      </c>
      <c r="C7266" s="1" t="n">
        <v>45694</v>
      </c>
      <c r="D7266" t="inlineStr">
        <is>
          <t>SKÅNE LÄN</t>
        </is>
      </c>
      <c r="E7266" t="inlineStr">
        <is>
          <t>KRISTIANSTAD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1703-2025</t>
        </is>
      </c>
      <c r="B7267" s="1" t="n">
        <v>45670</v>
      </c>
      <c r="C7267" s="1" t="n">
        <v>45694</v>
      </c>
      <c r="D7267" t="inlineStr">
        <is>
          <t>SKÅNE LÄN</t>
        </is>
      </c>
      <c r="E7267" t="inlineStr">
        <is>
          <t>HÄSSLEHOLM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1772-2025</t>
        </is>
      </c>
      <c r="B7268" s="1" t="n">
        <v>45671</v>
      </c>
      <c r="C7268" s="1" t="n">
        <v>45694</v>
      </c>
      <c r="D7268" t="inlineStr">
        <is>
          <t>SKÅNE LÄN</t>
        </is>
      </c>
      <c r="E7268" t="inlineStr">
        <is>
          <t>KRISTIANSTAD</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1863-2025</t>
        </is>
      </c>
      <c r="B7269" s="1" t="n">
        <v>45671</v>
      </c>
      <c r="C7269" s="1" t="n">
        <v>45694</v>
      </c>
      <c r="D7269" t="inlineStr">
        <is>
          <t>SKÅNE LÄN</t>
        </is>
      </c>
      <c r="E7269" t="inlineStr">
        <is>
          <t>HÖRBY</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1879-2025</t>
        </is>
      </c>
      <c r="B7270" s="1" t="n">
        <v>45671</v>
      </c>
      <c r="C7270" s="1" t="n">
        <v>45694</v>
      </c>
      <c r="D7270" t="inlineStr">
        <is>
          <t>SKÅNE LÄN</t>
        </is>
      </c>
      <c r="E7270" t="inlineStr">
        <is>
          <t>SJÖBO</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1920-2025</t>
        </is>
      </c>
      <c r="B7271" s="1" t="n">
        <v>45671</v>
      </c>
      <c r="C7271" s="1" t="n">
        <v>45694</v>
      </c>
      <c r="D7271" t="inlineStr">
        <is>
          <t>SKÅNE LÄN</t>
        </is>
      </c>
      <c r="E7271" t="inlineStr">
        <is>
          <t>SVALÖV</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1816-2025</t>
        </is>
      </c>
      <c r="B7272" s="1" t="n">
        <v>45671</v>
      </c>
      <c r="C7272" s="1" t="n">
        <v>45694</v>
      </c>
      <c r="D7272" t="inlineStr">
        <is>
          <t>SKÅNE LÄN</t>
        </is>
      </c>
      <c r="E7272" t="inlineStr">
        <is>
          <t>PERSTORP</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1865-2025</t>
        </is>
      </c>
      <c r="B7273" s="1" t="n">
        <v>45671</v>
      </c>
      <c r="C7273" s="1" t="n">
        <v>45694</v>
      </c>
      <c r="D7273" t="inlineStr">
        <is>
          <t>SKÅNE LÄN</t>
        </is>
      </c>
      <c r="E7273" t="inlineStr">
        <is>
          <t>SJÖBO</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1901-2025</t>
        </is>
      </c>
      <c r="B7274" s="1" t="n">
        <v>45671</v>
      </c>
      <c r="C7274" s="1" t="n">
        <v>45694</v>
      </c>
      <c r="D7274" t="inlineStr">
        <is>
          <t>SKÅNE LÄN</t>
        </is>
      </c>
      <c r="E7274" t="inlineStr">
        <is>
          <t>SVALÖV</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1783-2025</t>
        </is>
      </c>
      <c r="B7275" s="1" t="n">
        <v>45671</v>
      </c>
      <c r="C7275" s="1" t="n">
        <v>45694</v>
      </c>
      <c r="D7275" t="inlineStr">
        <is>
          <t>SKÅNE LÄN</t>
        </is>
      </c>
      <c r="E7275" t="inlineStr">
        <is>
          <t>ÖRKELLJUNGA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1846-2025</t>
        </is>
      </c>
      <c r="B7276" s="1" t="n">
        <v>45671</v>
      </c>
      <c r="C7276" s="1" t="n">
        <v>45694</v>
      </c>
      <c r="D7276" t="inlineStr">
        <is>
          <t>SKÅNE LÄN</t>
        </is>
      </c>
      <c r="E7276" t="inlineStr">
        <is>
          <t>SJÖBO</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1858-2025</t>
        </is>
      </c>
      <c r="B7277" s="1" t="n">
        <v>45671</v>
      </c>
      <c r="C7277" s="1" t="n">
        <v>45694</v>
      </c>
      <c r="D7277" t="inlineStr">
        <is>
          <t>SKÅNE LÄN</t>
        </is>
      </c>
      <c r="E7277" t="inlineStr">
        <is>
          <t>SJÖBO</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1886-2025</t>
        </is>
      </c>
      <c r="B7278" s="1" t="n">
        <v>45671</v>
      </c>
      <c r="C7278" s="1" t="n">
        <v>45694</v>
      </c>
      <c r="D7278" t="inlineStr">
        <is>
          <t>SKÅNE LÄN</t>
        </is>
      </c>
      <c r="E7278" t="inlineStr">
        <is>
          <t>HÄSSLEHOLM</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1943-2025</t>
        </is>
      </c>
      <c r="B7279" s="1" t="n">
        <v>45672</v>
      </c>
      <c r="C7279" s="1" t="n">
        <v>45694</v>
      </c>
      <c r="D7279" t="inlineStr">
        <is>
          <t>SKÅNE LÄN</t>
        </is>
      </c>
      <c r="E7279" t="inlineStr">
        <is>
          <t>KRISTIANSTAD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45694</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1940-2025</t>
        </is>
      </c>
      <c r="B7281" s="1" t="n">
        <v>45672</v>
      </c>
      <c r="C7281" s="1" t="n">
        <v>45694</v>
      </c>
      <c r="D7281" t="inlineStr">
        <is>
          <t>SKÅNE LÄN</t>
        </is>
      </c>
      <c r="E7281" t="inlineStr">
        <is>
          <t>KRISTIANSTAD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2079-2025</t>
        </is>
      </c>
      <c r="B7282" s="1" t="n">
        <v>45672</v>
      </c>
      <c r="C7282" s="1" t="n">
        <v>45694</v>
      </c>
      <c r="D7282" t="inlineStr">
        <is>
          <t>SKÅNE LÄN</t>
        </is>
      </c>
      <c r="E7282" t="inlineStr">
        <is>
          <t>BÅSTAD</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2083-2025</t>
        </is>
      </c>
      <c r="B7283" s="1" t="n">
        <v>45672</v>
      </c>
      <c r="C7283" s="1" t="n">
        <v>45694</v>
      </c>
      <c r="D7283" t="inlineStr">
        <is>
          <t>SKÅNE LÄN</t>
        </is>
      </c>
      <c r="E7283" t="inlineStr">
        <is>
          <t>KLIPPAN</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2108-2025</t>
        </is>
      </c>
      <c r="B7284" s="1" t="n">
        <v>45672</v>
      </c>
      <c r="C7284" s="1" t="n">
        <v>45694</v>
      </c>
      <c r="D7284" t="inlineStr">
        <is>
          <t>SKÅNE LÄN</t>
        </is>
      </c>
      <c r="E7284" t="inlineStr">
        <is>
          <t>HÖÖR</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2399-2025</t>
        </is>
      </c>
      <c r="B7285" s="1" t="n">
        <v>45672</v>
      </c>
      <c r="C7285" s="1" t="n">
        <v>45694</v>
      </c>
      <c r="D7285" t="inlineStr">
        <is>
          <t>SKÅNE LÄN</t>
        </is>
      </c>
      <c r="E7285" t="inlineStr">
        <is>
          <t>ÖRKELLJUNGA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2114-2025</t>
        </is>
      </c>
      <c r="B7286" s="1" t="n">
        <v>45672</v>
      </c>
      <c r="C7286" s="1" t="n">
        <v>45694</v>
      </c>
      <c r="D7286" t="inlineStr">
        <is>
          <t>SKÅNE LÄN</t>
        </is>
      </c>
      <c r="E7286" t="inlineStr">
        <is>
          <t>HÖÖR</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2248-2025</t>
        </is>
      </c>
      <c r="B7287" s="1" t="n">
        <v>45673</v>
      </c>
      <c r="C7287" s="1" t="n">
        <v>45694</v>
      </c>
      <c r="D7287" t="inlineStr">
        <is>
          <t>SKÅNE LÄN</t>
        </is>
      </c>
      <c r="E7287" t="inlineStr">
        <is>
          <t>LUND</t>
        </is>
      </c>
      <c r="G7287" t="n">
        <v>11.7</v>
      </c>
      <c r="H7287" t="n">
        <v>0</v>
      </c>
      <c r="I7287" t="n">
        <v>0</v>
      </c>
      <c r="J7287" t="n">
        <v>0</v>
      </c>
      <c r="K7287" t="n">
        <v>0</v>
      </c>
      <c r="L7287" t="n">
        <v>0</v>
      </c>
      <c r="M7287" t="n">
        <v>0</v>
      </c>
      <c r="N7287" t="n">
        <v>0</v>
      </c>
      <c r="O7287" t="n">
        <v>0</v>
      </c>
      <c r="P7287" t="n">
        <v>0</v>
      </c>
      <c r="Q7287" t="n">
        <v>0</v>
      </c>
      <c r="R7287" s="2" t="inlineStr"/>
    </row>
    <row r="7288" ht="15" customHeight="1">
      <c r="A7288" t="inlineStr">
        <is>
          <t>A 2252-2025</t>
        </is>
      </c>
      <c r="B7288" s="1" t="n">
        <v>45673</v>
      </c>
      <c r="C7288" s="1" t="n">
        <v>45694</v>
      </c>
      <c r="D7288" t="inlineStr">
        <is>
          <t>SKÅNE LÄN</t>
        </is>
      </c>
      <c r="E7288" t="inlineStr">
        <is>
          <t>KLIPPAN</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2262-2025</t>
        </is>
      </c>
      <c r="B7289" s="1" t="n">
        <v>45673</v>
      </c>
      <c r="C7289" s="1" t="n">
        <v>45694</v>
      </c>
      <c r="D7289" t="inlineStr">
        <is>
          <t>SKÅNE LÄN</t>
        </is>
      </c>
      <c r="E7289" t="inlineStr">
        <is>
          <t>KLIPPAN</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2267-2025</t>
        </is>
      </c>
      <c r="B7290" s="1" t="n">
        <v>45673</v>
      </c>
      <c r="C7290" s="1" t="n">
        <v>45694</v>
      </c>
      <c r="D7290" t="inlineStr">
        <is>
          <t>SKÅNE LÄN</t>
        </is>
      </c>
      <c r="E7290" t="inlineStr">
        <is>
          <t>HÄSSLEHOLM</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2202-2025</t>
        </is>
      </c>
      <c r="B7291" s="1" t="n">
        <v>45673</v>
      </c>
      <c r="C7291" s="1" t="n">
        <v>45694</v>
      </c>
      <c r="D7291" t="inlineStr">
        <is>
          <t>SKÅNE LÄN</t>
        </is>
      </c>
      <c r="E7291" t="inlineStr">
        <is>
          <t>ÄNGELHOLM</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2242-2025</t>
        </is>
      </c>
      <c r="B7292" s="1" t="n">
        <v>45673</v>
      </c>
      <c r="C7292" s="1" t="n">
        <v>45694</v>
      </c>
      <c r="D7292" t="inlineStr">
        <is>
          <t>SKÅNE LÄN</t>
        </is>
      </c>
      <c r="E7292" t="inlineStr">
        <is>
          <t>KLIPPAN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2170-2025</t>
        </is>
      </c>
      <c r="B7293" s="1" t="n">
        <v>45673</v>
      </c>
      <c r="C7293" s="1" t="n">
        <v>45694</v>
      </c>
      <c r="D7293" t="inlineStr">
        <is>
          <t>SKÅNE LÄN</t>
        </is>
      </c>
      <c r="E7293" t="inlineStr">
        <is>
          <t>HÖRBY</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2415-2025</t>
        </is>
      </c>
      <c r="B7294" s="1" t="n">
        <v>45674</v>
      </c>
      <c r="C7294" s="1" t="n">
        <v>45694</v>
      </c>
      <c r="D7294" t="inlineStr">
        <is>
          <t>SKÅNE LÄN</t>
        </is>
      </c>
      <c r="E7294" t="inlineStr">
        <is>
          <t>SVEDALA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2453-2025</t>
        </is>
      </c>
      <c r="B7295" s="1" t="n">
        <v>45674</v>
      </c>
      <c r="C7295" s="1" t="n">
        <v>45694</v>
      </c>
      <c r="D7295" t="inlineStr">
        <is>
          <t>SKÅNE LÄN</t>
        </is>
      </c>
      <c r="E7295" t="inlineStr">
        <is>
          <t>BROMÖLLA</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2408-2025</t>
        </is>
      </c>
      <c r="B7296" s="1" t="n">
        <v>45674</v>
      </c>
      <c r="C7296" s="1" t="n">
        <v>45694</v>
      </c>
      <c r="D7296" t="inlineStr">
        <is>
          <t>SKÅNE LÄN</t>
        </is>
      </c>
      <c r="E7296" t="inlineStr">
        <is>
          <t>SVEDALA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2395-2025</t>
        </is>
      </c>
      <c r="B7297" s="1" t="n">
        <v>45674</v>
      </c>
      <c r="C7297" s="1" t="n">
        <v>45694</v>
      </c>
      <c r="D7297" t="inlineStr">
        <is>
          <t>SKÅNE LÄN</t>
        </is>
      </c>
      <c r="E7297" t="inlineStr">
        <is>
          <t>ÖRKELLJUNGA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2405-2025</t>
        </is>
      </c>
      <c r="B7298" s="1" t="n">
        <v>45674</v>
      </c>
      <c r="C7298" s="1" t="n">
        <v>45694</v>
      </c>
      <c r="D7298" t="inlineStr">
        <is>
          <t>SKÅNE LÄN</t>
        </is>
      </c>
      <c r="E7298" t="inlineStr">
        <is>
          <t>ÖRKELLJUNGA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2448-2025</t>
        </is>
      </c>
      <c r="B7299" s="1" t="n">
        <v>45674</v>
      </c>
      <c r="C7299" s="1" t="n">
        <v>45694</v>
      </c>
      <c r="D7299" t="inlineStr">
        <is>
          <t>SKÅNE LÄN</t>
        </is>
      </c>
      <c r="E7299" t="inlineStr">
        <is>
          <t>BROMÖLLA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2587-2025</t>
        </is>
      </c>
      <c r="B7300" s="1" t="n">
        <v>45674</v>
      </c>
      <c r="C7300" s="1" t="n">
        <v>45694</v>
      </c>
      <c r="D7300" t="inlineStr">
        <is>
          <t>SKÅNE LÄN</t>
        </is>
      </c>
      <c r="E7300" t="inlineStr">
        <is>
          <t>ÖSTRA GÖINGE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2543-2025</t>
        </is>
      </c>
      <c r="B7301" s="1" t="n">
        <v>45674</v>
      </c>
      <c r="C7301" s="1" t="n">
        <v>45694</v>
      </c>
      <c r="D7301" t="inlineStr">
        <is>
          <t>SKÅNE LÄN</t>
        </is>
      </c>
      <c r="E7301" t="inlineStr">
        <is>
          <t>ÖSTRA GÖINGE</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2588-2025</t>
        </is>
      </c>
      <c r="B7302" s="1" t="n">
        <v>45674</v>
      </c>
      <c r="C7302" s="1" t="n">
        <v>45694</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2550-2025</t>
        </is>
      </c>
      <c r="B7303" s="1" t="n">
        <v>45674</v>
      </c>
      <c r="C7303" s="1" t="n">
        <v>45694</v>
      </c>
      <c r="D7303" t="inlineStr">
        <is>
          <t>SKÅNE LÄN</t>
        </is>
      </c>
      <c r="E7303" t="inlineStr">
        <is>
          <t>ÖRKELLJUNGA</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45694</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2780-2025</t>
        </is>
      </c>
      <c r="B7305" s="1" t="n">
        <v>45677</v>
      </c>
      <c r="C7305" s="1" t="n">
        <v>45694</v>
      </c>
      <c r="D7305" t="inlineStr">
        <is>
          <t>SKÅNE LÄN</t>
        </is>
      </c>
      <c r="E7305" t="inlineStr">
        <is>
          <t>HÖRBY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2816-2025</t>
        </is>
      </c>
      <c r="B7306" s="1" t="n">
        <v>45677</v>
      </c>
      <c r="C7306" s="1" t="n">
        <v>45694</v>
      </c>
      <c r="D7306" t="inlineStr">
        <is>
          <t>SKÅNE LÄN</t>
        </is>
      </c>
      <c r="E7306" t="inlineStr">
        <is>
          <t>HÖRBY</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45694</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45694</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45694</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45694</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3205-2025</t>
        </is>
      </c>
      <c r="B7311" s="1" t="n">
        <v>45679</v>
      </c>
      <c r="C7311" s="1" t="n">
        <v>45694</v>
      </c>
      <c r="D7311" t="inlineStr">
        <is>
          <t>SKÅNE LÄN</t>
        </is>
      </c>
      <c r="E7311" t="inlineStr">
        <is>
          <t>ÖRKELLJUNGA</t>
        </is>
      </c>
      <c r="F7311" t="inlineStr">
        <is>
          <t>Kyrkan</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3317-2025</t>
        </is>
      </c>
      <c r="B7312" s="1" t="n">
        <v>45679</v>
      </c>
      <c r="C7312" s="1" t="n">
        <v>45694</v>
      </c>
      <c r="D7312" t="inlineStr">
        <is>
          <t>SKÅNE LÄN</t>
        </is>
      </c>
      <c r="E7312" t="inlineStr">
        <is>
          <t>HÄSSLEHOLM</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3291-2025</t>
        </is>
      </c>
      <c r="B7313" s="1" t="n">
        <v>45679</v>
      </c>
      <c r="C7313" s="1" t="n">
        <v>45694</v>
      </c>
      <c r="D7313" t="inlineStr">
        <is>
          <t>SKÅNE LÄN</t>
        </is>
      </c>
      <c r="E7313" t="inlineStr">
        <is>
          <t>TOMELILLA</t>
        </is>
      </c>
      <c r="F7313" t="inlineStr">
        <is>
          <t>Övriga Aktiebolag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3297-2025</t>
        </is>
      </c>
      <c r="B7314" s="1" t="n">
        <v>45679</v>
      </c>
      <c r="C7314" s="1" t="n">
        <v>45694</v>
      </c>
      <c r="D7314" t="inlineStr">
        <is>
          <t>SKÅNE LÄN</t>
        </is>
      </c>
      <c r="E7314" t="inlineStr">
        <is>
          <t>HÄSSLEHOLM</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45694</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45694</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45694</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3534-2025</t>
        </is>
      </c>
      <c r="B7318" s="1" t="n">
        <v>45680</v>
      </c>
      <c r="C7318" s="1" t="n">
        <v>45694</v>
      </c>
      <c r="D7318" t="inlineStr">
        <is>
          <t>SKÅNE LÄN</t>
        </is>
      </c>
      <c r="E7318" t="inlineStr">
        <is>
          <t>HÖRBY</t>
        </is>
      </c>
      <c r="F7318" t="inlineStr">
        <is>
          <t>Kyrkan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3542-2025</t>
        </is>
      </c>
      <c r="B7319" s="1" t="n">
        <v>45680</v>
      </c>
      <c r="C7319" s="1" t="n">
        <v>45694</v>
      </c>
      <c r="D7319" t="inlineStr">
        <is>
          <t>SKÅNE LÄN</t>
        </is>
      </c>
      <c r="E7319" t="inlineStr">
        <is>
          <t>HÖRBY</t>
        </is>
      </c>
      <c r="F7319" t="inlineStr">
        <is>
          <t>Kyrkan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3524-2025</t>
        </is>
      </c>
      <c r="B7320" s="1" t="n">
        <v>45680</v>
      </c>
      <c r="C7320" s="1" t="n">
        <v>45694</v>
      </c>
      <c r="D7320" t="inlineStr">
        <is>
          <t>SKÅNE LÄN</t>
        </is>
      </c>
      <c r="E7320" t="inlineStr">
        <is>
          <t>ESLÖV</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45694</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3612-2025</t>
        </is>
      </c>
      <c r="B7322" s="1" t="n">
        <v>45681</v>
      </c>
      <c r="C7322" s="1" t="n">
        <v>45694</v>
      </c>
      <c r="D7322" t="inlineStr">
        <is>
          <t>SKÅNE LÄN</t>
        </is>
      </c>
      <c r="E7322" t="inlineStr">
        <is>
          <t>HÖÖR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3591-2025</t>
        </is>
      </c>
      <c r="B7323" s="1" t="n">
        <v>45681</v>
      </c>
      <c r="C7323" s="1" t="n">
        <v>45694</v>
      </c>
      <c r="D7323" t="inlineStr">
        <is>
          <t>SKÅNE LÄN</t>
        </is>
      </c>
      <c r="E7323" t="inlineStr">
        <is>
          <t>HÖRBY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3705-2025</t>
        </is>
      </c>
      <c r="B7324" s="1" t="n">
        <v>45681</v>
      </c>
      <c r="C7324" s="1" t="n">
        <v>45694</v>
      </c>
      <c r="D7324" t="inlineStr">
        <is>
          <t>SKÅNE LÄN</t>
        </is>
      </c>
      <c r="E7324" t="inlineStr">
        <is>
          <t>OSBY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3776-2025</t>
        </is>
      </c>
      <c r="B7325" s="1" t="n">
        <v>45681</v>
      </c>
      <c r="C7325" s="1" t="n">
        <v>45694</v>
      </c>
      <c r="D7325" t="inlineStr">
        <is>
          <t>SKÅNE LÄN</t>
        </is>
      </c>
      <c r="E7325" t="inlineStr">
        <is>
          <t>HÄSSLEHOLM</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45694</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3941-2025</t>
        </is>
      </c>
      <c r="B7327" s="1" t="n">
        <v>45684</v>
      </c>
      <c r="C7327" s="1" t="n">
        <v>45694</v>
      </c>
      <c r="D7327" t="inlineStr">
        <is>
          <t>SKÅNE LÄN</t>
        </is>
      </c>
      <c r="E7327" t="inlineStr">
        <is>
          <t>ÖRKELLJUNGA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45694</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4117-2025</t>
        </is>
      </c>
      <c r="B7329" s="1" t="n">
        <v>45684</v>
      </c>
      <c r="C7329" s="1" t="n">
        <v>45694</v>
      </c>
      <c r="D7329" t="inlineStr">
        <is>
          <t>SKÅNE LÄN</t>
        </is>
      </c>
      <c r="E7329" t="inlineStr">
        <is>
          <t>ÄNGELHOLM</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3888-2025</t>
        </is>
      </c>
      <c r="B7330" s="1" t="n">
        <v>45684</v>
      </c>
      <c r="C7330" s="1" t="n">
        <v>45694</v>
      </c>
      <c r="D7330" t="inlineStr">
        <is>
          <t>SKÅNE LÄN</t>
        </is>
      </c>
      <c r="E7330" t="inlineStr">
        <is>
          <t>OSBY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4040-2025</t>
        </is>
      </c>
      <c r="B7331" s="1" t="n">
        <v>45684</v>
      </c>
      <c r="C7331" s="1" t="n">
        <v>45694</v>
      </c>
      <c r="D7331" t="inlineStr">
        <is>
          <t>SKÅNE LÄN</t>
        </is>
      </c>
      <c r="E7331" t="inlineStr">
        <is>
          <t>HÄSSLEHOLM</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4104-2025</t>
        </is>
      </c>
      <c r="B7332" s="1" t="n">
        <v>45684</v>
      </c>
      <c r="C7332" s="1" t="n">
        <v>45694</v>
      </c>
      <c r="D7332" t="inlineStr">
        <is>
          <t>SKÅNE LÄN</t>
        </is>
      </c>
      <c r="E7332" t="inlineStr">
        <is>
          <t>HÄSSLEHOLM</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4209-2025</t>
        </is>
      </c>
      <c r="B7333" s="1" t="n">
        <v>45685</v>
      </c>
      <c r="C7333" s="1" t="n">
        <v>45694</v>
      </c>
      <c r="D7333" t="inlineStr">
        <is>
          <t>SKÅNE LÄN</t>
        </is>
      </c>
      <c r="E7333" t="inlineStr">
        <is>
          <t>OSBY</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4229-2025</t>
        </is>
      </c>
      <c r="B7334" s="1" t="n">
        <v>45685</v>
      </c>
      <c r="C7334" s="1" t="n">
        <v>45694</v>
      </c>
      <c r="D7334" t="inlineStr">
        <is>
          <t>SKÅNE LÄN</t>
        </is>
      </c>
      <c r="E7334" t="inlineStr">
        <is>
          <t>OSBY</t>
        </is>
      </c>
      <c r="F7334" t="inlineStr">
        <is>
          <t>Sveaskog</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4231-2025</t>
        </is>
      </c>
      <c r="B7335" s="1" t="n">
        <v>45685</v>
      </c>
      <c r="C7335" s="1" t="n">
        <v>45694</v>
      </c>
      <c r="D7335" t="inlineStr">
        <is>
          <t>SKÅNE LÄN</t>
        </is>
      </c>
      <c r="E7335" t="inlineStr">
        <is>
          <t>OSBY</t>
        </is>
      </c>
      <c r="F7335" t="inlineStr">
        <is>
          <t>Sveaskog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4248-2025</t>
        </is>
      </c>
      <c r="B7336" s="1" t="n">
        <v>45685</v>
      </c>
      <c r="C7336" s="1" t="n">
        <v>45694</v>
      </c>
      <c r="D7336" t="inlineStr">
        <is>
          <t>SKÅNE LÄN</t>
        </is>
      </c>
      <c r="E7336" t="inlineStr">
        <is>
          <t>KRISTIANSTAD</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4177-2025</t>
        </is>
      </c>
      <c r="B7337" s="1" t="n">
        <v>45685</v>
      </c>
      <c r="C7337" s="1" t="n">
        <v>45694</v>
      </c>
      <c r="D7337" t="inlineStr">
        <is>
          <t>SKÅNE LÄN</t>
        </is>
      </c>
      <c r="E7337" t="inlineStr">
        <is>
          <t>ÖSTRA GÖINGE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4198-2025</t>
        </is>
      </c>
      <c r="B7338" s="1" t="n">
        <v>45685</v>
      </c>
      <c r="C7338" s="1" t="n">
        <v>45694</v>
      </c>
      <c r="D7338" t="inlineStr">
        <is>
          <t>SKÅNE LÄN</t>
        </is>
      </c>
      <c r="E7338" t="inlineStr">
        <is>
          <t>SIMRISHAMN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4196-2025</t>
        </is>
      </c>
      <c r="B7339" s="1" t="n">
        <v>45685</v>
      </c>
      <c r="C7339" s="1" t="n">
        <v>45694</v>
      </c>
      <c r="D7339" t="inlineStr">
        <is>
          <t>SKÅNE LÄN</t>
        </is>
      </c>
      <c r="E7339" t="inlineStr">
        <is>
          <t>ÖSTRA GÖINGE</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4232-2025</t>
        </is>
      </c>
      <c r="B7340" s="1" t="n">
        <v>45685</v>
      </c>
      <c r="C7340" s="1" t="n">
        <v>45694</v>
      </c>
      <c r="D7340" t="inlineStr">
        <is>
          <t>SKÅNE LÄN</t>
        </is>
      </c>
      <c r="E7340" t="inlineStr">
        <is>
          <t>OSBY</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4245-2025</t>
        </is>
      </c>
      <c r="B7341" s="1" t="n">
        <v>45685</v>
      </c>
      <c r="C7341" s="1" t="n">
        <v>45694</v>
      </c>
      <c r="D7341" t="inlineStr">
        <is>
          <t>SKÅNE LÄN</t>
        </is>
      </c>
      <c r="E7341" t="inlineStr">
        <is>
          <t>HÖÖR</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4256-2025</t>
        </is>
      </c>
      <c r="B7342" s="1" t="n">
        <v>45685</v>
      </c>
      <c r="C7342" s="1" t="n">
        <v>45694</v>
      </c>
      <c r="D7342" t="inlineStr">
        <is>
          <t>SKÅNE LÄN</t>
        </is>
      </c>
      <c r="E7342" t="inlineStr">
        <is>
          <t>BÅSTAD</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4247-2025</t>
        </is>
      </c>
      <c r="B7343" s="1" t="n">
        <v>45685</v>
      </c>
      <c r="C7343" s="1" t="n">
        <v>45694</v>
      </c>
      <c r="D7343" t="inlineStr">
        <is>
          <t>SKÅNE LÄN</t>
        </is>
      </c>
      <c r="E7343" t="inlineStr">
        <is>
          <t>HÖÖR</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4185-2025</t>
        </is>
      </c>
      <c r="B7344" s="1" t="n">
        <v>45685</v>
      </c>
      <c r="C7344" s="1" t="n">
        <v>45694</v>
      </c>
      <c r="D7344" t="inlineStr">
        <is>
          <t>SKÅNE LÄN</t>
        </is>
      </c>
      <c r="E7344" t="inlineStr">
        <is>
          <t>ÖSTRA GÖINGE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4411-2025</t>
        </is>
      </c>
      <c r="B7345" s="1" t="n">
        <v>45686</v>
      </c>
      <c r="C7345" s="1" t="n">
        <v>45694</v>
      </c>
      <c r="D7345" t="inlineStr">
        <is>
          <t>SKÅNE LÄN</t>
        </is>
      </c>
      <c r="E7345" t="inlineStr">
        <is>
          <t>OSBY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4458-2025</t>
        </is>
      </c>
      <c r="B7346" s="1" t="n">
        <v>45686</v>
      </c>
      <c r="C7346" s="1" t="n">
        <v>45694</v>
      </c>
      <c r="D7346" t="inlineStr">
        <is>
          <t>SKÅNE LÄN</t>
        </is>
      </c>
      <c r="E7346" t="inlineStr">
        <is>
          <t>ÖSTRA GÖINGE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4460-2025</t>
        </is>
      </c>
      <c r="B7347" s="1" t="n">
        <v>45686</v>
      </c>
      <c r="C7347" s="1" t="n">
        <v>45694</v>
      </c>
      <c r="D7347" t="inlineStr">
        <is>
          <t>SKÅNE LÄN</t>
        </is>
      </c>
      <c r="E7347" t="inlineStr">
        <is>
          <t>ÖSTRA GÖINGE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4496-2025</t>
        </is>
      </c>
      <c r="B7348" s="1" t="n">
        <v>45686</v>
      </c>
      <c r="C7348" s="1" t="n">
        <v>45694</v>
      </c>
      <c r="D7348" t="inlineStr">
        <is>
          <t>SKÅNE LÄN</t>
        </is>
      </c>
      <c r="E7348" t="inlineStr">
        <is>
          <t>OSBY</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4425-2025</t>
        </is>
      </c>
      <c r="B7349" s="1" t="n">
        <v>45686</v>
      </c>
      <c r="C7349" s="1" t="n">
        <v>45694</v>
      </c>
      <c r="D7349" t="inlineStr">
        <is>
          <t>SKÅNE LÄN</t>
        </is>
      </c>
      <c r="E7349" t="inlineStr">
        <is>
          <t>ÖSTRA GÖINGE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4421-2025</t>
        </is>
      </c>
      <c r="B7350" s="1" t="n">
        <v>45686</v>
      </c>
      <c r="C7350" s="1" t="n">
        <v>45694</v>
      </c>
      <c r="D7350" t="inlineStr">
        <is>
          <t>SKÅNE LÄN</t>
        </is>
      </c>
      <c r="E7350" t="inlineStr">
        <is>
          <t>KRISTIANSTAD</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4363-2025</t>
        </is>
      </c>
      <c r="B7351" s="1" t="n">
        <v>45686</v>
      </c>
      <c r="C7351" s="1" t="n">
        <v>45694</v>
      </c>
      <c r="D7351" t="inlineStr">
        <is>
          <t>SKÅNE LÄN</t>
        </is>
      </c>
      <c r="E7351" t="inlineStr">
        <is>
          <t>OSBY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4431-2025</t>
        </is>
      </c>
      <c r="B7352" s="1" t="n">
        <v>45686</v>
      </c>
      <c r="C7352" s="1" t="n">
        <v>45694</v>
      </c>
      <c r="D7352" t="inlineStr">
        <is>
          <t>SKÅNE LÄN</t>
        </is>
      </c>
      <c r="E7352" t="inlineStr">
        <is>
          <t>ÖSTRA GÖINGE</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4435-2025</t>
        </is>
      </c>
      <c r="B7353" s="1" t="n">
        <v>45686</v>
      </c>
      <c r="C7353" s="1" t="n">
        <v>45694</v>
      </c>
      <c r="D7353" t="inlineStr">
        <is>
          <t>SKÅNE LÄN</t>
        </is>
      </c>
      <c r="E7353" t="inlineStr">
        <is>
          <t>ÖSTRA GÖINGE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4565-2025</t>
        </is>
      </c>
      <c r="B7354" s="1" t="n">
        <v>45687</v>
      </c>
      <c r="C7354" s="1" t="n">
        <v>45694</v>
      </c>
      <c r="D7354" t="inlineStr">
        <is>
          <t>SKÅNE LÄN</t>
        </is>
      </c>
      <c r="E7354" t="inlineStr">
        <is>
          <t>OSBY</t>
        </is>
      </c>
      <c r="F7354" t="inlineStr">
        <is>
          <t>Sveaskog</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4589-2025</t>
        </is>
      </c>
      <c r="B7355" s="1" t="n">
        <v>45687</v>
      </c>
      <c r="C7355" s="1" t="n">
        <v>45694</v>
      </c>
      <c r="D7355" t="inlineStr">
        <is>
          <t>SKÅNE LÄN</t>
        </is>
      </c>
      <c r="E7355" t="inlineStr">
        <is>
          <t>HÄSSLEHOLM</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4555-2025</t>
        </is>
      </c>
      <c r="B7356" s="1" t="n">
        <v>45687</v>
      </c>
      <c r="C7356" s="1" t="n">
        <v>45694</v>
      </c>
      <c r="D7356" t="inlineStr">
        <is>
          <t>SKÅNE LÄN</t>
        </is>
      </c>
      <c r="E7356" t="inlineStr">
        <is>
          <t>HÖRBY</t>
        </is>
      </c>
      <c r="F7356" t="inlineStr">
        <is>
          <t>Sveaskog</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4579-2025</t>
        </is>
      </c>
      <c r="B7357" s="1" t="n">
        <v>45687</v>
      </c>
      <c r="C7357" s="1" t="n">
        <v>45694</v>
      </c>
      <c r="D7357" t="inlineStr">
        <is>
          <t>SKÅNE LÄN</t>
        </is>
      </c>
      <c r="E7357" t="inlineStr">
        <is>
          <t>HÄSSLEHOLM</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4595-2025</t>
        </is>
      </c>
      <c r="B7358" s="1" t="n">
        <v>45687</v>
      </c>
      <c r="C7358" s="1" t="n">
        <v>45694</v>
      </c>
      <c r="D7358" t="inlineStr">
        <is>
          <t>SKÅNE LÄN</t>
        </is>
      </c>
      <c r="E7358" t="inlineStr">
        <is>
          <t>HÄSSLEHOLM</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4615-2025</t>
        </is>
      </c>
      <c r="B7359" s="1" t="n">
        <v>45687</v>
      </c>
      <c r="C7359" s="1" t="n">
        <v>45694</v>
      </c>
      <c r="D7359" t="inlineStr">
        <is>
          <t>SKÅNE LÄN</t>
        </is>
      </c>
      <c r="E7359" t="inlineStr">
        <is>
          <t>HÄSSLEHOLM</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4598-2025</t>
        </is>
      </c>
      <c r="B7360" s="1" t="n">
        <v>45687</v>
      </c>
      <c r="C7360" s="1" t="n">
        <v>45694</v>
      </c>
      <c r="D7360" t="inlineStr">
        <is>
          <t>SKÅNE LÄN</t>
        </is>
      </c>
      <c r="E7360" t="inlineStr">
        <is>
          <t>HÄSSLEHOLM</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4574-2025</t>
        </is>
      </c>
      <c r="B7361" s="1" t="n">
        <v>45687</v>
      </c>
      <c r="C7361" s="1" t="n">
        <v>45694</v>
      </c>
      <c r="D7361" t="inlineStr">
        <is>
          <t>SKÅNE LÄN</t>
        </is>
      </c>
      <c r="E7361" t="inlineStr">
        <is>
          <t>BJUV</t>
        </is>
      </c>
      <c r="F7361" t="inlineStr">
        <is>
          <t>Kyrkan</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4605-2025</t>
        </is>
      </c>
      <c r="B7362" s="1" t="n">
        <v>45687</v>
      </c>
      <c r="C7362" s="1" t="n">
        <v>45694</v>
      </c>
      <c r="D7362" t="inlineStr">
        <is>
          <t>SKÅNE LÄN</t>
        </is>
      </c>
      <c r="E7362" t="inlineStr">
        <is>
          <t>ÄNGELHOLM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4806-2025</t>
        </is>
      </c>
      <c r="B7363" s="1" t="n">
        <v>45688</v>
      </c>
      <c r="C7363" s="1" t="n">
        <v>45694</v>
      </c>
      <c r="D7363" t="inlineStr">
        <is>
          <t>SKÅNE LÄN</t>
        </is>
      </c>
      <c r="E7363" t="inlineStr">
        <is>
          <t>HÄSSLEHOLM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4805-2025</t>
        </is>
      </c>
      <c r="B7364" s="1" t="n">
        <v>45688</v>
      </c>
      <c r="C7364" s="1" t="n">
        <v>45694</v>
      </c>
      <c r="D7364" t="inlineStr">
        <is>
          <t>SKÅNE LÄN</t>
        </is>
      </c>
      <c r="E7364" t="inlineStr">
        <is>
          <t>OSBY</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4809-2025</t>
        </is>
      </c>
      <c r="B7365" s="1" t="n">
        <v>45688</v>
      </c>
      <c r="C7365" s="1" t="n">
        <v>45694</v>
      </c>
      <c r="D7365" t="inlineStr">
        <is>
          <t>SKÅNE LÄN</t>
        </is>
      </c>
      <c r="E7365" t="inlineStr">
        <is>
          <t>HÄSSLEHOLM</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4734-2025</t>
        </is>
      </c>
      <c r="B7366" s="1" t="n">
        <v>45688</v>
      </c>
      <c r="C7366" s="1" t="n">
        <v>45694</v>
      </c>
      <c r="D7366" t="inlineStr">
        <is>
          <t>SKÅNE LÄN</t>
        </is>
      </c>
      <c r="E7366" t="inlineStr">
        <is>
          <t>HÄSSLEHOLM</t>
        </is>
      </c>
      <c r="G7366" t="n">
        <v>19.6</v>
      </c>
      <c r="H7366" t="n">
        <v>0</v>
      </c>
      <c r="I7366" t="n">
        <v>0</v>
      </c>
      <c r="J7366" t="n">
        <v>0</v>
      </c>
      <c r="K7366" t="n">
        <v>0</v>
      </c>
      <c r="L7366" t="n">
        <v>0</v>
      </c>
      <c r="M7366" t="n">
        <v>0</v>
      </c>
      <c r="N7366" t="n">
        <v>0</v>
      </c>
      <c r="O7366" t="n">
        <v>0</v>
      </c>
      <c r="P7366" t="n">
        <v>0</v>
      </c>
      <c r="Q7366" t="n">
        <v>0</v>
      </c>
      <c r="R7366" s="2" t="inlineStr"/>
    </row>
    <row r="7367" ht="15" customHeight="1">
      <c r="A7367" t="inlineStr">
        <is>
          <t>A 4755-2025</t>
        </is>
      </c>
      <c r="B7367" s="1" t="n">
        <v>45688</v>
      </c>
      <c r="C7367" s="1" t="n">
        <v>45694</v>
      </c>
      <c r="D7367" t="inlineStr">
        <is>
          <t>SKÅNE LÄN</t>
        </is>
      </c>
      <c r="E7367" t="inlineStr">
        <is>
          <t>LUND</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4787-2025</t>
        </is>
      </c>
      <c r="B7368" s="1" t="n">
        <v>45688</v>
      </c>
      <c r="C7368" s="1" t="n">
        <v>45694</v>
      </c>
      <c r="D7368" t="inlineStr">
        <is>
          <t>SKÅNE LÄN</t>
        </is>
      </c>
      <c r="E7368" t="inlineStr">
        <is>
          <t>ÖSTRA GÖINGE</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4803-2025</t>
        </is>
      </c>
      <c r="B7369" s="1" t="n">
        <v>45688</v>
      </c>
      <c r="C7369" s="1" t="n">
        <v>45694</v>
      </c>
      <c r="D7369" t="inlineStr">
        <is>
          <t>SKÅNE LÄN</t>
        </is>
      </c>
      <c r="E7369" t="inlineStr">
        <is>
          <t>LUND</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4807-2025</t>
        </is>
      </c>
      <c r="B7370" s="1" t="n">
        <v>45688</v>
      </c>
      <c r="C7370" s="1" t="n">
        <v>45694</v>
      </c>
      <c r="D7370" t="inlineStr">
        <is>
          <t>SKÅNE LÄN</t>
        </is>
      </c>
      <c r="E7370" t="inlineStr">
        <is>
          <t>OSBY</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4811-2025</t>
        </is>
      </c>
      <c r="B7371" s="1" t="n">
        <v>45688</v>
      </c>
      <c r="C7371" s="1" t="n">
        <v>45694</v>
      </c>
      <c r="D7371" t="inlineStr">
        <is>
          <t>SKÅNE LÄN</t>
        </is>
      </c>
      <c r="E7371" t="inlineStr">
        <is>
          <t>LUND</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4710-2025</t>
        </is>
      </c>
      <c r="B7372" s="1" t="n">
        <v>45688</v>
      </c>
      <c r="C7372" s="1" t="n">
        <v>45694</v>
      </c>
      <c r="D7372" t="inlineStr">
        <is>
          <t>SKÅNE LÄN</t>
        </is>
      </c>
      <c r="E7372" t="inlineStr">
        <is>
          <t>OSBY</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4756-2025</t>
        </is>
      </c>
      <c r="B7373" s="1" t="n">
        <v>45688</v>
      </c>
      <c r="C7373" s="1" t="n">
        <v>45694</v>
      </c>
      <c r="D7373" t="inlineStr">
        <is>
          <t>SKÅNE LÄN</t>
        </is>
      </c>
      <c r="E7373" t="inlineStr">
        <is>
          <t>HÖRBY</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4833-2025</t>
        </is>
      </c>
      <c r="B7374" s="1" t="n">
        <v>45688</v>
      </c>
      <c r="C7374" s="1" t="n">
        <v>45694</v>
      </c>
      <c r="D7374" t="inlineStr">
        <is>
          <t>SKÅNE LÄN</t>
        </is>
      </c>
      <c r="E7374" t="inlineStr">
        <is>
          <t>OSBY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4761-2025</t>
        </is>
      </c>
      <c r="B7375" s="1" t="n">
        <v>45688</v>
      </c>
      <c r="C7375" s="1" t="n">
        <v>45694</v>
      </c>
      <c r="D7375" t="inlineStr">
        <is>
          <t>SKÅNE LÄN</t>
        </is>
      </c>
      <c r="E7375" t="inlineStr">
        <is>
          <t>LUND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4708-2025</t>
        </is>
      </c>
      <c r="B7376" s="1" t="n">
        <v>45688</v>
      </c>
      <c r="C7376" s="1" t="n">
        <v>45694</v>
      </c>
      <c r="D7376" t="inlineStr">
        <is>
          <t>SKÅNE LÄN</t>
        </is>
      </c>
      <c r="E7376" t="inlineStr">
        <is>
          <t>OSBY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4788-2025</t>
        </is>
      </c>
      <c r="B7377" s="1" t="n">
        <v>45688</v>
      </c>
      <c r="C7377" s="1" t="n">
        <v>45694</v>
      </c>
      <c r="D7377" t="inlineStr">
        <is>
          <t>SKÅNE LÄN</t>
        </is>
      </c>
      <c r="E7377" t="inlineStr">
        <is>
          <t>LUND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4820-2025</t>
        </is>
      </c>
      <c r="B7378" s="1" t="n">
        <v>45688</v>
      </c>
      <c r="C7378" s="1" t="n">
        <v>45694</v>
      </c>
      <c r="D7378" t="inlineStr">
        <is>
          <t>SKÅNE LÄN</t>
        </is>
      </c>
      <c r="E7378" t="inlineStr">
        <is>
          <t>KLIPPAN</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45694</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45694</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5242-2025</t>
        </is>
      </c>
      <c r="B7381" s="1" t="n">
        <v>45692</v>
      </c>
      <c r="C7381" s="1" t="n">
        <v>45694</v>
      </c>
      <c r="D7381" t="inlineStr">
        <is>
          <t>SKÅNE LÄN</t>
        </is>
      </c>
      <c r="E7381" t="inlineStr">
        <is>
          <t>HÄSSLEHOLM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5354-2025</t>
        </is>
      </c>
      <c r="B7382" s="1" t="n">
        <v>45692</v>
      </c>
      <c r="C7382" s="1" t="n">
        <v>45694</v>
      </c>
      <c r="D7382" t="inlineStr">
        <is>
          <t>SKÅNE LÄN</t>
        </is>
      </c>
      <c r="E7382" t="inlineStr">
        <is>
          <t>KRISTIANSTAD</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5391-2025</t>
        </is>
      </c>
      <c r="B7383" s="1" t="n">
        <v>45692</v>
      </c>
      <c r="C7383" s="1" t="n">
        <v>45694</v>
      </c>
      <c r="D7383" t="inlineStr">
        <is>
          <t>SKÅNE LÄN</t>
        </is>
      </c>
      <c r="E7383" t="inlineStr">
        <is>
          <t>OSBY</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5444-2025</t>
        </is>
      </c>
      <c r="B7384" s="1" t="n">
        <v>45692</v>
      </c>
      <c r="C7384" s="1" t="n">
        <v>45694</v>
      </c>
      <c r="D7384" t="inlineStr">
        <is>
          <t>SKÅNE LÄN</t>
        </is>
      </c>
      <c r="E7384" t="inlineStr">
        <is>
          <t>SJÖBO</t>
        </is>
      </c>
      <c r="F7384" t="inlineStr">
        <is>
          <t>Övriga Aktiebolag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5252-2025</t>
        </is>
      </c>
      <c r="B7385" s="1" t="n">
        <v>45692</v>
      </c>
      <c r="C7385" s="1" t="n">
        <v>45694</v>
      </c>
      <c r="D7385" t="inlineStr">
        <is>
          <t>SKÅNE LÄN</t>
        </is>
      </c>
      <c r="E7385" t="inlineStr">
        <is>
          <t>HÄSSLEHOLM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5659-2025</t>
        </is>
      </c>
      <c r="B7386" s="1" t="n">
        <v>45693</v>
      </c>
      <c r="C7386" s="1" t="n">
        <v>45694</v>
      </c>
      <c r="D7386" t="inlineStr">
        <is>
          <t>SKÅNE LÄN</t>
        </is>
      </c>
      <c r="E7386" t="inlineStr">
        <is>
          <t>BROMÖLLA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5658-2025</t>
        </is>
      </c>
      <c r="B7387" s="1" t="n">
        <v>45693</v>
      </c>
      <c r="C7387" s="1" t="n">
        <v>45694</v>
      </c>
      <c r="D7387" t="inlineStr">
        <is>
          <t>SKÅNE LÄN</t>
        </is>
      </c>
      <c r="E7387" t="inlineStr">
        <is>
          <t>BROMÖLLA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5531-2025</t>
        </is>
      </c>
      <c r="B7388" s="1" t="n">
        <v>45693</v>
      </c>
      <c r="C7388" s="1" t="n">
        <v>45694</v>
      </c>
      <c r="D7388" t="inlineStr">
        <is>
          <t>SKÅNE LÄN</t>
        </is>
      </c>
      <c r="E7388" t="inlineStr">
        <is>
          <t>HÄSSLEHOLM</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5532-2025</t>
        </is>
      </c>
      <c r="B7389" s="1" t="n">
        <v>45693</v>
      </c>
      <c r="C7389" s="1" t="n">
        <v>45694</v>
      </c>
      <c r="D7389" t="inlineStr">
        <is>
          <t>SKÅNE LÄN</t>
        </is>
      </c>
      <c r="E7389" t="inlineStr">
        <is>
          <t>HÄSSLEHOLM</t>
        </is>
      </c>
      <c r="G7389" t="n">
        <v>2.4</v>
      </c>
      <c r="H7389" t="n">
        <v>0</v>
      </c>
      <c r="I7389" t="n">
        <v>0</v>
      </c>
      <c r="J7389" t="n">
        <v>0</v>
      </c>
      <c r="K7389" t="n">
        <v>0</v>
      </c>
      <c r="L7389" t="n">
        <v>0</v>
      </c>
      <c r="M7389" t="n">
        <v>0</v>
      </c>
      <c r="N7389" t="n">
        <v>0</v>
      </c>
      <c r="O7389" t="n">
        <v>0</v>
      </c>
      <c r="P7389" t="n">
        <v>0</v>
      </c>
      <c r="Q7389" t="n">
        <v>0</v>
      </c>
      <c r="R7389" s="2" t="inlineStr"/>
    </row>
    <row r="7390">
      <c r="A7390" t="inlineStr">
        <is>
          <t>A 5594-2025</t>
        </is>
      </c>
      <c r="B7390" s="1" t="n">
        <v>45693</v>
      </c>
      <c r="C7390" s="1" t="n">
        <v>45694</v>
      </c>
      <c r="D7390" t="inlineStr">
        <is>
          <t>SKÅNE LÄN</t>
        </is>
      </c>
      <c r="E7390" t="inlineStr">
        <is>
          <t>KRISTIANSTAD</t>
        </is>
      </c>
      <c r="G7390" t="n">
        <v>1.2</v>
      </c>
      <c r="H7390" t="n">
        <v>0</v>
      </c>
      <c r="I7390" t="n">
        <v>0</v>
      </c>
      <c r="J7390" t="n">
        <v>0</v>
      </c>
      <c r="K7390" t="n">
        <v>0</v>
      </c>
      <c r="L7390" t="n">
        <v>0</v>
      </c>
      <c r="M7390" t="n">
        <v>0</v>
      </c>
      <c r="N7390" t="n">
        <v>0</v>
      </c>
      <c r="O7390" t="n">
        <v>0</v>
      </c>
      <c r="P7390" t="n">
        <v>0</v>
      </c>
      <c r="Q7390" t="n">
        <v>0</v>
      </c>
      <c r="R7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2025-02-06T16:49:24Z</dcterms:created>
  <dcterms:modified xmlns:dcterms="http://purl.org/dc/terms/" xmlns:xsi="http://www.w3.org/2001/XMLSchema-instance" xsi:type="dcterms:W3CDTF">2025-02-06T16:49:30Z</dcterms:modified>
</cp:coreProperties>
</file>