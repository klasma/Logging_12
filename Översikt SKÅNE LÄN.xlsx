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45704</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45704</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45704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45704</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45704</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45704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45704</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45704</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45704</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45704</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45704</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45704</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45704</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45704</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45704</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45704</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45704</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45704</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45704</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45704</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45704</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45704</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45704</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45704</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45704</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45704</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45704</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45704</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45704</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45704</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45704</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45704</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24304-2020</t>
        </is>
      </c>
      <c r="B34" s="1" t="n">
        <v>43976</v>
      </c>
      <c r="C34" s="1" t="n">
        <v>45704</v>
      </c>
      <c r="D34" t="inlineStr">
        <is>
          <t>SKÅNE LÄN</t>
        </is>
      </c>
      <c r="E34" t="inlineStr">
        <is>
          <t>OSBY</t>
        </is>
      </c>
      <c r="F34" t="inlineStr">
        <is>
          <t>Kyrkan</t>
        </is>
      </c>
      <c r="G34" t="n">
        <v>13.9</v>
      </c>
      <c r="H34" t="n">
        <v>1</v>
      </c>
      <c r="I34" t="n">
        <v>3</v>
      </c>
      <c r="J34" t="n">
        <v>1</v>
      </c>
      <c r="K34" t="n">
        <v>1</v>
      </c>
      <c r="L34" t="n">
        <v>0</v>
      </c>
      <c r="M34" t="n">
        <v>0</v>
      </c>
      <c r="N34" t="n">
        <v>0</v>
      </c>
      <c r="O34" t="n">
        <v>2</v>
      </c>
      <c r="P34" t="n">
        <v>1</v>
      </c>
      <c r="Q34" t="n">
        <v>5</v>
      </c>
      <c r="R34" s="2" t="inlineStr">
        <is>
          <t>Knärot
Vedtrappmossa
Brandticka
Kornknutmossa
Skuggmossa</t>
        </is>
      </c>
      <c r="S34">
        <f>HYPERLINK("https://klasma.github.io/Logging_1273/artfynd/A 24304-2020 artfynd.xlsx", "A 24304-2020")</f>
        <v/>
      </c>
      <c r="T34">
        <f>HYPERLINK("https://klasma.github.io/Logging_1273/kartor/A 24304-2020 karta.png", "A 24304-2020")</f>
        <v/>
      </c>
      <c r="U34">
        <f>HYPERLINK("https://klasma.github.io/Logging_1273/knärot/A 24304-2020 karta knärot.png",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74502-2021</t>
        </is>
      </c>
      <c r="B35" s="1" t="n">
        <v>44560</v>
      </c>
      <c r="C35" s="1" t="n">
        <v>45704</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45-2022</t>
        </is>
      </c>
      <c r="B36" s="1" t="n">
        <v>44564</v>
      </c>
      <c r="C36" s="1" t="n">
        <v>45704</v>
      </c>
      <c r="D36" t="inlineStr">
        <is>
          <t>SKÅNE LÄN</t>
        </is>
      </c>
      <c r="E36" t="inlineStr">
        <is>
          <t>SIMRISHAMN</t>
        </is>
      </c>
      <c r="F36" t="inlineStr">
        <is>
          <t>Övriga Aktiebolag</t>
        </is>
      </c>
      <c r="G36" t="n">
        <v>7.2</v>
      </c>
      <c r="H36" t="n">
        <v>0</v>
      </c>
      <c r="I36" t="n">
        <v>1</v>
      </c>
      <c r="J36" t="n">
        <v>4</v>
      </c>
      <c r="K36" t="n">
        <v>0</v>
      </c>
      <c r="L36" t="n">
        <v>0</v>
      </c>
      <c r="M36" t="n">
        <v>0</v>
      </c>
      <c r="N36" t="n">
        <v>0</v>
      </c>
      <c r="O36" t="n">
        <v>4</v>
      </c>
      <c r="P36" t="n">
        <v>0</v>
      </c>
      <c r="Q36" t="n">
        <v>5</v>
      </c>
      <c r="R36" s="2" t="inlineStr">
        <is>
          <t>Bokvårtlav
Lunglav
Mjukdån
Småjungfrukam
Stor knopplav</t>
        </is>
      </c>
      <c r="S36">
        <f>HYPERLINK("https://klasma.github.io/Logging_1291/artfynd/A 45-2022 artfynd.xlsx", "A 45-2022")</f>
        <v/>
      </c>
      <c r="T36">
        <f>HYPERLINK("https://klasma.github.io/Logging_1291/kartor/A 45-2022 karta.png", "A 45-2022")</f>
        <v/>
      </c>
      <c r="V36">
        <f>HYPERLINK("https://klasma.github.io/Logging_1291/klagomål/A 45-2022 FSC-klagomål.docx", "A 45-2022")</f>
        <v/>
      </c>
      <c r="W36">
        <f>HYPERLINK("https://klasma.github.io/Logging_1291/klagomålsmail/A 45-2022 FSC-klagomål mail.docx", "A 45-2022")</f>
        <v/>
      </c>
      <c r="X36">
        <f>HYPERLINK("https://klasma.github.io/Logging_1291/tillsyn/A 45-2022 tillsynsbegäran.docx", "A 45-2022")</f>
        <v/>
      </c>
      <c r="Y36">
        <f>HYPERLINK("https://klasma.github.io/Logging_1291/tillsynsmail/A 45-2022 tillsynsbegäran mail.docx", "A 45-2022")</f>
        <v/>
      </c>
    </row>
    <row r="37" ht="15" customHeight="1">
      <c r="A37" t="inlineStr">
        <is>
          <t>A 18589-2022</t>
        </is>
      </c>
      <c r="B37" s="1" t="n">
        <v>44687</v>
      </c>
      <c r="C37" s="1" t="n">
        <v>45704</v>
      </c>
      <c r="D37" t="inlineStr">
        <is>
          <t>SKÅNE LÄN</t>
        </is>
      </c>
      <c r="E37" t="inlineStr">
        <is>
          <t>SIMRISHAMN</t>
        </is>
      </c>
      <c r="G37" t="n">
        <v>2.5</v>
      </c>
      <c r="H37" t="n">
        <v>1</v>
      </c>
      <c r="I37" t="n">
        <v>0</v>
      </c>
      <c r="J37" t="n">
        <v>2</v>
      </c>
      <c r="K37" t="n">
        <v>1</v>
      </c>
      <c r="L37" t="n">
        <v>1</v>
      </c>
      <c r="M37" t="n">
        <v>1</v>
      </c>
      <c r="N37" t="n">
        <v>0</v>
      </c>
      <c r="O37" t="n">
        <v>5</v>
      </c>
      <c r="P37" t="n">
        <v>3</v>
      </c>
      <c r="Q37" t="n">
        <v>5</v>
      </c>
      <c r="R37" s="2" t="inlineStr">
        <is>
          <t>Skogsalm
Ask
Backsippa
Sminkrot
Åkerkulla</t>
        </is>
      </c>
      <c r="S37">
        <f>HYPERLINK("https://klasma.github.io/Logging_1291/artfynd/A 18589-2022 artfynd.xlsx", "A 18589-2022")</f>
        <v/>
      </c>
      <c r="T37">
        <f>HYPERLINK("https://klasma.github.io/Logging_1291/kartor/A 18589-2022 karta.png", "A 18589-2022")</f>
        <v/>
      </c>
      <c r="V37">
        <f>HYPERLINK("https://klasma.github.io/Logging_1291/klagomål/A 18589-2022 FSC-klagomål.docx", "A 18589-2022")</f>
        <v/>
      </c>
      <c r="W37">
        <f>HYPERLINK("https://klasma.github.io/Logging_1291/klagomålsmail/A 18589-2022 FSC-klagomål mail.docx", "A 18589-2022")</f>
        <v/>
      </c>
      <c r="X37">
        <f>HYPERLINK("https://klasma.github.io/Logging_1291/tillsyn/A 18589-2022 tillsynsbegäran.docx", "A 18589-2022")</f>
        <v/>
      </c>
      <c r="Y37">
        <f>HYPERLINK("https://klasma.github.io/Logging_1291/tillsynsmail/A 18589-2022 tillsynsbegäran mail.docx", "A 18589-2022")</f>
        <v/>
      </c>
    </row>
    <row r="38" ht="15" customHeight="1">
      <c r="A38" t="inlineStr">
        <is>
          <t>A 39855-2022</t>
        </is>
      </c>
      <c r="B38" s="1" t="n">
        <v>44819</v>
      </c>
      <c r="C38" s="1" t="n">
        <v>45704</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4059-2023</t>
        </is>
      </c>
      <c r="B39" s="1" t="n">
        <v>44952</v>
      </c>
      <c r="C39" s="1" t="n">
        <v>45704</v>
      </c>
      <c r="D39" t="inlineStr">
        <is>
          <t>SKÅNE LÄN</t>
        </is>
      </c>
      <c r="E39" t="inlineStr">
        <is>
          <t>HÄSSLEHOLM</t>
        </is>
      </c>
      <c r="G39" t="n">
        <v>2.9</v>
      </c>
      <c r="H39" t="n">
        <v>5</v>
      </c>
      <c r="I39" t="n">
        <v>0</v>
      </c>
      <c r="J39" t="n">
        <v>0</v>
      </c>
      <c r="K39" t="n">
        <v>0</v>
      </c>
      <c r="L39" t="n">
        <v>0</v>
      </c>
      <c r="M39" t="n">
        <v>0</v>
      </c>
      <c r="N39" t="n">
        <v>0</v>
      </c>
      <c r="O39" t="n">
        <v>0</v>
      </c>
      <c r="P39" t="n">
        <v>0</v>
      </c>
      <c r="Q39" t="n">
        <v>5</v>
      </c>
      <c r="R39" s="2" t="inlineStr">
        <is>
          <t>Dvärgpipistrell
Gråskimlig fladdermus
Större brunfladdermus
Trollpipistrell
Vattenfladdermus</t>
        </is>
      </c>
      <c r="S39">
        <f>HYPERLINK("https://klasma.github.io/Logging_1293/artfynd/A 4059-2023 artfynd.xlsx", "A 4059-2023")</f>
        <v/>
      </c>
      <c r="T39">
        <f>HYPERLINK("https://klasma.github.io/Logging_1293/kartor/A 4059-2023 karta.png", "A 4059-2023")</f>
        <v/>
      </c>
      <c r="V39">
        <f>HYPERLINK("https://klasma.github.io/Logging_1293/klagomål/A 4059-2023 FSC-klagomål.docx", "A 4059-2023")</f>
        <v/>
      </c>
      <c r="W39">
        <f>HYPERLINK("https://klasma.github.io/Logging_1293/klagomålsmail/A 4059-2023 FSC-klagomål mail.docx", "A 4059-2023")</f>
        <v/>
      </c>
      <c r="X39">
        <f>HYPERLINK("https://klasma.github.io/Logging_1293/tillsyn/A 4059-2023 tillsynsbegäran.docx", "A 4059-2023")</f>
        <v/>
      </c>
      <c r="Y39">
        <f>HYPERLINK("https://klasma.github.io/Logging_1293/tillsynsmail/A 4059-2023 tillsynsbegäran mail.docx", "A 4059-2023")</f>
        <v/>
      </c>
    </row>
    <row r="40" ht="15" customHeight="1">
      <c r="A40" t="inlineStr">
        <is>
          <t>A 13467-2023</t>
        </is>
      </c>
      <c r="B40" s="1" t="n">
        <v>45005</v>
      </c>
      <c r="C40" s="1" t="n">
        <v>45704</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19019-2024</t>
        </is>
      </c>
      <c r="B41" s="1" t="n">
        <v>45427</v>
      </c>
      <c r="C41" s="1" t="n">
        <v>45704</v>
      </c>
      <c r="D41" t="inlineStr">
        <is>
          <t>SKÅNE LÄN</t>
        </is>
      </c>
      <c r="E41" t="inlineStr">
        <is>
          <t>HÄSSLEHOLM</t>
        </is>
      </c>
      <c r="G41" t="n">
        <v>5.4</v>
      </c>
      <c r="H41" t="n">
        <v>0</v>
      </c>
      <c r="I41" t="n">
        <v>4</v>
      </c>
      <c r="J41" t="n">
        <v>0</v>
      </c>
      <c r="K41" t="n">
        <v>1</v>
      </c>
      <c r="L41" t="n">
        <v>0</v>
      </c>
      <c r="M41" t="n">
        <v>0</v>
      </c>
      <c r="N41" t="n">
        <v>0</v>
      </c>
      <c r="O41" t="n">
        <v>1</v>
      </c>
      <c r="P41" t="n">
        <v>1</v>
      </c>
      <c r="Q41" t="n">
        <v>5</v>
      </c>
      <c r="R41" s="2" t="inlineStr">
        <is>
          <t>Ädelkronlav
Fällmossa
Havstulpanlav
Klippfrullania
Rostfläck</t>
        </is>
      </c>
      <c r="S41">
        <f>HYPERLINK("https://klasma.github.io/Logging_1293/artfynd/A 19019-2024 artfynd.xlsx", "A 19019-2024")</f>
        <v/>
      </c>
      <c r="T41">
        <f>HYPERLINK("https://klasma.github.io/Logging_1293/kartor/A 19019-2024 karta.png", "A 19019-2024")</f>
        <v/>
      </c>
      <c r="V41">
        <f>HYPERLINK("https://klasma.github.io/Logging_1293/klagomål/A 19019-2024 FSC-klagomål.docx", "A 19019-2024")</f>
        <v/>
      </c>
      <c r="W41">
        <f>HYPERLINK("https://klasma.github.io/Logging_1293/klagomålsmail/A 19019-2024 FSC-klagomål mail.docx", "A 19019-2024")</f>
        <v/>
      </c>
      <c r="X41">
        <f>HYPERLINK("https://klasma.github.io/Logging_1293/tillsyn/A 19019-2024 tillsynsbegäran.docx", "A 19019-2024")</f>
        <v/>
      </c>
      <c r="Y41">
        <f>HYPERLINK("https://klasma.github.io/Logging_1293/tillsynsmail/A 19019-2024 tillsynsbegäran mail.docx", "A 19019-2024")</f>
        <v/>
      </c>
    </row>
    <row r="42" ht="15" customHeight="1">
      <c r="A42" t="inlineStr">
        <is>
          <t>A 20194-2024</t>
        </is>
      </c>
      <c r="B42" s="1" t="n">
        <v>45434</v>
      </c>
      <c r="C42" s="1" t="n">
        <v>45704</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19986-2019</t>
        </is>
      </c>
      <c r="B43" s="1" t="n">
        <v>43567</v>
      </c>
      <c r="C43" s="1" t="n">
        <v>45704</v>
      </c>
      <c r="D43" t="inlineStr">
        <is>
          <t>SKÅNE LÄN</t>
        </is>
      </c>
      <c r="E43" t="inlineStr">
        <is>
          <t>SIMRISHAMN</t>
        </is>
      </c>
      <c r="G43" t="n">
        <v>2</v>
      </c>
      <c r="H43" t="n">
        <v>1</v>
      </c>
      <c r="I43" t="n">
        <v>1</v>
      </c>
      <c r="J43" t="n">
        <v>1</v>
      </c>
      <c r="K43" t="n">
        <v>1</v>
      </c>
      <c r="L43" t="n">
        <v>0</v>
      </c>
      <c r="M43" t="n">
        <v>0</v>
      </c>
      <c r="N43" t="n">
        <v>0</v>
      </c>
      <c r="O43" t="n">
        <v>2</v>
      </c>
      <c r="P43" t="n">
        <v>1</v>
      </c>
      <c r="Q43" t="n">
        <v>4</v>
      </c>
      <c r="R43" s="2" t="inlineStr">
        <is>
          <t>Småvänderot
Majviva
Axag
Gullviva</t>
        </is>
      </c>
      <c r="S43">
        <f>HYPERLINK("https://klasma.github.io/Logging_1291/artfynd/A 19986-2019 artfynd.xlsx", "A 19986-2019")</f>
        <v/>
      </c>
      <c r="T43">
        <f>HYPERLINK("https://klasma.github.io/Logging_1291/kartor/A 19986-2019 karta.png", "A 19986-2019")</f>
        <v/>
      </c>
      <c r="V43">
        <f>HYPERLINK("https://klasma.github.io/Logging_1291/klagomål/A 19986-2019 FSC-klagomål.docx", "A 19986-2019")</f>
        <v/>
      </c>
      <c r="W43">
        <f>HYPERLINK("https://klasma.github.io/Logging_1291/klagomålsmail/A 19986-2019 FSC-klagomål mail.docx", "A 19986-2019")</f>
        <v/>
      </c>
      <c r="X43">
        <f>HYPERLINK("https://klasma.github.io/Logging_1291/tillsyn/A 19986-2019 tillsynsbegäran.docx", "A 19986-2019")</f>
        <v/>
      </c>
      <c r="Y43">
        <f>HYPERLINK("https://klasma.github.io/Logging_1291/tillsynsmail/A 19986-2019 tillsynsbegäran mail.docx", "A 19986-2019")</f>
        <v/>
      </c>
    </row>
    <row r="44" ht="15" customHeight="1">
      <c r="A44" t="inlineStr">
        <is>
          <t>A 55942-2019</t>
        </is>
      </c>
      <c r="B44" s="1" t="n">
        <v>43755</v>
      </c>
      <c r="C44" s="1" t="n">
        <v>45704</v>
      </c>
      <c r="D44" t="inlineStr">
        <is>
          <t>SKÅNE LÄN</t>
        </is>
      </c>
      <c r="E44" t="inlineStr">
        <is>
          <t>KÄVLINGE</t>
        </is>
      </c>
      <c r="F44" t="inlineStr">
        <is>
          <t>Övriga Aktiebolag</t>
        </is>
      </c>
      <c r="G44" t="n">
        <v>5.4</v>
      </c>
      <c r="H44" t="n">
        <v>0</v>
      </c>
      <c r="I44" t="n">
        <v>3</v>
      </c>
      <c r="J44" t="n">
        <v>1</v>
      </c>
      <c r="K44" t="n">
        <v>0</v>
      </c>
      <c r="L44" t="n">
        <v>0</v>
      </c>
      <c r="M44" t="n">
        <v>0</v>
      </c>
      <c r="N44" t="n">
        <v>0</v>
      </c>
      <c r="O44" t="n">
        <v>1</v>
      </c>
      <c r="P44" t="n">
        <v>0</v>
      </c>
      <c r="Q44" t="n">
        <v>4</v>
      </c>
      <c r="R44" s="2" t="inlineStr">
        <is>
          <t>Paddfot
Bokoxe
Guldlockmossa
Lönnlav</t>
        </is>
      </c>
      <c r="S44">
        <f>HYPERLINK("https://klasma.github.io/Logging_1261/artfynd/A 55942-2019 artfynd.xlsx", "A 55942-2019")</f>
        <v/>
      </c>
      <c r="T44">
        <f>HYPERLINK("https://klasma.github.io/Logging_1261/kartor/A 55942-2019 karta.png", "A 55942-2019")</f>
        <v/>
      </c>
      <c r="V44">
        <f>HYPERLINK("https://klasma.github.io/Logging_1261/klagomål/A 55942-2019 FSC-klagomål.docx", "A 55942-2019")</f>
        <v/>
      </c>
      <c r="W44">
        <f>HYPERLINK("https://klasma.github.io/Logging_1261/klagomålsmail/A 55942-2019 FSC-klagomål mail.docx", "A 55942-2019")</f>
        <v/>
      </c>
      <c r="X44">
        <f>HYPERLINK("https://klasma.github.io/Logging_1261/tillsyn/A 55942-2019 tillsynsbegäran.docx", "A 55942-2019")</f>
        <v/>
      </c>
      <c r="Y44">
        <f>HYPERLINK("https://klasma.github.io/Logging_1261/tillsynsmail/A 55942-2019 tillsynsbegäran mail.docx", "A 55942-2019")</f>
        <v/>
      </c>
    </row>
    <row r="45" ht="15" customHeight="1">
      <c r="A45" t="inlineStr">
        <is>
          <t>A 56519-2019</t>
        </is>
      </c>
      <c r="B45" s="1" t="n">
        <v>43763</v>
      </c>
      <c r="C45" s="1" t="n">
        <v>45704</v>
      </c>
      <c r="D45" t="inlineStr">
        <is>
          <t>SKÅNE LÄN</t>
        </is>
      </c>
      <c r="E45" t="inlineStr">
        <is>
          <t>TOMELILLA</t>
        </is>
      </c>
      <c r="F45" t="inlineStr">
        <is>
          <t>Övriga Aktiebolag</t>
        </is>
      </c>
      <c r="G45" t="n">
        <v>3.2</v>
      </c>
      <c r="H45" t="n">
        <v>1</v>
      </c>
      <c r="I45" t="n">
        <v>2</v>
      </c>
      <c r="J45" t="n">
        <v>2</v>
      </c>
      <c r="K45" t="n">
        <v>0</v>
      </c>
      <c r="L45" t="n">
        <v>0</v>
      </c>
      <c r="M45" t="n">
        <v>0</v>
      </c>
      <c r="N45" t="n">
        <v>0</v>
      </c>
      <c r="O45" t="n">
        <v>2</v>
      </c>
      <c r="P45" t="n">
        <v>0</v>
      </c>
      <c r="Q45" t="n">
        <v>4</v>
      </c>
      <c r="R45" s="2" t="inlineStr">
        <is>
          <t>Barbastell
Krusfrö
Kransrams
Sårläka</t>
        </is>
      </c>
      <c r="S45">
        <f>HYPERLINK("https://klasma.github.io/Logging_1270/artfynd/A 56519-2019 artfynd.xlsx", "A 56519-2019")</f>
        <v/>
      </c>
      <c r="T45">
        <f>HYPERLINK("https://klasma.github.io/Logging_1270/kartor/A 56519-2019 karta.png", "A 56519-2019")</f>
        <v/>
      </c>
      <c r="V45">
        <f>HYPERLINK("https://klasma.github.io/Logging_1270/klagomål/A 56519-2019 FSC-klagomål.docx", "A 56519-2019")</f>
        <v/>
      </c>
      <c r="W45">
        <f>HYPERLINK("https://klasma.github.io/Logging_1270/klagomålsmail/A 56519-2019 FSC-klagomål mail.docx", "A 56519-2019")</f>
        <v/>
      </c>
      <c r="X45">
        <f>HYPERLINK("https://klasma.github.io/Logging_1270/tillsyn/A 56519-2019 tillsynsbegäran.docx", "A 56519-2019")</f>
        <v/>
      </c>
      <c r="Y45">
        <f>HYPERLINK("https://klasma.github.io/Logging_1270/tillsynsmail/A 56519-2019 tillsynsbegäran mail.docx", "A 56519-2019")</f>
        <v/>
      </c>
    </row>
    <row r="46" ht="15" customHeight="1">
      <c r="A46" t="inlineStr">
        <is>
          <t>A 59155-2022</t>
        </is>
      </c>
      <c r="B46" s="1" t="n">
        <v>44897</v>
      </c>
      <c r="C46" s="1" t="n">
        <v>45704</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60427-2022</t>
        </is>
      </c>
      <c r="B47" s="1" t="n">
        <v>44911</v>
      </c>
      <c r="C47" s="1" t="n">
        <v>45704</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24278-2023</t>
        </is>
      </c>
      <c r="B48" s="1" t="n">
        <v>45079</v>
      </c>
      <c r="C48" s="1" t="n">
        <v>45704</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28703-2023</t>
        </is>
      </c>
      <c r="B49" s="1" t="n">
        <v>45103</v>
      </c>
      <c r="C49" s="1" t="n">
        <v>45704</v>
      </c>
      <c r="D49" t="inlineStr">
        <is>
          <t>SKÅNE LÄN</t>
        </is>
      </c>
      <c r="E49" t="inlineStr">
        <is>
          <t>KLIPPAN</t>
        </is>
      </c>
      <c r="G49" t="n">
        <v>4.9</v>
      </c>
      <c r="H49" t="n">
        <v>2</v>
      </c>
      <c r="I49" t="n">
        <v>2</v>
      </c>
      <c r="J49" t="n">
        <v>2</v>
      </c>
      <c r="K49" t="n">
        <v>0</v>
      </c>
      <c r="L49" t="n">
        <v>0</v>
      </c>
      <c r="M49" t="n">
        <v>0</v>
      </c>
      <c r="N49" t="n">
        <v>0</v>
      </c>
      <c r="O49" t="n">
        <v>2</v>
      </c>
      <c r="P49" t="n">
        <v>0</v>
      </c>
      <c r="Q49" t="n">
        <v>4</v>
      </c>
      <c r="R49" s="2" t="inlineStr">
        <is>
          <t>Entita
Spillkråka
Blomkålssvamp
Sotriska</t>
        </is>
      </c>
      <c r="S49">
        <f>HYPERLINK("https://klasma.github.io/Logging_1276/artfynd/A 28703-2023 artfynd.xlsx", "A 28703-2023")</f>
        <v/>
      </c>
      <c r="T49">
        <f>HYPERLINK("https://klasma.github.io/Logging_1276/kartor/A 28703-2023 karta.png", "A 28703-2023")</f>
        <v/>
      </c>
      <c r="V49">
        <f>HYPERLINK("https://klasma.github.io/Logging_1276/klagomål/A 28703-2023 FSC-klagomål.docx", "A 28703-2023")</f>
        <v/>
      </c>
      <c r="W49">
        <f>HYPERLINK("https://klasma.github.io/Logging_1276/klagomålsmail/A 28703-2023 FSC-klagomål mail.docx", "A 28703-2023")</f>
        <v/>
      </c>
      <c r="X49">
        <f>HYPERLINK("https://klasma.github.io/Logging_1276/tillsyn/A 28703-2023 tillsynsbegäran.docx", "A 28703-2023")</f>
        <v/>
      </c>
      <c r="Y49">
        <f>HYPERLINK("https://klasma.github.io/Logging_1276/tillsynsmail/A 28703-2023 tillsynsbegäran mail.docx", "A 28703-2023")</f>
        <v/>
      </c>
      <c r="Z49">
        <f>HYPERLINK("https://klasma.github.io/Logging_1276/fåglar/A 28703-2023 prioriterade fågelarter.docx", "A 28703-2023")</f>
        <v/>
      </c>
    </row>
    <row r="50" ht="15" customHeight="1">
      <c r="A50" t="inlineStr">
        <is>
          <t>A 28963-2023</t>
        </is>
      </c>
      <c r="B50" s="1" t="n">
        <v>45104</v>
      </c>
      <c r="C50" s="1" t="n">
        <v>45704</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60543-2023</t>
        </is>
      </c>
      <c r="B51" s="1" t="n">
        <v>45259</v>
      </c>
      <c r="C51" s="1" t="n">
        <v>45704</v>
      </c>
      <c r="D51" t="inlineStr">
        <is>
          <t>SKÅNE LÄN</t>
        </is>
      </c>
      <c r="E51" t="inlineStr">
        <is>
          <t>SJÖBO</t>
        </is>
      </c>
      <c r="G51" t="n">
        <v>4.6</v>
      </c>
      <c r="H51" t="n">
        <v>1</v>
      </c>
      <c r="I51" t="n">
        <v>3</v>
      </c>
      <c r="J51" t="n">
        <v>1</v>
      </c>
      <c r="K51" t="n">
        <v>0</v>
      </c>
      <c r="L51" t="n">
        <v>0</v>
      </c>
      <c r="M51" t="n">
        <v>0</v>
      </c>
      <c r="N51" t="n">
        <v>0</v>
      </c>
      <c r="O51" t="n">
        <v>1</v>
      </c>
      <c r="P51" t="n">
        <v>0</v>
      </c>
      <c r="Q51" t="n">
        <v>4</v>
      </c>
      <c r="R51" s="2" t="inlineStr">
        <is>
          <t>Trollfibbla
Kransrams
Stor häxört
Tvåblad</t>
        </is>
      </c>
      <c r="S51">
        <f>HYPERLINK("https://klasma.github.io/Logging_1265/artfynd/A 60543-2023 artfynd.xlsx", "A 60543-2023")</f>
        <v/>
      </c>
      <c r="T51">
        <f>HYPERLINK("https://klasma.github.io/Logging_1265/kartor/A 60543-2023 karta.png", "A 60543-2023")</f>
        <v/>
      </c>
      <c r="V51">
        <f>HYPERLINK("https://klasma.github.io/Logging_1265/klagomål/A 60543-2023 FSC-klagomål.docx", "A 60543-2023")</f>
        <v/>
      </c>
      <c r="W51">
        <f>HYPERLINK("https://klasma.github.io/Logging_1265/klagomålsmail/A 60543-2023 FSC-klagomål mail.docx", "A 60543-2023")</f>
        <v/>
      </c>
      <c r="X51">
        <f>HYPERLINK("https://klasma.github.io/Logging_1265/tillsyn/A 60543-2023 tillsynsbegäran.docx", "A 60543-2023")</f>
        <v/>
      </c>
      <c r="Y51">
        <f>HYPERLINK("https://klasma.github.io/Logging_1265/tillsynsmail/A 60543-2023 tillsynsbegäran mail.docx", "A 60543-2023")</f>
        <v/>
      </c>
    </row>
    <row r="52" ht="15" customHeight="1">
      <c r="A52" t="inlineStr">
        <is>
          <t>A 62987-2023</t>
        </is>
      </c>
      <c r="B52" s="1" t="n">
        <v>45272</v>
      </c>
      <c r="C52" s="1" t="n">
        <v>45704</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726-2024</t>
        </is>
      </c>
      <c r="B53" s="1" t="n">
        <v>45300</v>
      </c>
      <c r="C53" s="1" t="n">
        <v>45704</v>
      </c>
      <c r="D53" t="inlineStr">
        <is>
          <t>SKÅNE LÄN</t>
        </is>
      </c>
      <c r="E53" t="inlineStr">
        <is>
          <t>HÖRBY</t>
        </is>
      </c>
      <c r="G53" t="n">
        <v>5</v>
      </c>
      <c r="H53" t="n">
        <v>3</v>
      </c>
      <c r="I53" t="n">
        <v>0</v>
      </c>
      <c r="J53" t="n">
        <v>2</v>
      </c>
      <c r="K53" t="n">
        <v>2</v>
      </c>
      <c r="L53" t="n">
        <v>0</v>
      </c>
      <c r="M53" t="n">
        <v>0</v>
      </c>
      <c r="N53" t="n">
        <v>0</v>
      </c>
      <c r="O53" t="n">
        <v>4</v>
      </c>
      <c r="P53" t="n">
        <v>2</v>
      </c>
      <c r="Q53" t="n">
        <v>4</v>
      </c>
      <c r="R53" s="2" t="inlineStr">
        <is>
          <t>Småvänderot
Tofsvipa
Björktrast
Gulsparv</t>
        </is>
      </c>
      <c r="S53">
        <f>HYPERLINK("https://klasma.github.io/Logging_1266/artfynd/A 726-2024 artfynd.xlsx", "A 726-2024")</f>
        <v/>
      </c>
      <c r="T53">
        <f>HYPERLINK("https://klasma.github.io/Logging_1266/kartor/A 726-2024 karta.png", "A 726-2024")</f>
        <v/>
      </c>
      <c r="V53">
        <f>HYPERLINK("https://klasma.github.io/Logging_1266/klagomål/A 726-2024 FSC-klagomål.docx", "A 726-2024")</f>
        <v/>
      </c>
      <c r="W53">
        <f>HYPERLINK("https://klasma.github.io/Logging_1266/klagomålsmail/A 726-2024 FSC-klagomål mail.docx", "A 726-2024")</f>
        <v/>
      </c>
      <c r="X53">
        <f>HYPERLINK("https://klasma.github.io/Logging_1266/tillsyn/A 726-2024 tillsynsbegäran.docx", "A 726-2024")</f>
        <v/>
      </c>
      <c r="Y53">
        <f>HYPERLINK("https://klasma.github.io/Logging_1266/tillsynsmail/A 726-2024 tillsynsbegäran mail.docx", "A 726-2024")</f>
        <v/>
      </c>
      <c r="Z53">
        <f>HYPERLINK("https://klasma.github.io/Logging_1266/fåglar/A 726-2024 prioriterade fågelarter.docx", "A 726-2024")</f>
        <v/>
      </c>
    </row>
    <row r="54" ht="15" customHeight="1">
      <c r="A54" t="inlineStr">
        <is>
          <t>A 2787-2024</t>
        </is>
      </c>
      <c r="B54" s="1" t="n">
        <v>45314</v>
      </c>
      <c r="C54" s="1" t="n">
        <v>45704</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22337-2024</t>
        </is>
      </c>
      <c r="B55" s="1" t="n">
        <v>45446</v>
      </c>
      <c r="C55" s="1" t="n">
        <v>45704</v>
      </c>
      <c r="D55" t="inlineStr">
        <is>
          <t>SKÅNE LÄN</t>
        </is>
      </c>
      <c r="E55" t="inlineStr">
        <is>
          <t>SJÖBO</t>
        </is>
      </c>
      <c r="G55" t="n">
        <v>12.6</v>
      </c>
      <c r="H55" t="n">
        <v>1</v>
      </c>
      <c r="I55" t="n">
        <v>3</v>
      </c>
      <c r="J55" t="n">
        <v>0</v>
      </c>
      <c r="K55" t="n">
        <v>1</v>
      </c>
      <c r="L55" t="n">
        <v>0</v>
      </c>
      <c r="M55" t="n">
        <v>0</v>
      </c>
      <c r="N55" t="n">
        <v>0</v>
      </c>
      <c r="O55" t="n">
        <v>1</v>
      </c>
      <c r="P55" t="n">
        <v>1</v>
      </c>
      <c r="Q55" t="n">
        <v>4</v>
      </c>
      <c r="R55" s="2" t="inlineStr">
        <is>
          <t>Fläcklungört
Kransrams
Myskmadra
Skogsknipprot</t>
        </is>
      </c>
      <c r="S55">
        <f>HYPERLINK("https://klasma.github.io/Logging_1265/artfynd/A 22337-2024 artfynd.xlsx", "A 22337-2024")</f>
        <v/>
      </c>
      <c r="T55">
        <f>HYPERLINK("https://klasma.github.io/Logging_1265/kartor/A 22337-2024 karta.png", "A 22337-2024")</f>
        <v/>
      </c>
      <c r="V55">
        <f>HYPERLINK("https://klasma.github.io/Logging_1265/klagomål/A 22337-2024 FSC-klagomål.docx", "A 22337-2024")</f>
        <v/>
      </c>
      <c r="W55">
        <f>HYPERLINK("https://klasma.github.io/Logging_1265/klagomålsmail/A 22337-2024 FSC-klagomål mail.docx", "A 22337-2024")</f>
        <v/>
      </c>
      <c r="X55">
        <f>HYPERLINK("https://klasma.github.io/Logging_1265/tillsyn/A 22337-2024 tillsynsbegäran.docx", "A 22337-2024")</f>
        <v/>
      </c>
      <c r="Y55">
        <f>HYPERLINK("https://klasma.github.io/Logging_1265/tillsynsmail/A 22337-2024 tillsynsbegäran mail.docx", "A 22337-2024")</f>
        <v/>
      </c>
    </row>
    <row r="56" ht="15" customHeight="1">
      <c r="A56" t="inlineStr">
        <is>
          <t>A 29843-2024</t>
        </is>
      </c>
      <c r="B56" s="1" t="n">
        <v>45485</v>
      </c>
      <c r="C56" s="1" t="n">
        <v>45704</v>
      </c>
      <c r="D56" t="inlineStr">
        <is>
          <t>SKÅNE LÄN</t>
        </is>
      </c>
      <c r="E56" t="inlineStr">
        <is>
          <t>HÄSSLEHOLM</t>
        </is>
      </c>
      <c r="G56" t="n">
        <v>2.7</v>
      </c>
      <c r="H56" t="n">
        <v>0</v>
      </c>
      <c r="I56" t="n">
        <v>2</v>
      </c>
      <c r="J56" t="n">
        <v>1</v>
      </c>
      <c r="K56" t="n">
        <v>1</v>
      </c>
      <c r="L56" t="n">
        <v>0</v>
      </c>
      <c r="M56" t="n">
        <v>0</v>
      </c>
      <c r="N56" t="n">
        <v>0</v>
      </c>
      <c r="O56" t="n">
        <v>2</v>
      </c>
      <c r="P56" t="n">
        <v>1</v>
      </c>
      <c r="Q56" t="n">
        <v>4</v>
      </c>
      <c r="R56" s="2" t="inlineStr">
        <is>
          <t>Gulvit blekspik
Bokvårtlav
Gulnål
Platt fjädermossa</t>
        </is>
      </c>
      <c r="S56">
        <f>HYPERLINK("https://klasma.github.io/Logging_1293/artfynd/A 29843-2024 artfynd.xlsx", "A 29843-2024")</f>
        <v/>
      </c>
      <c r="T56">
        <f>HYPERLINK("https://klasma.github.io/Logging_1293/kartor/A 29843-2024 karta.png", "A 29843-2024")</f>
        <v/>
      </c>
      <c r="V56">
        <f>HYPERLINK("https://klasma.github.io/Logging_1293/klagomål/A 29843-2024 FSC-klagomål.docx", "A 29843-2024")</f>
        <v/>
      </c>
      <c r="W56">
        <f>HYPERLINK("https://klasma.github.io/Logging_1293/klagomålsmail/A 29843-2024 FSC-klagomål mail.docx", "A 29843-2024")</f>
        <v/>
      </c>
      <c r="X56">
        <f>HYPERLINK("https://klasma.github.io/Logging_1293/tillsyn/A 29843-2024 tillsynsbegäran.docx", "A 29843-2024")</f>
        <v/>
      </c>
      <c r="Y56">
        <f>HYPERLINK("https://klasma.github.io/Logging_1293/tillsynsmail/A 29843-2024 tillsynsbegäran mail.docx", "A 29843-2024")</f>
        <v/>
      </c>
    </row>
    <row r="57" ht="15" customHeight="1">
      <c r="A57" t="inlineStr">
        <is>
          <t>A 42062-2024</t>
        </is>
      </c>
      <c r="B57" s="1" t="n">
        <v>45561</v>
      </c>
      <c r="C57" s="1" t="n">
        <v>45704</v>
      </c>
      <c r="D57" t="inlineStr">
        <is>
          <t>SKÅNE LÄN</t>
        </is>
      </c>
      <c r="E57" t="inlineStr">
        <is>
          <t>BROMÖLLA</t>
        </is>
      </c>
      <c r="G57" t="n">
        <v>12.2</v>
      </c>
      <c r="H57" t="n">
        <v>0</v>
      </c>
      <c r="I57" t="n">
        <v>4</v>
      </c>
      <c r="J57" t="n">
        <v>0</v>
      </c>
      <c r="K57" t="n">
        <v>0</v>
      </c>
      <c r="L57" t="n">
        <v>0</v>
      </c>
      <c r="M57" t="n">
        <v>0</v>
      </c>
      <c r="N57" t="n">
        <v>0</v>
      </c>
      <c r="O57" t="n">
        <v>0</v>
      </c>
      <c r="P57" t="n">
        <v>0</v>
      </c>
      <c r="Q57" t="n">
        <v>4</v>
      </c>
      <c r="R57" s="2" t="inlineStr">
        <is>
          <t>Ekskinn
Havstulpanlav
Rostfläck
Västlig hakmossa</t>
        </is>
      </c>
      <c r="S57">
        <f>HYPERLINK("https://klasma.github.io/Logging_1272/artfynd/A 42062-2024 artfynd.xlsx", "A 42062-2024")</f>
        <v/>
      </c>
      <c r="T57">
        <f>HYPERLINK("https://klasma.github.io/Logging_1272/kartor/A 42062-2024 karta.png", "A 42062-2024")</f>
        <v/>
      </c>
      <c r="V57">
        <f>HYPERLINK("https://klasma.github.io/Logging_1272/klagomål/A 42062-2024 FSC-klagomål.docx", "A 42062-2024")</f>
        <v/>
      </c>
      <c r="W57">
        <f>HYPERLINK("https://klasma.github.io/Logging_1272/klagomålsmail/A 42062-2024 FSC-klagomål mail.docx", "A 42062-2024")</f>
        <v/>
      </c>
      <c r="X57">
        <f>HYPERLINK("https://klasma.github.io/Logging_1272/tillsyn/A 42062-2024 tillsynsbegäran.docx", "A 42062-2024")</f>
        <v/>
      </c>
      <c r="Y57">
        <f>HYPERLINK("https://klasma.github.io/Logging_1272/tillsynsmail/A 42062-2024 tillsynsbegäran mail.docx", "A 42062-2024")</f>
        <v/>
      </c>
    </row>
    <row r="58" ht="15" customHeight="1">
      <c r="A58" t="inlineStr">
        <is>
          <t>A 18861-2019</t>
        </is>
      </c>
      <c r="B58" s="1" t="n">
        <v>43563</v>
      </c>
      <c r="C58" s="1" t="n">
        <v>45704</v>
      </c>
      <c r="D58" t="inlineStr">
        <is>
          <t>SKÅNE LÄN</t>
        </is>
      </c>
      <c r="E58" t="inlineStr">
        <is>
          <t>KLIPPAN</t>
        </is>
      </c>
      <c r="G58" t="n">
        <v>3</v>
      </c>
      <c r="H58" t="n">
        <v>3</v>
      </c>
      <c r="I58" t="n">
        <v>0</v>
      </c>
      <c r="J58" t="n">
        <v>1</v>
      </c>
      <c r="K58" t="n">
        <v>0</v>
      </c>
      <c r="L58" t="n">
        <v>0</v>
      </c>
      <c r="M58" t="n">
        <v>0</v>
      </c>
      <c r="N58" t="n">
        <v>0</v>
      </c>
      <c r="O58" t="n">
        <v>1</v>
      </c>
      <c r="P58" t="n">
        <v>0</v>
      </c>
      <c r="Q58" t="n">
        <v>3</v>
      </c>
      <c r="R58" s="2" t="inlineStr">
        <is>
          <t>Havsörn
Skogsduva
Trana</t>
        </is>
      </c>
      <c r="S58">
        <f>HYPERLINK("https://klasma.github.io/Logging_1276/artfynd/A 18861-2019 artfynd.xlsx", "A 18861-2019")</f>
        <v/>
      </c>
      <c r="T58">
        <f>HYPERLINK("https://klasma.github.io/Logging_1276/kartor/A 18861-2019 karta.png", "A 18861-2019")</f>
        <v/>
      </c>
      <c r="V58">
        <f>HYPERLINK("https://klasma.github.io/Logging_1276/klagomål/A 18861-2019 FSC-klagomål.docx", "A 18861-2019")</f>
        <v/>
      </c>
      <c r="W58">
        <f>HYPERLINK("https://klasma.github.io/Logging_1276/klagomålsmail/A 18861-2019 FSC-klagomål mail.docx", "A 18861-2019")</f>
        <v/>
      </c>
      <c r="X58">
        <f>HYPERLINK("https://klasma.github.io/Logging_1276/tillsyn/A 18861-2019 tillsynsbegäran.docx", "A 18861-2019")</f>
        <v/>
      </c>
      <c r="Y58">
        <f>HYPERLINK("https://klasma.github.io/Logging_1276/tillsynsmail/A 18861-2019 tillsynsbegäran mail.docx", "A 18861-2019")</f>
        <v/>
      </c>
      <c r="Z58">
        <f>HYPERLINK("https://klasma.github.io/Logging_1276/fåglar/A 18861-2019 prioriterade fågelarter.docx", "A 18861-2019")</f>
        <v/>
      </c>
    </row>
    <row r="59" ht="15" customHeight="1">
      <c r="A59" t="inlineStr">
        <is>
          <t>A 23366-2019</t>
        </is>
      </c>
      <c r="B59" s="1" t="n">
        <v>43593</v>
      </c>
      <c r="C59" s="1" t="n">
        <v>45704</v>
      </c>
      <c r="D59" t="inlineStr">
        <is>
          <t>SKÅNE LÄN</t>
        </is>
      </c>
      <c r="E59" t="inlineStr">
        <is>
          <t>KRISTIANSTAD</t>
        </is>
      </c>
      <c r="F59" t="inlineStr">
        <is>
          <t>Kommuner</t>
        </is>
      </c>
      <c r="G59" t="n">
        <v>2.1</v>
      </c>
      <c r="H59" t="n">
        <v>2</v>
      </c>
      <c r="I59" t="n">
        <v>0</v>
      </c>
      <c r="J59" t="n">
        <v>2</v>
      </c>
      <c r="K59" t="n">
        <v>1</v>
      </c>
      <c r="L59" t="n">
        <v>0</v>
      </c>
      <c r="M59" t="n">
        <v>0</v>
      </c>
      <c r="N59" t="n">
        <v>0</v>
      </c>
      <c r="O59" t="n">
        <v>3</v>
      </c>
      <c r="P59" t="n">
        <v>1</v>
      </c>
      <c r="Q59" t="n">
        <v>3</v>
      </c>
      <c r="R59" s="2" t="inlineStr">
        <is>
          <t>Hedblomster
Svartfläckig blåvinge
Ängsmetallvinge</t>
        </is>
      </c>
      <c r="S59">
        <f>HYPERLINK("https://klasma.github.io/Logging_1290/artfynd/A 23366-2019 artfynd.xlsx", "A 23366-2019")</f>
        <v/>
      </c>
      <c r="T59">
        <f>HYPERLINK("https://klasma.github.io/Logging_1290/kartor/A 23366-2019 karta.png", "A 23366-2019")</f>
        <v/>
      </c>
      <c r="V59">
        <f>HYPERLINK("https://klasma.github.io/Logging_1290/klagomål/A 23366-2019 FSC-klagomål.docx", "A 23366-2019")</f>
        <v/>
      </c>
      <c r="W59">
        <f>HYPERLINK("https://klasma.github.io/Logging_1290/klagomålsmail/A 23366-2019 FSC-klagomål mail.docx", "A 23366-2019")</f>
        <v/>
      </c>
      <c r="X59">
        <f>HYPERLINK("https://klasma.github.io/Logging_1290/tillsyn/A 23366-2019 tillsynsbegäran.docx", "A 23366-2019")</f>
        <v/>
      </c>
      <c r="Y59">
        <f>HYPERLINK("https://klasma.github.io/Logging_1290/tillsynsmail/A 23366-2019 tillsynsbegäran mail.docx", "A 23366-2019")</f>
        <v/>
      </c>
    </row>
    <row r="60" ht="15" customHeight="1">
      <c r="A60" t="inlineStr">
        <is>
          <t>A 30721-2019</t>
        </is>
      </c>
      <c r="B60" s="1" t="n">
        <v>43636</v>
      </c>
      <c r="C60" s="1" t="n">
        <v>45704</v>
      </c>
      <c r="D60" t="inlineStr">
        <is>
          <t>SKÅNE LÄN</t>
        </is>
      </c>
      <c r="E60" t="inlineStr">
        <is>
          <t>SVEDALA</t>
        </is>
      </c>
      <c r="G60" t="n">
        <v>2</v>
      </c>
      <c r="H60" t="n">
        <v>2</v>
      </c>
      <c r="I60" t="n">
        <v>1</v>
      </c>
      <c r="J60" t="n">
        <v>1</v>
      </c>
      <c r="K60" t="n">
        <v>1</v>
      </c>
      <c r="L60" t="n">
        <v>0</v>
      </c>
      <c r="M60" t="n">
        <v>0</v>
      </c>
      <c r="N60" t="n">
        <v>0</v>
      </c>
      <c r="O60" t="n">
        <v>2</v>
      </c>
      <c r="P60" t="n">
        <v>1</v>
      </c>
      <c r="Q60" t="n">
        <v>3</v>
      </c>
      <c r="R60" s="2" t="inlineStr">
        <is>
          <t>Stare
Entita
Vätteros</t>
        </is>
      </c>
      <c r="S60">
        <f>HYPERLINK("https://klasma.github.io/Logging_1263/artfynd/A 30721-2019 artfynd.xlsx", "A 30721-2019")</f>
        <v/>
      </c>
      <c r="T60">
        <f>HYPERLINK("https://klasma.github.io/Logging_1263/kartor/A 30721-2019 karta.png", "A 30721-2019")</f>
        <v/>
      </c>
      <c r="V60">
        <f>HYPERLINK("https://klasma.github.io/Logging_1263/klagomål/A 30721-2019 FSC-klagomål.docx", "A 30721-2019")</f>
        <v/>
      </c>
      <c r="W60">
        <f>HYPERLINK("https://klasma.github.io/Logging_1263/klagomålsmail/A 30721-2019 FSC-klagomål mail.docx", "A 30721-2019")</f>
        <v/>
      </c>
      <c r="X60">
        <f>HYPERLINK("https://klasma.github.io/Logging_1263/tillsyn/A 30721-2019 tillsynsbegäran.docx", "A 30721-2019")</f>
        <v/>
      </c>
      <c r="Y60">
        <f>HYPERLINK("https://klasma.github.io/Logging_1263/tillsynsmail/A 30721-2019 tillsynsbegäran mail.docx", "A 30721-2019")</f>
        <v/>
      </c>
      <c r="Z60">
        <f>HYPERLINK("https://klasma.github.io/Logging_1263/fåglar/A 30721-2019 prioriterade fågelarter.docx", "A 30721-2019")</f>
        <v/>
      </c>
    </row>
    <row r="61" ht="15" customHeight="1">
      <c r="A61" t="inlineStr">
        <is>
          <t>A 43229-2019</t>
        </is>
      </c>
      <c r="B61" s="1" t="n">
        <v>43700</v>
      </c>
      <c r="C61" s="1" t="n">
        <v>45704</v>
      </c>
      <c r="D61" t="inlineStr">
        <is>
          <t>SKÅNE LÄN</t>
        </is>
      </c>
      <c r="E61" t="inlineStr">
        <is>
          <t>LUND</t>
        </is>
      </c>
      <c r="G61" t="n">
        <v>12.3</v>
      </c>
      <c r="H61" t="n">
        <v>3</v>
      </c>
      <c r="I61" t="n">
        <v>0</v>
      </c>
      <c r="J61" t="n">
        <v>1</v>
      </c>
      <c r="K61" t="n">
        <v>0</v>
      </c>
      <c r="L61" t="n">
        <v>0</v>
      </c>
      <c r="M61" t="n">
        <v>0</v>
      </c>
      <c r="N61" t="n">
        <v>0</v>
      </c>
      <c r="O61" t="n">
        <v>1</v>
      </c>
      <c r="P61" t="n">
        <v>0</v>
      </c>
      <c r="Q61" t="n">
        <v>3</v>
      </c>
      <c r="R61" s="2" t="inlineStr">
        <is>
          <t>Spillkråka
Nötkråka
Ätlig groda</t>
        </is>
      </c>
      <c r="S61">
        <f>HYPERLINK("https://klasma.github.io/Logging_1281/artfynd/A 43229-2019 artfynd.xlsx", "A 43229-2019")</f>
        <v/>
      </c>
      <c r="T61">
        <f>HYPERLINK("https://klasma.github.io/Logging_1281/kartor/A 43229-2019 karta.png", "A 43229-2019")</f>
        <v/>
      </c>
      <c r="V61">
        <f>HYPERLINK("https://klasma.github.io/Logging_1281/klagomål/A 43229-2019 FSC-klagomål.docx", "A 43229-2019")</f>
        <v/>
      </c>
      <c r="W61">
        <f>HYPERLINK("https://klasma.github.io/Logging_1281/klagomålsmail/A 43229-2019 FSC-klagomål mail.docx", "A 43229-2019")</f>
        <v/>
      </c>
      <c r="X61">
        <f>HYPERLINK("https://klasma.github.io/Logging_1281/tillsyn/A 43229-2019 tillsynsbegäran.docx", "A 43229-2019")</f>
        <v/>
      </c>
      <c r="Y61">
        <f>HYPERLINK("https://klasma.github.io/Logging_1281/tillsynsmail/A 43229-2019 tillsynsbegäran mail.docx", "A 43229-2019")</f>
        <v/>
      </c>
      <c r="Z61">
        <f>HYPERLINK("https://klasma.github.io/Logging_1281/fåglar/A 43229-2019 prioriterade fågelarter.docx", "A 43229-2019")</f>
        <v/>
      </c>
    </row>
    <row r="62" ht="15" customHeight="1">
      <c r="A62" t="inlineStr">
        <is>
          <t>A 61588-2019</t>
        </is>
      </c>
      <c r="B62" s="1" t="n">
        <v>43777</v>
      </c>
      <c r="C62" s="1" t="n">
        <v>45704</v>
      </c>
      <c r="D62" t="inlineStr">
        <is>
          <t>SKÅNE LÄN</t>
        </is>
      </c>
      <c r="E62" t="inlineStr">
        <is>
          <t>SVALÖV</t>
        </is>
      </c>
      <c r="G62" t="n">
        <v>0.9</v>
      </c>
      <c r="H62" t="n">
        <v>0</v>
      </c>
      <c r="I62" t="n">
        <v>2</v>
      </c>
      <c r="J62" t="n">
        <v>0</v>
      </c>
      <c r="K62" t="n">
        <v>0</v>
      </c>
      <c r="L62" t="n">
        <v>1</v>
      </c>
      <c r="M62" t="n">
        <v>0</v>
      </c>
      <c r="N62" t="n">
        <v>0</v>
      </c>
      <c r="O62" t="n">
        <v>1</v>
      </c>
      <c r="P62" t="n">
        <v>1</v>
      </c>
      <c r="Q62" t="n">
        <v>3</v>
      </c>
      <c r="R62" s="2" t="inlineStr">
        <is>
          <t>Ask
Springkorn
Stor häxört</t>
        </is>
      </c>
      <c r="S62">
        <f>HYPERLINK("https://klasma.github.io/Logging_1214/artfynd/A 61588-2019 artfynd.xlsx", "A 61588-2019")</f>
        <v/>
      </c>
      <c r="T62">
        <f>HYPERLINK("https://klasma.github.io/Logging_1214/kartor/A 61588-2019 karta.png", "A 61588-2019")</f>
        <v/>
      </c>
      <c r="V62">
        <f>HYPERLINK("https://klasma.github.io/Logging_1214/klagomål/A 61588-2019 FSC-klagomål.docx", "A 61588-2019")</f>
        <v/>
      </c>
      <c r="W62">
        <f>HYPERLINK("https://klasma.github.io/Logging_1214/klagomålsmail/A 61588-2019 FSC-klagomål mail.docx", "A 61588-2019")</f>
        <v/>
      </c>
      <c r="X62">
        <f>HYPERLINK("https://klasma.github.io/Logging_1214/tillsyn/A 61588-2019 tillsynsbegäran.docx", "A 61588-2019")</f>
        <v/>
      </c>
      <c r="Y62">
        <f>HYPERLINK("https://klasma.github.io/Logging_1214/tillsynsmail/A 61588-2019 tillsynsbegäran mail.docx", "A 61588-2019")</f>
        <v/>
      </c>
    </row>
    <row r="63" ht="15" customHeight="1">
      <c r="A63" t="inlineStr">
        <is>
          <t>A 61593-2019</t>
        </is>
      </c>
      <c r="B63" s="1" t="n">
        <v>43777</v>
      </c>
      <c r="C63" s="1" t="n">
        <v>45704</v>
      </c>
      <c r="D63" t="inlineStr">
        <is>
          <t>SKÅNE LÄN</t>
        </is>
      </c>
      <c r="E63" t="inlineStr">
        <is>
          <t>SVALÖV</t>
        </is>
      </c>
      <c r="G63" t="n">
        <v>0.4</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61593-2019 artfynd.xlsx", "A 61593-2019")</f>
        <v/>
      </c>
      <c r="T63">
        <f>HYPERLINK("https://klasma.github.io/Logging_1214/kartor/A 61593-2019 karta.png", "A 61593-2019")</f>
        <v/>
      </c>
      <c r="V63">
        <f>HYPERLINK("https://klasma.github.io/Logging_1214/klagomål/A 61593-2019 FSC-klagomål.docx", "A 61593-2019")</f>
        <v/>
      </c>
      <c r="W63">
        <f>HYPERLINK("https://klasma.github.io/Logging_1214/klagomålsmail/A 61593-2019 FSC-klagomål mail.docx", "A 61593-2019")</f>
        <v/>
      </c>
      <c r="X63">
        <f>HYPERLINK("https://klasma.github.io/Logging_1214/tillsyn/A 61593-2019 tillsynsbegäran.docx", "A 61593-2019")</f>
        <v/>
      </c>
      <c r="Y63">
        <f>HYPERLINK("https://klasma.github.io/Logging_1214/tillsynsmail/A 61593-2019 tillsynsbegäran mail.docx", "A 61593-2019")</f>
        <v/>
      </c>
    </row>
    <row r="64" ht="15" customHeight="1">
      <c r="A64" t="inlineStr">
        <is>
          <t>A 68737-2019</t>
        </is>
      </c>
      <c r="B64" s="1" t="n">
        <v>43819</v>
      </c>
      <c r="C64" s="1" t="n">
        <v>45704</v>
      </c>
      <c r="D64" t="inlineStr">
        <is>
          <t>SKÅNE LÄN</t>
        </is>
      </c>
      <c r="E64" t="inlineStr">
        <is>
          <t>KLIPPAN</t>
        </is>
      </c>
      <c r="F64" t="inlineStr">
        <is>
          <t>Sveaskog</t>
        </is>
      </c>
      <c r="G64" t="n">
        <v>3.1</v>
      </c>
      <c r="H64" t="n">
        <v>1</v>
      </c>
      <c r="I64" t="n">
        <v>2</v>
      </c>
      <c r="J64" t="n">
        <v>1</v>
      </c>
      <c r="K64" t="n">
        <v>0</v>
      </c>
      <c r="L64" t="n">
        <v>0</v>
      </c>
      <c r="M64" t="n">
        <v>0</v>
      </c>
      <c r="N64" t="n">
        <v>0</v>
      </c>
      <c r="O64" t="n">
        <v>1</v>
      </c>
      <c r="P64" t="n">
        <v>0</v>
      </c>
      <c r="Q64" t="n">
        <v>3</v>
      </c>
      <c r="R64" s="2" t="inlineStr">
        <is>
          <t>Spillkråka
Rostfläck
Västlig hakmossa</t>
        </is>
      </c>
      <c r="S64">
        <f>HYPERLINK("https://klasma.github.io/Logging_1276/artfynd/A 68737-2019 artfynd.xlsx", "A 68737-2019")</f>
        <v/>
      </c>
      <c r="T64">
        <f>HYPERLINK("https://klasma.github.io/Logging_1276/kartor/A 68737-2019 karta.png", "A 68737-2019")</f>
        <v/>
      </c>
      <c r="V64">
        <f>HYPERLINK("https://klasma.github.io/Logging_1276/klagomål/A 68737-2019 FSC-klagomål.docx", "A 68737-2019")</f>
        <v/>
      </c>
      <c r="W64">
        <f>HYPERLINK("https://klasma.github.io/Logging_1276/klagomålsmail/A 68737-2019 FSC-klagomål mail.docx", "A 68737-2019")</f>
        <v/>
      </c>
      <c r="X64">
        <f>HYPERLINK("https://klasma.github.io/Logging_1276/tillsyn/A 68737-2019 tillsynsbegäran.docx", "A 68737-2019")</f>
        <v/>
      </c>
      <c r="Y64">
        <f>HYPERLINK("https://klasma.github.io/Logging_1276/tillsynsmail/A 68737-2019 tillsynsbegäran mail.docx", "A 68737-2019")</f>
        <v/>
      </c>
      <c r="Z64">
        <f>HYPERLINK("https://klasma.github.io/Logging_1276/fåglar/A 68737-2019 prioriterade fågelarter.docx", "A 68737-2019")</f>
        <v/>
      </c>
    </row>
    <row r="65" ht="15" customHeight="1">
      <c r="A65" t="inlineStr">
        <is>
          <t>A 1233-2020</t>
        </is>
      </c>
      <c r="B65" s="1" t="n">
        <v>43828</v>
      </c>
      <c r="C65" s="1" t="n">
        <v>45704</v>
      </c>
      <c r="D65" t="inlineStr">
        <is>
          <t>SKÅNE LÄN</t>
        </is>
      </c>
      <c r="E65" t="inlineStr">
        <is>
          <t>SVALÖV</t>
        </is>
      </c>
      <c r="G65" t="n">
        <v>7.8</v>
      </c>
      <c r="H65" t="n">
        <v>0</v>
      </c>
      <c r="I65" t="n">
        <v>2</v>
      </c>
      <c r="J65" t="n">
        <v>0</v>
      </c>
      <c r="K65" t="n">
        <v>0</v>
      </c>
      <c r="L65" t="n">
        <v>1</v>
      </c>
      <c r="M65" t="n">
        <v>0</v>
      </c>
      <c r="N65" t="n">
        <v>0</v>
      </c>
      <c r="O65" t="n">
        <v>1</v>
      </c>
      <c r="P65" t="n">
        <v>1</v>
      </c>
      <c r="Q65" t="n">
        <v>3</v>
      </c>
      <c r="R65" s="2" t="inlineStr">
        <is>
          <t>Ask
Myskmadra
Stor häxört</t>
        </is>
      </c>
      <c r="S65">
        <f>HYPERLINK("https://klasma.github.io/Logging_1214/artfynd/A 1233-2020 artfynd.xlsx", "A 1233-2020")</f>
        <v/>
      </c>
      <c r="T65">
        <f>HYPERLINK("https://klasma.github.io/Logging_1214/kartor/A 1233-2020 karta.png", "A 1233-2020")</f>
        <v/>
      </c>
      <c r="V65">
        <f>HYPERLINK("https://klasma.github.io/Logging_1214/klagomål/A 1233-2020 FSC-klagomål.docx", "A 1233-2020")</f>
        <v/>
      </c>
      <c r="W65">
        <f>HYPERLINK("https://klasma.github.io/Logging_1214/klagomålsmail/A 1233-2020 FSC-klagomål mail.docx", "A 1233-2020")</f>
        <v/>
      </c>
      <c r="X65">
        <f>HYPERLINK("https://klasma.github.io/Logging_1214/tillsyn/A 1233-2020 tillsynsbegäran.docx", "A 1233-2020")</f>
        <v/>
      </c>
      <c r="Y65">
        <f>HYPERLINK("https://klasma.github.io/Logging_1214/tillsynsmail/A 1233-2020 tillsynsbegäran mail.docx", "A 1233-2020")</f>
        <v/>
      </c>
    </row>
    <row r="66" ht="15" customHeight="1">
      <c r="A66" t="inlineStr">
        <is>
          <t>A 13380-2020</t>
        </is>
      </c>
      <c r="B66" s="1" t="n">
        <v>43902</v>
      </c>
      <c r="C66" s="1" t="n">
        <v>45704</v>
      </c>
      <c r="D66" t="inlineStr">
        <is>
          <t>SKÅNE LÄN</t>
        </is>
      </c>
      <c r="E66" t="inlineStr">
        <is>
          <t>ÖSTRA GÖINGE</t>
        </is>
      </c>
      <c r="G66" t="n">
        <v>1.3</v>
      </c>
      <c r="H66" t="n">
        <v>0</v>
      </c>
      <c r="I66" t="n">
        <v>2</v>
      </c>
      <c r="J66" t="n">
        <v>0</v>
      </c>
      <c r="K66" t="n">
        <v>1</v>
      </c>
      <c r="L66" t="n">
        <v>0</v>
      </c>
      <c r="M66" t="n">
        <v>0</v>
      </c>
      <c r="N66" t="n">
        <v>0</v>
      </c>
      <c r="O66" t="n">
        <v>1</v>
      </c>
      <c r="P66" t="n">
        <v>1</v>
      </c>
      <c r="Q66" t="n">
        <v>3</v>
      </c>
      <c r="R66" s="2" t="inlineStr">
        <is>
          <t>Småvänderot
Rödgul trumpetsvamp
Stor revmossa</t>
        </is>
      </c>
      <c r="S66">
        <f>HYPERLINK("https://klasma.github.io/Logging_1256/artfynd/A 13380-2020 artfynd.xlsx", "A 13380-2020")</f>
        <v/>
      </c>
      <c r="T66">
        <f>HYPERLINK("https://klasma.github.io/Logging_1256/kartor/A 13380-2020 karta.png", "A 13380-2020")</f>
        <v/>
      </c>
      <c r="V66">
        <f>HYPERLINK("https://klasma.github.io/Logging_1256/klagomål/A 13380-2020 FSC-klagomål.docx", "A 13380-2020")</f>
        <v/>
      </c>
      <c r="W66">
        <f>HYPERLINK("https://klasma.github.io/Logging_1256/klagomålsmail/A 13380-2020 FSC-klagomål mail.docx", "A 13380-2020")</f>
        <v/>
      </c>
      <c r="X66">
        <f>HYPERLINK("https://klasma.github.io/Logging_1256/tillsyn/A 13380-2020 tillsynsbegäran.docx", "A 13380-2020")</f>
        <v/>
      </c>
      <c r="Y66">
        <f>HYPERLINK("https://klasma.github.io/Logging_1256/tillsynsmail/A 13380-2020 tillsynsbegäran mail.docx", "A 13380-2020")</f>
        <v/>
      </c>
    </row>
    <row r="67" ht="15" customHeight="1">
      <c r="A67" t="inlineStr">
        <is>
          <t>A 18197-2020</t>
        </is>
      </c>
      <c r="B67" s="1" t="n">
        <v>43927</v>
      </c>
      <c r="C67" s="1" t="n">
        <v>45704</v>
      </c>
      <c r="D67" t="inlineStr">
        <is>
          <t>SKÅNE LÄN</t>
        </is>
      </c>
      <c r="E67" t="inlineStr">
        <is>
          <t>BÅSTAD</t>
        </is>
      </c>
      <c r="G67" t="n">
        <v>3.2</v>
      </c>
      <c r="H67" t="n">
        <v>0</v>
      </c>
      <c r="I67" t="n">
        <v>3</v>
      </c>
      <c r="J67" t="n">
        <v>0</v>
      </c>
      <c r="K67" t="n">
        <v>0</v>
      </c>
      <c r="L67" t="n">
        <v>0</v>
      </c>
      <c r="M67" t="n">
        <v>0</v>
      </c>
      <c r="N67" t="n">
        <v>0</v>
      </c>
      <c r="O67" t="n">
        <v>0</v>
      </c>
      <c r="P67" t="n">
        <v>0</v>
      </c>
      <c r="Q67" t="n">
        <v>3</v>
      </c>
      <c r="R67" s="2" t="inlineStr">
        <is>
          <t>Guldlockmossa
Stubbspretmossa
Västlig hakmossa</t>
        </is>
      </c>
      <c r="S67">
        <f>HYPERLINK("https://klasma.github.io/Logging_1278/artfynd/A 18197-2020 artfynd.xlsx", "A 18197-2020")</f>
        <v/>
      </c>
      <c r="T67">
        <f>HYPERLINK("https://klasma.github.io/Logging_1278/kartor/A 18197-2020 karta.png", "A 18197-2020")</f>
        <v/>
      </c>
      <c r="V67">
        <f>HYPERLINK("https://klasma.github.io/Logging_1278/klagomål/A 18197-2020 FSC-klagomål.docx", "A 18197-2020")</f>
        <v/>
      </c>
      <c r="W67">
        <f>HYPERLINK("https://klasma.github.io/Logging_1278/klagomålsmail/A 18197-2020 FSC-klagomål mail.docx", "A 18197-2020")</f>
        <v/>
      </c>
      <c r="X67">
        <f>HYPERLINK("https://klasma.github.io/Logging_1278/tillsyn/A 18197-2020 tillsynsbegäran.docx", "A 18197-2020")</f>
        <v/>
      </c>
      <c r="Y67">
        <f>HYPERLINK("https://klasma.github.io/Logging_1278/tillsynsmail/A 18197-2020 tillsynsbegäran mail.docx", "A 18197-2020")</f>
        <v/>
      </c>
    </row>
    <row r="68" ht="15" customHeight="1">
      <c r="A68" t="inlineStr">
        <is>
          <t>A 25363-2020</t>
        </is>
      </c>
      <c r="B68" s="1" t="n">
        <v>43980</v>
      </c>
      <c r="C68" s="1" t="n">
        <v>45704</v>
      </c>
      <c r="D68" t="inlineStr">
        <is>
          <t>SKÅNE LÄN</t>
        </is>
      </c>
      <c r="E68" t="inlineStr">
        <is>
          <t>TRELLEBORG</t>
        </is>
      </c>
      <c r="G68" t="n">
        <v>1.5</v>
      </c>
      <c r="H68" t="n">
        <v>0</v>
      </c>
      <c r="I68" t="n">
        <v>2</v>
      </c>
      <c r="J68" t="n">
        <v>0</v>
      </c>
      <c r="K68" t="n">
        <v>0</v>
      </c>
      <c r="L68" t="n">
        <v>1</v>
      </c>
      <c r="M68" t="n">
        <v>0</v>
      </c>
      <c r="N68" t="n">
        <v>0</v>
      </c>
      <c r="O68" t="n">
        <v>1</v>
      </c>
      <c r="P68" t="n">
        <v>1</v>
      </c>
      <c r="Q68" t="n">
        <v>3</v>
      </c>
      <c r="R68" s="2" t="inlineStr">
        <is>
          <t>Lundäxing
Stor häxört
Svart trolldruva</t>
        </is>
      </c>
      <c r="S68">
        <f>HYPERLINK("https://klasma.github.io/Logging_1287/artfynd/A 25363-2020 artfynd.xlsx", "A 25363-2020")</f>
        <v/>
      </c>
      <c r="T68">
        <f>HYPERLINK("https://klasma.github.io/Logging_1287/kartor/A 25363-2020 karta.png", "A 25363-2020")</f>
        <v/>
      </c>
      <c r="V68">
        <f>HYPERLINK("https://klasma.github.io/Logging_1287/klagomål/A 25363-2020 FSC-klagomål.docx", "A 25363-2020")</f>
        <v/>
      </c>
      <c r="W68">
        <f>HYPERLINK("https://klasma.github.io/Logging_1287/klagomålsmail/A 25363-2020 FSC-klagomål mail.docx", "A 25363-2020")</f>
        <v/>
      </c>
      <c r="X68">
        <f>HYPERLINK("https://klasma.github.io/Logging_1287/tillsyn/A 25363-2020 tillsynsbegäran.docx", "A 25363-2020")</f>
        <v/>
      </c>
      <c r="Y68">
        <f>HYPERLINK("https://klasma.github.io/Logging_1287/tillsynsmail/A 25363-2020 tillsynsbegäran mail.docx", "A 25363-2020")</f>
        <v/>
      </c>
    </row>
    <row r="69" ht="15" customHeight="1">
      <c r="A69" t="inlineStr">
        <is>
          <t>A 30682-2020</t>
        </is>
      </c>
      <c r="B69" s="1" t="n">
        <v>44008</v>
      </c>
      <c r="C69" s="1" t="n">
        <v>45704</v>
      </c>
      <c r="D69" t="inlineStr">
        <is>
          <t>SKÅNE LÄN</t>
        </is>
      </c>
      <c r="E69" t="inlineStr">
        <is>
          <t>KRISTIANSTAD</t>
        </is>
      </c>
      <c r="F69" t="inlineStr">
        <is>
          <t>Kommuner</t>
        </is>
      </c>
      <c r="G69" t="n">
        <v>0.9</v>
      </c>
      <c r="H69" t="n">
        <v>1</v>
      </c>
      <c r="I69" t="n">
        <v>0</v>
      </c>
      <c r="J69" t="n">
        <v>2</v>
      </c>
      <c r="K69" t="n">
        <v>1</v>
      </c>
      <c r="L69" t="n">
        <v>0</v>
      </c>
      <c r="M69" t="n">
        <v>0</v>
      </c>
      <c r="N69" t="n">
        <v>0</v>
      </c>
      <c r="O69" t="n">
        <v>3</v>
      </c>
      <c r="P69" t="n">
        <v>1</v>
      </c>
      <c r="Q69" t="n">
        <v>3</v>
      </c>
      <c r="R69" s="2" t="inlineStr">
        <is>
          <t>Hedblomster
Stortapetserarbi
Ängsmetallvinge</t>
        </is>
      </c>
      <c r="S69">
        <f>HYPERLINK("https://klasma.github.io/Logging_1290/artfynd/A 30682-2020 artfynd.xlsx", "A 30682-2020")</f>
        <v/>
      </c>
      <c r="T69">
        <f>HYPERLINK("https://klasma.github.io/Logging_1290/kartor/A 30682-2020 karta.png", "A 30682-2020")</f>
        <v/>
      </c>
      <c r="V69">
        <f>HYPERLINK("https://klasma.github.io/Logging_1290/klagomål/A 30682-2020 FSC-klagomål.docx", "A 30682-2020")</f>
        <v/>
      </c>
      <c r="W69">
        <f>HYPERLINK("https://klasma.github.io/Logging_1290/klagomålsmail/A 30682-2020 FSC-klagomål mail.docx", "A 30682-2020")</f>
        <v/>
      </c>
      <c r="X69">
        <f>HYPERLINK("https://klasma.github.io/Logging_1290/tillsyn/A 30682-2020 tillsynsbegäran.docx", "A 30682-2020")</f>
        <v/>
      </c>
      <c r="Y69">
        <f>HYPERLINK("https://klasma.github.io/Logging_1290/tillsynsmail/A 30682-2020 tillsynsbegäran mail.docx", "A 30682-2020")</f>
        <v/>
      </c>
    </row>
    <row r="70" ht="15" customHeight="1">
      <c r="A70" t="inlineStr">
        <is>
          <t>A 59303-2020</t>
        </is>
      </c>
      <c r="B70" s="1" t="n">
        <v>44147</v>
      </c>
      <c r="C70" s="1" t="n">
        <v>45704</v>
      </c>
      <c r="D70" t="inlineStr">
        <is>
          <t>SKÅNE LÄN</t>
        </is>
      </c>
      <c r="E70" t="inlineStr">
        <is>
          <t>HÄSSLEHOLM</t>
        </is>
      </c>
      <c r="G70" t="n">
        <v>13</v>
      </c>
      <c r="H70" t="n">
        <v>1</v>
      </c>
      <c r="I70" t="n">
        <v>1</v>
      </c>
      <c r="J70" t="n">
        <v>1</v>
      </c>
      <c r="K70" t="n">
        <v>0</v>
      </c>
      <c r="L70" t="n">
        <v>1</v>
      </c>
      <c r="M70" t="n">
        <v>0</v>
      </c>
      <c r="N70" t="n">
        <v>0</v>
      </c>
      <c r="O70" t="n">
        <v>2</v>
      </c>
      <c r="P70" t="n">
        <v>1</v>
      </c>
      <c r="Q70" t="n">
        <v>3</v>
      </c>
      <c r="R70" s="2" t="inlineStr">
        <is>
          <t>Dvärgjohannesört
Borsttåg
Kambräken</t>
        </is>
      </c>
      <c r="S70">
        <f>HYPERLINK("https://klasma.github.io/Logging_1293/artfynd/A 59303-2020 artfynd.xlsx", "A 59303-2020")</f>
        <v/>
      </c>
      <c r="T70">
        <f>HYPERLINK("https://klasma.github.io/Logging_1293/kartor/A 59303-2020 karta.png", "A 59303-2020")</f>
        <v/>
      </c>
      <c r="V70">
        <f>HYPERLINK("https://klasma.github.io/Logging_1293/klagomål/A 59303-2020 FSC-klagomål.docx", "A 59303-2020")</f>
        <v/>
      </c>
      <c r="W70">
        <f>HYPERLINK("https://klasma.github.io/Logging_1293/klagomålsmail/A 59303-2020 FSC-klagomål mail.docx", "A 59303-2020")</f>
        <v/>
      </c>
      <c r="X70">
        <f>HYPERLINK("https://klasma.github.io/Logging_1293/tillsyn/A 59303-2020 tillsynsbegäran.docx", "A 59303-2020")</f>
        <v/>
      </c>
      <c r="Y70">
        <f>HYPERLINK("https://klasma.github.io/Logging_1293/tillsynsmail/A 59303-2020 tillsynsbegäran mail.docx", "A 59303-2020")</f>
        <v/>
      </c>
    </row>
    <row r="71" ht="15" customHeight="1">
      <c r="A71" t="inlineStr">
        <is>
          <t>A 1876-2021</t>
        </is>
      </c>
      <c r="B71" s="1" t="n">
        <v>44210</v>
      </c>
      <c r="C71" s="1" t="n">
        <v>45704</v>
      </c>
      <c r="D71" t="inlineStr">
        <is>
          <t>SKÅNE LÄN</t>
        </is>
      </c>
      <c r="E71" t="inlineStr">
        <is>
          <t>OSBY</t>
        </is>
      </c>
      <c r="G71" t="n">
        <v>4.3</v>
      </c>
      <c r="H71" t="n">
        <v>3</v>
      </c>
      <c r="I71" t="n">
        <v>0</v>
      </c>
      <c r="J71" t="n">
        <v>1</v>
      </c>
      <c r="K71" t="n">
        <v>0</v>
      </c>
      <c r="L71" t="n">
        <v>1</v>
      </c>
      <c r="M71" t="n">
        <v>0</v>
      </c>
      <c r="N71" t="n">
        <v>0</v>
      </c>
      <c r="O71" t="n">
        <v>2</v>
      </c>
      <c r="P71" t="n">
        <v>1</v>
      </c>
      <c r="Q71" t="n">
        <v>3</v>
      </c>
      <c r="R71" s="2" t="inlineStr">
        <is>
          <t>Tornseglare
Svartvit flugsnappare
Kungsfågel</t>
        </is>
      </c>
      <c r="S71">
        <f>HYPERLINK("https://klasma.github.io/Logging_1273/artfynd/A 1876-2021 artfynd.xlsx", "A 1876-2021")</f>
        <v/>
      </c>
      <c r="T71">
        <f>HYPERLINK("https://klasma.github.io/Logging_1273/kartor/A 1876-2021 karta.png", "A 1876-2021")</f>
        <v/>
      </c>
      <c r="V71">
        <f>HYPERLINK("https://klasma.github.io/Logging_1273/klagomål/A 1876-2021 FSC-klagomål.docx", "A 1876-2021")</f>
        <v/>
      </c>
      <c r="W71">
        <f>HYPERLINK("https://klasma.github.io/Logging_1273/klagomålsmail/A 1876-2021 FSC-klagomål mail.docx", "A 1876-2021")</f>
        <v/>
      </c>
      <c r="X71">
        <f>HYPERLINK("https://klasma.github.io/Logging_1273/tillsyn/A 1876-2021 tillsynsbegäran.docx", "A 1876-2021")</f>
        <v/>
      </c>
      <c r="Y71">
        <f>HYPERLINK("https://klasma.github.io/Logging_1273/tillsynsmail/A 1876-2021 tillsynsbegäran mail.docx", "A 1876-2021")</f>
        <v/>
      </c>
      <c r="Z71">
        <f>HYPERLINK("https://klasma.github.io/Logging_1273/fåglar/A 1876-2021 prioriterade fågelarter.docx", "A 1876-2021")</f>
        <v/>
      </c>
    </row>
    <row r="72" ht="15" customHeight="1">
      <c r="A72" t="inlineStr">
        <is>
          <t>A 22968-2021</t>
        </is>
      </c>
      <c r="B72" s="1" t="n">
        <v>44328</v>
      </c>
      <c r="C72" s="1" t="n">
        <v>45704</v>
      </c>
      <c r="D72" t="inlineStr">
        <is>
          <t>SKÅNE LÄN</t>
        </is>
      </c>
      <c r="E72" t="inlineStr">
        <is>
          <t>KRISTIANSTAD</t>
        </is>
      </c>
      <c r="G72" t="n">
        <v>1.1</v>
      </c>
      <c r="H72" t="n">
        <v>1</v>
      </c>
      <c r="I72" t="n">
        <v>0</v>
      </c>
      <c r="J72" t="n">
        <v>1</v>
      </c>
      <c r="K72" t="n">
        <v>0</v>
      </c>
      <c r="L72" t="n">
        <v>1</v>
      </c>
      <c r="M72" t="n">
        <v>0</v>
      </c>
      <c r="N72" t="n">
        <v>0</v>
      </c>
      <c r="O72" t="n">
        <v>2</v>
      </c>
      <c r="P72" t="n">
        <v>1</v>
      </c>
      <c r="Q72" t="n">
        <v>3</v>
      </c>
      <c r="R72" s="2" t="inlineStr">
        <is>
          <t>Prakttagging
Tallticka
Grönsiska</t>
        </is>
      </c>
      <c r="S72">
        <f>HYPERLINK("https://klasma.github.io/Logging_1290/artfynd/A 22968-2021 artfynd.xlsx", "A 22968-2021")</f>
        <v/>
      </c>
      <c r="T72">
        <f>HYPERLINK("https://klasma.github.io/Logging_1290/kartor/A 22968-2021 karta.png", "A 22968-2021")</f>
        <v/>
      </c>
      <c r="V72">
        <f>HYPERLINK("https://klasma.github.io/Logging_1290/klagomål/A 22968-2021 FSC-klagomål.docx", "A 22968-2021")</f>
        <v/>
      </c>
      <c r="W72">
        <f>HYPERLINK("https://klasma.github.io/Logging_1290/klagomålsmail/A 22968-2021 FSC-klagomål mail.docx", "A 22968-2021")</f>
        <v/>
      </c>
      <c r="X72">
        <f>HYPERLINK("https://klasma.github.io/Logging_1290/tillsyn/A 22968-2021 tillsynsbegäran.docx", "A 22968-2021")</f>
        <v/>
      </c>
      <c r="Y72">
        <f>HYPERLINK("https://klasma.github.io/Logging_1290/tillsynsmail/A 22968-2021 tillsynsbegäran mail.docx", "A 22968-2021")</f>
        <v/>
      </c>
      <c r="Z72">
        <f>HYPERLINK("https://klasma.github.io/Logging_1290/fåglar/A 22968-2021 prioriterade fågelarter.docx", "A 22968-2021")</f>
        <v/>
      </c>
    </row>
    <row r="73" ht="15" customHeight="1">
      <c r="A73" t="inlineStr">
        <is>
          <t>A 52020-2021</t>
        </is>
      </c>
      <c r="B73" s="1" t="n">
        <v>44463</v>
      </c>
      <c r="C73" s="1" t="n">
        <v>45704</v>
      </c>
      <c r="D73" t="inlineStr">
        <is>
          <t>SKÅNE LÄN</t>
        </is>
      </c>
      <c r="E73" t="inlineStr">
        <is>
          <t>KRISTIANSTAD</t>
        </is>
      </c>
      <c r="G73" t="n">
        <v>1</v>
      </c>
      <c r="H73" t="n">
        <v>3</v>
      </c>
      <c r="I73" t="n">
        <v>0</v>
      </c>
      <c r="J73" t="n">
        <v>0</v>
      </c>
      <c r="K73" t="n">
        <v>0</v>
      </c>
      <c r="L73" t="n">
        <v>1</v>
      </c>
      <c r="M73" t="n">
        <v>0</v>
      </c>
      <c r="N73" t="n">
        <v>0</v>
      </c>
      <c r="O73" t="n">
        <v>1</v>
      </c>
      <c r="P73" t="n">
        <v>1</v>
      </c>
      <c r="Q73" t="n">
        <v>3</v>
      </c>
      <c r="R73" s="2" t="inlineStr">
        <is>
          <t>Grönfink
Järnsparv
Kungsfågel</t>
        </is>
      </c>
      <c r="S73">
        <f>HYPERLINK("https://klasma.github.io/Logging_1290/artfynd/A 52020-2021 artfynd.xlsx", "A 52020-2021")</f>
        <v/>
      </c>
      <c r="T73">
        <f>HYPERLINK("https://klasma.github.io/Logging_1290/kartor/A 52020-2021 karta.png", "A 52020-2021")</f>
        <v/>
      </c>
      <c r="V73">
        <f>HYPERLINK("https://klasma.github.io/Logging_1290/klagomål/A 52020-2021 FSC-klagomål.docx", "A 52020-2021")</f>
        <v/>
      </c>
      <c r="W73">
        <f>HYPERLINK("https://klasma.github.io/Logging_1290/klagomålsmail/A 52020-2021 FSC-klagomål mail.docx", "A 52020-2021")</f>
        <v/>
      </c>
      <c r="X73">
        <f>HYPERLINK("https://klasma.github.io/Logging_1290/tillsyn/A 52020-2021 tillsynsbegäran.docx", "A 52020-2021")</f>
        <v/>
      </c>
      <c r="Y73">
        <f>HYPERLINK("https://klasma.github.io/Logging_1290/tillsynsmail/A 52020-2021 tillsynsbegäran mail.docx", "A 52020-2021")</f>
        <v/>
      </c>
      <c r="Z73">
        <f>HYPERLINK("https://klasma.github.io/Logging_1290/fåglar/A 52020-2021 prioriterade fågelarter.docx", "A 52020-2021")</f>
        <v/>
      </c>
    </row>
    <row r="74" ht="15" customHeight="1">
      <c r="A74" t="inlineStr">
        <is>
          <t>A 52039-2021</t>
        </is>
      </c>
      <c r="B74" s="1" t="n">
        <v>44463</v>
      </c>
      <c r="C74" s="1" t="n">
        <v>45704</v>
      </c>
      <c r="D74" t="inlineStr">
        <is>
          <t>SKÅNE LÄN</t>
        </is>
      </c>
      <c r="E74" t="inlineStr">
        <is>
          <t>KRISTIANSTAD</t>
        </is>
      </c>
      <c r="G74" t="n">
        <v>3.1</v>
      </c>
      <c r="H74" t="n">
        <v>3</v>
      </c>
      <c r="I74" t="n">
        <v>0</v>
      </c>
      <c r="J74" t="n">
        <v>1</v>
      </c>
      <c r="K74" t="n">
        <v>0</v>
      </c>
      <c r="L74" t="n">
        <v>0</v>
      </c>
      <c r="M74" t="n">
        <v>0</v>
      </c>
      <c r="N74" t="n">
        <v>0</v>
      </c>
      <c r="O74" t="n">
        <v>1</v>
      </c>
      <c r="P74" t="n">
        <v>0</v>
      </c>
      <c r="Q74" t="n">
        <v>3</v>
      </c>
      <c r="R74" s="2" t="inlineStr">
        <is>
          <t>Entita
Järnsparv
Gullviva</t>
        </is>
      </c>
      <c r="S74">
        <f>HYPERLINK("https://klasma.github.io/Logging_1290/artfynd/A 52039-2021 artfynd.xlsx", "A 52039-2021")</f>
        <v/>
      </c>
      <c r="T74">
        <f>HYPERLINK("https://klasma.github.io/Logging_1290/kartor/A 52039-2021 karta.png", "A 52039-2021")</f>
        <v/>
      </c>
      <c r="V74">
        <f>HYPERLINK("https://klasma.github.io/Logging_1290/klagomål/A 52039-2021 FSC-klagomål.docx", "A 52039-2021")</f>
        <v/>
      </c>
      <c r="W74">
        <f>HYPERLINK("https://klasma.github.io/Logging_1290/klagomålsmail/A 52039-2021 FSC-klagomål mail.docx", "A 52039-2021")</f>
        <v/>
      </c>
      <c r="X74">
        <f>HYPERLINK("https://klasma.github.io/Logging_1290/tillsyn/A 52039-2021 tillsynsbegäran.docx", "A 52039-2021")</f>
        <v/>
      </c>
      <c r="Y74">
        <f>HYPERLINK("https://klasma.github.io/Logging_1290/tillsynsmail/A 52039-2021 tillsynsbegäran mail.docx", "A 52039-2021")</f>
        <v/>
      </c>
      <c r="Z74">
        <f>HYPERLINK("https://klasma.github.io/Logging_1290/fåglar/A 52039-2021 prioriterade fågelarter.docx", "A 52039-2021")</f>
        <v/>
      </c>
    </row>
    <row r="75" ht="15" customHeight="1">
      <c r="A75" t="inlineStr">
        <is>
          <t>A 54542-2021</t>
        </is>
      </c>
      <c r="B75" s="1" t="n">
        <v>44473</v>
      </c>
      <c r="C75" s="1" t="n">
        <v>45704</v>
      </c>
      <c r="D75" t="inlineStr">
        <is>
          <t>SKÅNE LÄN</t>
        </is>
      </c>
      <c r="E75" t="inlineStr">
        <is>
          <t>KRISTIANSTAD</t>
        </is>
      </c>
      <c r="G75" t="n">
        <v>9.6</v>
      </c>
      <c r="H75" t="n">
        <v>1</v>
      </c>
      <c r="I75" t="n">
        <v>1</v>
      </c>
      <c r="J75" t="n">
        <v>2</v>
      </c>
      <c r="K75" t="n">
        <v>0</v>
      </c>
      <c r="L75" t="n">
        <v>0</v>
      </c>
      <c r="M75" t="n">
        <v>0</v>
      </c>
      <c r="N75" t="n">
        <v>0</v>
      </c>
      <c r="O75" t="n">
        <v>2</v>
      </c>
      <c r="P75" t="n">
        <v>0</v>
      </c>
      <c r="Q75" t="n">
        <v>3</v>
      </c>
      <c r="R75" s="2" t="inlineStr">
        <is>
          <t>Havsörn
Tallticka
Grovticka</t>
        </is>
      </c>
      <c r="S75">
        <f>HYPERLINK("https://klasma.github.io/Logging_1290/artfynd/A 54542-2021 artfynd.xlsx", "A 54542-2021")</f>
        <v/>
      </c>
      <c r="T75">
        <f>HYPERLINK("https://klasma.github.io/Logging_1290/kartor/A 54542-2021 karta.png", "A 54542-2021")</f>
        <v/>
      </c>
      <c r="V75">
        <f>HYPERLINK("https://klasma.github.io/Logging_1290/klagomål/A 54542-2021 FSC-klagomål.docx", "A 54542-2021")</f>
        <v/>
      </c>
      <c r="W75">
        <f>HYPERLINK("https://klasma.github.io/Logging_1290/klagomålsmail/A 54542-2021 FSC-klagomål mail.docx", "A 54542-2021")</f>
        <v/>
      </c>
      <c r="X75">
        <f>HYPERLINK("https://klasma.github.io/Logging_1290/tillsyn/A 54542-2021 tillsynsbegäran.docx", "A 54542-2021")</f>
        <v/>
      </c>
      <c r="Y75">
        <f>HYPERLINK("https://klasma.github.io/Logging_1290/tillsynsmail/A 54542-2021 tillsynsbegäran mail.docx", "A 54542-2021")</f>
        <v/>
      </c>
      <c r="Z75">
        <f>HYPERLINK("https://klasma.github.io/Logging_1290/fåglar/A 54542-2021 prioriterade fågelarter.docx", "A 54542-2021")</f>
        <v/>
      </c>
    </row>
    <row r="76" ht="15" customHeight="1">
      <c r="A76" t="inlineStr">
        <is>
          <t>A 1481-2022</t>
        </is>
      </c>
      <c r="B76" s="1" t="n">
        <v>44573</v>
      </c>
      <c r="C76" s="1" t="n">
        <v>45704</v>
      </c>
      <c r="D76" t="inlineStr">
        <is>
          <t>SKÅNE LÄN</t>
        </is>
      </c>
      <c r="E76" t="inlineStr">
        <is>
          <t>KÄVLINGE</t>
        </is>
      </c>
      <c r="G76" t="n">
        <v>7.8</v>
      </c>
      <c r="H76" t="n">
        <v>1</v>
      </c>
      <c r="I76" t="n">
        <v>1</v>
      </c>
      <c r="J76" t="n">
        <v>2</v>
      </c>
      <c r="K76" t="n">
        <v>0</v>
      </c>
      <c r="L76" t="n">
        <v>0</v>
      </c>
      <c r="M76" t="n">
        <v>0</v>
      </c>
      <c r="N76" t="n">
        <v>0</v>
      </c>
      <c r="O76" t="n">
        <v>2</v>
      </c>
      <c r="P76" t="n">
        <v>0</v>
      </c>
      <c r="Q76" t="n">
        <v>3</v>
      </c>
      <c r="R76" s="2" t="inlineStr">
        <is>
          <t>Grönsångare
Sadelmurkla
Kragjordstjärna</t>
        </is>
      </c>
      <c r="S76">
        <f>HYPERLINK("https://klasma.github.io/Logging_1261/artfynd/A 1481-2022 artfynd.xlsx", "A 1481-2022")</f>
        <v/>
      </c>
      <c r="T76">
        <f>HYPERLINK("https://klasma.github.io/Logging_1261/kartor/A 1481-2022 karta.png", "A 1481-2022")</f>
        <v/>
      </c>
      <c r="V76">
        <f>HYPERLINK("https://klasma.github.io/Logging_1261/klagomål/A 1481-2022 FSC-klagomål.docx", "A 1481-2022")</f>
        <v/>
      </c>
      <c r="W76">
        <f>HYPERLINK("https://klasma.github.io/Logging_1261/klagomålsmail/A 1481-2022 FSC-klagomål mail.docx", "A 1481-2022")</f>
        <v/>
      </c>
      <c r="X76">
        <f>HYPERLINK("https://klasma.github.io/Logging_1261/tillsyn/A 1481-2022 tillsynsbegäran.docx", "A 1481-2022")</f>
        <v/>
      </c>
      <c r="Y76">
        <f>HYPERLINK("https://klasma.github.io/Logging_1261/tillsynsmail/A 1481-2022 tillsynsbegäran mail.docx", "A 1481-2022")</f>
        <v/>
      </c>
      <c r="Z76">
        <f>HYPERLINK("https://klasma.github.io/Logging_1261/fåglar/A 1481-2022 prioriterade fågelarter.docx", "A 1481-2022")</f>
        <v/>
      </c>
    </row>
    <row r="77" ht="15" customHeight="1">
      <c r="A77" t="inlineStr">
        <is>
          <t>A 31351-2022</t>
        </is>
      </c>
      <c r="B77" s="1" t="n">
        <v>44774</v>
      </c>
      <c r="C77" s="1" t="n">
        <v>45704</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37031-2022</t>
        </is>
      </c>
      <c r="B78" s="1" t="n">
        <v>44806</v>
      </c>
      <c r="C78" s="1" t="n">
        <v>45704</v>
      </c>
      <c r="D78" t="inlineStr">
        <is>
          <t>SKÅNE LÄN</t>
        </is>
      </c>
      <c r="E78" t="inlineStr">
        <is>
          <t>KLIPPAN</t>
        </is>
      </c>
      <c r="G78" t="n">
        <v>2.8</v>
      </c>
      <c r="H78" t="n">
        <v>0</v>
      </c>
      <c r="I78" t="n">
        <v>3</v>
      </c>
      <c r="J78" t="n">
        <v>0</v>
      </c>
      <c r="K78" t="n">
        <v>0</v>
      </c>
      <c r="L78" t="n">
        <v>0</v>
      </c>
      <c r="M78" t="n">
        <v>0</v>
      </c>
      <c r="N78" t="n">
        <v>0</v>
      </c>
      <c r="O78" t="n">
        <v>0</v>
      </c>
      <c r="P78" t="n">
        <v>0</v>
      </c>
      <c r="Q78" t="n">
        <v>3</v>
      </c>
      <c r="R78" s="2" t="inlineStr">
        <is>
          <t>Blåmossa
Dvärgkällmossa
Västlig husmossa</t>
        </is>
      </c>
      <c r="S78">
        <f>HYPERLINK("https://klasma.github.io/Logging_1276/artfynd/A 37031-2022 artfynd.xlsx", "A 37031-2022")</f>
        <v/>
      </c>
      <c r="T78">
        <f>HYPERLINK("https://klasma.github.io/Logging_1276/kartor/A 37031-2022 karta.png", "A 37031-2022")</f>
        <v/>
      </c>
      <c r="V78">
        <f>HYPERLINK("https://klasma.github.io/Logging_1276/klagomål/A 37031-2022 FSC-klagomål.docx", "A 37031-2022")</f>
        <v/>
      </c>
      <c r="W78">
        <f>HYPERLINK("https://klasma.github.io/Logging_1276/klagomålsmail/A 37031-2022 FSC-klagomål mail.docx", "A 37031-2022")</f>
        <v/>
      </c>
      <c r="X78">
        <f>HYPERLINK("https://klasma.github.io/Logging_1276/tillsyn/A 37031-2022 tillsynsbegäran.docx", "A 37031-2022")</f>
        <v/>
      </c>
      <c r="Y78">
        <f>HYPERLINK("https://klasma.github.io/Logging_1276/tillsynsmail/A 37031-2022 tillsynsbegäran mail.docx", "A 37031-2022")</f>
        <v/>
      </c>
    </row>
    <row r="79" ht="15" customHeight="1">
      <c r="A79" t="inlineStr">
        <is>
          <t>A 40509-2022</t>
        </is>
      </c>
      <c r="B79" s="1" t="n">
        <v>44823</v>
      </c>
      <c r="C79" s="1" t="n">
        <v>45704</v>
      </c>
      <c r="D79" t="inlineStr">
        <is>
          <t>SKÅNE LÄN</t>
        </is>
      </c>
      <c r="E79" t="inlineStr">
        <is>
          <t>KRISTIANSTAD</t>
        </is>
      </c>
      <c r="F79" t="inlineStr">
        <is>
          <t>Sveaskog</t>
        </is>
      </c>
      <c r="G79" t="n">
        <v>1.8</v>
      </c>
      <c r="H79" t="n">
        <v>0</v>
      </c>
      <c r="I79" t="n">
        <v>1</v>
      </c>
      <c r="J79" t="n">
        <v>1</v>
      </c>
      <c r="K79" t="n">
        <v>1</v>
      </c>
      <c r="L79" t="n">
        <v>0</v>
      </c>
      <c r="M79" t="n">
        <v>0</v>
      </c>
      <c r="N79" t="n">
        <v>0</v>
      </c>
      <c r="O79" t="n">
        <v>2</v>
      </c>
      <c r="P79" t="n">
        <v>1</v>
      </c>
      <c r="Q79" t="n">
        <v>3</v>
      </c>
      <c r="R79" s="2" t="inlineStr">
        <is>
          <t>Småvänderot
Skogslysing
Svart trolldruva</t>
        </is>
      </c>
      <c r="S79">
        <f>HYPERLINK("https://klasma.github.io/Logging_1290/artfynd/A 40509-2022 artfynd.xlsx", "A 40509-2022")</f>
        <v/>
      </c>
      <c r="T79">
        <f>HYPERLINK("https://klasma.github.io/Logging_1290/kartor/A 40509-2022 karta.png", "A 40509-2022")</f>
        <v/>
      </c>
      <c r="V79">
        <f>HYPERLINK("https://klasma.github.io/Logging_1290/klagomål/A 40509-2022 FSC-klagomål.docx", "A 40509-2022")</f>
        <v/>
      </c>
      <c r="W79">
        <f>HYPERLINK("https://klasma.github.io/Logging_1290/klagomålsmail/A 40509-2022 FSC-klagomål mail.docx", "A 40509-2022")</f>
        <v/>
      </c>
      <c r="X79">
        <f>HYPERLINK("https://klasma.github.io/Logging_1290/tillsyn/A 40509-2022 tillsynsbegäran.docx", "A 40509-2022")</f>
        <v/>
      </c>
      <c r="Y79">
        <f>HYPERLINK("https://klasma.github.io/Logging_1290/tillsynsmail/A 40509-2022 tillsynsbegäran mail.docx", "A 40509-2022")</f>
        <v/>
      </c>
    </row>
    <row r="80" ht="15" customHeight="1">
      <c r="A80" t="inlineStr">
        <is>
          <t>A 62060-2022</t>
        </is>
      </c>
      <c r="B80" s="1" t="n">
        <v>44918</v>
      </c>
      <c r="C80" s="1" t="n">
        <v>45704</v>
      </c>
      <c r="D80" t="inlineStr">
        <is>
          <t>SKÅNE LÄN</t>
        </is>
      </c>
      <c r="E80" t="inlineStr">
        <is>
          <t>ÖSTRA GÖINGE</t>
        </is>
      </c>
      <c r="G80" t="n">
        <v>2.7</v>
      </c>
      <c r="H80" t="n">
        <v>0</v>
      </c>
      <c r="I80" t="n">
        <v>1</v>
      </c>
      <c r="J80" t="n">
        <v>2</v>
      </c>
      <c r="K80" t="n">
        <v>0</v>
      </c>
      <c r="L80" t="n">
        <v>0</v>
      </c>
      <c r="M80" t="n">
        <v>0</v>
      </c>
      <c r="N80" t="n">
        <v>0</v>
      </c>
      <c r="O80" t="n">
        <v>2</v>
      </c>
      <c r="P80" t="n">
        <v>0</v>
      </c>
      <c r="Q80" t="n">
        <v>3</v>
      </c>
      <c r="R80" s="2" t="inlineStr">
        <is>
          <t>Desmeknopp
Matt pricklav
Grå skärelav</t>
        </is>
      </c>
      <c r="S80">
        <f>HYPERLINK("https://klasma.github.io/Logging_1256/artfynd/A 62060-2022 artfynd.xlsx", "A 62060-2022")</f>
        <v/>
      </c>
      <c r="T80">
        <f>HYPERLINK("https://klasma.github.io/Logging_1256/kartor/A 62060-2022 karta.png", "A 62060-2022")</f>
        <v/>
      </c>
      <c r="V80">
        <f>HYPERLINK("https://klasma.github.io/Logging_1256/klagomål/A 62060-2022 FSC-klagomål.docx", "A 62060-2022")</f>
        <v/>
      </c>
      <c r="W80">
        <f>HYPERLINK("https://klasma.github.io/Logging_1256/klagomålsmail/A 62060-2022 FSC-klagomål mail.docx", "A 62060-2022")</f>
        <v/>
      </c>
      <c r="X80">
        <f>HYPERLINK("https://klasma.github.io/Logging_1256/tillsyn/A 62060-2022 tillsynsbegäran.docx", "A 62060-2022")</f>
        <v/>
      </c>
      <c r="Y80">
        <f>HYPERLINK("https://klasma.github.io/Logging_1256/tillsynsmail/A 62060-2022 tillsynsbegäran mail.docx", "A 62060-2022")</f>
        <v/>
      </c>
    </row>
    <row r="81" ht="15" customHeight="1">
      <c r="A81" t="inlineStr">
        <is>
          <t>A 2943-2023</t>
        </is>
      </c>
      <c r="B81" s="1" t="n">
        <v>44945</v>
      </c>
      <c r="C81" s="1" t="n">
        <v>45704</v>
      </c>
      <c r="D81" t="inlineStr">
        <is>
          <t>SKÅNE LÄN</t>
        </is>
      </c>
      <c r="E81" t="inlineStr">
        <is>
          <t>BÅSTAD</t>
        </is>
      </c>
      <c r="G81" t="n">
        <v>11.3</v>
      </c>
      <c r="H81" t="n">
        <v>1</v>
      </c>
      <c r="I81" t="n">
        <v>1</v>
      </c>
      <c r="J81" t="n">
        <v>0</v>
      </c>
      <c r="K81" t="n">
        <v>0</v>
      </c>
      <c r="L81" t="n">
        <v>0</v>
      </c>
      <c r="M81" t="n">
        <v>1</v>
      </c>
      <c r="N81" t="n">
        <v>0</v>
      </c>
      <c r="O81" t="n">
        <v>1</v>
      </c>
      <c r="P81" t="n">
        <v>1</v>
      </c>
      <c r="Q81" t="n">
        <v>3</v>
      </c>
      <c r="R81" s="2" t="inlineStr">
        <is>
          <t>Skogsalm
Sårläka
Grönvit nattviol</t>
        </is>
      </c>
      <c r="S81">
        <f>HYPERLINK("https://klasma.github.io/Logging_1278/artfynd/A 2943-2023 artfynd.xlsx", "A 2943-2023")</f>
        <v/>
      </c>
      <c r="T81">
        <f>HYPERLINK("https://klasma.github.io/Logging_1278/kartor/A 2943-2023 karta.png", "A 2943-2023")</f>
        <v/>
      </c>
      <c r="V81">
        <f>HYPERLINK("https://klasma.github.io/Logging_1278/klagomål/A 2943-2023 FSC-klagomål.docx", "A 2943-2023")</f>
        <v/>
      </c>
      <c r="W81">
        <f>HYPERLINK("https://klasma.github.io/Logging_1278/klagomålsmail/A 2943-2023 FSC-klagomål mail.docx", "A 2943-2023")</f>
        <v/>
      </c>
      <c r="X81">
        <f>HYPERLINK("https://klasma.github.io/Logging_1278/tillsyn/A 2943-2023 tillsynsbegäran.docx", "A 2943-2023")</f>
        <v/>
      </c>
      <c r="Y81">
        <f>HYPERLINK("https://klasma.github.io/Logging_1278/tillsynsmail/A 2943-2023 tillsynsbegäran mail.docx", "A 2943-2023")</f>
        <v/>
      </c>
    </row>
    <row r="82" ht="15" customHeight="1">
      <c r="A82" t="inlineStr">
        <is>
          <t>A 7554-2023</t>
        </is>
      </c>
      <c r="B82" s="1" t="n">
        <v>44967</v>
      </c>
      <c r="C82" s="1" t="n">
        <v>45704</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12576-2023</t>
        </is>
      </c>
      <c r="B83" s="1" t="n">
        <v>45000</v>
      </c>
      <c r="C83" s="1" t="n">
        <v>45704</v>
      </c>
      <c r="D83" t="inlineStr">
        <is>
          <t>SKÅNE LÄN</t>
        </is>
      </c>
      <c r="E83" t="inlineStr">
        <is>
          <t>KRISTIANSTAD</t>
        </is>
      </c>
      <c r="G83" t="n">
        <v>5.8</v>
      </c>
      <c r="H83" t="n">
        <v>0</v>
      </c>
      <c r="I83" t="n">
        <v>0</v>
      </c>
      <c r="J83" t="n">
        <v>2</v>
      </c>
      <c r="K83" t="n">
        <v>1</v>
      </c>
      <c r="L83" t="n">
        <v>0</v>
      </c>
      <c r="M83" t="n">
        <v>0</v>
      </c>
      <c r="N83" t="n">
        <v>0</v>
      </c>
      <c r="O83" t="n">
        <v>3</v>
      </c>
      <c r="P83" t="n">
        <v>1</v>
      </c>
      <c r="Q83" t="n">
        <v>3</v>
      </c>
      <c r="R83" s="2" t="inlineStr">
        <is>
          <t>Bukspolsnäcka
Lamellsnäcka
Tandsnäcka</t>
        </is>
      </c>
      <c r="S83">
        <f>HYPERLINK("https://klasma.github.io/Logging_1290/artfynd/A 12576-2023 artfynd.xlsx", "A 12576-2023")</f>
        <v/>
      </c>
      <c r="T83">
        <f>HYPERLINK("https://klasma.github.io/Logging_1290/kartor/A 12576-2023 karta.png", "A 12576-2023")</f>
        <v/>
      </c>
      <c r="V83">
        <f>HYPERLINK("https://klasma.github.io/Logging_1290/klagomål/A 12576-2023 FSC-klagomål.docx", "A 12576-2023")</f>
        <v/>
      </c>
      <c r="W83">
        <f>HYPERLINK("https://klasma.github.io/Logging_1290/klagomålsmail/A 12576-2023 FSC-klagomål mail.docx", "A 12576-2023")</f>
        <v/>
      </c>
      <c r="X83">
        <f>HYPERLINK("https://klasma.github.io/Logging_1290/tillsyn/A 12576-2023 tillsynsbegäran.docx", "A 12576-2023")</f>
        <v/>
      </c>
      <c r="Y83">
        <f>HYPERLINK("https://klasma.github.io/Logging_1290/tillsynsmail/A 12576-2023 tillsynsbegäran mail.docx", "A 12576-2023")</f>
        <v/>
      </c>
    </row>
    <row r="84" ht="15" customHeight="1">
      <c r="A84" t="inlineStr">
        <is>
          <t>A 18969-2023</t>
        </is>
      </c>
      <c r="B84" s="1" t="n">
        <v>45044</v>
      </c>
      <c r="C84" s="1" t="n">
        <v>45704</v>
      </c>
      <c r="D84" t="inlineStr">
        <is>
          <t>SKÅNE LÄN</t>
        </is>
      </c>
      <c r="E84" t="inlineStr">
        <is>
          <t>SJÖBO</t>
        </is>
      </c>
      <c r="G84" t="n">
        <v>5.7</v>
      </c>
      <c r="H84" t="n">
        <v>0</v>
      </c>
      <c r="I84" t="n">
        <v>3</v>
      </c>
      <c r="J84" t="n">
        <v>0</v>
      </c>
      <c r="K84" t="n">
        <v>0</v>
      </c>
      <c r="L84" t="n">
        <v>0</v>
      </c>
      <c r="M84" t="n">
        <v>0</v>
      </c>
      <c r="N84" t="n">
        <v>0</v>
      </c>
      <c r="O84" t="n">
        <v>0</v>
      </c>
      <c r="P84" t="n">
        <v>0</v>
      </c>
      <c r="Q84" t="n">
        <v>3</v>
      </c>
      <c r="R84" s="2" t="inlineStr">
        <is>
          <t>Kransrams
Lundbräsma
Platt fjädermossa</t>
        </is>
      </c>
      <c r="S84">
        <f>HYPERLINK("https://klasma.github.io/Logging_1265/artfynd/A 18969-2023 artfynd.xlsx", "A 18969-2023")</f>
        <v/>
      </c>
      <c r="T84">
        <f>HYPERLINK("https://klasma.github.io/Logging_1265/kartor/A 18969-2023 karta.png", "A 18969-2023")</f>
        <v/>
      </c>
      <c r="V84">
        <f>HYPERLINK("https://klasma.github.io/Logging_1265/klagomål/A 18969-2023 FSC-klagomål.docx", "A 18969-2023")</f>
        <v/>
      </c>
      <c r="W84">
        <f>HYPERLINK("https://klasma.github.io/Logging_1265/klagomålsmail/A 18969-2023 FSC-klagomål mail.docx", "A 18969-2023")</f>
        <v/>
      </c>
      <c r="X84">
        <f>HYPERLINK("https://klasma.github.io/Logging_1265/tillsyn/A 18969-2023 tillsynsbegäran.docx", "A 18969-2023")</f>
        <v/>
      </c>
      <c r="Y84">
        <f>HYPERLINK("https://klasma.github.io/Logging_1265/tillsynsmail/A 18969-2023 tillsynsbegäran mail.docx", "A 18969-2023")</f>
        <v/>
      </c>
    </row>
    <row r="85" ht="15" customHeight="1">
      <c r="A85" t="inlineStr">
        <is>
          <t>A 19517-2023</t>
        </is>
      </c>
      <c r="B85" s="1" t="n">
        <v>45050</v>
      </c>
      <c r="C85" s="1" t="n">
        <v>45704</v>
      </c>
      <c r="D85" t="inlineStr">
        <is>
          <t>SKÅNE LÄN</t>
        </is>
      </c>
      <c r="E85" t="inlineStr">
        <is>
          <t>HÖÖR</t>
        </is>
      </c>
      <c r="G85" t="n">
        <v>6.2</v>
      </c>
      <c r="H85" t="n">
        <v>1</v>
      </c>
      <c r="I85" t="n">
        <v>2</v>
      </c>
      <c r="J85" t="n">
        <v>0</v>
      </c>
      <c r="K85" t="n">
        <v>1</v>
      </c>
      <c r="L85" t="n">
        <v>0</v>
      </c>
      <c r="M85" t="n">
        <v>0</v>
      </c>
      <c r="N85" t="n">
        <v>0</v>
      </c>
      <c r="O85" t="n">
        <v>1</v>
      </c>
      <c r="P85" t="n">
        <v>1</v>
      </c>
      <c r="Q85" t="n">
        <v>3</v>
      </c>
      <c r="R85" s="2" t="inlineStr">
        <is>
          <t>Backsippa
Dvärghäxört
Liten stinksvamp</t>
        </is>
      </c>
      <c r="S85">
        <f>HYPERLINK("https://klasma.github.io/Logging_1267/artfynd/A 19517-2023 artfynd.xlsx", "A 19517-2023")</f>
        <v/>
      </c>
      <c r="T85">
        <f>HYPERLINK("https://klasma.github.io/Logging_1267/kartor/A 19517-2023 karta.png", "A 19517-2023")</f>
        <v/>
      </c>
      <c r="V85">
        <f>HYPERLINK("https://klasma.github.io/Logging_1267/klagomål/A 19517-2023 FSC-klagomål.docx", "A 19517-2023")</f>
        <v/>
      </c>
      <c r="W85">
        <f>HYPERLINK("https://klasma.github.io/Logging_1267/klagomålsmail/A 19517-2023 FSC-klagomål mail.docx", "A 19517-2023")</f>
        <v/>
      </c>
      <c r="X85">
        <f>HYPERLINK("https://klasma.github.io/Logging_1267/tillsyn/A 19517-2023 tillsynsbegäran.docx", "A 19517-2023")</f>
        <v/>
      </c>
      <c r="Y85">
        <f>HYPERLINK("https://klasma.github.io/Logging_1267/tillsynsmail/A 19517-2023 tillsynsbegäran mail.docx", "A 19517-2023")</f>
        <v/>
      </c>
    </row>
    <row r="86" ht="15" customHeight="1">
      <c r="A86" t="inlineStr">
        <is>
          <t>A 27902-2023</t>
        </is>
      </c>
      <c r="B86" s="1" t="n">
        <v>45098</v>
      </c>
      <c r="C86" s="1" t="n">
        <v>45704</v>
      </c>
      <c r="D86" t="inlineStr">
        <is>
          <t>SKÅNE LÄN</t>
        </is>
      </c>
      <c r="E86" t="inlineStr">
        <is>
          <t>HÖÖR</t>
        </is>
      </c>
      <c r="G86" t="n">
        <v>10.3</v>
      </c>
      <c r="H86" t="n">
        <v>0</v>
      </c>
      <c r="I86" t="n">
        <v>1</v>
      </c>
      <c r="J86" t="n">
        <v>0</v>
      </c>
      <c r="K86" t="n">
        <v>1</v>
      </c>
      <c r="L86" t="n">
        <v>0</v>
      </c>
      <c r="M86" t="n">
        <v>1</v>
      </c>
      <c r="N86" t="n">
        <v>0</v>
      </c>
      <c r="O86" t="n">
        <v>2</v>
      </c>
      <c r="P86" t="n">
        <v>2</v>
      </c>
      <c r="Q86" t="n">
        <v>3</v>
      </c>
      <c r="R86" s="2" t="inlineStr">
        <is>
          <t>Skogsalm
Småvänderot
Granbräken</t>
        </is>
      </c>
      <c r="S86">
        <f>HYPERLINK("https://klasma.github.io/Logging_1267/artfynd/A 27902-2023 artfynd.xlsx", "A 27902-2023")</f>
        <v/>
      </c>
      <c r="T86">
        <f>HYPERLINK("https://klasma.github.io/Logging_1267/kartor/A 27902-2023 karta.png", "A 27902-2023")</f>
        <v/>
      </c>
      <c r="V86">
        <f>HYPERLINK("https://klasma.github.io/Logging_1267/klagomål/A 27902-2023 FSC-klagomål.docx", "A 27902-2023")</f>
        <v/>
      </c>
      <c r="W86">
        <f>HYPERLINK("https://klasma.github.io/Logging_1267/klagomålsmail/A 27902-2023 FSC-klagomål mail.docx", "A 27902-2023")</f>
        <v/>
      </c>
      <c r="X86">
        <f>HYPERLINK("https://klasma.github.io/Logging_1267/tillsyn/A 27902-2023 tillsynsbegäran.docx", "A 27902-2023")</f>
        <v/>
      </c>
      <c r="Y86">
        <f>HYPERLINK("https://klasma.github.io/Logging_1267/tillsynsmail/A 27902-2023 tillsynsbegäran mail.docx", "A 27902-2023")</f>
        <v/>
      </c>
    </row>
    <row r="87" ht="15" customHeight="1">
      <c r="A87" t="inlineStr">
        <is>
          <t>A 28874-2023</t>
        </is>
      </c>
      <c r="B87" s="1" t="n">
        <v>45104</v>
      </c>
      <c r="C87" s="1" t="n">
        <v>45704</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34816-2023</t>
        </is>
      </c>
      <c r="B88" s="1" t="n">
        <v>45141</v>
      </c>
      <c r="C88" s="1" t="n">
        <v>45704</v>
      </c>
      <c r="D88" t="inlineStr">
        <is>
          <t>SKÅNE LÄN</t>
        </is>
      </c>
      <c r="E88" t="inlineStr">
        <is>
          <t>SVALÖV</t>
        </is>
      </c>
      <c r="G88" t="n">
        <v>1.6</v>
      </c>
      <c r="H88" t="n">
        <v>0</v>
      </c>
      <c r="I88" t="n">
        <v>1</v>
      </c>
      <c r="J88" t="n">
        <v>1</v>
      </c>
      <c r="K88" t="n">
        <v>1</v>
      </c>
      <c r="L88" t="n">
        <v>0</v>
      </c>
      <c r="M88" t="n">
        <v>0</v>
      </c>
      <c r="N88" t="n">
        <v>0</v>
      </c>
      <c r="O88" t="n">
        <v>2</v>
      </c>
      <c r="P88" t="n">
        <v>1</v>
      </c>
      <c r="Q88" t="n">
        <v>3</v>
      </c>
      <c r="R88" s="2" t="inlineStr">
        <is>
          <t>Bokblombock
Koralltaggsvamp
Jättesvampmal</t>
        </is>
      </c>
      <c r="S88">
        <f>HYPERLINK("https://klasma.github.io/Logging_1214/artfynd/A 34816-2023 artfynd.xlsx", "A 34816-2023")</f>
        <v/>
      </c>
      <c r="T88">
        <f>HYPERLINK("https://klasma.github.io/Logging_1214/kartor/A 34816-2023 karta.png", "A 34816-2023")</f>
        <v/>
      </c>
      <c r="V88">
        <f>HYPERLINK("https://klasma.github.io/Logging_1214/klagomål/A 34816-2023 FSC-klagomål.docx", "A 34816-2023")</f>
        <v/>
      </c>
      <c r="W88">
        <f>HYPERLINK("https://klasma.github.io/Logging_1214/klagomålsmail/A 34816-2023 FSC-klagomål mail.docx", "A 34816-2023")</f>
        <v/>
      </c>
      <c r="X88">
        <f>HYPERLINK("https://klasma.github.io/Logging_1214/tillsyn/A 34816-2023 tillsynsbegäran.docx", "A 34816-2023")</f>
        <v/>
      </c>
      <c r="Y88">
        <f>HYPERLINK("https://klasma.github.io/Logging_1214/tillsynsmail/A 34816-2023 tillsynsbegäran mail.docx", "A 34816-2023")</f>
        <v/>
      </c>
    </row>
    <row r="89" ht="15" customHeight="1">
      <c r="A89" t="inlineStr">
        <is>
          <t>A 38703-2023</t>
        </is>
      </c>
      <c r="B89" s="1" t="n">
        <v>45163</v>
      </c>
      <c r="C89" s="1" t="n">
        <v>45704</v>
      </c>
      <c r="D89" t="inlineStr">
        <is>
          <t>SKÅNE LÄN</t>
        </is>
      </c>
      <c r="E89" t="inlineStr">
        <is>
          <t>KRISTIANSTAD</t>
        </is>
      </c>
      <c r="G89" t="n">
        <v>7.6</v>
      </c>
      <c r="H89" t="n">
        <v>2</v>
      </c>
      <c r="I89" t="n">
        <v>0</v>
      </c>
      <c r="J89" t="n">
        <v>2</v>
      </c>
      <c r="K89" t="n">
        <v>0</v>
      </c>
      <c r="L89" t="n">
        <v>0</v>
      </c>
      <c r="M89" t="n">
        <v>0</v>
      </c>
      <c r="N89" t="n">
        <v>0</v>
      </c>
      <c r="O89" t="n">
        <v>2</v>
      </c>
      <c r="P89" t="n">
        <v>0</v>
      </c>
      <c r="Q89" t="n">
        <v>3</v>
      </c>
      <c r="R89" s="2" t="inlineStr">
        <is>
          <t>Backtimjan
Spillkråka
Törnskata</t>
        </is>
      </c>
      <c r="S89">
        <f>HYPERLINK("https://klasma.github.io/Logging_1290/artfynd/A 38703-2023 artfynd.xlsx", "A 38703-2023")</f>
        <v/>
      </c>
      <c r="T89">
        <f>HYPERLINK("https://klasma.github.io/Logging_1290/kartor/A 38703-2023 karta.png", "A 38703-2023")</f>
        <v/>
      </c>
      <c r="V89">
        <f>HYPERLINK("https://klasma.github.io/Logging_1290/klagomål/A 38703-2023 FSC-klagomål.docx", "A 38703-2023")</f>
        <v/>
      </c>
      <c r="W89">
        <f>HYPERLINK("https://klasma.github.io/Logging_1290/klagomålsmail/A 38703-2023 FSC-klagomål mail.docx", "A 38703-2023")</f>
        <v/>
      </c>
      <c r="X89">
        <f>HYPERLINK("https://klasma.github.io/Logging_1290/tillsyn/A 38703-2023 tillsynsbegäran.docx", "A 38703-2023")</f>
        <v/>
      </c>
      <c r="Y89">
        <f>HYPERLINK("https://klasma.github.io/Logging_1290/tillsynsmail/A 38703-2023 tillsynsbegäran mail.docx", "A 38703-2023")</f>
        <v/>
      </c>
      <c r="Z89">
        <f>HYPERLINK("https://klasma.github.io/Logging_1290/fåglar/A 38703-2023 prioriterade fågelarter.docx", "A 38703-2023")</f>
        <v/>
      </c>
    </row>
    <row r="90" ht="15" customHeight="1">
      <c r="A90" t="inlineStr">
        <is>
          <t>A 54644-2023</t>
        </is>
      </c>
      <c r="B90" s="1" t="n">
        <v>45235</v>
      </c>
      <c r="C90" s="1" t="n">
        <v>45704</v>
      </c>
      <c r="D90" t="inlineStr">
        <is>
          <t>SKÅNE LÄN</t>
        </is>
      </c>
      <c r="E90" t="inlineStr">
        <is>
          <t>KLIPPAN</t>
        </is>
      </c>
      <c r="G90" t="n">
        <v>9.6</v>
      </c>
      <c r="H90" t="n">
        <v>2</v>
      </c>
      <c r="I90" t="n">
        <v>1</v>
      </c>
      <c r="J90" t="n">
        <v>1</v>
      </c>
      <c r="K90" t="n">
        <v>0</v>
      </c>
      <c r="L90" t="n">
        <v>0</v>
      </c>
      <c r="M90" t="n">
        <v>0</v>
      </c>
      <c r="N90" t="n">
        <v>0</v>
      </c>
      <c r="O90" t="n">
        <v>1</v>
      </c>
      <c r="P90" t="n">
        <v>0</v>
      </c>
      <c r="Q90" t="n">
        <v>3</v>
      </c>
      <c r="R90" s="2" t="inlineStr">
        <is>
          <t>Spillkråka
Havstulpanlav
Skogsduva</t>
        </is>
      </c>
      <c r="S90">
        <f>HYPERLINK("https://klasma.github.io/Logging_1276/artfynd/A 54644-2023 artfynd.xlsx", "A 54644-2023")</f>
        <v/>
      </c>
      <c r="T90">
        <f>HYPERLINK("https://klasma.github.io/Logging_1276/kartor/A 54644-2023 karta.png", "A 54644-2023")</f>
        <v/>
      </c>
      <c r="V90">
        <f>HYPERLINK("https://klasma.github.io/Logging_1276/klagomål/A 54644-2023 FSC-klagomål.docx", "A 54644-2023")</f>
        <v/>
      </c>
      <c r="W90">
        <f>HYPERLINK("https://klasma.github.io/Logging_1276/klagomålsmail/A 54644-2023 FSC-klagomål mail.docx", "A 54644-2023")</f>
        <v/>
      </c>
      <c r="X90">
        <f>HYPERLINK("https://klasma.github.io/Logging_1276/tillsyn/A 54644-2023 tillsynsbegäran.docx", "A 54644-2023")</f>
        <v/>
      </c>
      <c r="Y90">
        <f>HYPERLINK("https://klasma.github.io/Logging_1276/tillsynsmail/A 54644-2023 tillsynsbegäran mail.docx", "A 54644-2023")</f>
        <v/>
      </c>
      <c r="Z90">
        <f>HYPERLINK("https://klasma.github.io/Logging_1276/fåglar/A 54644-2023 prioriterade fågelarter.docx", "A 54644-2023")</f>
        <v/>
      </c>
    </row>
    <row r="91" ht="15" customHeight="1">
      <c r="A91" t="inlineStr">
        <is>
          <t>A 56742-2023</t>
        </is>
      </c>
      <c r="B91" s="1" t="n">
        <v>45238</v>
      </c>
      <c r="C91" s="1" t="n">
        <v>45704</v>
      </c>
      <c r="D91" t="inlineStr">
        <is>
          <t>SKÅNE LÄN</t>
        </is>
      </c>
      <c r="E91" t="inlineStr">
        <is>
          <t>HÖRBY</t>
        </is>
      </c>
      <c r="G91" t="n">
        <v>8.699999999999999</v>
      </c>
      <c r="H91" t="n">
        <v>2</v>
      </c>
      <c r="I91" t="n">
        <v>1</v>
      </c>
      <c r="J91" t="n">
        <v>1</v>
      </c>
      <c r="K91" t="n">
        <v>0</v>
      </c>
      <c r="L91" t="n">
        <v>0</v>
      </c>
      <c r="M91" t="n">
        <v>0</v>
      </c>
      <c r="N91" t="n">
        <v>0</v>
      </c>
      <c r="O91" t="n">
        <v>1</v>
      </c>
      <c r="P91" t="n">
        <v>0</v>
      </c>
      <c r="Q91" t="n">
        <v>3</v>
      </c>
      <c r="R91" s="2" t="inlineStr">
        <is>
          <t>Mindre hackspett
Scharlakansskål
Skogsödla</t>
        </is>
      </c>
      <c r="S91">
        <f>HYPERLINK("https://klasma.github.io/Logging_1266/artfynd/A 56742-2023 artfynd.xlsx", "A 56742-2023")</f>
        <v/>
      </c>
      <c r="T91">
        <f>HYPERLINK("https://klasma.github.io/Logging_1266/kartor/A 56742-2023 karta.png", "A 56742-2023")</f>
        <v/>
      </c>
      <c r="V91">
        <f>HYPERLINK("https://klasma.github.io/Logging_1266/klagomål/A 56742-2023 FSC-klagomål.docx", "A 56742-2023")</f>
        <v/>
      </c>
      <c r="W91">
        <f>HYPERLINK("https://klasma.github.io/Logging_1266/klagomålsmail/A 56742-2023 FSC-klagomål mail.docx", "A 56742-2023")</f>
        <v/>
      </c>
      <c r="X91">
        <f>HYPERLINK("https://klasma.github.io/Logging_1266/tillsyn/A 56742-2023 tillsynsbegäran.docx", "A 56742-2023")</f>
        <v/>
      </c>
      <c r="Y91">
        <f>HYPERLINK("https://klasma.github.io/Logging_1266/tillsynsmail/A 56742-2023 tillsynsbegäran mail.docx", "A 56742-2023")</f>
        <v/>
      </c>
      <c r="Z91">
        <f>HYPERLINK("https://klasma.github.io/Logging_1266/fåglar/A 56742-2023 prioriterade fågelarter.docx", "A 56742-2023")</f>
        <v/>
      </c>
    </row>
    <row r="92" ht="15" customHeight="1">
      <c r="A92" t="inlineStr">
        <is>
          <t>A 62654-2023</t>
        </is>
      </c>
      <c r="B92" s="1" t="n">
        <v>45271</v>
      </c>
      <c r="C92" s="1" t="n">
        <v>45704</v>
      </c>
      <c r="D92" t="inlineStr">
        <is>
          <t>SKÅNE LÄN</t>
        </is>
      </c>
      <c r="E92" t="inlineStr">
        <is>
          <t>OSBY</t>
        </is>
      </c>
      <c r="F92" t="inlineStr">
        <is>
          <t>Naturvårdsverket</t>
        </is>
      </c>
      <c r="G92" t="n">
        <v>8.699999999999999</v>
      </c>
      <c r="H92" t="n">
        <v>3</v>
      </c>
      <c r="I92" t="n">
        <v>0</v>
      </c>
      <c r="J92" t="n">
        <v>2</v>
      </c>
      <c r="K92" t="n">
        <v>0</v>
      </c>
      <c r="L92" t="n">
        <v>0</v>
      </c>
      <c r="M92" t="n">
        <v>0</v>
      </c>
      <c r="N92" t="n">
        <v>0</v>
      </c>
      <c r="O92" t="n">
        <v>2</v>
      </c>
      <c r="P92" t="n">
        <v>0</v>
      </c>
      <c r="Q92" t="n">
        <v>3</v>
      </c>
      <c r="R92" s="2" t="inlineStr">
        <is>
          <t>Entita
Mindre hackspett
Kungsfågel</t>
        </is>
      </c>
      <c r="S92">
        <f>HYPERLINK("https://klasma.github.io/Logging_1273/artfynd/A 62654-2023 artfynd.xlsx", "A 62654-2023")</f>
        <v/>
      </c>
      <c r="T92">
        <f>HYPERLINK("https://klasma.github.io/Logging_1273/kartor/A 62654-2023 karta.png", "A 62654-2023")</f>
        <v/>
      </c>
      <c r="V92">
        <f>HYPERLINK("https://klasma.github.io/Logging_1273/klagomål/A 62654-2023 FSC-klagomål.docx", "A 62654-2023")</f>
        <v/>
      </c>
      <c r="W92">
        <f>HYPERLINK("https://klasma.github.io/Logging_1273/klagomålsmail/A 62654-2023 FSC-klagomål mail.docx", "A 62654-2023")</f>
        <v/>
      </c>
      <c r="X92">
        <f>HYPERLINK("https://klasma.github.io/Logging_1273/tillsyn/A 62654-2023 tillsynsbegäran.docx", "A 62654-2023")</f>
        <v/>
      </c>
      <c r="Y92">
        <f>HYPERLINK("https://klasma.github.io/Logging_1273/tillsynsmail/A 62654-2023 tillsynsbegäran mail.docx", "A 62654-2023")</f>
        <v/>
      </c>
      <c r="Z92">
        <f>HYPERLINK("https://klasma.github.io/Logging_1273/fåglar/A 62654-2023 prioriterade fågelarter.docx", "A 62654-2023")</f>
        <v/>
      </c>
    </row>
    <row r="93" ht="15" customHeight="1">
      <c r="A93" t="inlineStr">
        <is>
          <t>A 64633-2023</t>
        </is>
      </c>
      <c r="B93" s="1" t="n">
        <v>45281</v>
      </c>
      <c r="C93" s="1" t="n">
        <v>45704</v>
      </c>
      <c r="D93" t="inlineStr">
        <is>
          <t>SKÅNE LÄN</t>
        </is>
      </c>
      <c r="E93" t="inlineStr">
        <is>
          <t>HÖRBY</t>
        </is>
      </c>
      <c r="G93" t="n">
        <v>1.4</v>
      </c>
      <c r="H93" t="n">
        <v>0</v>
      </c>
      <c r="I93" t="n">
        <v>1</v>
      </c>
      <c r="J93" t="n">
        <v>2</v>
      </c>
      <c r="K93" t="n">
        <v>0</v>
      </c>
      <c r="L93" t="n">
        <v>0</v>
      </c>
      <c r="M93" t="n">
        <v>0</v>
      </c>
      <c r="N93" t="n">
        <v>0</v>
      </c>
      <c r="O93" t="n">
        <v>2</v>
      </c>
      <c r="P93" t="n">
        <v>0</v>
      </c>
      <c r="Q93" t="n">
        <v>3</v>
      </c>
      <c r="R93" s="2" t="inlineStr">
        <is>
          <t>Fläckig glansspinnare
Skogslysing
Stor häxört</t>
        </is>
      </c>
      <c r="S93">
        <f>HYPERLINK("https://klasma.github.io/Logging_1266/artfynd/A 64633-2023 artfynd.xlsx", "A 64633-2023")</f>
        <v/>
      </c>
      <c r="T93">
        <f>HYPERLINK("https://klasma.github.io/Logging_1266/kartor/A 64633-2023 karta.png", "A 64633-2023")</f>
        <v/>
      </c>
      <c r="V93">
        <f>HYPERLINK("https://klasma.github.io/Logging_1266/klagomål/A 64633-2023 FSC-klagomål.docx", "A 64633-2023")</f>
        <v/>
      </c>
      <c r="W93">
        <f>HYPERLINK("https://klasma.github.io/Logging_1266/klagomålsmail/A 64633-2023 FSC-klagomål mail.docx", "A 64633-2023")</f>
        <v/>
      </c>
      <c r="X93">
        <f>HYPERLINK("https://klasma.github.io/Logging_1266/tillsyn/A 64633-2023 tillsynsbegäran.docx", "A 64633-2023")</f>
        <v/>
      </c>
      <c r="Y93">
        <f>HYPERLINK("https://klasma.github.io/Logging_1266/tillsynsmail/A 64633-2023 tillsynsbegäran mail.docx", "A 64633-2023")</f>
        <v/>
      </c>
    </row>
    <row r="94" ht="15" customHeight="1">
      <c r="A94" t="inlineStr">
        <is>
          <t>A 905-2024</t>
        </is>
      </c>
      <c r="B94" s="1" t="n">
        <v>45301</v>
      </c>
      <c r="C94" s="1" t="n">
        <v>45704</v>
      </c>
      <c r="D94" t="inlineStr">
        <is>
          <t>SKÅNE LÄN</t>
        </is>
      </c>
      <c r="E94" t="inlineStr">
        <is>
          <t>ÄNGELHOLM</t>
        </is>
      </c>
      <c r="G94" t="n">
        <v>4.9</v>
      </c>
      <c r="H94" t="n">
        <v>0</v>
      </c>
      <c r="I94" t="n">
        <v>1</v>
      </c>
      <c r="J94" t="n">
        <v>2</v>
      </c>
      <c r="K94" t="n">
        <v>0</v>
      </c>
      <c r="L94" t="n">
        <v>0</v>
      </c>
      <c r="M94" t="n">
        <v>0</v>
      </c>
      <c r="N94" t="n">
        <v>0</v>
      </c>
      <c r="O94" t="n">
        <v>2</v>
      </c>
      <c r="P94" t="n">
        <v>0</v>
      </c>
      <c r="Q94" t="n">
        <v>3</v>
      </c>
      <c r="R94" s="2" t="inlineStr">
        <is>
          <t>Boktigerfluga
Desmeknopp
Myskmadra</t>
        </is>
      </c>
      <c r="S94">
        <f>HYPERLINK("https://klasma.github.io/Logging_1292/artfynd/A 905-2024 artfynd.xlsx", "A 905-2024")</f>
        <v/>
      </c>
      <c r="T94">
        <f>HYPERLINK("https://klasma.github.io/Logging_1292/kartor/A 905-2024 karta.png", "A 905-2024")</f>
        <v/>
      </c>
      <c r="V94">
        <f>HYPERLINK("https://klasma.github.io/Logging_1292/klagomål/A 905-2024 FSC-klagomål.docx", "A 905-2024")</f>
        <v/>
      </c>
      <c r="W94">
        <f>HYPERLINK("https://klasma.github.io/Logging_1292/klagomålsmail/A 905-2024 FSC-klagomål mail.docx", "A 905-2024")</f>
        <v/>
      </c>
      <c r="X94">
        <f>HYPERLINK("https://klasma.github.io/Logging_1292/tillsyn/A 905-2024 tillsynsbegäran.docx", "A 905-2024")</f>
        <v/>
      </c>
      <c r="Y94">
        <f>HYPERLINK("https://klasma.github.io/Logging_1292/tillsynsmail/A 905-2024 tillsynsbegäran mail.docx", "A 905-2024")</f>
        <v/>
      </c>
    </row>
    <row r="95" ht="15" customHeight="1">
      <c r="A95" t="inlineStr">
        <is>
          <t>A 2888-2024</t>
        </is>
      </c>
      <c r="B95" s="1" t="n">
        <v>45315</v>
      </c>
      <c r="C95" s="1" t="n">
        <v>45704</v>
      </c>
      <c r="D95" t="inlineStr">
        <is>
          <t>SKÅNE LÄN</t>
        </is>
      </c>
      <c r="E95" t="inlineStr">
        <is>
          <t>KRISTIANSTAD</t>
        </is>
      </c>
      <c r="G95" t="n">
        <v>10</v>
      </c>
      <c r="H95" t="n">
        <v>0</v>
      </c>
      <c r="I95" t="n">
        <v>2</v>
      </c>
      <c r="J95" t="n">
        <v>0</v>
      </c>
      <c r="K95" t="n">
        <v>1</v>
      </c>
      <c r="L95" t="n">
        <v>0</v>
      </c>
      <c r="M95" t="n">
        <v>0</v>
      </c>
      <c r="N95" t="n">
        <v>0</v>
      </c>
      <c r="O95" t="n">
        <v>1</v>
      </c>
      <c r="P95" t="n">
        <v>1</v>
      </c>
      <c r="Q95" t="n">
        <v>3</v>
      </c>
      <c r="R95" s="2" t="inlineStr">
        <is>
          <t>Flenörtskapuschongfly
Kransrams
Stor häxört</t>
        </is>
      </c>
      <c r="S95">
        <f>HYPERLINK("https://klasma.github.io/Logging_1290/artfynd/A 2888-2024 artfynd.xlsx", "A 2888-2024")</f>
        <v/>
      </c>
      <c r="T95">
        <f>HYPERLINK("https://klasma.github.io/Logging_1290/kartor/A 2888-2024 karta.png", "A 2888-2024")</f>
        <v/>
      </c>
      <c r="V95">
        <f>HYPERLINK("https://klasma.github.io/Logging_1290/klagomål/A 2888-2024 FSC-klagomål.docx", "A 2888-2024")</f>
        <v/>
      </c>
      <c r="W95">
        <f>HYPERLINK("https://klasma.github.io/Logging_1290/klagomålsmail/A 2888-2024 FSC-klagomål mail.docx", "A 2888-2024")</f>
        <v/>
      </c>
      <c r="X95">
        <f>HYPERLINK("https://klasma.github.io/Logging_1290/tillsyn/A 2888-2024 tillsynsbegäran.docx", "A 2888-2024")</f>
        <v/>
      </c>
      <c r="Y95">
        <f>HYPERLINK("https://klasma.github.io/Logging_1290/tillsynsmail/A 2888-2024 tillsynsbegäran mail.docx", "A 2888-2024")</f>
        <v/>
      </c>
    </row>
    <row r="96" ht="15" customHeight="1">
      <c r="A96" t="inlineStr">
        <is>
          <t>A 5468-2024</t>
        </is>
      </c>
      <c r="B96" s="1" t="n">
        <v>45332</v>
      </c>
      <c r="C96" s="1" t="n">
        <v>45704</v>
      </c>
      <c r="D96" t="inlineStr">
        <is>
          <t>SKÅNE LÄN</t>
        </is>
      </c>
      <c r="E96" t="inlineStr">
        <is>
          <t>ÖSTRA GÖINGE</t>
        </is>
      </c>
      <c r="G96" t="n">
        <v>3.2</v>
      </c>
      <c r="H96" t="n">
        <v>0</v>
      </c>
      <c r="I96" t="n">
        <v>0</v>
      </c>
      <c r="J96" t="n">
        <v>2</v>
      </c>
      <c r="K96" t="n">
        <v>1</v>
      </c>
      <c r="L96" t="n">
        <v>0</v>
      </c>
      <c r="M96" t="n">
        <v>0</v>
      </c>
      <c r="N96" t="n">
        <v>0</v>
      </c>
      <c r="O96" t="n">
        <v>3</v>
      </c>
      <c r="P96" t="n">
        <v>1</v>
      </c>
      <c r="Q96" t="n">
        <v>3</v>
      </c>
      <c r="R96" s="2" t="inlineStr">
        <is>
          <t>Slåttergubbe
Månlåsbräken
Svinrot</t>
        </is>
      </c>
      <c r="S96">
        <f>HYPERLINK("https://klasma.github.io/Logging_1256/artfynd/A 5468-2024 artfynd.xlsx", "A 5468-2024")</f>
        <v/>
      </c>
      <c r="T96">
        <f>HYPERLINK("https://klasma.github.io/Logging_1256/kartor/A 5468-2024 karta.png", "A 5468-2024")</f>
        <v/>
      </c>
      <c r="V96">
        <f>HYPERLINK("https://klasma.github.io/Logging_1256/klagomål/A 5468-2024 FSC-klagomål.docx", "A 5468-2024")</f>
        <v/>
      </c>
      <c r="W96">
        <f>HYPERLINK("https://klasma.github.io/Logging_1256/klagomålsmail/A 5468-2024 FSC-klagomål mail.docx", "A 5468-2024")</f>
        <v/>
      </c>
      <c r="X96">
        <f>HYPERLINK("https://klasma.github.io/Logging_1256/tillsyn/A 5468-2024 tillsynsbegäran.docx", "A 5468-2024")</f>
        <v/>
      </c>
      <c r="Y96">
        <f>HYPERLINK("https://klasma.github.io/Logging_1256/tillsynsmail/A 5468-2024 tillsynsbegäran mail.docx", "A 5468-2024")</f>
        <v/>
      </c>
    </row>
    <row r="97" ht="15" customHeight="1">
      <c r="A97" t="inlineStr">
        <is>
          <t>A 7616-2024</t>
        </is>
      </c>
      <c r="B97" s="1" t="n">
        <v>45348</v>
      </c>
      <c r="C97" s="1" t="n">
        <v>45704</v>
      </c>
      <c r="D97" t="inlineStr">
        <is>
          <t>SKÅNE LÄN</t>
        </is>
      </c>
      <c r="E97" t="inlineStr">
        <is>
          <t>HÖÖR</t>
        </is>
      </c>
      <c r="G97" t="n">
        <v>4.2</v>
      </c>
      <c r="H97" t="n">
        <v>0</v>
      </c>
      <c r="I97" t="n">
        <v>0</v>
      </c>
      <c r="J97" t="n">
        <v>2</v>
      </c>
      <c r="K97" t="n">
        <v>1</v>
      </c>
      <c r="L97" t="n">
        <v>0</v>
      </c>
      <c r="M97" t="n">
        <v>0</v>
      </c>
      <c r="N97" t="n">
        <v>0</v>
      </c>
      <c r="O97" t="n">
        <v>3</v>
      </c>
      <c r="P97" t="n">
        <v>1</v>
      </c>
      <c r="Q97" t="n">
        <v>3</v>
      </c>
      <c r="R97" s="2" t="inlineStr">
        <is>
          <t>Flenörtskapuschongfly
Kösa
Åkerkulla</t>
        </is>
      </c>
      <c r="S97">
        <f>HYPERLINK("https://klasma.github.io/Logging_1267/artfynd/A 7616-2024 artfynd.xlsx", "A 7616-2024")</f>
        <v/>
      </c>
      <c r="T97">
        <f>HYPERLINK("https://klasma.github.io/Logging_1267/kartor/A 7616-2024 karta.png", "A 7616-2024")</f>
        <v/>
      </c>
      <c r="V97">
        <f>HYPERLINK("https://klasma.github.io/Logging_1267/klagomål/A 7616-2024 FSC-klagomål.docx", "A 7616-2024")</f>
        <v/>
      </c>
      <c r="W97">
        <f>HYPERLINK("https://klasma.github.io/Logging_1267/klagomålsmail/A 7616-2024 FSC-klagomål mail.docx", "A 7616-2024")</f>
        <v/>
      </c>
      <c r="X97">
        <f>HYPERLINK("https://klasma.github.io/Logging_1267/tillsyn/A 7616-2024 tillsynsbegäran.docx", "A 7616-2024")</f>
        <v/>
      </c>
      <c r="Y97">
        <f>HYPERLINK("https://klasma.github.io/Logging_1267/tillsynsmail/A 7616-2024 tillsynsbegäran mail.docx", "A 7616-2024")</f>
        <v/>
      </c>
    </row>
    <row r="98" ht="15" customHeight="1">
      <c r="A98" t="inlineStr">
        <is>
          <t>A 20193-2024</t>
        </is>
      </c>
      <c r="B98" s="1" t="n">
        <v>45434</v>
      </c>
      <c r="C98" s="1" t="n">
        <v>45704</v>
      </c>
      <c r="D98" t="inlineStr">
        <is>
          <t>SKÅNE LÄN</t>
        </is>
      </c>
      <c r="E98" t="inlineStr">
        <is>
          <t>HÖRBY</t>
        </is>
      </c>
      <c r="G98" t="n">
        <v>11.2</v>
      </c>
      <c r="H98" t="n">
        <v>0</v>
      </c>
      <c r="I98" t="n">
        <v>3</v>
      </c>
      <c r="J98" t="n">
        <v>0</v>
      </c>
      <c r="K98" t="n">
        <v>0</v>
      </c>
      <c r="L98" t="n">
        <v>0</v>
      </c>
      <c r="M98" t="n">
        <v>0</v>
      </c>
      <c r="N98" t="n">
        <v>0</v>
      </c>
      <c r="O98" t="n">
        <v>0</v>
      </c>
      <c r="P98" t="n">
        <v>0</v>
      </c>
      <c r="Q98" t="n">
        <v>3</v>
      </c>
      <c r="R98" s="2" t="inlineStr">
        <is>
          <t>Strutbräken
Vätteros
Vårärt</t>
        </is>
      </c>
      <c r="S98">
        <f>HYPERLINK("https://klasma.github.io/Logging_1266/artfynd/A 20193-2024 artfynd.xlsx", "A 20193-2024")</f>
        <v/>
      </c>
      <c r="T98">
        <f>HYPERLINK("https://klasma.github.io/Logging_1266/kartor/A 20193-2024 karta.png", "A 20193-2024")</f>
        <v/>
      </c>
      <c r="V98">
        <f>HYPERLINK("https://klasma.github.io/Logging_1266/klagomål/A 20193-2024 FSC-klagomål.docx", "A 20193-2024")</f>
        <v/>
      </c>
      <c r="W98">
        <f>HYPERLINK("https://klasma.github.io/Logging_1266/klagomålsmail/A 20193-2024 FSC-klagomål mail.docx", "A 20193-2024")</f>
        <v/>
      </c>
      <c r="X98">
        <f>HYPERLINK("https://klasma.github.io/Logging_1266/tillsyn/A 20193-2024 tillsynsbegäran.docx", "A 20193-2024")</f>
        <v/>
      </c>
      <c r="Y98">
        <f>HYPERLINK("https://klasma.github.io/Logging_1266/tillsynsmail/A 20193-2024 tillsynsbegäran mail.docx", "A 20193-2024")</f>
        <v/>
      </c>
    </row>
    <row r="99" ht="15" customHeight="1">
      <c r="A99" t="inlineStr">
        <is>
          <t>A 27244-2024</t>
        </is>
      </c>
      <c r="B99" s="1" t="n">
        <v>45471</v>
      </c>
      <c r="C99" s="1" t="n">
        <v>45704</v>
      </c>
      <c r="D99" t="inlineStr">
        <is>
          <t>SKÅNE LÄN</t>
        </is>
      </c>
      <c r="E99" t="inlineStr">
        <is>
          <t>SVEDALA</t>
        </is>
      </c>
      <c r="G99" t="n">
        <v>1.9</v>
      </c>
      <c r="H99" t="n">
        <v>1</v>
      </c>
      <c r="I99" t="n">
        <v>1</v>
      </c>
      <c r="J99" t="n">
        <v>2</v>
      </c>
      <c r="K99" t="n">
        <v>0</v>
      </c>
      <c r="L99" t="n">
        <v>0</v>
      </c>
      <c r="M99" t="n">
        <v>0</v>
      </c>
      <c r="N99" t="n">
        <v>0</v>
      </c>
      <c r="O99" t="n">
        <v>2</v>
      </c>
      <c r="P99" t="n">
        <v>0</v>
      </c>
      <c r="Q99" t="n">
        <v>3</v>
      </c>
      <c r="R99" s="2" t="inlineStr">
        <is>
          <t>Desmeknopp
Svartvit flugsnappare
Stor häxört</t>
        </is>
      </c>
      <c r="S99">
        <f>HYPERLINK("https://klasma.github.io/Logging_1263/artfynd/A 27244-2024 artfynd.xlsx", "A 27244-2024")</f>
        <v/>
      </c>
      <c r="T99">
        <f>HYPERLINK("https://klasma.github.io/Logging_1263/kartor/A 27244-2024 karta.png", "A 27244-2024")</f>
        <v/>
      </c>
      <c r="V99">
        <f>HYPERLINK("https://klasma.github.io/Logging_1263/klagomål/A 27244-2024 FSC-klagomål.docx", "A 27244-2024")</f>
        <v/>
      </c>
      <c r="W99">
        <f>HYPERLINK("https://klasma.github.io/Logging_1263/klagomålsmail/A 27244-2024 FSC-klagomål mail.docx", "A 27244-2024")</f>
        <v/>
      </c>
      <c r="X99">
        <f>HYPERLINK("https://klasma.github.io/Logging_1263/tillsyn/A 27244-2024 tillsynsbegäran.docx", "A 27244-2024")</f>
        <v/>
      </c>
      <c r="Y99">
        <f>HYPERLINK("https://klasma.github.io/Logging_1263/tillsynsmail/A 27244-2024 tillsynsbegäran mail.docx", "A 27244-2024")</f>
        <v/>
      </c>
      <c r="Z99">
        <f>HYPERLINK("https://klasma.github.io/Logging_1263/fåglar/A 27244-2024 prioriterade fågelarter.docx", "A 27244-2024")</f>
        <v/>
      </c>
    </row>
    <row r="100" ht="15" customHeight="1">
      <c r="A100" t="inlineStr">
        <is>
          <t>A 27430-2024</t>
        </is>
      </c>
      <c r="B100" s="1" t="n">
        <v>45474</v>
      </c>
      <c r="C100" s="1" t="n">
        <v>45704</v>
      </c>
      <c r="D100" t="inlineStr">
        <is>
          <t>SKÅNE LÄN</t>
        </is>
      </c>
      <c r="E100" t="inlineStr">
        <is>
          <t>SIMRISHAMN</t>
        </is>
      </c>
      <c r="G100" t="n">
        <v>3.9</v>
      </c>
      <c r="H100" t="n">
        <v>1</v>
      </c>
      <c r="I100" t="n">
        <v>2</v>
      </c>
      <c r="J100" t="n">
        <v>1</v>
      </c>
      <c r="K100" t="n">
        <v>0</v>
      </c>
      <c r="L100" t="n">
        <v>0</v>
      </c>
      <c r="M100" t="n">
        <v>0</v>
      </c>
      <c r="N100" t="n">
        <v>0</v>
      </c>
      <c r="O100" t="n">
        <v>1</v>
      </c>
      <c r="P100" t="n">
        <v>0</v>
      </c>
      <c r="Q100" t="n">
        <v>3</v>
      </c>
      <c r="R100" s="2" t="inlineStr">
        <is>
          <t>Spillkråka
Bokoxe
Rostfläck</t>
        </is>
      </c>
      <c r="S100">
        <f>HYPERLINK("https://klasma.github.io/Logging_1291/artfynd/A 27430-2024 artfynd.xlsx", "A 27430-2024")</f>
        <v/>
      </c>
      <c r="T100">
        <f>HYPERLINK("https://klasma.github.io/Logging_1291/kartor/A 27430-2024 karta.png", "A 27430-2024")</f>
        <v/>
      </c>
      <c r="V100">
        <f>HYPERLINK("https://klasma.github.io/Logging_1291/klagomål/A 27430-2024 FSC-klagomål.docx", "A 27430-2024")</f>
        <v/>
      </c>
      <c r="W100">
        <f>HYPERLINK("https://klasma.github.io/Logging_1291/klagomålsmail/A 27430-2024 FSC-klagomål mail.docx", "A 27430-2024")</f>
        <v/>
      </c>
      <c r="X100">
        <f>HYPERLINK("https://klasma.github.io/Logging_1291/tillsyn/A 27430-2024 tillsynsbegäran.docx", "A 27430-2024")</f>
        <v/>
      </c>
      <c r="Y100">
        <f>HYPERLINK("https://klasma.github.io/Logging_1291/tillsynsmail/A 27430-2024 tillsynsbegäran mail.docx", "A 27430-2024")</f>
        <v/>
      </c>
      <c r="Z100">
        <f>HYPERLINK("https://klasma.github.io/Logging_1291/fåglar/A 27430-2024 prioriterade fågelarter.docx", "A 27430-2024")</f>
        <v/>
      </c>
    </row>
    <row r="101" ht="15" customHeight="1">
      <c r="A101" t="inlineStr">
        <is>
          <t>A 31926-2024</t>
        </is>
      </c>
      <c r="B101" s="1" t="n">
        <v>45510</v>
      </c>
      <c r="C101" s="1" t="n">
        <v>45704</v>
      </c>
      <c r="D101" t="inlineStr">
        <is>
          <t>SKÅNE LÄN</t>
        </is>
      </c>
      <c r="E101" t="inlineStr">
        <is>
          <t>ÖRKELLJUNGA</t>
        </is>
      </c>
      <c r="G101" t="n">
        <v>1.9</v>
      </c>
      <c r="H101" t="n">
        <v>0</v>
      </c>
      <c r="I101" t="n">
        <v>3</v>
      </c>
      <c r="J101" t="n">
        <v>0</v>
      </c>
      <c r="K101" t="n">
        <v>0</v>
      </c>
      <c r="L101" t="n">
        <v>0</v>
      </c>
      <c r="M101" t="n">
        <v>0</v>
      </c>
      <c r="N101" t="n">
        <v>0</v>
      </c>
      <c r="O101" t="n">
        <v>0</v>
      </c>
      <c r="P101" t="n">
        <v>0</v>
      </c>
      <c r="Q101" t="n">
        <v>3</v>
      </c>
      <c r="R101" s="2" t="inlineStr">
        <is>
          <t>Havstulpanlav
Klippfrullania
Västlig hakmossa</t>
        </is>
      </c>
      <c r="S101">
        <f>HYPERLINK("https://klasma.github.io/Logging_1257/artfynd/A 31926-2024 artfynd.xlsx", "A 31926-2024")</f>
        <v/>
      </c>
      <c r="T101">
        <f>HYPERLINK("https://klasma.github.io/Logging_1257/kartor/A 31926-2024 karta.png", "A 31926-2024")</f>
        <v/>
      </c>
      <c r="V101">
        <f>HYPERLINK("https://klasma.github.io/Logging_1257/klagomål/A 31926-2024 FSC-klagomål.docx", "A 31926-2024")</f>
        <v/>
      </c>
      <c r="W101">
        <f>HYPERLINK("https://klasma.github.io/Logging_1257/klagomålsmail/A 31926-2024 FSC-klagomål mail.docx", "A 31926-2024")</f>
        <v/>
      </c>
      <c r="X101">
        <f>HYPERLINK("https://klasma.github.io/Logging_1257/tillsyn/A 31926-2024 tillsynsbegäran.docx", "A 31926-2024")</f>
        <v/>
      </c>
      <c r="Y101">
        <f>HYPERLINK("https://klasma.github.io/Logging_1257/tillsynsmail/A 31926-2024 tillsynsbegäran mail.docx", "A 31926-2024")</f>
        <v/>
      </c>
    </row>
    <row r="102" ht="15" customHeight="1">
      <c r="A102" t="inlineStr">
        <is>
          <t>A 44079-2024</t>
        </is>
      </c>
      <c r="B102" s="1" t="n">
        <v>45572</v>
      </c>
      <c r="C102" s="1" t="n">
        <v>45704</v>
      </c>
      <c r="D102" t="inlineStr">
        <is>
          <t>SKÅNE LÄN</t>
        </is>
      </c>
      <c r="E102" t="inlineStr">
        <is>
          <t>BROMÖLLA</t>
        </is>
      </c>
      <c r="G102" t="n">
        <v>3.1</v>
      </c>
      <c r="H102" t="n">
        <v>0</v>
      </c>
      <c r="I102" t="n">
        <v>3</v>
      </c>
      <c r="J102" t="n">
        <v>0</v>
      </c>
      <c r="K102" t="n">
        <v>0</v>
      </c>
      <c r="L102" t="n">
        <v>0</v>
      </c>
      <c r="M102" t="n">
        <v>0</v>
      </c>
      <c r="N102" t="n">
        <v>0</v>
      </c>
      <c r="O102" t="n">
        <v>0</v>
      </c>
      <c r="P102" t="n">
        <v>0</v>
      </c>
      <c r="Q102" t="n">
        <v>3</v>
      </c>
      <c r="R102" s="2" t="inlineStr">
        <is>
          <t>Stor häxört
Svart trolldruva
Underviol</t>
        </is>
      </c>
      <c r="S102">
        <f>HYPERLINK("https://klasma.github.io/Logging_1272/artfynd/A 44079-2024 artfynd.xlsx", "A 44079-2024")</f>
        <v/>
      </c>
      <c r="T102">
        <f>HYPERLINK("https://klasma.github.io/Logging_1272/kartor/A 44079-2024 karta.png", "A 44079-2024")</f>
        <v/>
      </c>
      <c r="V102">
        <f>HYPERLINK("https://klasma.github.io/Logging_1272/klagomål/A 44079-2024 FSC-klagomål.docx", "A 44079-2024")</f>
        <v/>
      </c>
      <c r="W102">
        <f>HYPERLINK("https://klasma.github.io/Logging_1272/klagomålsmail/A 44079-2024 FSC-klagomål mail.docx", "A 44079-2024")</f>
        <v/>
      </c>
      <c r="X102">
        <f>HYPERLINK("https://klasma.github.io/Logging_1272/tillsyn/A 44079-2024 tillsynsbegäran.docx", "A 44079-2024")</f>
        <v/>
      </c>
      <c r="Y102">
        <f>HYPERLINK("https://klasma.github.io/Logging_1272/tillsynsmail/A 44079-2024 tillsynsbegäran mail.docx", "A 44079-2024")</f>
        <v/>
      </c>
    </row>
    <row r="103" ht="15" customHeight="1">
      <c r="A103" t="inlineStr">
        <is>
          <t>A 46256-2024</t>
        </is>
      </c>
      <c r="B103" s="1" t="n">
        <v>45581</v>
      </c>
      <c r="C103" s="1" t="n">
        <v>45704</v>
      </c>
      <c r="D103" t="inlineStr">
        <is>
          <t>SKÅNE LÄN</t>
        </is>
      </c>
      <c r="E103" t="inlineStr">
        <is>
          <t>KLIPPAN</t>
        </is>
      </c>
      <c r="F103" t="inlineStr">
        <is>
          <t>Sveaskog</t>
        </is>
      </c>
      <c r="G103" t="n">
        <v>3.1</v>
      </c>
      <c r="H103" t="n">
        <v>1</v>
      </c>
      <c r="I103" t="n">
        <v>2</v>
      </c>
      <c r="J103" t="n">
        <v>1</v>
      </c>
      <c r="K103" t="n">
        <v>0</v>
      </c>
      <c r="L103" t="n">
        <v>0</v>
      </c>
      <c r="M103" t="n">
        <v>0</v>
      </c>
      <c r="N103" t="n">
        <v>0</v>
      </c>
      <c r="O103" t="n">
        <v>1</v>
      </c>
      <c r="P103" t="n">
        <v>0</v>
      </c>
      <c r="Q103" t="n">
        <v>3</v>
      </c>
      <c r="R103" s="2" t="inlineStr">
        <is>
          <t>Spillkråka
Rostfläck
Västlig hakmossa</t>
        </is>
      </c>
      <c r="S103">
        <f>HYPERLINK("https://klasma.github.io/Logging_1276/artfynd/A 46256-2024 artfynd.xlsx", "A 46256-2024")</f>
        <v/>
      </c>
      <c r="T103">
        <f>HYPERLINK("https://klasma.github.io/Logging_1276/kartor/A 46256-2024 karta.png", "A 46256-2024")</f>
        <v/>
      </c>
      <c r="V103">
        <f>HYPERLINK("https://klasma.github.io/Logging_1276/klagomål/A 46256-2024 FSC-klagomål.docx", "A 46256-2024")</f>
        <v/>
      </c>
      <c r="W103">
        <f>HYPERLINK("https://klasma.github.io/Logging_1276/klagomålsmail/A 46256-2024 FSC-klagomål mail.docx", "A 46256-2024")</f>
        <v/>
      </c>
      <c r="X103">
        <f>HYPERLINK("https://klasma.github.io/Logging_1276/tillsyn/A 46256-2024 tillsynsbegäran.docx", "A 46256-2024")</f>
        <v/>
      </c>
      <c r="Y103">
        <f>HYPERLINK("https://klasma.github.io/Logging_1276/tillsynsmail/A 46256-2024 tillsynsbegäran mail.docx", "A 46256-2024")</f>
        <v/>
      </c>
      <c r="Z103">
        <f>HYPERLINK("https://klasma.github.io/Logging_1276/fåglar/A 46256-2024 prioriterade fågelarter.docx", "A 46256-2024")</f>
        <v/>
      </c>
    </row>
    <row r="104" ht="15" customHeight="1">
      <c r="A104" t="inlineStr">
        <is>
          <t>A 46706-2024</t>
        </is>
      </c>
      <c r="B104" s="1" t="n">
        <v>45583</v>
      </c>
      <c r="C104" s="1" t="n">
        <v>45704</v>
      </c>
      <c r="D104" t="inlineStr">
        <is>
          <t>SKÅNE LÄN</t>
        </is>
      </c>
      <c r="E104" t="inlineStr">
        <is>
          <t>ÖSTRA GÖINGE</t>
        </is>
      </c>
      <c r="G104" t="n">
        <v>3.1</v>
      </c>
      <c r="H104" t="n">
        <v>3</v>
      </c>
      <c r="I104" t="n">
        <v>0</v>
      </c>
      <c r="J104" t="n">
        <v>2</v>
      </c>
      <c r="K104" t="n">
        <v>0</v>
      </c>
      <c r="L104" t="n">
        <v>0</v>
      </c>
      <c r="M104" t="n">
        <v>0</v>
      </c>
      <c r="N104" t="n">
        <v>0</v>
      </c>
      <c r="O104" t="n">
        <v>2</v>
      </c>
      <c r="P104" t="n">
        <v>0</v>
      </c>
      <c r="Q104" t="n">
        <v>3</v>
      </c>
      <c r="R104" s="2" t="inlineStr">
        <is>
          <t>Entita
Talltita
Kungsfågel</t>
        </is>
      </c>
      <c r="S104">
        <f>HYPERLINK("https://klasma.github.io/Logging_1256/artfynd/A 46706-2024 artfynd.xlsx", "A 46706-2024")</f>
        <v/>
      </c>
      <c r="T104">
        <f>HYPERLINK("https://klasma.github.io/Logging_1256/kartor/A 46706-2024 karta.png", "A 46706-2024")</f>
        <v/>
      </c>
      <c r="V104">
        <f>HYPERLINK("https://klasma.github.io/Logging_1256/klagomål/A 46706-2024 FSC-klagomål.docx", "A 46706-2024")</f>
        <v/>
      </c>
      <c r="W104">
        <f>HYPERLINK("https://klasma.github.io/Logging_1256/klagomålsmail/A 46706-2024 FSC-klagomål mail.docx", "A 46706-2024")</f>
        <v/>
      </c>
      <c r="X104">
        <f>HYPERLINK("https://klasma.github.io/Logging_1256/tillsyn/A 46706-2024 tillsynsbegäran.docx", "A 46706-2024")</f>
        <v/>
      </c>
      <c r="Y104">
        <f>HYPERLINK("https://klasma.github.io/Logging_1256/tillsynsmail/A 46706-2024 tillsynsbegäran mail.docx", "A 46706-2024")</f>
        <v/>
      </c>
      <c r="Z104">
        <f>HYPERLINK("https://klasma.github.io/Logging_1256/fåglar/A 46706-2024 prioriterade fågelarter.docx", "A 46706-2024")</f>
        <v/>
      </c>
    </row>
    <row r="105" ht="15" customHeight="1">
      <c r="A105" t="inlineStr">
        <is>
          <t>A 51680-2024</t>
        </is>
      </c>
      <c r="B105" s="1" t="n">
        <v>45607</v>
      </c>
      <c r="C105" s="1" t="n">
        <v>45704</v>
      </c>
      <c r="D105" t="inlineStr">
        <is>
          <t>SKÅNE LÄN</t>
        </is>
      </c>
      <c r="E105" t="inlineStr">
        <is>
          <t>SKURUP</t>
        </is>
      </c>
      <c r="G105" t="n">
        <v>1.1</v>
      </c>
      <c r="H105" t="n">
        <v>0</v>
      </c>
      <c r="I105" t="n">
        <v>1</v>
      </c>
      <c r="J105" t="n">
        <v>0</v>
      </c>
      <c r="K105" t="n">
        <v>1</v>
      </c>
      <c r="L105" t="n">
        <v>0</v>
      </c>
      <c r="M105" t="n">
        <v>1</v>
      </c>
      <c r="N105" t="n">
        <v>0</v>
      </c>
      <c r="O105" t="n">
        <v>2</v>
      </c>
      <c r="P105" t="n">
        <v>2</v>
      </c>
      <c r="Q105" t="n">
        <v>3</v>
      </c>
      <c r="R105" s="2" t="inlineStr">
        <is>
          <t>Skogsalm
Småvänderot
Stor häxört</t>
        </is>
      </c>
      <c r="S105">
        <f>HYPERLINK("https://klasma.github.io/Logging_1264/artfynd/A 51680-2024 artfynd.xlsx", "A 51680-2024")</f>
        <v/>
      </c>
      <c r="T105">
        <f>HYPERLINK("https://klasma.github.io/Logging_1264/kartor/A 51680-2024 karta.png", "A 51680-2024")</f>
        <v/>
      </c>
      <c r="V105">
        <f>HYPERLINK("https://klasma.github.io/Logging_1264/klagomål/A 51680-2024 FSC-klagomål.docx", "A 51680-2024")</f>
        <v/>
      </c>
      <c r="W105">
        <f>HYPERLINK("https://klasma.github.io/Logging_1264/klagomålsmail/A 51680-2024 FSC-klagomål mail.docx", "A 51680-2024")</f>
        <v/>
      </c>
      <c r="X105">
        <f>HYPERLINK("https://klasma.github.io/Logging_1264/tillsyn/A 51680-2024 tillsynsbegäran.docx", "A 51680-2024")</f>
        <v/>
      </c>
      <c r="Y105">
        <f>HYPERLINK("https://klasma.github.io/Logging_1264/tillsynsmail/A 51680-2024 tillsynsbegäran mail.docx", "A 51680-2024")</f>
        <v/>
      </c>
    </row>
    <row r="106" ht="15" customHeight="1">
      <c r="A106" t="inlineStr">
        <is>
          <t>A 53826-2024</t>
        </is>
      </c>
      <c r="B106" s="1" t="n">
        <v>45615</v>
      </c>
      <c r="C106" s="1" t="n">
        <v>45704</v>
      </c>
      <c r="D106" t="inlineStr">
        <is>
          <t>SKÅNE LÄN</t>
        </is>
      </c>
      <c r="E106" t="inlineStr">
        <is>
          <t>ESLÖV</t>
        </is>
      </c>
      <c r="G106" t="n">
        <v>1.2</v>
      </c>
      <c r="H106" t="n">
        <v>1</v>
      </c>
      <c r="I106" t="n">
        <v>1</v>
      </c>
      <c r="J106" t="n">
        <v>1</v>
      </c>
      <c r="K106" t="n">
        <v>0</v>
      </c>
      <c r="L106" t="n">
        <v>1</v>
      </c>
      <c r="M106" t="n">
        <v>0</v>
      </c>
      <c r="N106" t="n">
        <v>0</v>
      </c>
      <c r="O106" t="n">
        <v>2</v>
      </c>
      <c r="P106" t="n">
        <v>1</v>
      </c>
      <c r="Q106" t="n">
        <v>3</v>
      </c>
      <c r="R106" s="2" t="inlineStr">
        <is>
          <t>Ask
Desmeknopp
Skogsknipprot</t>
        </is>
      </c>
      <c r="S106">
        <f>HYPERLINK("https://klasma.github.io/Logging_1285/artfynd/A 53826-2024 artfynd.xlsx", "A 53826-2024")</f>
        <v/>
      </c>
      <c r="T106">
        <f>HYPERLINK("https://klasma.github.io/Logging_1285/kartor/A 53826-2024 karta.png", "A 53826-2024")</f>
        <v/>
      </c>
      <c r="V106">
        <f>HYPERLINK("https://klasma.github.io/Logging_1285/klagomål/A 53826-2024 FSC-klagomål.docx", "A 53826-2024")</f>
        <v/>
      </c>
      <c r="W106">
        <f>HYPERLINK("https://klasma.github.io/Logging_1285/klagomålsmail/A 53826-2024 FSC-klagomål mail.docx", "A 53826-2024")</f>
        <v/>
      </c>
      <c r="X106">
        <f>HYPERLINK("https://klasma.github.io/Logging_1285/tillsyn/A 53826-2024 tillsynsbegäran.docx", "A 53826-2024")</f>
        <v/>
      </c>
      <c r="Y106">
        <f>HYPERLINK("https://klasma.github.io/Logging_1285/tillsynsmail/A 53826-2024 tillsynsbegäran mail.docx", "A 53826-2024")</f>
        <v/>
      </c>
    </row>
    <row r="107" ht="15" customHeight="1">
      <c r="A107" t="inlineStr">
        <is>
          <t>A 57726-2024</t>
        </is>
      </c>
      <c r="B107" s="1" t="n">
        <v>45630</v>
      </c>
      <c r="C107" s="1" t="n">
        <v>45704</v>
      </c>
      <c r="D107" t="inlineStr">
        <is>
          <t>SKÅNE LÄN</t>
        </is>
      </c>
      <c r="E107" t="inlineStr">
        <is>
          <t>LUND</t>
        </is>
      </c>
      <c r="G107" t="n">
        <v>11.4</v>
      </c>
      <c r="H107" t="n">
        <v>2</v>
      </c>
      <c r="I107" t="n">
        <v>0</v>
      </c>
      <c r="J107" t="n">
        <v>2</v>
      </c>
      <c r="K107" t="n">
        <v>1</v>
      </c>
      <c r="L107" t="n">
        <v>0</v>
      </c>
      <c r="M107" t="n">
        <v>0</v>
      </c>
      <c r="N107" t="n">
        <v>0</v>
      </c>
      <c r="O107" t="n">
        <v>3</v>
      </c>
      <c r="P107" t="n">
        <v>1</v>
      </c>
      <c r="Q107" t="n">
        <v>3</v>
      </c>
      <c r="R107" s="2" t="inlineStr">
        <is>
          <t>Silkesslidskivling
Duvhök
Grönsångare</t>
        </is>
      </c>
      <c r="S107">
        <f>HYPERLINK("https://klasma.github.io/Logging_1281/artfynd/A 57726-2024 artfynd.xlsx", "A 57726-2024")</f>
        <v/>
      </c>
      <c r="T107">
        <f>HYPERLINK("https://klasma.github.io/Logging_1281/kartor/A 57726-2024 karta.png", "A 57726-2024")</f>
        <v/>
      </c>
      <c r="V107">
        <f>HYPERLINK("https://klasma.github.io/Logging_1281/klagomål/A 57726-2024 FSC-klagomål.docx", "A 57726-2024")</f>
        <v/>
      </c>
      <c r="W107">
        <f>HYPERLINK("https://klasma.github.io/Logging_1281/klagomålsmail/A 57726-2024 FSC-klagomål mail.docx", "A 57726-2024")</f>
        <v/>
      </c>
      <c r="X107">
        <f>HYPERLINK("https://klasma.github.io/Logging_1281/tillsyn/A 57726-2024 tillsynsbegäran.docx", "A 57726-2024")</f>
        <v/>
      </c>
      <c r="Y107">
        <f>HYPERLINK("https://klasma.github.io/Logging_1281/tillsynsmail/A 57726-2024 tillsynsbegäran mail.docx", "A 57726-2024")</f>
        <v/>
      </c>
      <c r="Z107">
        <f>HYPERLINK("https://klasma.github.io/Logging_1281/fåglar/A 57726-2024 prioriterade fågelarter.docx", "A 57726-2024")</f>
        <v/>
      </c>
    </row>
    <row r="108" ht="15" customHeight="1">
      <c r="A108" t="inlineStr">
        <is>
          <t>A 513-2025</t>
        </is>
      </c>
      <c r="B108" s="1" t="n">
        <v>45664</v>
      </c>
      <c r="C108" s="1" t="n">
        <v>45704</v>
      </c>
      <c r="D108" t="inlineStr">
        <is>
          <t>SKÅNE LÄN</t>
        </is>
      </c>
      <c r="E108" t="inlineStr">
        <is>
          <t>KLIPPAN</t>
        </is>
      </c>
      <c r="F108" t="inlineStr">
        <is>
          <t>Sveaskog</t>
        </is>
      </c>
      <c r="G108" t="n">
        <v>8.199999999999999</v>
      </c>
      <c r="H108" t="n">
        <v>3</v>
      </c>
      <c r="I108" t="n">
        <v>0</v>
      </c>
      <c r="J108" t="n">
        <v>2</v>
      </c>
      <c r="K108" t="n">
        <v>0</v>
      </c>
      <c r="L108" t="n">
        <v>0</v>
      </c>
      <c r="M108" t="n">
        <v>0</v>
      </c>
      <c r="N108" t="n">
        <v>0</v>
      </c>
      <c r="O108" t="n">
        <v>2</v>
      </c>
      <c r="P108" t="n">
        <v>0</v>
      </c>
      <c r="Q108" t="n">
        <v>3</v>
      </c>
      <c r="R108" s="2" t="inlineStr">
        <is>
          <t>Spillkråka
Talltita
Revlummer</t>
        </is>
      </c>
      <c r="S108">
        <f>HYPERLINK("https://klasma.github.io/Logging_1276/artfynd/A 513-2025 artfynd.xlsx", "A 513-2025")</f>
        <v/>
      </c>
      <c r="T108">
        <f>HYPERLINK("https://klasma.github.io/Logging_1276/kartor/A 513-2025 karta.png", "A 513-2025")</f>
        <v/>
      </c>
      <c r="V108">
        <f>HYPERLINK("https://klasma.github.io/Logging_1276/klagomål/A 513-2025 FSC-klagomål.docx", "A 513-2025")</f>
        <v/>
      </c>
      <c r="W108">
        <f>HYPERLINK("https://klasma.github.io/Logging_1276/klagomålsmail/A 513-2025 FSC-klagomål mail.docx", "A 513-2025")</f>
        <v/>
      </c>
      <c r="X108">
        <f>HYPERLINK("https://klasma.github.io/Logging_1276/tillsyn/A 513-2025 tillsynsbegäran.docx", "A 513-2025")</f>
        <v/>
      </c>
      <c r="Y108">
        <f>HYPERLINK("https://klasma.github.io/Logging_1276/tillsynsmail/A 513-2025 tillsynsbegäran mail.docx", "A 513-2025")</f>
        <v/>
      </c>
      <c r="Z108">
        <f>HYPERLINK("https://klasma.github.io/Logging_1276/fåglar/A 513-2025 prioriterade fågelarter.docx", "A 513-2025")</f>
        <v/>
      </c>
    </row>
    <row r="109" ht="15" customHeight="1">
      <c r="A109" t="inlineStr">
        <is>
          <t>A 2823-2025</t>
        </is>
      </c>
      <c r="B109" s="1" t="n">
        <v>45677</v>
      </c>
      <c r="C109" s="1" t="n">
        <v>45704</v>
      </c>
      <c r="D109" t="inlineStr">
        <is>
          <t>SKÅNE LÄN</t>
        </is>
      </c>
      <c r="E109" t="inlineStr">
        <is>
          <t>HÖRBY</t>
        </is>
      </c>
      <c r="G109" t="n">
        <v>21.1</v>
      </c>
      <c r="H109" t="n">
        <v>2</v>
      </c>
      <c r="I109" t="n">
        <v>0</v>
      </c>
      <c r="J109" t="n">
        <v>1</v>
      </c>
      <c r="K109" t="n">
        <v>0</v>
      </c>
      <c r="L109" t="n">
        <v>0</v>
      </c>
      <c r="M109" t="n">
        <v>0</v>
      </c>
      <c r="N109" t="n">
        <v>0</v>
      </c>
      <c r="O109" t="n">
        <v>1</v>
      </c>
      <c r="P109" t="n">
        <v>0</v>
      </c>
      <c r="Q109" t="n">
        <v>3</v>
      </c>
      <c r="R109" s="2" t="inlineStr">
        <is>
          <t>Borsttåg
Grönvit nattviol
Revlummer</t>
        </is>
      </c>
      <c r="S109">
        <f>HYPERLINK("https://klasma.github.io/Logging_1266/artfynd/A 2823-2025 artfynd.xlsx", "A 2823-2025")</f>
        <v/>
      </c>
      <c r="T109">
        <f>HYPERLINK("https://klasma.github.io/Logging_1266/kartor/A 2823-2025 karta.png", "A 2823-2025")</f>
        <v/>
      </c>
      <c r="V109">
        <f>HYPERLINK("https://klasma.github.io/Logging_1266/klagomål/A 2823-2025 FSC-klagomål.docx", "A 2823-2025")</f>
        <v/>
      </c>
      <c r="W109">
        <f>HYPERLINK("https://klasma.github.io/Logging_1266/klagomålsmail/A 2823-2025 FSC-klagomål mail.docx", "A 2823-2025")</f>
        <v/>
      </c>
      <c r="X109">
        <f>HYPERLINK("https://klasma.github.io/Logging_1266/tillsyn/A 2823-2025 tillsynsbegäran.docx", "A 2823-2025")</f>
        <v/>
      </c>
      <c r="Y109">
        <f>HYPERLINK("https://klasma.github.io/Logging_1266/tillsynsmail/A 2823-2025 tillsynsbegäran mail.docx", "A 2823-2025")</f>
        <v/>
      </c>
    </row>
    <row r="110" ht="15" customHeight="1">
      <c r="A110" t="inlineStr">
        <is>
          <t>A 3253-2025</t>
        </is>
      </c>
      <c r="B110" s="1" t="n">
        <v>45679</v>
      </c>
      <c r="C110" s="1" t="n">
        <v>45704</v>
      </c>
      <c r="D110" t="inlineStr">
        <is>
          <t>SKÅNE LÄN</t>
        </is>
      </c>
      <c r="E110" t="inlineStr">
        <is>
          <t>YSTAD</t>
        </is>
      </c>
      <c r="F110" t="inlineStr">
        <is>
          <t>Övriga Aktiebolag</t>
        </is>
      </c>
      <c r="G110" t="n">
        <v>2.5</v>
      </c>
      <c r="H110" t="n">
        <v>1</v>
      </c>
      <c r="I110" t="n">
        <v>2</v>
      </c>
      <c r="J110" t="n">
        <v>0</v>
      </c>
      <c r="K110" t="n">
        <v>0</v>
      </c>
      <c r="L110" t="n">
        <v>0</v>
      </c>
      <c r="M110" t="n">
        <v>1</v>
      </c>
      <c r="N110" t="n">
        <v>0</v>
      </c>
      <c r="O110" t="n">
        <v>1</v>
      </c>
      <c r="P110" t="n">
        <v>1</v>
      </c>
      <c r="Q110" t="n">
        <v>3</v>
      </c>
      <c r="R110" s="2" t="inlineStr">
        <is>
          <t>Gotländsk hättemossa
Lönnlav
Strävlosta</t>
        </is>
      </c>
      <c r="S110">
        <f>HYPERLINK("https://klasma.github.io/Logging_1286/artfynd/A 3253-2025 artfynd.xlsx", "A 3253-2025")</f>
        <v/>
      </c>
      <c r="T110">
        <f>HYPERLINK("https://klasma.github.io/Logging_1286/kartor/A 3253-2025 karta.png", "A 3253-2025")</f>
        <v/>
      </c>
      <c r="V110">
        <f>HYPERLINK("https://klasma.github.io/Logging_1286/klagomål/A 3253-2025 FSC-klagomål.docx", "A 3253-2025")</f>
        <v/>
      </c>
      <c r="W110">
        <f>HYPERLINK("https://klasma.github.io/Logging_1286/klagomålsmail/A 3253-2025 FSC-klagomål mail.docx", "A 3253-2025")</f>
        <v/>
      </c>
      <c r="X110">
        <f>HYPERLINK("https://klasma.github.io/Logging_1286/tillsyn/A 3253-2025 tillsynsbegäran.docx", "A 3253-2025")</f>
        <v/>
      </c>
      <c r="Y110">
        <f>HYPERLINK("https://klasma.github.io/Logging_1286/tillsynsmail/A 3253-2025 tillsynsbegäran mail.docx", "A 3253-2025")</f>
        <v/>
      </c>
    </row>
    <row r="111" ht="15" customHeight="1">
      <c r="A111" t="inlineStr">
        <is>
          <t>A 30713-2019</t>
        </is>
      </c>
      <c r="B111" s="1" t="n">
        <v>43636</v>
      </c>
      <c r="C111" s="1" t="n">
        <v>45704</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45704</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45704</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45704</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45704</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45704</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45704</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45704</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45704</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45704</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45704</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45704</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45704</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45704</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45704</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45704</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45704</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45704</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45704</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45704</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45704</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45704</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45704</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45704</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45704</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45704</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45704</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45704</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45704</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45704</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45704</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45704</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45704</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45704</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45704</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45704</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45704</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45704</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45704</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45704</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45704</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45704</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45704</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45704</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45704</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45704</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45704</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45704</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45704</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45704</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45704</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45704</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45704</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45704</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45704</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45704</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45704</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45704</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45704</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45704</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45704</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45704</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45704</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45704</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45704</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45704</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45704</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4112-2025</t>
        </is>
      </c>
      <c r="B178" s="1" t="n">
        <v>45684</v>
      </c>
      <c r="C178" s="1" t="n">
        <v>45704</v>
      </c>
      <c r="D178" t="inlineStr">
        <is>
          <t>SKÅNE LÄN</t>
        </is>
      </c>
      <c r="E178" t="inlineStr">
        <is>
          <t>ÖRKELLJUNGA</t>
        </is>
      </c>
      <c r="G178" t="n">
        <v>11.4</v>
      </c>
      <c r="H178" t="n">
        <v>2</v>
      </c>
      <c r="I178" t="n">
        <v>0</v>
      </c>
      <c r="J178" t="n">
        <v>1</v>
      </c>
      <c r="K178" t="n">
        <v>0</v>
      </c>
      <c r="L178" t="n">
        <v>0</v>
      </c>
      <c r="M178" t="n">
        <v>0</v>
      </c>
      <c r="N178" t="n">
        <v>0</v>
      </c>
      <c r="O178" t="n">
        <v>1</v>
      </c>
      <c r="P178" t="n">
        <v>0</v>
      </c>
      <c r="Q178" t="n">
        <v>2</v>
      </c>
      <c r="R178" s="2" t="inlineStr">
        <is>
          <t>Utter
Vanlig padda</t>
        </is>
      </c>
      <c r="S178">
        <f>HYPERLINK("https://klasma.github.io/Logging_1257/artfynd/A 4112-2025 artfynd.xlsx", "A 4112-2025")</f>
        <v/>
      </c>
      <c r="T178">
        <f>HYPERLINK("https://klasma.github.io/Logging_1257/kartor/A 4112-2025 karta.png", "A 4112-2025")</f>
        <v/>
      </c>
      <c r="V178">
        <f>HYPERLINK("https://klasma.github.io/Logging_1257/klagomål/A 4112-2025 FSC-klagomål.docx", "A 4112-2025")</f>
        <v/>
      </c>
      <c r="W178">
        <f>HYPERLINK("https://klasma.github.io/Logging_1257/klagomålsmail/A 4112-2025 FSC-klagomål mail.docx", "A 4112-2025")</f>
        <v/>
      </c>
      <c r="X178">
        <f>HYPERLINK("https://klasma.github.io/Logging_1257/tillsyn/A 4112-2025 tillsynsbegäran.docx", "A 4112-2025")</f>
        <v/>
      </c>
      <c r="Y178">
        <f>HYPERLINK("https://klasma.github.io/Logging_1257/tillsynsmail/A 4112-2025 tillsynsbegäran mail.docx", "A 4112-2025")</f>
        <v/>
      </c>
    </row>
    <row r="179" ht="15" customHeight="1">
      <c r="A179" t="inlineStr">
        <is>
          <t>A 20427-2019</t>
        </is>
      </c>
      <c r="B179" s="1" t="n">
        <v>43571</v>
      </c>
      <c r="C179" s="1" t="n">
        <v>45704</v>
      </c>
      <c r="D179" t="inlineStr">
        <is>
          <t>SKÅNE LÄN</t>
        </is>
      </c>
      <c r="E179" t="inlineStr">
        <is>
          <t>SJÖBO</t>
        </is>
      </c>
      <c r="G179" t="n">
        <v>4.5</v>
      </c>
      <c r="H179" t="n">
        <v>0</v>
      </c>
      <c r="I179" t="n">
        <v>0</v>
      </c>
      <c r="J179" t="n">
        <v>0</v>
      </c>
      <c r="K179" t="n">
        <v>0</v>
      </c>
      <c r="L179" t="n">
        <v>1</v>
      </c>
      <c r="M179" t="n">
        <v>0</v>
      </c>
      <c r="N179" t="n">
        <v>0</v>
      </c>
      <c r="O179" t="n">
        <v>1</v>
      </c>
      <c r="P179" t="n">
        <v>1</v>
      </c>
      <c r="Q179" t="n">
        <v>1</v>
      </c>
      <c r="R179" s="2" t="inlineStr">
        <is>
          <t>Ask</t>
        </is>
      </c>
      <c r="S179">
        <f>HYPERLINK("https://klasma.github.io/Logging_1265/artfynd/A 20427-2019 artfynd.xlsx", "A 20427-2019")</f>
        <v/>
      </c>
      <c r="T179">
        <f>HYPERLINK("https://klasma.github.io/Logging_1265/kartor/A 20427-2019 karta.png", "A 20427-2019")</f>
        <v/>
      </c>
      <c r="V179">
        <f>HYPERLINK("https://klasma.github.io/Logging_1265/klagomål/A 20427-2019 FSC-klagomål.docx", "A 20427-2019")</f>
        <v/>
      </c>
      <c r="W179">
        <f>HYPERLINK("https://klasma.github.io/Logging_1265/klagomålsmail/A 20427-2019 FSC-klagomål mail.docx", "A 20427-2019")</f>
        <v/>
      </c>
      <c r="X179">
        <f>HYPERLINK("https://klasma.github.io/Logging_1265/tillsyn/A 20427-2019 tillsynsbegäran.docx", "A 20427-2019")</f>
        <v/>
      </c>
      <c r="Y179">
        <f>HYPERLINK("https://klasma.github.io/Logging_1265/tillsynsmail/A 20427-2019 tillsynsbegäran mail.docx", "A 20427-2019")</f>
        <v/>
      </c>
    </row>
    <row r="180" ht="15" customHeight="1">
      <c r="A180" t="inlineStr">
        <is>
          <t>A 24820-2019</t>
        </is>
      </c>
      <c r="B180" s="1" t="n">
        <v>43602</v>
      </c>
      <c r="C180" s="1" t="n">
        <v>45704</v>
      </c>
      <c r="D180" t="inlineStr">
        <is>
          <t>SKÅNE LÄN</t>
        </is>
      </c>
      <c r="E180" t="inlineStr">
        <is>
          <t>SJÖBO</t>
        </is>
      </c>
      <c r="G180" t="n">
        <v>5.7</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24820-2019 artfynd.xlsx", "A 24820-2019")</f>
        <v/>
      </c>
      <c r="T180">
        <f>HYPERLINK("https://klasma.github.io/Logging_1265/kartor/A 24820-2019 karta.png", "A 24820-2019")</f>
        <v/>
      </c>
      <c r="V180">
        <f>HYPERLINK("https://klasma.github.io/Logging_1265/klagomål/A 24820-2019 FSC-klagomål.docx", "A 24820-2019")</f>
        <v/>
      </c>
      <c r="W180">
        <f>HYPERLINK("https://klasma.github.io/Logging_1265/klagomålsmail/A 24820-2019 FSC-klagomål mail.docx", "A 24820-2019")</f>
        <v/>
      </c>
      <c r="X180">
        <f>HYPERLINK("https://klasma.github.io/Logging_1265/tillsyn/A 24820-2019 tillsynsbegäran.docx", "A 24820-2019")</f>
        <v/>
      </c>
      <c r="Y180">
        <f>HYPERLINK("https://klasma.github.io/Logging_1265/tillsynsmail/A 24820-2019 tillsynsbegäran mail.docx", "A 24820-2019")</f>
        <v/>
      </c>
    </row>
    <row r="181" ht="15" customHeight="1">
      <c r="A181" t="inlineStr">
        <is>
          <t>A 28988-2019</t>
        </is>
      </c>
      <c r="B181" s="1" t="n">
        <v>43620</v>
      </c>
      <c r="C181" s="1" t="n">
        <v>45704</v>
      </c>
      <c r="D181" t="inlineStr">
        <is>
          <t>SKÅNE LÄN</t>
        </is>
      </c>
      <c r="E181" t="inlineStr">
        <is>
          <t>HÄSSLEHOLM</t>
        </is>
      </c>
      <c r="G181" t="n">
        <v>1</v>
      </c>
      <c r="H181" t="n">
        <v>0</v>
      </c>
      <c r="I181" t="n">
        <v>0</v>
      </c>
      <c r="J181" t="n">
        <v>0</v>
      </c>
      <c r="K181" t="n">
        <v>1</v>
      </c>
      <c r="L181" t="n">
        <v>0</v>
      </c>
      <c r="M181" t="n">
        <v>0</v>
      </c>
      <c r="N181" t="n">
        <v>0</v>
      </c>
      <c r="O181" t="n">
        <v>1</v>
      </c>
      <c r="P181" t="n">
        <v>1</v>
      </c>
      <c r="Q181" t="n">
        <v>1</v>
      </c>
      <c r="R181" s="2" t="inlineStr">
        <is>
          <t>Slåttergubbe</t>
        </is>
      </c>
      <c r="S181">
        <f>HYPERLINK("https://klasma.github.io/Logging_1293/artfynd/A 28988-2019 artfynd.xlsx", "A 28988-2019")</f>
        <v/>
      </c>
      <c r="T181">
        <f>HYPERLINK("https://klasma.github.io/Logging_1293/kartor/A 28988-2019 karta.png", "A 28988-2019")</f>
        <v/>
      </c>
      <c r="V181">
        <f>HYPERLINK("https://klasma.github.io/Logging_1293/klagomål/A 28988-2019 FSC-klagomål.docx", "A 28988-2019")</f>
        <v/>
      </c>
      <c r="W181">
        <f>HYPERLINK("https://klasma.github.io/Logging_1293/klagomålsmail/A 28988-2019 FSC-klagomål mail.docx", "A 28988-2019")</f>
        <v/>
      </c>
      <c r="X181">
        <f>HYPERLINK("https://klasma.github.io/Logging_1293/tillsyn/A 28988-2019 tillsynsbegäran.docx", "A 28988-2019")</f>
        <v/>
      </c>
      <c r="Y181">
        <f>HYPERLINK("https://klasma.github.io/Logging_1293/tillsynsmail/A 28988-2019 tillsynsbegäran mail.docx", "A 28988-2019")</f>
        <v/>
      </c>
    </row>
    <row r="182" ht="15" customHeight="1">
      <c r="A182" t="inlineStr">
        <is>
          <t>A 29223-2019</t>
        </is>
      </c>
      <c r="B182" s="1" t="n">
        <v>43629</v>
      </c>
      <c r="C182" s="1" t="n">
        <v>45704</v>
      </c>
      <c r="D182" t="inlineStr">
        <is>
          <t>SKÅNE LÄN</t>
        </is>
      </c>
      <c r="E182" t="inlineStr">
        <is>
          <t>HÄSSLEHOLM</t>
        </is>
      </c>
      <c r="G182" t="n">
        <v>1.6</v>
      </c>
      <c r="H182" t="n">
        <v>0</v>
      </c>
      <c r="I182" t="n">
        <v>0</v>
      </c>
      <c r="J182" t="n">
        <v>1</v>
      </c>
      <c r="K182" t="n">
        <v>0</v>
      </c>
      <c r="L182" t="n">
        <v>0</v>
      </c>
      <c r="M182" t="n">
        <v>0</v>
      </c>
      <c r="N182" t="n">
        <v>0</v>
      </c>
      <c r="O182" t="n">
        <v>1</v>
      </c>
      <c r="P182" t="n">
        <v>0</v>
      </c>
      <c r="Q182" t="n">
        <v>1</v>
      </c>
      <c r="R182" s="2" t="inlineStr">
        <is>
          <t>Brandbitterskivling</t>
        </is>
      </c>
      <c r="S182">
        <f>HYPERLINK("https://klasma.github.io/Logging_1293/artfynd/A 29223-2019 artfynd.xlsx", "A 29223-2019")</f>
        <v/>
      </c>
      <c r="T182">
        <f>HYPERLINK("https://klasma.github.io/Logging_1293/kartor/A 29223-2019 karta.png", "A 29223-2019")</f>
        <v/>
      </c>
      <c r="V182">
        <f>HYPERLINK("https://klasma.github.io/Logging_1293/klagomål/A 29223-2019 FSC-klagomål.docx", "A 29223-2019")</f>
        <v/>
      </c>
      <c r="W182">
        <f>HYPERLINK("https://klasma.github.io/Logging_1293/klagomålsmail/A 29223-2019 FSC-klagomål mail.docx", "A 29223-2019")</f>
        <v/>
      </c>
      <c r="X182">
        <f>HYPERLINK("https://klasma.github.io/Logging_1293/tillsyn/A 29223-2019 tillsynsbegäran.docx", "A 29223-2019")</f>
        <v/>
      </c>
      <c r="Y182">
        <f>HYPERLINK("https://klasma.github.io/Logging_1293/tillsynsmail/A 29223-2019 tillsynsbegäran mail.docx", "A 29223-2019")</f>
        <v/>
      </c>
    </row>
    <row r="183" ht="15" customHeight="1">
      <c r="A183" t="inlineStr">
        <is>
          <t>A 29765-2019</t>
        </is>
      </c>
      <c r="B183" s="1" t="n">
        <v>43632</v>
      </c>
      <c r="C183" s="1" t="n">
        <v>45704</v>
      </c>
      <c r="D183" t="inlineStr">
        <is>
          <t>SKÅNE LÄN</t>
        </is>
      </c>
      <c r="E183" t="inlineStr">
        <is>
          <t>HÄSSLEHOLM</t>
        </is>
      </c>
      <c r="G183" t="n">
        <v>13.9</v>
      </c>
      <c r="H183" t="n">
        <v>0</v>
      </c>
      <c r="I183" t="n">
        <v>0</v>
      </c>
      <c r="J183" t="n">
        <v>0</v>
      </c>
      <c r="K183" t="n">
        <v>0</v>
      </c>
      <c r="L183" t="n">
        <v>0</v>
      </c>
      <c r="M183" t="n">
        <v>1</v>
      </c>
      <c r="N183" t="n">
        <v>0</v>
      </c>
      <c r="O183" t="n">
        <v>1</v>
      </c>
      <c r="P183" t="n">
        <v>1</v>
      </c>
      <c r="Q183" t="n">
        <v>1</v>
      </c>
      <c r="R183" s="2" t="inlineStr">
        <is>
          <t>Flodkräfta</t>
        </is>
      </c>
      <c r="S183">
        <f>HYPERLINK("https://klasma.github.io/Logging_1293/artfynd/A 29765-2019 artfynd.xlsx", "A 29765-2019")</f>
        <v/>
      </c>
      <c r="T183">
        <f>HYPERLINK("https://klasma.github.io/Logging_1293/kartor/A 29765-2019 karta.png", "A 29765-2019")</f>
        <v/>
      </c>
      <c r="V183">
        <f>HYPERLINK("https://klasma.github.io/Logging_1293/klagomål/A 29765-2019 FSC-klagomål.docx", "A 29765-2019")</f>
        <v/>
      </c>
      <c r="W183">
        <f>HYPERLINK("https://klasma.github.io/Logging_1293/klagomålsmail/A 29765-2019 FSC-klagomål mail.docx", "A 29765-2019")</f>
        <v/>
      </c>
      <c r="X183">
        <f>HYPERLINK("https://klasma.github.io/Logging_1293/tillsyn/A 29765-2019 tillsynsbegäran.docx", "A 29765-2019")</f>
        <v/>
      </c>
      <c r="Y183">
        <f>HYPERLINK("https://klasma.github.io/Logging_1293/tillsynsmail/A 29765-2019 tillsynsbegäran mail.docx", "A 29765-2019")</f>
        <v/>
      </c>
    </row>
    <row r="184" ht="15" customHeight="1">
      <c r="A184" t="inlineStr">
        <is>
          <t>A 30710-2019</t>
        </is>
      </c>
      <c r="B184" s="1" t="n">
        <v>43636</v>
      </c>
      <c r="C184" s="1" t="n">
        <v>45704</v>
      </c>
      <c r="D184" t="inlineStr">
        <is>
          <t>SKÅNE LÄN</t>
        </is>
      </c>
      <c r="E184" t="inlineStr">
        <is>
          <t>SVEDALA</t>
        </is>
      </c>
      <c r="G184" t="n">
        <v>1.5</v>
      </c>
      <c r="H184" t="n">
        <v>0</v>
      </c>
      <c r="I184" t="n">
        <v>1</v>
      </c>
      <c r="J184" t="n">
        <v>0</v>
      </c>
      <c r="K184" t="n">
        <v>0</v>
      </c>
      <c r="L184" t="n">
        <v>0</v>
      </c>
      <c r="M184" t="n">
        <v>0</v>
      </c>
      <c r="N184" t="n">
        <v>0</v>
      </c>
      <c r="O184" t="n">
        <v>0</v>
      </c>
      <c r="P184" t="n">
        <v>0</v>
      </c>
      <c r="Q184" t="n">
        <v>1</v>
      </c>
      <c r="R184" s="2" t="inlineStr">
        <is>
          <t>Bokoxe</t>
        </is>
      </c>
      <c r="S184">
        <f>HYPERLINK("https://klasma.github.io/Logging_1263/artfynd/A 30710-2019 artfynd.xlsx", "A 30710-2019")</f>
        <v/>
      </c>
      <c r="T184">
        <f>HYPERLINK("https://klasma.github.io/Logging_1263/kartor/A 30710-2019 karta.png", "A 30710-2019")</f>
        <v/>
      </c>
      <c r="V184">
        <f>HYPERLINK("https://klasma.github.io/Logging_1263/klagomål/A 30710-2019 FSC-klagomål.docx", "A 30710-2019")</f>
        <v/>
      </c>
      <c r="W184">
        <f>HYPERLINK("https://klasma.github.io/Logging_1263/klagomålsmail/A 30710-2019 FSC-klagomål mail.docx", "A 30710-2019")</f>
        <v/>
      </c>
      <c r="X184">
        <f>HYPERLINK("https://klasma.github.io/Logging_1263/tillsyn/A 30710-2019 tillsynsbegäran.docx", "A 30710-2019")</f>
        <v/>
      </c>
      <c r="Y184">
        <f>HYPERLINK("https://klasma.github.io/Logging_1263/tillsynsmail/A 30710-2019 tillsynsbegäran mail.docx", "A 30710-2019")</f>
        <v/>
      </c>
    </row>
    <row r="185" ht="15" customHeight="1">
      <c r="A185" t="inlineStr">
        <is>
          <t>A 32997-2019</t>
        </is>
      </c>
      <c r="B185" s="1" t="n">
        <v>43649</v>
      </c>
      <c r="C185" s="1" t="n">
        <v>45704</v>
      </c>
      <c r="D185" t="inlineStr">
        <is>
          <t>SKÅNE LÄN</t>
        </is>
      </c>
      <c r="E185" t="inlineStr">
        <is>
          <t>HÄSSLEHOLM</t>
        </is>
      </c>
      <c r="G185" t="n">
        <v>3.9</v>
      </c>
      <c r="H185" t="n">
        <v>1</v>
      </c>
      <c r="I185" t="n">
        <v>0</v>
      </c>
      <c r="J185" t="n">
        <v>0</v>
      </c>
      <c r="K185" t="n">
        <v>1</v>
      </c>
      <c r="L185" t="n">
        <v>0</v>
      </c>
      <c r="M185" t="n">
        <v>0</v>
      </c>
      <c r="N185" t="n">
        <v>0</v>
      </c>
      <c r="O185" t="n">
        <v>1</v>
      </c>
      <c r="P185" t="n">
        <v>1</v>
      </c>
      <c r="Q185" t="n">
        <v>1</v>
      </c>
      <c r="R185" s="2" t="inlineStr">
        <is>
          <t>Knärot</t>
        </is>
      </c>
      <c r="S185">
        <f>HYPERLINK("https://klasma.github.io/Logging_1293/artfynd/A 32997-2019 artfynd.xlsx", "A 32997-2019")</f>
        <v/>
      </c>
      <c r="T185">
        <f>HYPERLINK("https://klasma.github.io/Logging_1293/kartor/A 32997-2019 karta.png", "A 32997-2019")</f>
        <v/>
      </c>
      <c r="U185">
        <f>HYPERLINK("https://klasma.github.io/Logging_1293/knärot/A 32997-2019 karta knärot.png", "A 32997-2019")</f>
        <v/>
      </c>
      <c r="V185">
        <f>HYPERLINK("https://klasma.github.io/Logging_1293/klagomål/A 32997-2019 FSC-klagomål.docx", "A 32997-2019")</f>
        <v/>
      </c>
      <c r="W185">
        <f>HYPERLINK("https://klasma.github.io/Logging_1293/klagomålsmail/A 32997-2019 FSC-klagomål mail.docx", "A 32997-2019")</f>
        <v/>
      </c>
      <c r="X185">
        <f>HYPERLINK("https://klasma.github.io/Logging_1293/tillsyn/A 32997-2019 tillsynsbegäran.docx", "A 32997-2019")</f>
        <v/>
      </c>
      <c r="Y185">
        <f>HYPERLINK("https://klasma.github.io/Logging_1293/tillsynsmail/A 32997-2019 tillsynsbegäran mail.docx", "A 32997-2019")</f>
        <v/>
      </c>
    </row>
    <row r="186" ht="15" customHeight="1">
      <c r="A186" t="inlineStr">
        <is>
          <t>A 33889-2019</t>
        </is>
      </c>
      <c r="B186" s="1" t="n">
        <v>43653</v>
      </c>
      <c r="C186" s="1" t="n">
        <v>45704</v>
      </c>
      <c r="D186" t="inlineStr">
        <is>
          <t>SKÅNE LÄN</t>
        </is>
      </c>
      <c r="E186" t="inlineStr">
        <is>
          <t>KLIPPAN</t>
        </is>
      </c>
      <c r="G186" t="n">
        <v>3.7</v>
      </c>
      <c r="H186" t="n">
        <v>1</v>
      </c>
      <c r="I186" t="n">
        <v>0</v>
      </c>
      <c r="J186" t="n">
        <v>0</v>
      </c>
      <c r="K186" t="n">
        <v>0</v>
      </c>
      <c r="L186" t="n">
        <v>0</v>
      </c>
      <c r="M186" t="n">
        <v>0</v>
      </c>
      <c r="N186" t="n">
        <v>0</v>
      </c>
      <c r="O186" t="n">
        <v>0</v>
      </c>
      <c r="P186" t="n">
        <v>0</v>
      </c>
      <c r="Q186" t="n">
        <v>1</v>
      </c>
      <c r="R186" s="2" t="inlineStr">
        <is>
          <t>Vanlig padda</t>
        </is>
      </c>
      <c r="S186">
        <f>HYPERLINK("https://klasma.github.io/Logging_1276/artfynd/A 33889-2019 artfynd.xlsx", "A 33889-2019")</f>
        <v/>
      </c>
      <c r="T186">
        <f>HYPERLINK("https://klasma.github.io/Logging_1276/kartor/A 33889-2019 karta.png", "A 33889-2019")</f>
        <v/>
      </c>
      <c r="V186">
        <f>HYPERLINK("https://klasma.github.io/Logging_1276/klagomål/A 33889-2019 FSC-klagomål.docx", "A 33889-2019")</f>
        <v/>
      </c>
      <c r="W186">
        <f>HYPERLINK("https://klasma.github.io/Logging_1276/klagomålsmail/A 33889-2019 FSC-klagomål mail.docx", "A 33889-2019")</f>
        <v/>
      </c>
      <c r="X186">
        <f>HYPERLINK("https://klasma.github.io/Logging_1276/tillsyn/A 33889-2019 tillsynsbegäran.docx", "A 33889-2019")</f>
        <v/>
      </c>
      <c r="Y186">
        <f>HYPERLINK("https://klasma.github.io/Logging_1276/tillsynsmail/A 33889-2019 tillsynsbegäran mail.docx", "A 33889-2019")</f>
        <v/>
      </c>
    </row>
    <row r="187" ht="15" customHeight="1">
      <c r="A187" t="inlineStr">
        <is>
          <t>A 38268-2019</t>
        </is>
      </c>
      <c r="B187" s="1" t="n">
        <v>43684</v>
      </c>
      <c r="C187" s="1" t="n">
        <v>45704</v>
      </c>
      <c r="D187" t="inlineStr">
        <is>
          <t>SKÅNE LÄN</t>
        </is>
      </c>
      <c r="E187" t="inlineStr">
        <is>
          <t>OSBY</t>
        </is>
      </c>
      <c r="G187" t="n">
        <v>0.4</v>
      </c>
      <c r="H187" t="n">
        <v>0</v>
      </c>
      <c r="I187" t="n">
        <v>0</v>
      </c>
      <c r="J187" t="n">
        <v>0</v>
      </c>
      <c r="K187" t="n">
        <v>0</v>
      </c>
      <c r="L187" t="n">
        <v>1</v>
      </c>
      <c r="M187" t="n">
        <v>0</v>
      </c>
      <c r="N187" t="n">
        <v>0</v>
      </c>
      <c r="O187" t="n">
        <v>1</v>
      </c>
      <c r="P187" t="n">
        <v>1</v>
      </c>
      <c r="Q187" t="n">
        <v>1</v>
      </c>
      <c r="R187" s="2" t="inlineStr">
        <is>
          <t>Ask</t>
        </is>
      </c>
      <c r="S187">
        <f>HYPERLINK("https://klasma.github.io/Logging_1273/artfynd/A 38268-2019 artfynd.xlsx", "A 38268-2019")</f>
        <v/>
      </c>
      <c r="T187">
        <f>HYPERLINK("https://klasma.github.io/Logging_1273/kartor/A 38268-2019 karta.png", "A 38268-2019")</f>
        <v/>
      </c>
      <c r="V187">
        <f>HYPERLINK("https://klasma.github.io/Logging_1273/klagomål/A 38268-2019 FSC-klagomål.docx", "A 38268-2019")</f>
        <v/>
      </c>
      <c r="W187">
        <f>HYPERLINK("https://klasma.github.io/Logging_1273/klagomålsmail/A 38268-2019 FSC-klagomål mail.docx", "A 38268-2019")</f>
        <v/>
      </c>
      <c r="X187">
        <f>HYPERLINK("https://klasma.github.io/Logging_1273/tillsyn/A 38268-2019 tillsynsbegäran.docx", "A 38268-2019")</f>
        <v/>
      </c>
      <c r="Y187">
        <f>HYPERLINK("https://klasma.github.io/Logging_1273/tillsynsmail/A 38268-2019 tillsynsbegäran mail.docx", "A 38268-2019")</f>
        <v/>
      </c>
    </row>
    <row r="188" ht="15" customHeight="1">
      <c r="A188" t="inlineStr">
        <is>
          <t>A 38678-2019</t>
        </is>
      </c>
      <c r="B188" s="1" t="n">
        <v>43684</v>
      </c>
      <c r="C188" s="1" t="n">
        <v>45704</v>
      </c>
      <c r="D188" t="inlineStr">
        <is>
          <t>SKÅNE LÄN</t>
        </is>
      </c>
      <c r="E188" t="inlineStr">
        <is>
          <t>KRISTIANSTAD</t>
        </is>
      </c>
      <c r="G188" t="n">
        <v>2.5</v>
      </c>
      <c r="H188" t="n">
        <v>1</v>
      </c>
      <c r="I188" t="n">
        <v>0</v>
      </c>
      <c r="J188" t="n">
        <v>0</v>
      </c>
      <c r="K188" t="n">
        <v>1</v>
      </c>
      <c r="L188" t="n">
        <v>0</v>
      </c>
      <c r="M188" t="n">
        <v>0</v>
      </c>
      <c r="N188" t="n">
        <v>0</v>
      </c>
      <c r="O188" t="n">
        <v>1</v>
      </c>
      <c r="P188" t="n">
        <v>1</v>
      </c>
      <c r="Q188" t="n">
        <v>1</v>
      </c>
      <c r="R188" s="2" t="inlineStr">
        <is>
          <t>Backsippa</t>
        </is>
      </c>
      <c r="S188">
        <f>HYPERLINK("https://klasma.github.io/Logging_1290/artfynd/A 38678-2019 artfynd.xlsx", "A 38678-2019")</f>
        <v/>
      </c>
      <c r="T188">
        <f>HYPERLINK("https://klasma.github.io/Logging_1290/kartor/A 38678-2019 karta.png", "A 38678-2019")</f>
        <v/>
      </c>
      <c r="V188">
        <f>HYPERLINK("https://klasma.github.io/Logging_1290/klagomål/A 38678-2019 FSC-klagomål.docx", "A 38678-2019")</f>
        <v/>
      </c>
      <c r="W188">
        <f>HYPERLINK("https://klasma.github.io/Logging_1290/klagomålsmail/A 38678-2019 FSC-klagomål mail.docx", "A 38678-2019")</f>
        <v/>
      </c>
      <c r="X188">
        <f>HYPERLINK("https://klasma.github.io/Logging_1290/tillsyn/A 38678-2019 tillsynsbegäran.docx", "A 38678-2019")</f>
        <v/>
      </c>
      <c r="Y188">
        <f>HYPERLINK("https://klasma.github.io/Logging_1290/tillsynsmail/A 38678-2019 tillsynsbegäran mail.docx", "A 38678-2019")</f>
        <v/>
      </c>
    </row>
    <row r="189" ht="15" customHeight="1">
      <c r="A189" t="inlineStr">
        <is>
          <t>A 39800-2019</t>
        </is>
      </c>
      <c r="B189" s="1" t="n">
        <v>43689</v>
      </c>
      <c r="C189" s="1" t="n">
        <v>45704</v>
      </c>
      <c r="D189" t="inlineStr">
        <is>
          <t>SKÅNE LÄN</t>
        </is>
      </c>
      <c r="E189" t="inlineStr">
        <is>
          <t>HÖÖR</t>
        </is>
      </c>
      <c r="G189" t="n">
        <v>4.4</v>
      </c>
      <c r="H189" t="n">
        <v>0</v>
      </c>
      <c r="I189" t="n">
        <v>0</v>
      </c>
      <c r="J189" t="n">
        <v>0</v>
      </c>
      <c r="K189" t="n">
        <v>1</v>
      </c>
      <c r="L189" t="n">
        <v>0</v>
      </c>
      <c r="M189" t="n">
        <v>0</v>
      </c>
      <c r="N189" t="n">
        <v>0</v>
      </c>
      <c r="O189" t="n">
        <v>1</v>
      </c>
      <c r="P189" t="n">
        <v>1</v>
      </c>
      <c r="Q189" t="n">
        <v>1</v>
      </c>
      <c r="R189" s="2" t="inlineStr">
        <is>
          <t>Småvänderot</t>
        </is>
      </c>
      <c r="S189">
        <f>HYPERLINK("https://klasma.github.io/Logging_1267/artfynd/A 39800-2019 artfynd.xlsx", "A 39800-2019")</f>
        <v/>
      </c>
      <c r="T189">
        <f>HYPERLINK("https://klasma.github.io/Logging_1267/kartor/A 39800-2019 karta.png", "A 39800-2019")</f>
        <v/>
      </c>
      <c r="V189">
        <f>HYPERLINK("https://klasma.github.io/Logging_1267/klagomål/A 39800-2019 FSC-klagomål.docx", "A 39800-2019")</f>
        <v/>
      </c>
      <c r="W189">
        <f>HYPERLINK("https://klasma.github.io/Logging_1267/klagomålsmail/A 39800-2019 FSC-klagomål mail.docx", "A 39800-2019")</f>
        <v/>
      </c>
      <c r="X189">
        <f>HYPERLINK("https://klasma.github.io/Logging_1267/tillsyn/A 39800-2019 tillsynsbegäran.docx", "A 39800-2019")</f>
        <v/>
      </c>
      <c r="Y189">
        <f>HYPERLINK("https://klasma.github.io/Logging_1267/tillsynsmail/A 39800-2019 tillsynsbegäran mail.docx", "A 39800-2019")</f>
        <v/>
      </c>
    </row>
    <row r="190" ht="15" customHeight="1">
      <c r="A190" t="inlineStr">
        <is>
          <t>A 41120-2019</t>
        </is>
      </c>
      <c r="B190" s="1" t="n">
        <v>43698</v>
      </c>
      <c r="C190" s="1" t="n">
        <v>45704</v>
      </c>
      <c r="D190" t="inlineStr">
        <is>
          <t>SKÅNE LÄN</t>
        </is>
      </c>
      <c r="E190" t="inlineStr">
        <is>
          <t>HÄSSLEHOLM</t>
        </is>
      </c>
      <c r="G190" t="n">
        <v>7.9</v>
      </c>
      <c r="H190" t="n">
        <v>0</v>
      </c>
      <c r="I190" t="n">
        <v>0</v>
      </c>
      <c r="J190" t="n">
        <v>0</v>
      </c>
      <c r="K190" t="n">
        <v>1</v>
      </c>
      <c r="L190" t="n">
        <v>0</v>
      </c>
      <c r="M190" t="n">
        <v>0</v>
      </c>
      <c r="N190" t="n">
        <v>0</v>
      </c>
      <c r="O190" t="n">
        <v>1</v>
      </c>
      <c r="P190" t="n">
        <v>1</v>
      </c>
      <c r="Q190" t="n">
        <v>1</v>
      </c>
      <c r="R190" s="2" t="inlineStr">
        <is>
          <t>Småvänderot</t>
        </is>
      </c>
      <c r="S190">
        <f>HYPERLINK("https://klasma.github.io/Logging_1293/artfynd/A 41120-2019 artfynd.xlsx", "A 41120-2019")</f>
        <v/>
      </c>
      <c r="T190">
        <f>HYPERLINK("https://klasma.github.io/Logging_1293/kartor/A 41120-2019 karta.png", "A 41120-2019")</f>
        <v/>
      </c>
      <c r="V190">
        <f>HYPERLINK("https://klasma.github.io/Logging_1293/klagomål/A 41120-2019 FSC-klagomål.docx", "A 41120-2019")</f>
        <v/>
      </c>
      <c r="W190">
        <f>HYPERLINK("https://klasma.github.io/Logging_1293/klagomålsmail/A 41120-2019 FSC-klagomål mail.docx", "A 41120-2019")</f>
        <v/>
      </c>
      <c r="X190">
        <f>HYPERLINK("https://klasma.github.io/Logging_1293/tillsyn/A 41120-2019 tillsynsbegäran.docx", "A 41120-2019")</f>
        <v/>
      </c>
      <c r="Y190">
        <f>HYPERLINK("https://klasma.github.io/Logging_1293/tillsynsmail/A 41120-2019 tillsynsbegäran mail.docx", "A 41120-2019")</f>
        <v/>
      </c>
    </row>
    <row r="191" ht="15" customHeight="1">
      <c r="A191" t="inlineStr">
        <is>
          <t>A 46202-2019</t>
        </is>
      </c>
      <c r="B191" s="1" t="n">
        <v>43713</v>
      </c>
      <c r="C191" s="1" t="n">
        <v>45704</v>
      </c>
      <c r="D191" t="inlineStr">
        <is>
          <t>SKÅNE LÄN</t>
        </is>
      </c>
      <c r="E191" t="inlineStr">
        <is>
          <t>SVEDALA</t>
        </is>
      </c>
      <c r="G191" t="n">
        <v>2.5</v>
      </c>
      <c r="H191" t="n">
        <v>0</v>
      </c>
      <c r="I191" t="n">
        <v>0</v>
      </c>
      <c r="J191" t="n">
        <v>0</v>
      </c>
      <c r="K191" t="n">
        <v>0</v>
      </c>
      <c r="L191" t="n">
        <v>1</v>
      </c>
      <c r="M191" t="n">
        <v>0</v>
      </c>
      <c r="N191" t="n">
        <v>0</v>
      </c>
      <c r="O191" t="n">
        <v>1</v>
      </c>
      <c r="P191" t="n">
        <v>1</v>
      </c>
      <c r="Q191" t="n">
        <v>1</v>
      </c>
      <c r="R191" s="2" t="inlineStr">
        <is>
          <t>Ask</t>
        </is>
      </c>
      <c r="S191">
        <f>HYPERLINK("https://klasma.github.io/Logging_1263/artfynd/A 46202-2019 artfynd.xlsx", "A 46202-2019")</f>
        <v/>
      </c>
      <c r="T191">
        <f>HYPERLINK("https://klasma.github.io/Logging_1263/kartor/A 46202-2019 karta.png", "A 46202-2019")</f>
        <v/>
      </c>
      <c r="V191">
        <f>HYPERLINK("https://klasma.github.io/Logging_1263/klagomål/A 46202-2019 FSC-klagomål.docx", "A 46202-2019")</f>
        <v/>
      </c>
      <c r="W191">
        <f>HYPERLINK("https://klasma.github.io/Logging_1263/klagomålsmail/A 46202-2019 FSC-klagomål mail.docx", "A 46202-2019")</f>
        <v/>
      </c>
      <c r="X191">
        <f>HYPERLINK("https://klasma.github.io/Logging_1263/tillsyn/A 46202-2019 tillsynsbegäran.docx", "A 46202-2019")</f>
        <v/>
      </c>
      <c r="Y191">
        <f>HYPERLINK("https://klasma.github.io/Logging_1263/tillsynsmail/A 46202-2019 tillsynsbegäran mail.docx", "A 46202-2019")</f>
        <v/>
      </c>
    </row>
    <row r="192" ht="15" customHeight="1">
      <c r="A192" t="inlineStr">
        <is>
          <t>A 46680-2019</t>
        </is>
      </c>
      <c r="B192" s="1" t="n">
        <v>43717</v>
      </c>
      <c r="C192" s="1" t="n">
        <v>45704</v>
      </c>
      <c r="D192" t="inlineStr">
        <is>
          <t>SKÅNE LÄN</t>
        </is>
      </c>
      <c r="E192" t="inlineStr">
        <is>
          <t>KRISTIANSTAD</t>
        </is>
      </c>
      <c r="G192" t="n">
        <v>2</v>
      </c>
      <c r="H192" t="n">
        <v>0</v>
      </c>
      <c r="I192" t="n">
        <v>1</v>
      </c>
      <c r="J192" t="n">
        <v>0</v>
      </c>
      <c r="K192" t="n">
        <v>0</v>
      </c>
      <c r="L192" t="n">
        <v>0</v>
      </c>
      <c r="M192" t="n">
        <v>0</v>
      </c>
      <c r="N192" t="n">
        <v>0</v>
      </c>
      <c r="O192" t="n">
        <v>0</v>
      </c>
      <c r="P192" t="n">
        <v>0</v>
      </c>
      <c r="Q192" t="n">
        <v>1</v>
      </c>
      <c r="R192" s="2" t="inlineStr">
        <is>
          <t>Kransrams</t>
        </is>
      </c>
      <c r="S192">
        <f>HYPERLINK("https://klasma.github.io/Logging_1290/artfynd/A 46680-2019 artfynd.xlsx", "A 46680-2019")</f>
        <v/>
      </c>
      <c r="T192">
        <f>HYPERLINK("https://klasma.github.io/Logging_1290/kartor/A 46680-2019 karta.png", "A 46680-2019")</f>
        <v/>
      </c>
      <c r="V192">
        <f>HYPERLINK("https://klasma.github.io/Logging_1290/klagomål/A 46680-2019 FSC-klagomål.docx", "A 46680-2019")</f>
        <v/>
      </c>
      <c r="W192">
        <f>HYPERLINK("https://klasma.github.io/Logging_1290/klagomålsmail/A 46680-2019 FSC-klagomål mail.docx", "A 46680-2019")</f>
        <v/>
      </c>
      <c r="X192">
        <f>HYPERLINK("https://klasma.github.io/Logging_1290/tillsyn/A 46680-2019 tillsynsbegäran.docx", "A 46680-2019")</f>
        <v/>
      </c>
      <c r="Y192">
        <f>HYPERLINK("https://klasma.github.io/Logging_1290/tillsynsmail/A 46680-2019 tillsynsbegäran mail.docx", "A 46680-2019")</f>
        <v/>
      </c>
    </row>
    <row r="193" ht="15" customHeight="1">
      <c r="A193" t="inlineStr">
        <is>
          <t>A 47468-2019</t>
        </is>
      </c>
      <c r="B193" s="1" t="n">
        <v>43724</v>
      </c>
      <c r="C193" s="1" t="n">
        <v>45704</v>
      </c>
      <c r="D193" t="inlineStr">
        <is>
          <t>SKÅNE LÄN</t>
        </is>
      </c>
      <c r="E193" t="inlineStr">
        <is>
          <t>HÄSSLEHOLM</t>
        </is>
      </c>
      <c r="G193" t="n">
        <v>3.3</v>
      </c>
      <c r="H193" t="n">
        <v>1</v>
      </c>
      <c r="I193" t="n">
        <v>0</v>
      </c>
      <c r="J193" t="n">
        <v>0</v>
      </c>
      <c r="K193" t="n">
        <v>0</v>
      </c>
      <c r="L193" t="n">
        <v>0</v>
      </c>
      <c r="M193" t="n">
        <v>0</v>
      </c>
      <c r="N193" t="n">
        <v>0</v>
      </c>
      <c r="O193" t="n">
        <v>0</v>
      </c>
      <c r="P193" t="n">
        <v>0</v>
      </c>
      <c r="Q193" t="n">
        <v>1</v>
      </c>
      <c r="R193" s="2" t="inlineStr">
        <is>
          <t>Gullviva</t>
        </is>
      </c>
      <c r="S193">
        <f>HYPERLINK("https://klasma.github.io/Logging_1293/artfynd/A 47468-2019 artfynd.xlsx", "A 47468-2019")</f>
        <v/>
      </c>
      <c r="T193">
        <f>HYPERLINK("https://klasma.github.io/Logging_1293/kartor/A 47468-2019 karta.png", "A 47468-2019")</f>
        <v/>
      </c>
      <c r="V193">
        <f>HYPERLINK("https://klasma.github.io/Logging_1293/klagomål/A 47468-2019 FSC-klagomål.docx", "A 47468-2019")</f>
        <v/>
      </c>
      <c r="W193">
        <f>HYPERLINK("https://klasma.github.io/Logging_1293/klagomålsmail/A 47468-2019 FSC-klagomål mail.docx", "A 47468-2019")</f>
        <v/>
      </c>
      <c r="X193">
        <f>HYPERLINK("https://klasma.github.io/Logging_1293/tillsyn/A 47468-2019 tillsynsbegäran.docx", "A 47468-2019")</f>
        <v/>
      </c>
      <c r="Y193">
        <f>HYPERLINK("https://klasma.github.io/Logging_1293/tillsynsmail/A 47468-2019 tillsynsbegäran mail.docx", "A 47468-2019")</f>
        <v/>
      </c>
    </row>
    <row r="194" ht="15" customHeight="1">
      <c r="A194" t="inlineStr">
        <is>
          <t>A 47678-2019</t>
        </is>
      </c>
      <c r="B194" s="1" t="n">
        <v>43724</v>
      </c>
      <c r="C194" s="1" t="n">
        <v>45704</v>
      </c>
      <c r="D194" t="inlineStr">
        <is>
          <t>SKÅNE LÄN</t>
        </is>
      </c>
      <c r="E194" t="inlineStr">
        <is>
          <t>HÄSSLEHOLM</t>
        </is>
      </c>
      <c r="G194" t="n">
        <v>3.7</v>
      </c>
      <c r="H194" t="n">
        <v>0</v>
      </c>
      <c r="I194" t="n">
        <v>0</v>
      </c>
      <c r="J194" t="n">
        <v>1</v>
      </c>
      <c r="K194" t="n">
        <v>0</v>
      </c>
      <c r="L194" t="n">
        <v>0</v>
      </c>
      <c r="M194" t="n">
        <v>0</v>
      </c>
      <c r="N194" t="n">
        <v>0</v>
      </c>
      <c r="O194" t="n">
        <v>1</v>
      </c>
      <c r="P194" t="n">
        <v>0</v>
      </c>
      <c r="Q194" t="n">
        <v>1</v>
      </c>
      <c r="R194" s="2" t="inlineStr">
        <is>
          <t>Nålbjörnbär</t>
        </is>
      </c>
      <c r="S194">
        <f>HYPERLINK("https://klasma.github.io/Logging_1293/artfynd/A 47678-2019 artfynd.xlsx", "A 47678-2019")</f>
        <v/>
      </c>
      <c r="T194">
        <f>HYPERLINK("https://klasma.github.io/Logging_1293/kartor/A 47678-2019 karta.png", "A 47678-2019")</f>
        <v/>
      </c>
      <c r="V194">
        <f>HYPERLINK("https://klasma.github.io/Logging_1293/klagomål/A 47678-2019 FSC-klagomål.docx", "A 47678-2019")</f>
        <v/>
      </c>
      <c r="W194">
        <f>HYPERLINK("https://klasma.github.io/Logging_1293/klagomålsmail/A 47678-2019 FSC-klagomål mail.docx", "A 47678-2019")</f>
        <v/>
      </c>
      <c r="X194">
        <f>HYPERLINK("https://klasma.github.io/Logging_1293/tillsyn/A 47678-2019 tillsynsbegäran.docx", "A 47678-2019")</f>
        <v/>
      </c>
      <c r="Y194">
        <f>HYPERLINK("https://klasma.github.io/Logging_1293/tillsynsmail/A 47678-2019 tillsynsbegäran mail.docx", "A 47678-2019")</f>
        <v/>
      </c>
    </row>
    <row r="195" ht="15" customHeight="1">
      <c r="A195" t="inlineStr">
        <is>
          <t>A 51114-2019</t>
        </is>
      </c>
      <c r="B195" s="1" t="n">
        <v>43732</v>
      </c>
      <c r="C195" s="1" t="n">
        <v>45704</v>
      </c>
      <c r="D195" t="inlineStr">
        <is>
          <t>SKÅNE LÄN</t>
        </is>
      </c>
      <c r="E195" t="inlineStr">
        <is>
          <t>ÄNGELHOLM</t>
        </is>
      </c>
      <c r="G195" t="n">
        <v>10</v>
      </c>
      <c r="H195" t="n">
        <v>0</v>
      </c>
      <c r="I195" t="n">
        <v>0</v>
      </c>
      <c r="J195" t="n">
        <v>1</v>
      </c>
      <c r="K195" t="n">
        <v>0</v>
      </c>
      <c r="L195" t="n">
        <v>0</v>
      </c>
      <c r="M195" t="n">
        <v>0</v>
      </c>
      <c r="N195" t="n">
        <v>0</v>
      </c>
      <c r="O195" t="n">
        <v>1</v>
      </c>
      <c r="P195" t="n">
        <v>0</v>
      </c>
      <c r="Q195" t="n">
        <v>1</v>
      </c>
      <c r="R195" s="2" t="inlineStr">
        <is>
          <t>Borsttåg</t>
        </is>
      </c>
      <c r="S195">
        <f>HYPERLINK("https://klasma.github.io/Logging_1292/artfynd/A 51114-2019 artfynd.xlsx", "A 51114-2019")</f>
        <v/>
      </c>
      <c r="T195">
        <f>HYPERLINK("https://klasma.github.io/Logging_1292/kartor/A 51114-2019 karta.png", "A 51114-2019")</f>
        <v/>
      </c>
      <c r="V195">
        <f>HYPERLINK("https://klasma.github.io/Logging_1292/klagomål/A 51114-2019 FSC-klagomål.docx", "A 51114-2019")</f>
        <v/>
      </c>
      <c r="W195">
        <f>HYPERLINK("https://klasma.github.io/Logging_1292/klagomålsmail/A 51114-2019 FSC-klagomål mail.docx", "A 51114-2019")</f>
        <v/>
      </c>
      <c r="X195">
        <f>HYPERLINK("https://klasma.github.io/Logging_1292/tillsyn/A 51114-2019 tillsynsbegäran.docx", "A 51114-2019")</f>
        <v/>
      </c>
      <c r="Y195">
        <f>HYPERLINK("https://klasma.github.io/Logging_1292/tillsynsmail/A 51114-2019 tillsynsbegäran mail.docx", "A 51114-2019")</f>
        <v/>
      </c>
    </row>
    <row r="196" ht="15" customHeight="1">
      <c r="A196" t="inlineStr">
        <is>
          <t>A 51102-2019</t>
        </is>
      </c>
      <c r="B196" s="1" t="n">
        <v>43732</v>
      </c>
      <c r="C196" s="1" t="n">
        <v>45704</v>
      </c>
      <c r="D196" t="inlineStr">
        <is>
          <t>SKÅNE LÄN</t>
        </is>
      </c>
      <c r="E196" t="inlineStr">
        <is>
          <t>ÖRKELLJUNGA</t>
        </is>
      </c>
      <c r="G196" t="n">
        <v>15</v>
      </c>
      <c r="H196" t="n">
        <v>0</v>
      </c>
      <c r="I196" t="n">
        <v>0</v>
      </c>
      <c r="J196" t="n">
        <v>1</v>
      </c>
      <c r="K196" t="n">
        <v>0</v>
      </c>
      <c r="L196" t="n">
        <v>0</v>
      </c>
      <c r="M196" t="n">
        <v>0</v>
      </c>
      <c r="N196" t="n">
        <v>0</v>
      </c>
      <c r="O196" t="n">
        <v>1</v>
      </c>
      <c r="P196" t="n">
        <v>0</v>
      </c>
      <c r="Q196" t="n">
        <v>1</v>
      </c>
      <c r="R196" s="2" t="inlineStr">
        <is>
          <t>Svinrot</t>
        </is>
      </c>
      <c r="S196">
        <f>HYPERLINK("https://klasma.github.io/Logging_1257/artfynd/A 51102-2019 artfynd.xlsx", "A 51102-2019")</f>
        <v/>
      </c>
      <c r="T196">
        <f>HYPERLINK("https://klasma.github.io/Logging_1257/kartor/A 51102-2019 karta.png", "A 51102-2019")</f>
        <v/>
      </c>
      <c r="V196">
        <f>HYPERLINK("https://klasma.github.io/Logging_1257/klagomål/A 51102-2019 FSC-klagomål.docx", "A 51102-2019")</f>
        <v/>
      </c>
      <c r="W196">
        <f>HYPERLINK("https://klasma.github.io/Logging_1257/klagomålsmail/A 51102-2019 FSC-klagomål mail.docx", "A 51102-2019")</f>
        <v/>
      </c>
      <c r="X196">
        <f>HYPERLINK("https://klasma.github.io/Logging_1257/tillsyn/A 51102-2019 tillsynsbegäran.docx", "A 51102-2019")</f>
        <v/>
      </c>
      <c r="Y196">
        <f>HYPERLINK("https://klasma.github.io/Logging_1257/tillsynsmail/A 51102-2019 tillsynsbegäran mail.docx", "A 51102-2019")</f>
        <v/>
      </c>
    </row>
    <row r="197" ht="15" customHeight="1">
      <c r="A197" t="inlineStr">
        <is>
          <t>A 51847-2019</t>
        </is>
      </c>
      <c r="B197" s="1" t="n">
        <v>43734</v>
      </c>
      <c r="C197" s="1" t="n">
        <v>45704</v>
      </c>
      <c r="D197" t="inlineStr">
        <is>
          <t>SKÅNE LÄN</t>
        </is>
      </c>
      <c r="E197" t="inlineStr">
        <is>
          <t>SJÖBO</t>
        </is>
      </c>
      <c r="G197" t="n">
        <v>1.6</v>
      </c>
      <c r="H197" t="n">
        <v>0</v>
      </c>
      <c r="I197" t="n">
        <v>1</v>
      </c>
      <c r="J197" t="n">
        <v>0</v>
      </c>
      <c r="K197" t="n">
        <v>0</v>
      </c>
      <c r="L197" t="n">
        <v>0</v>
      </c>
      <c r="M197" t="n">
        <v>0</v>
      </c>
      <c r="N197" t="n">
        <v>0</v>
      </c>
      <c r="O197" t="n">
        <v>0</v>
      </c>
      <c r="P197" t="n">
        <v>0</v>
      </c>
      <c r="Q197" t="n">
        <v>1</v>
      </c>
      <c r="R197" s="2" t="inlineStr">
        <is>
          <t>Kamtuffmossa</t>
        </is>
      </c>
      <c r="S197">
        <f>HYPERLINK("https://klasma.github.io/Logging_1265/artfynd/A 51847-2019 artfynd.xlsx", "A 51847-2019")</f>
        <v/>
      </c>
      <c r="T197">
        <f>HYPERLINK("https://klasma.github.io/Logging_1265/kartor/A 51847-2019 karta.png", "A 51847-2019")</f>
        <v/>
      </c>
      <c r="V197">
        <f>HYPERLINK("https://klasma.github.io/Logging_1265/klagomål/A 51847-2019 FSC-klagomål.docx", "A 51847-2019")</f>
        <v/>
      </c>
      <c r="W197">
        <f>HYPERLINK("https://klasma.github.io/Logging_1265/klagomålsmail/A 51847-2019 FSC-klagomål mail.docx", "A 51847-2019")</f>
        <v/>
      </c>
      <c r="X197">
        <f>HYPERLINK("https://klasma.github.io/Logging_1265/tillsyn/A 51847-2019 tillsynsbegäran.docx", "A 51847-2019")</f>
        <v/>
      </c>
      <c r="Y197">
        <f>HYPERLINK("https://klasma.github.io/Logging_1265/tillsynsmail/A 51847-2019 tillsynsbegäran mail.docx", "A 51847-2019")</f>
        <v/>
      </c>
    </row>
    <row r="198" ht="15" customHeight="1">
      <c r="A198" t="inlineStr">
        <is>
          <t>A 50573-2019</t>
        </is>
      </c>
      <c r="B198" s="1" t="n">
        <v>43735</v>
      </c>
      <c r="C198" s="1" t="n">
        <v>45704</v>
      </c>
      <c r="D198" t="inlineStr">
        <is>
          <t>SKÅNE LÄN</t>
        </is>
      </c>
      <c r="E198" t="inlineStr">
        <is>
          <t>OSBY</t>
        </is>
      </c>
      <c r="F198" t="inlineStr">
        <is>
          <t>Naturvårdsverket</t>
        </is>
      </c>
      <c r="G198" t="n">
        <v>5.1</v>
      </c>
      <c r="H198" t="n">
        <v>0</v>
      </c>
      <c r="I198" t="n">
        <v>0</v>
      </c>
      <c r="J198" t="n">
        <v>1</v>
      </c>
      <c r="K198" t="n">
        <v>0</v>
      </c>
      <c r="L198" t="n">
        <v>0</v>
      </c>
      <c r="M198" t="n">
        <v>0</v>
      </c>
      <c r="N198" t="n">
        <v>0</v>
      </c>
      <c r="O198" t="n">
        <v>1</v>
      </c>
      <c r="P198" t="n">
        <v>0</v>
      </c>
      <c r="Q198" t="n">
        <v>1</v>
      </c>
      <c r="R198" s="2" t="inlineStr">
        <is>
          <t>Backmåra</t>
        </is>
      </c>
      <c r="S198">
        <f>HYPERLINK("https://klasma.github.io/Logging_1273/artfynd/A 50573-2019 artfynd.xlsx", "A 50573-2019")</f>
        <v/>
      </c>
      <c r="T198">
        <f>HYPERLINK("https://klasma.github.io/Logging_1273/kartor/A 50573-2019 karta.png", "A 50573-2019")</f>
        <v/>
      </c>
      <c r="V198">
        <f>HYPERLINK("https://klasma.github.io/Logging_1273/klagomål/A 50573-2019 FSC-klagomål.docx", "A 50573-2019")</f>
        <v/>
      </c>
      <c r="W198">
        <f>HYPERLINK("https://klasma.github.io/Logging_1273/klagomålsmail/A 50573-2019 FSC-klagomål mail.docx", "A 50573-2019")</f>
        <v/>
      </c>
      <c r="X198">
        <f>HYPERLINK("https://klasma.github.io/Logging_1273/tillsyn/A 50573-2019 tillsynsbegäran.docx", "A 50573-2019")</f>
        <v/>
      </c>
      <c r="Y198">
        <f>HYPERLINK("https://klasma.github.io/Logging_1273/tillsynsmail/A 50573-2019 tillsynsbegäran mail.docx", "A 50573-2019")</f>
        <v/>
      </c>
    </row>
    <row r="199" ht="15" customHeight="1">
      <c r="A199" t="inlineStr">
        <is>
          <t>A 53436-2019</t>
        </is>
      </c>
      <c r="B199" s="1" t="n">
        <v>43748</v>
      </c>
      <c r="C199" s="1" t="n">
        <v>45704</v>
      </c>
      <c r="D199" t="inlineStr">
        <is>
          <t>SKÅNE LÄN</t>
        </is>
      </c>
      <c r="E199" t="inlineStr">
        <is>
          <t>OSBY</t>
        </is>
      </c>
      <c r="G199" t="n">
        <v>2.8</v>
      </c>
      <c r="H199" t="n">
        <v>1</v>
      </c>
      <c r="I199" t="n">
        <v>0</v>
      </c>
      <c r="J199" t="n">
        <v>0</v>
      </c>
      <c r="K199" t="n">
        <v>0</v>
      </c>
      <c r="L199" t="n">
        <v>0</v>
      </c>
      <c r="M199" t="n">
        <v>0</v>
      </c>
      <c r="N199" t="n">
        <v>0</v>
      </c>
      <c r="O199" t="n">
        <v>0</v>
      </c>
      <c r="P199" t="n">
        <v>0</v>
      </c>
      <c r="Q199" t="n">
        <v>1</v>
      </c>
      <c r="R199" s="2" t="inlineStr">
        <is>
          <t>Revlummer</t>
        </is>
      </c>
      <c r="S199">
        <f>HYPERLINK("https://klasma.github.io/Logging_1273/artfynd/A 53436-2019 artfynd.xlsx", "A 53436-2019")</f>
        <v/>
      </c>
      <c r="T199">
        <f>HYPERLINK("https://klasma.github.io/Logging_1273/kartor/A 53436-2019 karta.png", "A 53436-2019")</f>
        <v/>
      </c>
      <c r="V199">
        <f>HYPERLINK("https://klasma.github.io/Logging_1273/klagomål/A 53436-2019 FSC-klagomål.docx", "A 53436-2019")</f>
        <v/>
      </c>
      <c r="W199">
        <f>HYPERLINK("https://klasma.github.io/Logging_1273/klagomålsmail/A 53436-2019 FSC-klagomål mail.docx", "A 53436-2019")</f>
        <v/>
      </c>
      <c r="X199">
        <f>HYPERLINK("https://klasma.github.io/Logging_1273/tillsyn/A 53436-2019 tillsynsbegäran.docx", "A 53436-2019")</f>
        <v/>
      </c>
      <c r="Y199">
        <f>HYPERLINK("https://klasma.github.io/Logging_1273/tillsynsmail/A 53436-2019 tillsynsbegäran mail.docx", "A 53436-2019")</f>
        <v/>
      </c>
    </row>
    <row r="200" ht="15" customHeight="1">
      <c r="A200" t="inlineStr">
        <is>
          <t>A 55656-2019</t>
        </is>
      </c>
      <c r="B200" s="1" t="n">
        <v>43760</v>
      </c>
      <c r="C200" s="1" t="n">
        <v>45704</v>
      </c>
      <c r="D200" t="inlineStr">
        <is>
          <t>SKÅNE LÄN</t>
        </is>
      </c>
      <c r="E200" t="inlineStr">
        <is>
          <t>HÄSSLEHOLM</t>
        </is>
      </c>
      <c r="G200" t="n">
        <v>1.8</v>
      </c>
      <c r="H200" t="n">
        <v>1</v>
      </c>
      <c r="I200" t="n">
        <v>0</v>
      </c>
      <c r="J200" t="n">
        <v>0</v>
      </c>
      <c r="K200" t="n">
        <v>1</v>
      </c>
      <c r="L200" t="n">
        <v>0</v>
      </c>
      <c r="M200" t="n">
        <v>0</v>
      </c>
      <c r="N200" t="n">
        <v>0</v>
      </c>
      <c r="O200" t="n">
        <v>1</v>
      </c>
      <c r="P200" t="n">
        <v>1</v>
      </c>
      <c r="Q200" t="n">
        <v>1</v>
      </c>
      <c r="R200" s="2" t="inlineStr">
        <is>
          <t>Hedblomster</t>
        </is>
      </c>
      <c r="S200">
        <f>HYPERLINK("https://klasma.github.io/Logging_1293/artfynd/A 55656-2019 artfynd.xlsx", "A 55656-2019")</f>
        <v/>
      </c>
      <c r="T200">
        <f>HYPERLINK("https://klasma.github.io/Logging_1293/kartor/A 55656-2019 karta.png", "A 55656-2019")</f>
        <v/>
      </c>
      <c r="V200">
        <f>HYPERLINK("https://klasma.github.io/Logging_1293/klagomål/A 55656-2019 FSC-klagomål.docx", "A 55656-2019")</f>
        <v/>
      </c>
      <c r="W200">
        <f>HYPERLINK("https://klasma.github.io/Logging_1293/klagomålsmail/A 55656-2019 FSC-klagomål mail.docx", "A 55656-2019")</f>
        <v/>
      </c>
      <c r="X200">
        <f>HYPERLINK("https://klasma.github.io/Logging_1293/tillsyn/A 55656-2019 tillsynsbegäran.docx", "A 55656-2019")</f>
        <v/>
      </c>
      <c r="Y200">
        <f>HYPERLINK("https://klasma.github.io/Logging_1293/tillsynsmail/A 55656-2019 tillsynsbegäran mail.docx", "A 55656-2019")</f>
        <v/>
      </c>
    </row>
    <row r="201" ht="15" customHeight="1">
      <c r="A201" t="inlineStr">
        <is>
          <t>A 57275-2019</t>
        </is>
      </c>
      <c r="B201" s="1" t="n">
        <v>43760</v>
      </c>
      <c r="C201" s="1" t="n">
        <v>45704</v>
      </c>
      <c r="D201" t="inlineStr">
        <is>
          <t>SKÅNE LÄN</t>
        </is>
      </c>
      <c r="E201" t="inlineStr">
        <is>
          <t>HÄSSLEHOLM</t>
        </is>
      </c>
      <c r="G201" t="n">
        <v>0.6</v>
      </c>
      <c r="H201" t="n">
        <v>0</v>
      </c>
      <c r="I201" t="n">
        <v>0</v>
      </c>
      <c r="J201" t="n">
        <v>0</v>
      </c>
      <c r="K201" t="n">
        <v>1</v>
      </c>
      <c r="L201" t="n">
        <v>0</v>
      </c>
      <c r="M201" t="n">
        <v>0</v>
      </c>
      <c r="N201" t="n">
        <v>0</v>
      </c>
      <c r="O201" t="n">
        <v>1</v>
      </c>
      <c r="P201" t="n">
        <v>1</v>
      </c>
      <c r="Q201" t="n">
        <v>1</v>
      </c>
      <c r="R201" s="2" t="inlineStr">
        <is>
          <t>Småvänderot</t>
        </is>
      </c>
      <c r="S201">
        <f>HYPERLINK("https://klasma.github.io/Logging_1293/artfynd/A 57275-2019 artfynd.xlsx", "A 57275-2019")</f>
        <v/>
      </c>
      <c r="T201">
        <f>HYPERLINK("https://klasma.github.io/Logging_1293/kartor/A 57275-2019 karta.png", "A 57275-2019")</f>
        <v/>
      </c>
      <c r="V201">
        <f>HYPERLINK("https://klasma.github.io/Logging_1293/klagomål/A 57275-2019 FSC-klagomål.docx", "A 57275-2019")</f>
        <v/>
      </c>
      <c r="W201">
        <f>HYPERLINK("https://klasma.github.io/Logging_1293/klagomålsmail/A 57275-2019 FSC-klagomål mail.docx", "A 57275-2019")</f>
        <v/>
      </c>
      <c r="X201">
        <f>HYPERLINK("https://klasma.github.io/Logging_1293/tillsyn/A 57275-2019 tillsynsbegäran.docx", "A 57275-2019")</f>
        <v/>
      </c>
      <c r="Y201">
        <f>HYPERLINK("https://klasma.github.io/Logging_1293/tillsynsmail/A 57275-2019 tillsynsbegäran mail.docx", "A 57275-2019")</f>
        <v/>
      </c>
    </row>
    <row r="202" ht="15" customHeight="1">
      <c r="A202" t="inlineStr">
        <is>
          <t>A 56351-2019</t>
        </is>
      </c>
      <c r="B202" s="1" t="n">
        <v>43761</v>
      </c>
      <c r="C202" s="1" t="n">
        <v>45704</v>
      </c>
      <c r="D202" t="inlineStr">
        <is>
          <t>SKÅNE LÄN</t>
        </is>
      </c>
      <c r="E202" t="inlineStr">
        <is>
          <t>ÖSTRA GÖINGE</t>
        </is>
      </c>
      <c r="G202" t="n">
        <v>14.2</v>
      </c>
      <c r="H202" t="n">
        <v>1</v>
      </c>
      <c r="I202" t="n">
        <v>0</v>
      </c>
      <c r="J202" t="n">
        <v>1</v>
      </c>
      <c r="K202" t="n">
        <v>0</v>
      </c>
      <c r="L202" t="n">
        <v>0</v>
      </c>
      <c r="M202" t="n">
        <v>0</v>
      </c>
      <c r="N202" t="n">
        <v>0</v>
      </c>
      <c r="O202" t="n">
        <v>1</v>
      </c>
      <c r="P202" t="n">
        <v>0</v>
      </c>
      <c r="Q202" t="n">
        <v>1</v>
      </c>
      <c r="R202" s="2" t="inlineStr">
        <is>
          <t>Svartvit flugsnappare</t>
        </is>
      </c>
      <c r="S202">
        <f>HYPERLINK("https://klasma.github.io/Logging_1256/artfynd/A 56351-2019 artfynd.xlsx", "A 56351-2019")</f>
        <v/>
      </c>
      <c r="T202">
        <f>HYPERLINK("https://klasma.github.io/Logging_1256/kartor/A 56351-2019 karta.png", "A 56351-2019")</f>
        <v/>
      </c>
      <c r="V202">
        <f>HYPERLINK("https://klasma.github.io/Logging_1256/klagomål/A 56351-2019 FSC-klagomål.docx", "A 56351-2019")</f>
        <v/>
      </c>
      <c r="W202">
        <f>HYPERLINK("https://klasma.github.io/Logging_1256/klagomålsmail/A 56351-2019 FSC-klagomål mail.docx", "A 56351-2019")</f>
        <v/>
      </c>
      <c r="X202">
        <f>HYPERLINK("https://klasma.github.io/Logging_1256/tillsyn/A 56351-2019 tillsynsbegäran.docx", "A 56351-2019")</f>
        <v/>
      </c>
      <c r="Y202">
        <f>HYPERLINK("https://klasma.github.io/Logging_1256/tillsynsmail/A 56351-2019 tillsynsbegäran mail.docx", "A 56351-2019")</f>
        <v/>
      </c>
      <c r="Z202">
        <f>HYPERLINK("https://klasma.github.io/Logging_1256/fåglar/A 56351-2019 prioriterade fågelarter.docx", "A 56351-2019")</f>
        <v/>
      </c>
    </row>
    <row r="203" ht="15" customHeight="1">
      <c r="A203" t="inlineStr">
        <is>
          <t>A 59414-2019</t>
        </is>
      </c>
      <c r="B203" s="1" t="n">
        <v>43775</v>
      </c>
      <c r="C203" s="1" t="n">
        <v>45704</v>
      </c>
      <c r="D203" t="inlineStr">
        <is>
          <t>SKÅNE LÄN</t>
        </is>
      </c>
      <c r="E203" t="inlineStr">
        <is>
          <t>SJÖBO</t>
        </is>
      </c>
      <c r="G203" t="n">
        <v>5.3</v>
      </c>
      <c r="H203" t="n">
        <v>0</v>
      </c>
      <c r="I203" t="n">
        <v>0</v>
      </c>
      <c r="J203" t="n">
        <v>0</v>
      </c>
      <c r="K203" t="n">
        <v>1</v>
      </c>
      <c r="L203" t="n">
        <v>0</v>
      </c>
      <c r="M203" t="n">
        <v>0</v>
      </c>
      <c r="N203" t="n">
        <v>0</v>
      </c>
      <c r="O203" t="n">
        <v>1</v>
      </c>
      <c r="P203" t="n">
        <v>1</v>
      </c>
      <c r="Q203" t="n">
        <v>1</v>
      </c>
      <c r="R203" s="2" t="inlineStr">
        <is>
          <t>Fläcklungört</t>
        </is>
      </c>
      <c r="S203">
        <f>HYPERLINK("https://klasma.github.io/Logging_1265/artfynd/A 59414-2019 artfynd.xlsx", "A 59414-2019")</f>
        <v/>
      </c>
      <c r="T203">
        <f>HYPERLINK("https://klasma.github.io/Logging_1265/kartor/A 59414-2019 karta.png", "A 59414-2019")</f>
        <v/>
      </c>
      <c r="V203">
        <f>HYPERLINK("https://klasma.github.io/Logging_1265/klagomål/A 59414-2019 FSC-klagomål.docx", "A 59414-2019")</f>
        <v/>
      </c>
      <c r="W203">
        <f>HYPERLINK("https://klasma.github.io/Logging_1265/klagomålsmail/A 59414-2019 FSC-klagomål mail.docx", "A 59414-2019")</f>
        <v/>
      </c>
      <c r="X203">
        <f>HYPERLINK("https://klasma.github.io/Logging_1265/tillsyn/A 59414-2019 tillsynsbegäran.docx", "A 59414-2019")</f>
        <v/>
      </c>
      <c r="Y203">
        <f>HYPERLINK("https://klasma.github.io/Logging_1265/tillsynsmail/A 59414-2019 tillsynsbegäran mail.docx", "A 59414-2019")</f>
        <v/>
      </c>
    </row>
    <row r="204" ht="15" customHeight="1">
      <c r="A204" t="inlineStr">
        <is>
          <t>A 2738-2020</t>
        </is>
      </c>
      <c r="B204" s="1" t="n">
        <v>43843</v>
      </c>
      <c r="C204" s="1" t="n">
        <v>45704</v>
      </c>
      <c r="D204" t="inlineStr">
        <is>
          <t>SKÅNE LÄN</t>
        </is>
      </c>
      <c r="E204" t="inlineStr">
        <is>
          <t>HÄSSLEHOLM</t>
        </is>
      </c>
      <c r="G204" t="n">
        <v>1.2</v>
      </c>
      <c r="H204" t="n">
        <v>0</v>
      </c>
      <c r="I204" t="n">
        <v>0</v>
      </c>
      <c r="J204" t="n">
        <v>0</v>
      </c>
      <c r="K204" t="n">
        <v>1</v>
      </c>
      <c r="L204" t="n">
        <v>0</v>
      </c>
      <c r="M204" t="n">
        <v>0</v>
      </c>
      <c r="N204" t="n">
        <v>0</v>
      </c>
      <c r="O204" t="n">
        <v>1</v>
      </c>
      <c r="P204" t="n">
        <v>1</v>
      </c>
      <c r="Q204" t="n">
        <v>1</v>
      </c>
      <c r="R204" s="2" t="inlineStr">
        <is>
          <t>Småvänderot</t>
        </is>
      </c>
      <c r="S204">
        <f>HYPERLINK("https://klasma.github.io/Logging_1293/artfynd/A 2738-2020 artfynd.xlsx", "A 2738-2020")</f>
        <v/>
      </c>
      <c r="T204">
        <f>HYPERLINK("https://klasma.github.io/Logging_1293/kartor/A 2738-2020 karta.png", "A 2738-2020")</f>
        <v/>
      </c>
      <c r="V204">
        <f>HYPERLINK("https://klasma.github.io/Logging_1293/klagomål/A 2738-2020 FSC-klagomål.docx", "A 2738-2020")</f>
        <v/>
      </c>
      <c r="W204">
        <f>HYPERLINK("https://klasma.github.io/Logging_1293/klagomålsmail/A 2738-2020 FSC-klagomål mail.docx", "A 2738-2020")</f>
        <v/>
      </c>
      <c r="X204">
        <f>HYPERLINK("https://klasma.github.io/Logging_1293/tillsyn/A 2738-2020 tillsynsbegäran.docx", "A 2738-2020")</f>
        <v/>
      </c>
      <c r="Y204">
        <f>HYPERLINK("https://klasma.github.io/Logging_1293/tillsynsmail/A 2738-2020 tillsynsbegäran mail.docx", "A 2738-2020")</f>
        <v/>
      </c>
    </row>
    <row r="205" ht="15" customHeight="1">
      <c r="A205" t="inlineStr">
        <is>
          <t>A 7635-2020</t>
        </is>
      </c>
      <c r="B205" s="1" t="n">
        <v>43872</v>
      </c>
      <c r="C205" s="1" t="n">
        <v>45704</v>
      </c>
      <c r="D205" t="inlineStr">
        <is>
          <t>SKÅNE LÄN</t>
        </is>
      </c>
      <c r="E205" t="inlineStr">
        <is>
          <t>ÄNGELHOLM</t>
        </is>
      </c>
      <c r="G205" t="n">
        <v>2.2</v>
      </c>
      <c r="H205" t="n">
        <v>0</v>
      </c>
      <c r="I205" t="n">
        <v>1</v>
      </c>
      <c r="J205" t="n">
        <v>0</v>
      </c>
      <c r="K205" t="n">
        <v>0</v>
      </c>
      <c r="L205" t="n">
        <v>0</v>
      </c>
      <c r="M205" t="n">
        <v>0</v>
      </c>
      <c r="N205" t="n">
        <v>0</v>
      </c>
      <c r="O205" t="n">
        <v>0</v>
      </c>
      <c r="P205" t="n">
        <v>0</v>
      </c>
      <c r="Q205" t="n">
        <v>1</v>
      </c>
      <c r="R205" s="2" t="inlineStr">
        <is>
          <t>Blåmossa</t>
        </is>
      </c>
      <c r="S205">
        <f>HYPERLINK("https://klasma.github.io/Logging_1292/artfynd/A 7635-2020 artfynd.xlsx", "A 7635-2020")</f>
        <v/>
      </c>
      <c r="T205">
        <f>HYPERLINK("https://klasma.github.io/Logging_1292/kartor/A 7635-2020 karta.png", "A 7635-2020")</f>
        <v/>
      </c>
      <c r="V205">
        <f>HYPERLINK("https://klasma.github.io/Logging_1292/klagomål/A 7635-2020 FSC-klagomål.docx", "A 7635-2020")</f>
        <v/>
      </c>
      <c r="W205">
        <f>HYPERLINK("https://klasma.github.io/Logging_1292/klagomålsmail/A 7635-2020 FSC-klagomål mail.docx", "A 7635-2020")</f>
        <v/>
      </c>
      <c r="X205">
        <f>HYPERLINK("https://klasma.github.io/Logging_1292/tillsyn/A 7635-2020 tillsynsbegäran.docx", "A 7635-2020")</f>
        <v/>
      </c>
      <c r="Y205">
        <f>HYPERLINK("https://klasma.github.io/Logging_1292/tillsynsmail/A 7635-2020 tillsynsbegäran mail.docx", "A 7635-2020")</f>
        <v/>
      </c>
    </row>
    <row r="206" ht="15" customHeight="1">
      <c r="A206" t="inlineStr">
        <is>
          <t>A 8665-2020</t>
        </is>
      </c>
      <c r="B206" s="1" t="n">
        <v>43878</v>
      </c>
      <c r="C206" s="1" t="n">
        <v>45704</v>
      </c>
      <c r="D206" t="inlineStr">
        <is>
          <t>SKÅNE LÄN</t>
        </is>
      </c>
      <c r="E206" t="inlineStr">
        <is>
          <t>ÄNGELHOLM</t>
        </is>
      </c>
      <c r="G206" t="n">
        <v>4.7</v>
      </c>
      <c r="H206" t="n">
        <v>0</v>
      </c>
      <c r="I206" t="n">
        <v>0</v>
      </c>
      <c r="J206" t="n">
        <v>0</v>
      </c>
      <c r="K206" t="n">
        <v>1</v>
      </c>
      <c r="L206" t="n">
        <v>0</v>
      </c>
      <c r="M206" t="n">
        <v>0</v>
      </c>
      <c r="N206" t="n">
        <v>0</v>
      </c>
      <c r="O206" t="n">
        <v>1</v>
      </c>
      <c r="P206" t="n">
        <v>1</v>
      </c>
      <c r="Q206" t="n">
        <v>1</v>
      </c>
      <c r="R206" s="2" t="inlineStr">
        <is>
          <t>Glansbjörnbär</t>
        </is>
      </c>
      <c r="S206">
        <f>HYPERLINK("https://klasma.github.io/Logging_1292/artfynd/A 8665-2020 artfynd.xlsx", "A 8665-2020")</f>
        <v/>
      </c>
      <c r="T206">
        <f>HYPERLINK("https://klasma.github.io/Logging_1292/kartor/A 8665-2020 karta.png", "A 8665-2020")</f>
        <v/>
      </c>
      <c r="V206">
        <f>HYPERLINK("https://klasma.github.io/Logging_1292/klagomål/A 8665-2020 FSC-klagomål.docx", "A 8665-2020")</f>
        <v/>
      </c>
      <c r="W206">
        <f>HYPERLINK("https://klasma.github.io/Logging_1292/klagomålsmail/A 8665-2020 FSC-klagomål mail.docx", "A 8665-2020")</f>
        <v/>
      </c>
      <c r="X206">
        <f>HYPERLINK("https://klasma.github.io/Logging_1292/tillsyn/A 8665-2020 tillsynsbegäran.docx", "A 8665-2020")</f>
        <v/>
      </c>
      <c r="Y206">
        <f>HYPERLINK("https://klasma.github.io/Logging_1292/tillsynsmail/A 8665-2020 tillsynsbegäran mail.docx", "A 8665-2020")</f>
        <v/>
      </c>
    </row>
    <row r="207" ht="15" customHeight="1">
      <c r="A207" t="inlineStr">
        <is>
          <t>A 11722-2020</t>
        </is>
      </c>
      <c r="B207" s="1" t="n">
        <v>43892</v>
      </c>
      <c r="C207" s="1" t="n">
        <v>45704</v>
      </c>
      <c r="D207" t="inlineStr">
        <is>
          <t>SKÅNE LÄN</t>
        </is>
      </c>
      <c r="E207" t="inlineStr">
        <is>
          <t>TOMELILLA</t>
        </is>
      </c>
      <c r="G207" t="n">
        <v>2.6</v>
      </c>
      <c r="H207" t="n">
        <v>0</v>
      </c>
      <c r="I207" t="n">
        <v>0</v>
      </c>
      <c r="J207" t="n">
        <v>1</v>
      </c>
      <c r="K207" t="n">
        <v>0</v>
      </c>
      <c r="L207" t="n">
        <v>0</v>
      </c>
      <c r="M207" t="n">
        <v>0</v>
      </c>
      <c r="N207" t="n">
        <v>0</v>
      </c>
      <c r="O207" t="n">
        <v>1</v>
      </c>
      <c r="P207" t="n">
        <v>0</v>
      </c>
      <c r="Q207" t="n">
        <v>1</v>
      </c>
      <c r="R207" s="2" t="inlineStr">
        <is>
          <t>Sprengelsbjörnbär</t>
        </is>
      </c>
      <c r="S207">
        <f>HYPERLINK("https://klasma.github.io/Logging_1270/artfynd/A 11722-2020 artfynd.xlsx", "A 11722-2020")</f>
        <v/>
      </c>
      <c r="T207">
        <f>HYPERLINK("https://klasma.github.io/Logging_1270/kartor/A 11722-2020 karta.png", "A 11722-2020")</f>
        <v/>
      </c>
      <c r="V207">
        <f>HYPERLINK("https://klasma.github.io/Logging_1270/klagomål/A 11722-2020 FSC-klagomål.docx", "A 11722-2020")</f>
        <v/>
      </c>
      <c r="W207">
        <f>HYPERLINK("https://klasma.github.io/Logging_1270/klagomålsmail/A 11722-2020 FSC-klagomål mail.docx", "A 11722-2020")</f>
        <v/>
      </c>
      <c r="X207">
        <f>HYPERLINK("https://klasma.github.io/Logging_1270/tillsyn/A 11722-2020 tillsynsbegäran.docx", "A 11722-2020")</f>
        <v/>
      </c>
      <c r="Y207">
        <f>HYPERLINK("https://klasma.github.io/Logging_1270/tillsynsmail/A 11722-2020 tillsynsbegäran mail.docx", "A 11722-2020")</f>
        <v/>
      </c>
    </row>
    <row r="208" ht="15" customHeight="1">
      <c r="A208" t="inlineStr">
        <is>
          <t>A 15862-2020</t>
        </is>
      </c>
      <c r="B208" s="1" t="n">
        <v>43910</v>
      </c>
      <c r="C208" s="1" t="n">
        <v>45704</v>
      </c>
      <c r="D208" t="inlineStr">
        <is>
          <t>SKÅNE LÄN</t>
        </is>
      </c>
      <c r="E208" t="inlineStr">
        <is>
          <t>HÄSSLEHOLM</t>
        </is>
      </c>
      <c r="G208" t="n">
        <v>10.3</v>
      </c>
      <c r="H208" t="n">
        <v>0</v>
      </c>
      <c r="I208" t="n">
        <v>0</v>
      </c>
      <c r="J208" t="n">
        <v>1</v>
      </c>
      <c r="K208" t="n">
        <v>0</v>
      </c>
      <c r="L208" t="n">
        <v>0</v>
      </c>
      <c r="M208" t="n">
        <v>0</v>
      </c>
      <c r="N208" t="n">
        <v>0</v>
      </c>
      <c r="O208" t="n">
        <v>1</v>
      </c>
      <c r="P208" t="n">
        <v>0</v>
      </c>
      <c r="Q208" t="n">
        <v>1</v>
      </c>
      <c r="R208" s="2" t="inlineStr">
        <is>
          <t>Sydlig sotticka</t>
        </is>
      </c>
      <c r="S208">
        <f>HYPERLINK("https://klasma.github.io/Logging_1293/artfynd/A 15862-2020 artfynd.xlsx", "A 15862-2020")</f>
        <v/>
      </c>
      <c r="T208">
        <f>HYPERLINK("https://klasma.github.io/Logging_1293/kartor/A 15862-2020 karta.png", "A 15862-2020")</f>
        <v/>
      </c>
      <c r="V208">
        <f>HYPERLINK("https://klasma.github.io/Logging_1293/klagomål/A 15862-2020 FSC-klagomål.docx", "A 15862-2020")</f>
        <v/>
      </c>
      <c r="W208">
        <f>HYPERLINK("https://klasma.github.io/Logging_1293/klagomålsmail/A 15862-2020 FSC-klagomål mail.docx", "A 15862-2020")</f>
        <v/>
      </c>
      <c r="X208">
        <f>HYPERLINK("https://klasma.github.io/Logging_1293/tillsyn/A 15862-2020 tillsynsbegäran.docx", "A 15862-2020")</f>
        <v/>
      </c>
      <c r="Y208">
        <f>HYPERLINK("https://klasma.github.io/Logging_1293/tillsynsmail/A 15862-2020 tillsynsbegäran mail.docx", "A 15862-2020")</f>
        <v/>
      </c>
    </row>
    <row r="209" ht="15" customHeight="1">
      <c r="A209" t="inlineStr">
        <is>
          <t>A 15777-2020</t>
        </is>
      </c>
      <c r="B209" s="1" t="n">
        <v>43915</v>
      </c>
      <c r="C209" s="1" t="n">
        <v>45704</v>
      </c>
      <c r="D209" t="inlineStr">
        <is>
          <t>SKÅNE LÄN</t>
        </is>
      </c>
      <c r="E209" t="inlineStr">
        <is>
          <t>OSBY</t>
        </is>
      </c>
      <c r="G209" t="n">
        <v>4</v>
      </c>
      <c r="H209" t="n">
        <v>0</v>
      </c>
      <c r="I209" t="n">
        <v>0</v>
      </c>
      <c r="J209" t="n">
        <v>1</v>
      </c>
      <c r="K209" t="n">
        <v>0</v>
      </c>
      <c r="L209" t="n">
        <v>0</v>
      </c>
      <c r="M209" t="n">
        <v>0</v>
      </c>
      <c r="N209" t="n">
        <v>0</v>
      </c>
      <c r="O209" t="n">
        <v>1</v>
      </c>
      <c r="P209" t="n">
        <v>0</v>
      </c>
      <c r="Q209" t="n">
        <v>1</v>
      </c>
      <c r="R209" s="2" t="inlineStr">
        <is>
          <t>Borsttåg</t>
        </is>
      </c>
      <c r="S209">
        <f>HYPERLINK("https://klasma.github.io/Logging_1273/artfynd/A 15777-2020 artfynd.xlsx", "A 15777-2020")</f>
        <v/>
      </c>
      <c r="T209">
        <f>HYPERLINK("https://klasma.github.io/Logging_1273/kartor/A 15777-2020 karta.png", "A 15777-2020")</f>
        <v/>
      </c>
      <c r="V209">
        <f>HYPERLINK("https://klasma.github.io/Logging_1273/klagomål/A 15777-2020 FSC-klagomål.docx", "A 15777-2020")</f>
        <v/>
      </c>
      <c r="W209">
        <f>HYPERLINK("https://klasma.github.io/Logging_1273/klagomålsmail/A 15777-2020 FSC-klagomål mail.docx", "A 15777-2020")</f>
        <v/>
      </c>
      <c r="X209">
        <f>HYPERLINK("https://klasma.github.io/Logging_1273/tillsyn/A 15777-2020 tillsynsbegäran.docx", "A 15777-2020")</f>
        <v/>
      </c>
      <c r="Y209">
        <f>HYPERLINK("https://klasma.github.io/Logging_1273/tillsynsmail/A 15777-2020 tillsynsbegäran mail.docx", "A 15777-2020")</f>
        <v/>
      </c>
    </row>
    <row r="210" ht="15" customHeight="1">
      <c r="A210" t="inlineStr">
        <is>
          <t>A 17496-2020</t>
        </is>
      </c>
      <c r="B210" s="1" t="n">
        <v>43923</v>
      </c>
      <c r="C210" s="1" t="n">
        <v>45704</v>
      </c>
      <c r="D210" t="inlineStr">
        <is>
          <t>SKÅNE LÄN</t>
        </is>
      </c>
      <c r="E210" t="inlineStr">
        <is>
          <t>TOMELILLA</t>
        </is>
      </c>
      <c r="F210" t="inlineStr">
        <is>
          <t>Övriga Aktiebolag</t>
        </is>
      </c>
      <c r="G210" t="n">
        <v>1.9</v>
      </c>
      <c r="H210" t="n">
        <v>1</v>
      </c>
      <c r="I210" t="n">
        <v>0</v>
      </c>
      <c r="J210" t="n">
        <v>0</v>
      </c>
      <c r="K210" t="n">
        <v>0</v>
      </c>
      <c r="L210" t="n">
        <v>0</v>
      </c>
      <c r="M210" t="n">
        <v>0</v>
      </c>
      <c r="N210" t="n">
        <v>0</v>
      </c>
      <c r="O210" t="n">
        <v>0</v>
      </c>
      <c r="P210" t="n">
        <v>0</v>
      </c>
      <c r="Q210" t="n">
        <v>1</v>
      </c>
      <c r="R210" s="2" t="inlineStr">
        <is>
          <t>Hasselmus</t>
        </is>
      </c>
      <c r="S210">
        <f>HYPERLINK("https://klasma.github.io/Logging_1270/artfynd/A 17496-2020 artfynd.xlsx", "A 17496-2020")</f>
        <v/>
      </c>
      <c r="T210">
        <f>HYPERLINK("https://klasma.github.io/Logging_1270/kartor/A 17496-2020 karta.png", "A 17496-2020")</f>
        <v/>
      </c>
      <c r="V210">
        <f>HYPERLINK("https://klasma.github.io/Logging_1270/klagomål/A 17496-2020 FSC-klagomål.docx", "A 17496-2020")</f>
        <v/>
      </c>
      <c r="W210">
        <f>HYPERLINK("https://klasma.github.io/Logging_1270/klagomålsmail/A 17496-2020 FSC-klagomål mail.docx", "A 17496-2020")</f>
        <v/>
      </c>
      <c r="X210">
        <f>HYPERLINK("https://klasma.github.io/Logging_1270/tillsyn/A 17496-2020 tillsynsbegäran.docx", "A 17496-2020")</f>
        <v/>
      </c>
      <c r="Y210">
        <f>HYPERLINK("https://klasma.github.io/Logging_1270/tillsynsmail/A 17496-2020 tillsynsbegäran mail.docx", "A 17496-2020")</f>
        <v/>
      </c>
    </row>
    <row r="211" ht="15" customHeight="1">
      <c r="A211" t="inlineStr">
        <is>
          <t>A 20474-2020</t>
        </is>
      </c>
      <c r="B211" s="1" t="n">
        <v>43948</v>
      </c>
      <c r="C211" s="1" t="n">
        <v>45704</v>
      </c>
      <c r="D211" t="inlineStr">
        <is>
          <t>SKÅNE LÄN</t>
        </is>
      </c>
      <c r="E211" t="inlineStr">
        <is>
          <t>OSBY</t>
        </is>
      </c>
      <c r="G211" t="n">
        <v>0.8</v>
      </c>
      <c r="H211" t="n">
        <v>0</v>
      </c>
      <c r="I211" t="n">
        <v>0</v>
      </c>
      <c r="J211" t="n">
        <v>0</v>
      </c>
      <c r="K211" t="n">
        <v>0</v>
      </c>
      <c r="L211" t="n">
        <v>1</v>
      </c>
      <c r="M211" t="n">
        <v>0</v>
      </c>
      <c r="N211" t="n">
        <v>0</v>
      </c>
      <c r="O211" t="n">
        <v>1</v>
      </c>
      <c r="P211" t="n">
        <v>1</v>
      </c>
      <c r="Q211" t="n">
        <v>1</v>
      </c>
      <c r="R211" s="2" t="inlineStr">
        <is>
          <t>Bårdfibbla</t>
        </is>
      </c>
      <c r="S211">
        <f>HYPERLINK("https://klasma.github.io/Logging_1273/artfynd/A 20474-2020 artfynd.xlsx", "A 20474-2020")</f>
        <v/>
      </c>
      <c r="T211">
        <f>HYPERLINK("https://klasma.github.io/Logging_1273/kartor/A 20474-2020 karta.png", "A 20474-2020")</f>
        <v/>
      </c>
      <c r="V211">
        <f>HYPERLINK("https://klasma.github.io/Logging_1273/klagomål/A 20474-2020 FSC-klagomål.docx", "A 20474-2020")</f>
        <v/>
      </c>
      <c r="W211">
        <f>HYPERLINK("https://klasma.github.io/Logging_1273/klagomålsmail/A 20474-2020 FSC-klagomål mail.docx", "A 20474-2020")</f>
        <v/>
      </c>
      <c r="X211">
        <f>HYPERLINK("https://klasma.github.io/Logging_1273/tillsyn/A 20474-2020 tillsynsbegäran.docx", "A 20474-2020")</f>
        <v/>
      </c>
      <c r="Y211">
        <f>HYPERLINK("https://klasma.github.io/Logging_1273/tillsynsmail/A 20474-2020 tillsynsbegäran mail.docx", "A 20474-2020")</f>
        <v/>
      </c>
    </row>
    <row r="212" ht="15" customHeight="1">
      <c r="A212" t="inlineStr">
        <is>
          <t>A 23029-2020</t>
        </is>
      </c>
      <c r="B212" s="1" t="n">
        <v>43965</v>
      </c>
      <c r="C212" s="1" t="n">
        <v>45704</v>
      </c>
      <c r="D212" t="inlineStr">
        <is>
          <t>SKÅNE LÄN</t>
        </is>
      </c>
      <c r="E212" t="inlineStr">
        <is>
          <t>SJÖBO</t>
        </is>
      </c>
      <c r="G212" t="n">
        <v>9.300000000000001</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23029-2020 artfynd.xlsx", "A 23029-2020")</f>
        <v/>
      </c>
      <c r="T212">
        <f>HYPERLINK("https://klasma.github.io/Logging_1265/kartor/A 23029-2020 karta.png", "A 23029-2020")</f>
        <v/>
      </c>
      <c r="V212">
        <f>HYPERLINK("https://klasma.github.io/Logging_1265/klagomål/A 23029-2020 FSC-klagomål.docx", "A 23029-2020")</f>
        <v/>
      </c>
      <c r="W212">
        <f>HYPERLINK("https://klasma.github.io/Logging_1265/klagomålsmail/A 23029-2020 FSC-klagomål mail.docx", "A 23029-2020")</f>
        <v/>
      </c>
      <c r="X212">
        <f>HYPERLINK("https://klasma.github.io/Logging_1265/tillsyn/A 23029-2020 tillsynsbegäran.docx", "A 23029-2020")</f>
        <v/>
      </c>
      <c r="Y212">
        <f>HYPERLINK("https://klasma.github.io/Logging_1265/tillsynsmail/A 23029-2020 tillsynsbegäran mail.docx", "A 23029-2020")</f>
        <v/>
      </c>
    </row>
    <row r="213" ht="15" customHeight="1">
      <c r="A213" t="inlineStr">
        <is>
          <t>A 29376-2020</t>
        </is>
      </c>
      <c r="B213" s="1" t="n">
        <v>44000</v>
      </c>
      <c r="C213" s="1" t="n">
        <v>45704</v>
      </c>
      <c r="D213" t="inlineStr">
        <is>
          <t>SKÅNE LÄN</t>
        </is>
      </c>
      <c r="E213" t="inlineStr">
        <is>
          <t>YSTAD</t>
        </is>
      </c>
      <c r="G213" t="n">
        <v>1.5</v>
      </c>
      <c r="H213" t="n">
        <v>0</v>
      </c>
      <c r="I213" t="n">
        <v>0</v>
      </c>
      <c r="J213" t="n">
        <v>1</v>
      </c>
      <c r="K213" t="n">
        <v>0</v>
      </c>
      <c r="L213" t="n">
        <v>0</v>
      </c>
      <c r="M213" t="n">
        <v>0</v>
      </c>
      <c r="N213" t="n">
        <v>0</v>
      </c>
      <c r="O213" t="n">
        <v>1</v>
      </c>
      <c r="P213" t="n">
        <v>0</v>
      </c>
      <c r="Q213" t="n">
        <v>1</v>
      </c>
      <c r="R213" s="2" t="inlineStr">
        <is>
          <t>Igelkott</t>
        </is>
      </c>
      <c r="S213">
        <f>HYPERLINK("https://klasma.github.io/Logging_1286/artfynd/A 29376-2020 artfynd.xlsx", "A 29376-2020")</f>
        <v/>
      </c>
      <c r="T213">
        <f>HYPERLINK("https://klasma.github.io/Logging_1286/kartor/A 29376-2020 karta.png", "A 29376-2020")</f>
        <v/>
      </c>
      <c r="V213">
        <f>HYPERLINK("https://klasma.github.io/Logging_1286/klagomål/A 29376-2020 FSC-klagomål.docx", "A 29376-2020")</f>
        <v/>
      </c>
      <c r="W213">
        <f>HYPERLINK("https://klasma.github.io/Logging_1286/klagomålsmail/A 29376-2020 FSC-klagomål mail.docx", "A 29376-2020")</f>
        <v/>
      </c>
      <c r="X213">
        <f>HYPERLINK("https://klasma.github.io/Logging_1286/tillsyn/A 29376-2020 tillsynsbegäran.docx", "A 29376-2020")</f>
        <v/>
      </c>
      <c r="Y213">
        <f>HYPERLINK("https://klasma.github.io/Logging_1286/tillsynsmail/A 29376-2020 tillsynsbegäran mail.docx", "A 29376-2020")</f>
        <v/>
      </c>
    </row>
    <row r="214" ht="15" customHeight="1">
      <c r="A214" t="inlineStr">
        <is>
          <t>A 30687-2020</t>
        </is>
      </c>
      <c r="B214" s="1" t="n">
        <v>44008</v>
      </c>
      <c r="C214" s="1" t="n">
        <v>45704</v>
      </c>
      <c r="D214" t="inlineStr">
        <is>
          <t>SKÅNE LÄN</t>
        </is>
      </c>
      <c r="E214" t="inlineStr">
        <is>
          <t>KRISTIANSTAD</t>
        </is>
      </c>
      <c r="F214" t="inlineStr">
        <is>
          <t>Kommuner</t>
        </is>
      </c>
      <c r="G214" t="n">
        <v>0.8</v>
      </c>
      <c r="H214" t="n">
        <v>0</v>
      </c>
      <c r="I214" t="n">
        <v>0</v>
      </c>
      <c r="J214" t="n">
        <v>1</v>
      </c>
      <c r="K214" t="n">
        <v>0</v>
      </c>
      <c r="L214" t="n">
        <v>0</v>
      </c>
      <c r="M214" t="n">
        <v>0</v>
      </c>
      <c r="N214" t="n">
        <v>0</v>
      </c>
      <c r="O214" t="n">
        <v>1</v>
      </c>
      <c r="P214" t="n">
        <v>0</v>
      </c>
      <c r="Q214" t="n">
        <v>1</v>
      </c>
      <c r="R214" s="2" t="inlineStr">
        <is>
          <t>Stortapetserarbi</t>
        </is>
      </c>
      <c r="S214">
        <f>HYPERLINK("https://klasma.github.io/Logging_1290/artfynd/A 30687-2020 artfynd.xlsx", "A 30687-2020")</f>
        <v/>
      </c>
      <c r="T214">
        <f>HYPERLINK("https://klasma.github.io/Logging_1290/kartor/A 30687-2020 karta.png", "A 30687-2020")</f>
        <v/>
      </c>
      <c r="V214">
        <f>HYPERLINK("https://klasma.github.io/Logging_1290/klagomål/A 30687-2020 FSC-klagomål.docx", "A 30687-2020")</f>
        <v/>
      </c>
      <c r="W214">
        <f>HYPERLINK("https://klasma.github.io/Logging_1290/klagomålsmail/A 30687-2020 FSC-klagomål mail.docx", "A 30687-2020")</f>
        <v/>
      </c>
      <c r="X214">
        <f>HYPERLINK("https://klasma.github.io/Logging_1290/tillsyn/A 30687-2020 tillsynsbegäran.docx", "A 30687-2020")</f>
        <v/>
      </c>
      <c r="Y214">
        <f>HYPERLINK("https://klasma.github.io/Logging_1290/tillsynsmail/A 30687-2020 tillsynsbegäran mail.docx", "A 30687-2020")</f>
        <v/>
      </c>
    </row>
    <row r="215" ht="15" customHeight="1">
      <c r="A215" t="inlineStr">
        <is>
          <t>A 30733-2020</t>
        </is>
      </c>
      <c r="B215" s="1" t="n">
        <v>44008</v>
      </c>
      <c r="C215" s="1" t="n">
        <v>45704</v>
      </c>
      <c r="D215" t="inlineStr">
        <is>
          <t>SKÅNE LÄN</t>
        </is>
      </c>
      <c r="E215" t="inlineStr">
        <is>
          <t>SVEDALA</t>
        </is>
      </c>
      <c r="G215" t="n">
        <v>1.4</v>
      </c>
      <c r="H215" t="n">
        <v>0</v>
      </c>
      <c r="I215" t="n">
        <v>0</v>
      </c>
      <c r="J215" t="n">
        <v>0</v>
      </c>
      <c r="K215" t="n">
        <v>1</v>
      </c>
      <c r="L215" t="n">
        <v>0</v>
      </c>
      <c r="M215" t="n">
        <v>0</v>
      </c>
      <c r="N215" t="n">
        <v>0</v>
      </c>
      <c r="O215" t="n">
        <v>1</v>
      </c>
      <c r="P215" t="n">
        <v>1</v>
      </c>
      <c r="Q215" t="n">
        <v>1</v>
      </c>
      <c r="R215" s="2" t="inlineStr">
        <is>
          <t>Större grynsnäcka</t>
        </is>
      </c>
      <c r="S215">
        <f>HYPERLINK("https://klasma.github.io/Logging_1263/artfynd/A 30733-2020 artfynd.xlsx", "A 30733-2020")</f>
        <v/>
      </c>
      <c r="T215">
        <f>HYPERLINK("https://klasma.github.io/Logging_1263/kartor/A 30733-2020 karta.png", "A 30733-2020")</f>
        <v/>
      </c>
      <c r="V215">
        <f>HYPERLINK("https://klasma.github.io/Logging_1263/klagomål/A 30733-2020 FSC-klagomål.docx", "A 30733-2020")</f>
        <v/>
      </c>
      <c r="W215">
        <f>HYPERLINK("https://klasma.github.io/Logging_1263/klagomålsmail/A 30733-2020 FSC-klagomål mail.docx", "A 30733-2020")</f>
        <v/>
      </c>
      <c r="X215">
        <f>HYPERLINK("https://klasma.github.io/Logging_1263/tillsyn/A 30733-2020 tillsynsbegäran.docx", "A 30733-2020")</f>
        <v/>
      </c>
      <c r="Y215">
        <f>HYPERLINK("https://klasma.github.io/Logging_1263/tillsynsmail/A 30733-2020 tillsynsbegäran mail.docx", "A 30733-2020")</f>
        <v/>
      </c>
    </row>
    <row r="216" ht="15" customHeight="1">
      <c r="A216" t="inlineStr">
        <is>
          <t>A 33733-2020</t>
        </is>
      </c>
      <c r="B216" s="1" t="n">
        <v>44022</v>
      </c>
      <c r="C216" s="1" t="n">
        <v>45704</v>
      </c>
      <c r="D216" t="inlineStr">
        <is>
          <t>SKÅNE LÄN</t>
        </is>
      </c>
      <c r="E216" t="inlineStr">
        <is>
          <t>KRISTIANSTAD</t>
        </is>
      </c>
      <c r="F216" t="inlineStr">
        <is>
          <t>Övriga Aktiebolag</t>
        </is>
      </c>
      <c r="G216" t="n">
        <v>3.4</v>
      </c>
      <c r="H216" t="n">
        <v>0</v>
      </c>
      <c r="I216" t="n">
        <v>0</v>
      </c>
      <c r="J216" t="n">
        <v>0</v>
      </c>
      <c r="K216" t="n">
        <v>1</v>
      </c>
      <c r="L216" t="n">
        <v>0</v>
      </c>
      <c r="M216" t="n">
        <v>0</v>
      </c>
      <c r="N216" t="n">
        <v>0</v>
      </c>
      <c r="O216" t="n">
        <v>1</v>
      </c>
      <c r="P216" t="n">
        <v>1</v>
      </c>
      <c r="Q216" t="n">
        <v>1</v>
      </c>
      <c r="R216" s="2" t="inlineStr">
        <is>
          <t>Småvänderot</t>
        </is>
      </c>
      <c r="S216">
        <f>HYPERLINK("https://klasma.github.io/Logging_1290/artfynd/A 33733-2020 artfynd.xlsx", "A 33733-2020")</f>
        <v/>
      </c>
      <c r="T216">
        <f>HYPERLINK("https://klasma.github.io/Logging_1290/kartor/A 33733-2020 karta.png", "A 33733-2020")</f>
        <v/>
      </c>
      <c r="V216">
        <f>HYPERLINK("https://klasma.github.io/Logging_1290/klagomål/A 33733-2020 FSC-klagomål.docx", "A 33733-2020")</f>
        <v/>
      </c>
      <c r="W216">
        <f>HYPERLINK("https://klasma.github.io/Logging_1290/klagomålsmail/A 33733-2020 FSC-klagomål mail.docx", "A 33733-2020")</f>
        <v/>
      </c>
      <c r="X216">
        <f>HYPERLINK("https://klasma.github.io/Logging_1290/tillsyn/A 33733-2020 tillsynsbegäran.docx", "A 33733-2020")</f>
        <v/>
      </c>
      <c r="Y216">
        <f>HYPERLINK("https://klasma.github.io/Logging_1290/tillsynsmail/A 33733-2020 tillsynsbegäran mail.docx", "A 33733-2020")</f>
        <v/>
      </c>
    </row>
    <row r="217" ht="15" customHeight="1">
      <c r="A217" t="inlineStr">
        <is>
          <t>A 34756-2020</t>
        </is>
      </c>
      <c r="B217" s="1" t="n">
        <v>44035</v>
      </c>
      <c r="C217" s="1" t="n">
        <v>45704</v>
      </c>
      <c r="D217" t="inlineStr">
        <is>
          <t>SKÅNE LÄN</t>
        </is>
      </c>
      <c r="E217" t="inlineStr">
        <is>
          <t>SIMRISHAMN</t>
        </is>
      </c>
      <c r="G217" t="n">
        <v>4.3</v>
      </c>
      <c r="H217" t="n">
        <v>0</v>
      </c>
      <c r="I217" t="n">
        <v>0</v>
      </c>
      <c r="J217" t="n">
        <v>0</v>
      </c>
      <c r="K217" t="n">
        <v>0</v>
      </c>
      <c r="L217" t="n">
        <v>1</v>
      </c>
      <c r="M217" t="n">
        <v>0</v>
      </c>
      <c r="N217" t="n">
        <v>0</v>
      </c>
      <c r="O217" t="n">
        <v>1</v>
      </c>
      <c r="P217" t="n">
        <v>1</v>
      </c>
      <c r="Q217" t="n">
        <v>1</v>
      </c>
      <c r="R217" s="2" t="inlineStr">
        <is>
          <t>Ask</t>
        </is>
      </c>
      <c r="S217">
        <f>HYPERLINK("https://klasma.github.io/Logging_1291/artfynd/A 34756-2020 artfynd.xlsx", "A 34756-2020")</f>
        <v/>
      </c>
      <c r="T217">
        <f>HYPERLINK("https://klasma.github.io/Logging_1291/kartor/A 34756-2020 karta.png", "A 34756-2020")</f>
        <v/>
      </c>
      <c r="V217">
        <f>HYPERLINK("https://klasma.github.io/Logging_1291/klagomål/A 34756-2020 FSC-klagomål.docx", "A 34756-2020")</f>
        <v/>
      </c>
      <c r="W217">
        <f>HYPERLINK("https://klasma.github.io/Logging_1291/klagomålsmail/A 34756-2020 FSC-klagomål mail.docx", "A 34756-2020")</f>
        <v/>
      </c>
      <c r="X217">
        <f>HYPERLINK("https://klasma.github.io/Logging_1291/tillsyn/A 34756-2020 tillsynsbegäran.docx", "A 34756-2020")</f>
        <v/>
      </c>
      <c r="Y217">
        <f>HYPERLINK("https://klasma.github.io/Logging_1291/tillsynsmail/A 34756-2020 tillsynsbegäran mail.docx", "A 34756-2020")</f>
        <v/>
      </c>
    </row>
    <row r="218" ht="15" customHeight="1">
      <c r="A218" t="inlineStr">
        <is>
          <t>A 42615-2020</t>
        </is>
      </c>
      <c r="B218" s="1" t="n">
        <v>44076</v>
      </c>
      <c r="C218" s="1" t="n">
        <v>45704</v>
      </c>
      <c r="D218" t="inlineStr">
        <is>
          <t>SKÅNE LÄN</t>
        </is>
      </c>
      <c r="E218" t="inlineStr">
        <is>
          <t>KRISTIANSTAD</t>
        </is>
      </c>
      <c r="G218" t="n">
        <v>7.5</v>
      </c>
      <c r="H218" t="n">
        <v>0</v>
      </c>
      <c r="I218" t="n">
        <v>0</v>
      </c>
      <c r="J218" t="n">
        <v>1</v>
      </c>
      <c r="K218" t="n">
        <v>0</v>
      </c>
      <c r="L218" t="n">
        <v>0</v>
      </c>
      <c r="M218" t="n">
        <v>0</v>
      </c>
      <c r="N218" t="n">
        <v>0</v>
      </c>
      <c r="O218" t="n">
        <v>1</v>
      </c>
      <c r="P218" t="n">
        <v>0</v>
      </c>
      <c r="Q218" t="n">
        <v>1</v>
      </c>
      <c r="R218" s="2" t="inlineStr">
        <is>
          <t>Lamellsnäcka</t>
        </is>
      </c>
      <c r="S218">
        <f>HYPERLINK("https://klasma.github.io/Logging_1290/artfynd/A 42615-2020 artfynd.xlsx", "A 42615-2020")</f>
        <v/>
      </c>
      <c r="T218">
        <f>HYPERLINK("https://klasma.github.io/Logging_1290/kartor/A 42615-2020 karta.png", "A 42615-2020")</f>
        <v/>
      </c>
      <c r="V218">
        <f>HYPERLINK("https://klasma.github.io/Logging_1290/klagomål/A 42615-2020 FSC-klagomål.docx", "A 42615-2020")</f>
        <v/>
      </c>
      <c r="W218">
        <f>HYPERLINK("https://klasma.github.io/Logging_1290/klagomålsmail/A 42615-2020 FSC-klagomål mail.docx", "A 42615-2020")</f>
        <v/>
      </c>
      <c r="X218">
        <f>HYPERLINK("https://klasma.github.io/Logging_1290/tillsyn/A 42615-2020 tillsynsbegäran.docx", "A 42615-2020")</f>
        <v/>
      </c>
      <c r="Y218">
        <f>HYPERLINK("https://klasma.github.io/Logging_1290/tillsynsmail/A 42615-2020 tillsynsbegäran mail.docx", "A 42615-2020")</f>
        <v/>
      </c>
    </row>
    <row r="219" ht="15" customHeight="1">
      <c r="A219" t="inlineStr">
        <is>
          <t>A 44112-2020</t>
        </is>
      </c>
      <c r="B219" s="1" t="n">
        <v>44082</v>
      </c>
      <c r="C219" s="1" t="n">
        <v>45704</v>
      </c>
      <c r="D219" t="inlineStr">
        <is>
          <t>SKÅNE LÄN</t>
        </is>
      </c>
      <c r="E219" t="inlineStr">
        <is>
          <t>OSBY</t>
        </is>
      </c>
      <c r="G219" t="n">
        <v>1.1</v>
      </c>
      <c r="H219" t="n">
        <v>1</v>
      </c>
      <c r="I219" t="n">
        <v>0</v>
      </c>
      <c r="J219" t="n">
        <v>1</v>
      </c>
      <c r="K219" t="n">
        <v>0</v>
      </c>
      <c r="L219" t="n">
        <v>0</v>
      </c>
      <c r="M219" t="n">
        <v>0</v>
      </c>
      <c r="N219" t="n">
        <v>0</v>
      </c>
      <c r="O219" t="n">
        <v>1</v>
      </c>
      <c r="P219" t="n">
        <v>0</v>
      </c>
      <c r="Q219" t="n">
        <v>1</v>
      </c>
      <c r="R219" s="2" t="inlineStr">
        <is>
          <t>Gulsparv</t>
        </is>
      </c>
      <c r="S219">
        <f>HYPERLINK("https://klasma.github.io/Logging_1273/artfynd/A 44112-2020 artfynd.xlsx", "A 44112-2020")</f>
        <v/>
      </c>
      <c r="T219">
        <f>HYPERLINK("https://klasma.github.io/Logging_1273/kartor/A 44112-2020 karta.png", "A 44112-2020")</f>
        <v/>
      </c>
      <c r="V219">
        <f>HYPERLINK("https://klasma.github.io/Logging_1273/klagomål/A 44112-2020 FSC-klagomål.docx", "A 44112-2020")</f>
        <v/>
      </c>
      <c r="W219">
        <f>HYPERLINK("https://klasma.github.io/Logging_1273/klagomålsmail/A 44112-2020 FSC-klagomål mail.docx", "A 44112-2020")</f>
        <v/>
      </c>
      <c r="X219">
        <f>HYPERLINK("https://klasma.github.io/Logging_1273/tillsyn/A 44112-2020 tillsynsbegäran.docx", "A 44112-2020")</f>
        <v/>
      </c>
      <c r="Y219">
        <f>HYPERLINK("https://klasma.github.io/Logging_1273/tillsynsmail/A 44112-2020 tillsynsbegäran mail.docx", "A 44112-2020")</f>
        <v/>
      </c>
      <c r="Z219">
        <f>HYPERLINK("https://klasma.github.io/Logging_1273/fåglar/A 44112-2020 prioriterade fågelarter.docx", "A 44112-2020")</f>
        <v/>
      </c>
    </row>
    <row r="220" ht="15" customHeight="1">
      <c r="A220" t="inlineStr">
        <is>
          <t>A 62434-2020</t>
        </is>
      </c>
      <c r="B220" s="1" t="n">
        <v>44159</v>
      </c>
      <c r="C220" s="1" t="n">
        <v>45704</v>
      </c>
      <c r="D220" t="inlineStr">
        <is>
          <t>SKÅNE LÄN</t>
        </is>
      </c>
      <c r="E220" t="inlineStr">
        <is>
          <t>HÄSSLEHOLM</t>
        </is>
      </c>
      <c r="G220" t="n">
        <v>2</v>
      </c>
      <c r="H220" t="n">
        <v>0</v>
      </c>
      <c r="I220" t="n">
        <v>0</v>
      </c>
      <c r="J220" t="n">
        <v>1</v>
      </c>
      <c r="K220" t="n">
        <v>0</v>
      </c>
      <c r="L220" t="n">
        <v>0</v>
      </c>
      <c r="M220" t="n">
        <v>0</v>
      </c>
      <c r="N220" t="n">
        <v>0</v>
      </c>
      <c r="O220" t="n">
        <v>1</v>
      </c>
      <c r="P220" t="n">
        <v>0</v>
      </c>
      <c r="Q220" t="n">
        <v>1</v>
      </c>
      <c r="R220" s="2" t="inlineStr">
        <is>
          <t>Borsttåg</t>
        </is>
      </c>
      <c r="S220">
        <f>HYPERLINK("https://klasma.github.io/Logging_1293/artfynd/A 62434-2020 artfynd.xlsx", "A 62434-2020")</f>
        <v/>
      </c>
      <c r="T220">
        <f>HYPERLINK("https://klasma.github.io/Logging_1293/kartor/A 62434-2020 karta.png", "A 62434-2020")</f>
        <v/>
      </c>
      <c r="V220">
        <f>HYPERLINK("https://klasma.github.io/Logging_1293/klagomål/A 62434-2020 FSC-klagomål.docx", "A 62434-2020")</f>
        <v/>
      </c>
      <c r="W220">
        <f>HYPERLINK("https://klasma.github.io/Logging_1293/klagomålsmail/A 62434-2020 FSC-klagomål mail.docx", "A 62434-2020")</f>
        <v/>
      </c>
      <c r="X220">
        <f>HYPERLINK("https://klasma.github.io/Logging_1293/tillsyn/A 62434-2020 tillsynsbegäran.docx", "A 62434-2020")</f>
        <v/>
      </c>
      <c r="Y220">
        <f>HYPERLINK("https://klasma.github.io/Logging_1293/tillsynsmail/A 62434-2020 tillsynsbegäran mail.docx", "A 62434-2020")</f>
        <v/>
      </c>
    </row>
    <row r="221" ht="15" customHeight="1">
      <c r="A221" t="inlineStr">
        <is>
          <t>A 63915-2020</t>
        </is>
      </c>
      <c r="B221" s="1" t="n">
        <v>44166</v>
      </c>
      <c r="C221" s="1" t="n">
        <v>45704</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63915-2020 artfynd.xlsx", "A 63915-2020")</f>
        <v/>
      </c>
      <c r="T221">
        <f>HYPERLINK("https://klasma.github.io/Logging_1273/kartor/A 63915-2020 karta.png", "A 63915-2020")</f>
        <v/>
      </c>
      <c r="V221">
        <f>HYPERLINK("https://klasma.github.io/Logging_1273/klagomål/A 63915-2020 FSC-klagomål.docx", "A 63915-2020")</f>
        <v/>
      </c>
      <c r="W221">
        <f>HYPERLINK("https://klasma.github.io/Logging_1273/klagomålsmail/A 63915-2020 FSC-klagomål mail.docx", "A 63915-2020")</f>
        <v/>
      </c>
      <c r="X221">
        <f>HYPERLINK("https://klasma.github.io/Logging_1273/tillsyn/A 63915-2020 tillsynsbegäran.docx", "A 63915-2020")</f>
        <v/>
      </c>
      <c r="Y221">
        <f>HYPERLINK("https://klasma.github.io/Logging_1273/tillsynsmail/A 63915-2020 tillsynsbegäran mail.docx", "A 63915-2020")</f>
        <v/>
      </c>
    </row>
    <row r="222" ht="15" customHeight="1">
      <c r="A222" t="inlineStr">
        <is>
          <t>A 63914-2020</t>
        </is>
      </c>
      <c r="B222" s="1" t="n">
        <v>44166</v>
      </c>
      <c r="C222" s="1" t="n">
        <v>45704</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63914-2020 artfynd.xlsx", "A 63914-2020")</f>
        <v/>
      </c>
      <c r="T222">
        <f>HYPERLINK("https://klasma.github.io/Logging_1273/kartor/A 63914-2020 karta.png", "A 63914-2020")</f>
        <v/>
      </c>
      <c r="V222">
        <f>HYPERLINK("https://klasma.github.io/Logging_1273/klagomål/A 63914-2020 FSC-klagomål.docx", "A 63914-2020")</f>
        <v/>
      </c>
      <c r="W222">
        <f>HYPERLINK("https://klasma.github.io/Logging_1273/klagomålsmail/A 63914-2020 FSC-klagomål mail.docx", "A 63914-2020")</f>
        <v/>
      </c>
      <c r="X222">
        <f>HYPERLINK("https://klasma.github.io/Logging_1273/tillsyn/A 63914-2020 tillsynsbegäran.docx", "A 63914-2020")</f>
        <v/>
      </c>
      <c r="Y222">
        <f>HYPERLINK("https://klasma.github.io/Logging_1273/tillsynsmail/A 63914-2020 tillsynsbegäran mail.docx", "A 63914-2020")</f>
        <v/>
      </c>
    </row>
    <row r="223" ht="15" customHeight="1">
      <c r="A223" t="inlineStr">
        <is>
          <t>A 64373-2020</t>
        </is>
      </c>
      <c r="B223" s="1" t="n">
        <v>44168</v>
      </c>
      <c r="C223" s="1" t="n">
        <v>45704</v>
      </c>
      <c r="D223" t="inlineStr">
        <is>
          <t>SKÅNE LÄN</t>
        </is>
      </c>
      <c r="E223" t="inlineStr">
        <is>
          <t>SVALÖV</t>
        </is>
      </c>
      <c r="F223" t="inlineStr">
        <is>
          <t>Kyrkan</t>
        </is>
      </c>
      <c r="G223" t="n">
        <v>5.3</v>
      </c>
      <c r="H223" t="n">
        <v>1</v>
      </c>
      <c r="I223" t="n">
        <v>0</v>
      </c>
      <c r="J223" t="n">
        <v>1</v>
      </c>
      <c r="K223" t="n">
        <v>0</v>
      </c>
      <c r="L223" t="n">
        <v>0</v>
      </c>
      <c r="M223" t="n">
        <v>0</v>
      </c>
      <c r="N223" t="n">
        <v>0</v>
      </c>
      <c r="O223" t="n">
        <v>1</v>
      </c>
      <c r="P223" t="n">
        <v>0</v>
      </c>
      <c r="Q223" t="n">
        <v>1</v>
      </c>
      <c r="R223" s="2" t="inlineStr">
        <is>
          <t>Mindre hackspett</t>
        </is>
      </c>
      <c r="S223">
        <f>HYPERLINK("https://klasma.github.io/Logging_1214/artfynd/A 64373-2020 artfynd.xlsx", "A 64373-2020")</f>
        <v/>
      </c>
      <c r="T223">
        <f>HYPERLINK("https://klasma.github.io/Logging_1214/kartor/A 64373-2020 karta.png", "A 64373-2020")</f>
        <v/>
      </c>
      <c r="V223">
        <f>HYPERLINK("https://klasma.github.io/Logging_1214/klagomål/A 64373-2020 FSC-klagomål.docx", "A 64373-2020")</f>
        <v/>
      </c>
      <c r="W223">
        <f>HYPERLINK("https://klasma.github.io/Logging_1214/klagomålsmail/A 64373-2020 FSC-klagomål mail.docx", "A 64373-2020")</f>
        <v/>
      </c>
      <c r="X223">
        <f>HYPERLINK("https://klasma.github.io/Logging_1214/tillsyn/A 64373-2020 tillsynsbegäran.docx", "A 64373-2020")</f>
        <v/>
      </c>
      <c r="Y223">
        <f>HYPERLINK("https://klasma.github.io/Logging_1214/tillsynsmail/A 64373-2020 tillsynsbegäran mail.docx", "A 64373-2020")</f>
        <v/>
      </c>
      <c r="Z223">
        <f>HYPERLINK("https://klasma.github.io/Logging_1214/fåglar/A 64373-2020 prioriterade fågelarter.docx", "A 64373-2020")</f>
        <v/>
      </c>
    </row>
    <row r="224" ht="15" customHeight="1">
      <c r="A224" t="inlineStr">
        <is>
          <t>A 65104-2020</t>
        </is>
      </c>
      <c r="B224" s="1" t="n">
        <v>44172</v>
      </c>
      <c r="C224" s="1" t="n">
        <v>45704</v>
      </c>
      <c r="D224" t="inlineStr">
        <is>
          <t>SKÅNE LÄN</t>
        </is>
      </c>
      <c r="E224" t="inlineStr">
        <is>
          <t>ÄNGELHOLM</t>
        </is>
      </c>
      <c r="G224" t="n">
        <v>0.7</v>
      </c>
      <c r="H224" t="n">
        <v>1</v>
      </c>
      <c r="I224" t="n">
        <v>0</v>
      </c>
      <c r="J224" t="n">
        <v>0</v>
      </c>
      <c r="K224" t="n">
        <v>1</v>
      </c>
      <c r="L224" t="n">
        <v>0</v>
      </c>
      <c r="M224" t="n">
        <v>0</v>
      </c>
      <c r="N224" t="n">
        <v>0</v>
      </c>
      <c r="O224" t="n">
        <v>1</v>
      </c>
      <c r="P224" t="n">
        <v>1</v>
      </c>
      <c r="Q224" t="n">
        <v>1</v>
      </c>
      <c r="R224" s="2" t="inlineStr">
        <is>
          <t>Backsippa</t>
        </is>
      </c>
      <c r="S224">
        <f>HYPERLINK("https://klasma.github.io/Logging_1292/artfynd/A 65104-2020 artfynd.xlsx", "A 65104-2020")</f>
        <v/>
      </c>
      <c r="T224">
        <f>HYPERLINK("https://klasma.github.io/Logging_1292/kartor/A 65104-2020 karta.png", "A 65104-2020")</f>
        <v/>
      </c>
      <c r="V224">
        <f>HYPERLINK("https://klasma.github.io/Logging_1292/klagomål/A 65104-2020 FSC-klagomål.docx", "A 65104-2020")</f>
        <v/>
      </c>
      <c r="W224">
        <f>HYPERLINK("https://klasma.github.io/Logging_1292/klagomålsmail/A 65104-2020 FSC-klagomål mail.docx", "A 65104-2020")</f>
        <v/>
      </c>
      <c r="X224">
        <f>HYPERLINK("https://klasma.github.io/Logging_1292/tillsyn/A 65104-2020 tillsynsbegäran.docx", "A 65104-2020")</f>
        <v/>
      </c>
      <c r="Y224">
        <f>HYPERLINK("https://klasma.github.io/Logging_1292/tillsynsmail/A 65104-2020 tillsynsbegäran mail.docx", "A 65104-2020")</f>
        <v/>
      </c>
    </row>
    <row r="225" ht="15" customHeight="1">
      <c r="A225" t="inlineStr">
        <is>
          <t>A 8833-2021</t>
        </is>
      </c>
      <c r="B225" s="1" t="n">
        <v>44245</v>
      </c>
      <c r="C225" s="1" t="n">
        <v>45704</v>
      </c>
      <c r="D225" t="inlineStr">
        <is>
          <t>SKÅNE LÄN</t>
        </is>
      </c>
      <c r="E225" t="inlineStr">
        <is>
          <t>HÖÖR</t>
        </is>
      </c>
      <c r="G225" t="n">
        <v>2</v>
      </c>
      <c r="H225" t="n">
        <v>1</v>
      </c>
      <c r="I225" t="n">
        <v>0</v>
      </c>
      <c r="J225" t="n">
        <v>0</v>
      </c>
      <c r="K225" t="n">
        <v>0</v>
      </c>
      <c r="L225" t="n">
        <v>0</v>
      </c>
      <c r="M225" t="n">
        <v>0</v>
      </c>
      <c r="N225" t="n">
        <v>0</v>
      </c>
      <c r="O225" t="n">
        <v>0</v>
      </c>
      <c r="P225" t="n">
        <v>0</v>
      </c>
      <c r="Q225" t="n">
        <v>1</v>
      </c>
      <c r="R225" s="2" t="inlineStr">
        <is>
          <t>Mattlummer</t>
        </is>
      </c>
      <c r="S225">
        <f>HYPERLINK("https://klasma.github.io/Logging_1267/artfynd/A 8833-2021 artfynd.xlsx", "A 8833-2021")</f>
        <v/>
      </c>
      <c r="T225">
        <f>HYPERLINK("https://klasma.github.io/Logging_1267/kartor/A 8833-2021 karta.png", "A 8833-2021")</f>
        <v/>
      </c>
      <c r="V225">
        <f>HYPERLINK("https://klasma.github.io/Logging_1267/klagomål/A 8833-2021 FSC-klagomål.docx", "A 8833-2021")</f>
        <v/>
      </c>
      <c r="W225">
        <f>HYPERLINK("https://klasma.github.io/Logging_1267/klagomålsmail/A 8833-2021 FSC-klagomål mail.docx", "A 8833-2021")</f>
        <v/>
      </c>
      <c r="X225">
        <f>HYPERLINK("https://klasma.github.io/Logging_1267/tillsyn/A 8833-2021 tillsynsbegäran.docx", "A 8833-2021")</f>
        <v/>
      </c>
      <c r="Y225">
        <f>HYPERLINK("https://klasma.github.io/Logging_1267/tillsynsmail/A 8833-2021 tillsynsbegäran mail.docx", "A 8833-2021")</f>
        <v/>
      </c>
    </row>
    <row r="226" ht="15" customHeight="1">
      <c r="A226" t="inlineStr">
        <is>
          <t>A 15070-2021</t>
        </is>
      </c>
      <c r="B226" s="1" t="n">
        <v>44281</v>
      </c>
      <c r="C226" s="1" t="n">
        <v>45704</v>
      </c>
      <c r="D226" t="inlineStr">
        <is>
          <t>SKÅNE LÄN</t>
        </is>
      </c>
      <c r="E226" t="inlineStr">
        <is>
          <t>HÖÖR</t>
        </is>
      </c>
      <c r="G226" t="n">
        <v>1.5</v>
      </c>
      <c r="H226" t="n">
        <v>0</v>
      </c>
      <c r="I226" t="n">
        <v>0</v>
      </c>
      <c r="J226" t="n">
        <v>1</v>
      </c>
      <c r="K226" t="n">
        <v>0</v>
      </c>
      <c r="L226" t="n">
        <v>0</v>
      </c>
      <c r="M226" t="n">
        <v>0</v>
      </c>
      <c r="N226" t="n">
        <v>0</v>
      </c>
      <c r="O226" t="n">
        <v>1</v>
      </c>
      <c r="P226" t="n">
        <v>0</v>
      </c>
      <c r="Q226" t="n">
        <v>1</v>
      </c>
      <c r="R226" s="2" t="inlineStr">
        <is>
          <t>Korallticka</t>
        </is>
      </c>
      <c r="S226">
        <f>HYPERLINK("https://klasma.github.io/Logging_1267/artfynd/A 15070-2021 artfynd.xlsx", "A 15070-2021")</f>
        <v/>
      </c>
      <c r="T226">
        <f>HYPERLINK("https://klasma.github.io/Logging_1267/kartor/A 15070-2021 karta.png", "A 15070-2021")</f>
        <v/>
      </c>
      <c r="V226">
        <f>HYPERLINK("https://klasma.github.io/Logging_1267/klagomål/A 15070-2021 FSC-klagomål.docx", "A 15070-2021")</f>
        <v/>
      </c>
      <c r="W226">
        <f>HYPERLINK("https://klasma.github.io/Logging_1267/klagomålsmail/A 15070-2021 FSC-klagomål mail.docx", "A 15070-2021")</f>
        <v/>
      </c>
      <c r="X226">
        <f>HYPERLINK("https://klasma.github.io/Logging_1267/tillsyn/A 15070-2021 tillsynsbegäran.docx", "A 15070-2021")</f>
        <v/>
      </c>
      <c r="Y226">
        <f>HYPERLINK("https://klasma.github.io/Logging_1267/tillsynsmail/A 15070-2021 tillsynsbegäran mail.docx", "A 15070-2021")</f>
        <v/>
      </c>
    </row>
    <row r="227" ht="15" customHeight="1">
      <c r="A227" t="inlineStr">
        <is>
          <t>A 15511-2021</t>
        </is>
      </c>
      <c r="B227" s="1" t="n">
        <v>44285</v>
      </c>
      <c r="C227" s="1" t="n">
        <v>45704</v>
      </c>
      <c r="D227" t="inlineStr">
        <is>
          <t>SKÅNE LÄN</t>
        </is>
      </c>
      <c r="E227" t="inlineStr">
        <is>
          <t>OSBY</t>
        </is>
      </c>
      <c r="G227" t="n">
        <v>1.1</v>
      </c>
      <c r="H227" t="n">
        <v>1</v>
      </c>
      <c r="I227" t="n">
        <v>0</v>
      </c>
      <c r="J227" t="n">
        <v>0</v>
      </c>
      <c r="K227" t="n">
        <v>0</v>
      </c>
      <c r="L227" t="n">
        <v>0</v>
      </c>
      <c r="M227" t="n">
        <v>0</v>
      </c>
      <c r="N227" t="n">
        <v>0</v>
      </c>
      <c r="O227" t="n">
        <v>0</v>
      </c>
      <c r="P227" t="n">
        <v>0</v>
      </c>
      <c r="Q227" t="n">
        <v>1</v>
      </c>
      <c r="R227" s="2" t="inlineStr">
        <is>
          <t>Kungsfågel</t>
        </is>
      </c>
      <c r="S227">
        <f>HYPERLINK("https://klasma.github.io/Logging_1273/artfynd/A 15511-2021 artfynd.xlsx", "A 15511-2021")</f>
        <v/>
      </c>
      <c r="T227">
        <f>HYPERLINK("https://klasma.github.io/Logging_1273/kartor/A 15511-2021 karta.png", "A 15511-2021")</f>
        <v/>
      </c>
      <c r="V227">
        <f>HYPERLINK("https://klasma.github.io/Logging_1273/klagomål/A 15511-2021 FSC-klagomål.docx", "A 15511-2021")</f>
        <v/>
      </c>
      <c r="W227">
        <f>HYPERLINK("https://klasma.github.io/Logging_1273/klagomålsmail/A 15511-2021 FSC-klagomål mail.docx", "A 15511-2021")</f>
        <v/>
      </c>
      <c r="X227">
        <f>HYPERLINK("https://klasma.github.io/Logging_1273/tillsyn/A 15511-2021 tillsynsbegäran.docx", "A 15511-2021")</f>
        <v/>
      </c>
      <c r="Y227">
        <f>HYPERLINK("https://klasma.github.io/Logging_1273/tillsynsmail/A 15511-2021 tillsynsbegäran mail.docx", "A 15511-2021")</f>
        <v/>
      </c>
      <c r="Z227">
        <f>HYPERLINK("https://klasma.github.io/Logging_1273/fåglar/A 15511-2021 prioriterade fågelarter.docx", "A 15511-2021")</f>
        <v/>
      </c>
    </row>
    <row r="228" ht="15" customHeight="1">
      <c r="A228" t="inlineStr">
        <is>
          <t>A 21568-2021</t>
        </is>
      </c>
      <c r="B228" s="1" t="n">
        <v>44314</v>
      </c>
      <c r="C228" s="1" t="n">
        <v>45704</v>
      </c>
      <c r="D228" t="inlineStr">
        <is>
          <t>SKÅNE LÄN</t>
        </is>
      </c>
      <c r="E228" t="inlineStr">
        <is>
          <t>KRISTIANSTAD</t>
        </is>
      </c>
      <c r="G228" t="n">
        <v>18.4</v>
      </c>
      <c r="H228" t="n">
        <v>0</v>
      </c>
      <c r="I228" t="n">
        <v>1</v>
      </c>
      <c r="J228" t="n">
        <v>0</v>
      </c>
      <c r="K228" t="n">
        <v>0</v>
      </c>
      <c r="L228" t="n">
        <v>0</v>
      </c>
      <c r="M228" t="n">
        <v>0</v>
      </c>
      <c r="N228" t="n">
        <v>0</v>
      </c>
      <c r="O228" t="n">
        <v>0</v>
      </c>
      <c r="P228" t="n">
        <v>0</v>
      </c>
      <c r="Q228" t="n">
        <v>1</v>
      </c>
      <c r="R228" s="2" t="inlineStr">
        <is>
          <t>Kransrams</t>
        </is>
      </c>
      <c r="S228">
        <f>HYPERLINK("https://klasma.github.io/Logging_1290/artfynd/A 21568-2021 artfynd.xlsx", "A 21568-2021")</f>
        <v/>
      </c>
      <c r="T228">
        <f>HYPERLINK("https://klasma.github.io/Logging_1290/kartor/A 21568-2021 karta.png", "A 21568-2021")</f>
        <v/>
      </c>
      <c r="V228">
        <f>HYPERLINK("https://klasma.github.io/Logging_1290/klagomål/A 21568-2021 FSC-klagomål.docx", "A 21568-2021")</f>
        <v/>
      </c>
      <c r="W228">
        <f>HYPERLINK("https://klasma.github.io/Logging_1290/klagomålsmail/A 21568-2021 FSC-klagomål mail.docx", "A 21568-2021")</f>
        <v/>
      </c>
      <c r="X228">
        <f>HYPERLINK("https://klasma.github.io/Logging_1290/tillsyn/A 21568-2021 tillsynsbegäran.docx", "A 21568-2021")</f>
        <v/>
      </c>
      <c r="Y228">
        <f>HYPERLINK("https://klasma.github.io/Logging_1290/tillsynsmail/A 21568-2021 tillsynsbegäran mail.docx", "A 21568-2021")</f>
        <v/>
      </c>
    </row>
    <row r="229" ht="15" customHeight="1">
      <c r="A229" t="inlineStr">
        <is>
          <t>A 22549-2021</t>
        </is>
      </c>
      <c r="B229" s="1" t="n">
        <v>44327</v>
      </c>
      <c r="C229" s="1" t="n">
        <v>45704</v>
      </c>
      <c r="D229" t="inlineStr">
        <is>
          <t>SKÅNE LÄN</t>
        </is>
      </c>
      <c r="E229" t="inlineStr">
        <is>
          <t>KRISTIANSTAD</t>
        </is>
      </c>
      <c r="G229" t="n">
        <v>2.5</v>
      </c>
      <c r="H229" t="n">
        <v>1</v>
      </c>
      <c r="I229" t="n">
        <v>0</v>
      </c>
      <c r="J229" t="n">
        <v>0</v>
      </c>
      <c r="K229" t="n">
        <v>0</v>
      </c>
      <c r="L229" t="n">
        <v>0</v>
      </c>
      <c r="M229" t="n">
        <v>0</v>
      </c>
      <c r="N229" t="n">
        <v>0</v>
      </c>
      <c r="O229" t="n">
        <v>0</v>
      </c>
      <c r="P229" t="n">
        <v>0</v>
      </c>
      <c r="Q229" t="n">
        <v>1</v>
      </c>
      <c r="R229" s="2" t="inlineStr">
        <is>
          <t>Lövgroda</t>
        </is>
      </c>
      <c r="S229">
        <f>HYPERLINK("https://klasma.github.io/Logging_1290/artfynd/A 22549-2021 artfynd.xlsx", "A 22549-2021")</f>
        <v/>
      </c>
      <c r="T229">
        <f>HYPERLINK("https://klasma.github.io/Logging_1290/kartor/A 22549-2021 karta.png", "A 22549-2021")</f>
        <v/>
      </c>
      <c r="V229">
        <f>HYPERLINK("https://klasma.github.io/Logging_1290/klagomål/A 22549-2021 FSC-klagomål.docx", "A 22549-2021")</f>
        <v/>
      </c>
      <c r="W229">
        <f>HYPERLINK("https://klasma.github.io/Logging_1290/klagomålsmail/A 22549-2021 FSC-klagomål mail.docx", "A 22549-2021")</f>
        <v/>
      </c>
      <c r="X229">
        <f>HYPERLINK("https://klasma.github.io/Logging_1290/tillsyn/A 22549-2021 tillsynsbegäran.docx", "A 22549-2021")</f>
        <v/>
      </c>
      <c r="Y229">
        <f>HYPERLINK("https://klasma.github.io/Logging_1290/tillsynsmail/A 22549-2021 tillsynsbegäran mail.docx", "A 22549-2021")</f>
        <v/>
      </c>
    </row>
    <row r="230" ht="15" customHeight="1">
      <c r="A230" t="inlineStr">
        <is>
          <t>A 22965-2021</t>
        </is>
      </c>
      <c r="B230" s="1" t="n">
        <v>44328</v>
      </c>
      <c r="C230" s="1" t="n">
        <v>45704</v>
      </c>
      <c r="D230" t="inlineStr">
        <is>
          <t>SKÅNE LÄN</t>
        </is>
      </c>
      <c r="E230" t="inlineStr">
        <is>
          <t>KRISTIANSTAD</t>
        </is>
      </c>
      <c r="G230" t="n">
        <v>1</v>
      </c>
      <c r="H230" t="n">
        <v>1</v>
      </c>
      <c r="I230" t="n">
        <v>0</v>
      </c>
      <c r="J230" t="n">
        <v>0</v>
      </c>
      <c r="K230" t="n">
        <v>0</v>
      </c>
      <c r="L230" t="n">
        <v>0</v>
      </c>
      <c r="M230" t="n">
        <v>0</v>
      </c>
      <c r="N230" t="n">
        <v>0</v>
      </c>
      <c r="O230" t="n">
        <v>0</v>
      </c>
      <c r="P230" t="n">
        <v>0</v>
      </c>
      <c r="Q230" t="n">
        <v>1</v>
      </c>
      <c r="R230" s="2" t="inlineStr">
        <is>
          <t>Kungsfågel</t>
        </is>
      </c>
      <c r="S230">
        <f>HYPERLINK("https://klasma.github.io/Logging_1290/artfynd/A 22965-2021 artfynd.xlsx", "A 22965-2021")</f>
        <v/>
      </c>
      <c r="T230">
        <f>HYPERLINK("https://klasma.github.io/Logging_1290/kartor/A 22965-2021 karta.png", "A 22965-2021")</f>
        <v/>
      </c>
      <c r="V230">
        <f>HYPERLINK("https://klasma.github.io/Logging_1290/klagomål/A 22965-2021 FSC-klagomål.docx", "A 22965-2021")</f>
        <v/>
      </c>
      <c r="W230">
        <f>HYPERLINK("https://klasma.github.io/Logging_1290/klagomålsmail/A 22965-2021 FSC-klagomål mail.docx", "A 22965-2021")</f>
        <v/>
      </c>
      <c r="X230">
        <f>HYPERLINK("https://klasma.github.io/Logging_1290/tillsyn/A 22965-2021 tillsynsbegäran.docx", "A 22965-2021")</f>
        <v/>
      </c>
      <c r="Y230">
        <f>HYPERLINK("https://klasma.github.io/Logging_1290/tillsynsmail/A 22965-2021 tillsynsbegäran mail.docx", "A 22965-2021")</f>
        <v/>
      </c>
      <c r="Z230">
        <f>HYPERLINK("https://klasma.github.io/Logging_1290/fåglar/A 22965-2021 prioriterade fågelarter.docx", "A 22965-2021")</f>
        <v/>
      </c>
    </row>
    <row r="231" ht="15" customHeight="1">
      <c r="A231" t="inlineStr">
        <is>
          <t>A 30708-2021</t>
        </is>
      </c>
      <c r="B231" s="1" t="n">
        <v>44365</v>
      </c>
      <c r="C231" s="1" t="n">
        <v>45704</v>
      </c>
      <c r="D231" t="inlineStr">
        <is>
          <t>SKÅNE LÄN</t>
        </is>
      </c>
      <c r="E231" t="inlineStr">
        <is>
          <t>KLIPPAN</t>
        </is>
      </c>
      <c r="G231" t="n">
        <v>0.5</v>
      </c>
      <c r="H231" t="n">
        <v>0</v>
      </c>
      <c r="I231" t="n">
        <v>0</v>
      </c>
      <c r="J231" t="n">
        <v>1</v>
      </c>
      <c r="K231" t="n">
        <v>0</v>
      </c>
      <c r="L231" t="n">
        <v>0</v>
      </c>
      <c r="M231" t="n">
        <v>0</v>
      </c>
      <c r="N231" t="n">
        <v>0</v>
      </c>
      <c r="O231" t="n">
        <v>1</v>
      </c>
      <c r="P231" t="n">
        <v>0</v>
      </c>
      <c r="Q231" t="n">
        <v>1</v>
      </c>
      <c r="R231" s="2" t="inlineStr">
        <is>
          <t>Koralltaggsvamp</t>
        </is>
      </c>
      <c r="S231">
        <f>HYPERLINK("https://klasma.github.io/Logging_1276/artfynd/A 30708-2021 artfynd.xlsx", "A 30708-2021")</f>
        <v/>
      </c>
      <c r="T231">
        <f>HYPERLINK("https://klasma.github.io/Logging_1276/kartor/A 30708-2021 karta.png", "A 30708-2021")</f>
        <v/>
      </c>
      <c r="V231">
        <f>HYPERLINK("https://klasma.github.io/Logging_1276/klagomål/A 30708-2021 FSC-klagomål.docx", "A 30708-2021")</f>
        <v/>
      </c>
      <c r="W231">
        <f>HYPERLINK("https://klasma.github.io/Logging_1276/klagomålsmail/A 30708-2021 FSC-klagomål mail.docx", "A 30708-2021")</f>
        <v/>
      </c>
      <c r="X231">
        <f>HYPERLINK("https://klasma.github.io/Logging_1276/tillsyn/A 30708-2021 tillsynsbegäran.docx", "A 30708-2021")</f>
        <v/>
      </c>
      <c r="Y231">
        <f>HYPERLINK("https://klasma.github.io/Logging_1276/tillsynsmail/A 30708-2021 tillsynsbegäran mail.docx", "A 30708-2021")</f>
        <v/>
      </c>
    </row>
    <row r="232" ht="15" customHeight="1">
      <c r="A232" t="inlineStr">
        <is>
          <t>A 30721-2021</t>
        </is>
      </c>
      <c r="B232" s="1" t="n">
        <v>44365</v>
      </c>
      <c r="C232" s="1" t="n">
        <v>45704</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32766-2021</t>
        </is>
      </c>
      <c r="B233" s="1" t="n">
        <v>44375</v>
      </c>
      <c r="C233" s="1" t="n">
        <v>45704</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35443-2021</t>
        </is>
      </c>
      <c r="B234" s="1" t="n">
        <v>44385</v>
      </c>
      <c r="C234" s="1" t="n">
        <v>45704</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37286-2021</t>
        </is>
      </c>
      <c r="B235" s="1" t="n">
        <v>44390</v>
      </c>
      <c r="C235" s="1" t="n">
        <v>45704</v>
      </c>
      <c r="D235" t="inlineStr">
        <is>
          <t>SKÅNE LÄN</t>
        </is>
      </c>
      <c r="E235" t="inlineStr">
        <is>
          <t>HÖÖR</t>
        </is>
      </c>
      <c r="G235" t="n">
        <v>2.2</v>
      </c>
      <c r="H235" t="n">
        <v>0</v>
      </c>
      <c r="I235" t="n">
        <v>0</v>
      </c>
      <c r="J235" t="n">
        <v>0</v>
      </c>
      <c r="K235" t="n">
        <v>1</v>
      </c>
      <c r="L235" t="n">
        <v>0</v>
      </c>
      <c r="M235" t="n">
        <v>0</v>
      </c>
      <c r="N235" t="n">
        <v>0</v>
      </c>
      <c r="O235" t="n">
        <v>1</v>
      </c>
      <c r="P235" t="n">
        <v>1</v>
      </c>
      <c r="Q235" t="n">
        <v>1</v>
      </c>
      <c r="R235" s="2" t="inlineStr">
        <is>
          <t>Småvänderot</t>
        </is>
      </c>
      <c r="S235">
        <f>HYPERLINK("https://klasma.github.io/Logging_1267/artfynd/A 37286-2021 artfynd.xlsx", "A 37286-2021")</f>
        <v/>
      </c>
      <c r="T235">
        <f>HYPERLINK("https://klasma.github.io/Logging_1267/kartor/A 37286-2021 karta.png", "A 37286-2021")</f>
        <v/>
      </c>
      <c r="V235">
        <f>HYPERLINK("https://klasma.github.io/Logging_1267/klagomål/A 37286-2021 FSC-klagomål.docx", "A 37286-2021")</f>
        <v/>
      </c>
      <c r="W235">
        <f>HYPERLINK("https://klasma.github.io/Logging_1267/klagomålsmail/A 37286-2021 FSC-klagomål mail.docx", "A 37286-2021")</f>
        <v/>
      </c>
      <c r="X235">
        <f>HYPERLINK("https://klasma.github.io/Logging_1267/tillsyn/A 37286-2021 tillsynsbegäran.docx", "A 37286-2021")</f>
        <v/>
      </c>
      <c r="Y235">
        <f>HYPERLINK("https://klasma.github.io/Logging_1267/tillsynsmail/A 37286-2021 tillsynsbegäran mail.docx", "A 37286-2021")</f>
        <v/>
      </c>
    </row>
    <row r="236" ht="15" customHeight="1">
      <c r="A236" t="inlineStr">
        <is>
          <t>A 44327-2021</t>
        </is>
      </c>
      <c r="B236" s="1" t="n">
        <v>44434</v>
      </c>
      <c r="C236" s="1" t="n">
        <v>45704</v>
      </c>
      <c r="D236" t="inlineStr">
        <is>
          <t>SKÅNE LÄN</t>
        </is>
      </c>
      <c r="E236" t="inlineStr">
        <is>
          <t>HÖÖR</t>
        </is>
      </c>
      <c r="G236" t="n">
        <v>12.1</v>
      </c>
      <c r="H236" t="n">
        <v>1</v>
      </c>
      <c r="I236" t="n">
        <v>0</v>
      </c>
      <c r="J236" t="n">
        <v>0</v>
      </c>
      <c r="K236" t="n">
        <v>0</v>
      </c>
      <c r="L236" t="n">
        <v>1</v>
      </c>
      <c r="M236" t="n">
        <v>0</v>
      </c>
      <c r="N236" t="n">
        <v>0</v>
      </c>
      <c r="O236" t="n">
        <v>1</v>
      </c>
      <c r="P236" t="n">
        <v>1</v>
      </c>
      <c r="Q236" t="n">
        <v>1</v>
      </c>
      <c r="R236" s="2" t="inlineStr">
        <is>
          <t>Årta</t>
        </is>
      </c>
      <c r="S236">
        <f>HYPERLINK("https://klasma.github.io/Logging_1267/artfynd/A 44327-2021 artfynd.xlsx", "A 44327-2021")</f>
        <v/>
      </c>
      <c r="T236">
        <f>HYPERLINK("https://klasma.github.io/Logging_1267/kartor/A 44327-2021 karta.png", "A 44327-2021")</f>
        <v/>
      </c>
      <c r="V236">
        <f>HYPERLINK("https://klasma.github.io/Logging_1267/klagomål/A 44327-2021 FSC-klagomål.docx", "A 44327-2021")</f>
        <v/>
      </c>
      <c r="W236">
        <f>HYPERLINK("https://klasma.github.io/Logging_1267/klagomålsmail/A 44327-2021 FSC-klagomål mail.docx", "A 44327-2021")</f>
        <v/>
      </c>
      <c r="X236">
        <f>HYPERLINK("https://klasma.github.io/Logging_1267/tillsyn/A 44327-2021 tillsynsbegäran.docx", "A 44327-2021")</f>
        <v/>
      </c>
      <c r="Y236">
        <f>HYPERLINK("https://klasma.github.io/Logging_1267/tillsynsmail/A 44327-2021 tillsynsbegäran mail.docx", "A 44327-2021")</f>
        <v/>
      </c>
    </row>
    <row r="237" ht="15" customHeight="1">
      <c r="A237" t="inlineStr">
        <is>
          <t>A 44705-2021</t>
        </is>
      </c>
      <c r="B237" s="1" t="n">
        <v>44438</v>
      </c>
      <c r="C237" s="1" t="n">
        <v>45704</v>
      </c>
      <c r="D237" t="inlineStr">
        <is>
          <t>SKÅNE LÄN</t>
        </is>
      </c>
      <c r="E237" t="inlineStr">
        <is>
          <t>HÄSSLEHOLM</t>
        </is>
      </c>
      <c r="G237" t="n">
        <v>1.7</v>
      </c>
      <c r="H237" t="n">
        <v>0</v>
      </c>
      <c r="I237" t="n">
        <v>1</v>
      </c>
      <c r="J237" t="n">
        <v>0</v>
      </c>
      <c r="K237" t="n">
        <v>0</v>
      </c>
      <c r="L237" t="n">
        <v>0</v>
      </c>
      <c r="M237" t="n">
        <v>0</v>
      </c>
      <c r="N237" t="n">
        <v>0</v>
      </c>
      <c r="O237" t="n">
        <v>0</v>
      </c>
      <c r="P237" t="n">
        <v>0</v>
      </c>
      <c r="Q237" t="n">
        <v>1</v>
      </c>
      <c r="R237" s="2" t="inlineStr">
        <is>
          <t>Blåmossa</t>
        </is>
      </c>
      <c r="S237">
        <f>HYPERLINK("https://klasma.github.io/Logging_1293/artfynd/A 44705-2021 artfynd.xlsx", "A 44705-2021")</f>
        <v/>
      </c>
      <c r="T237">
        <f>HYPERLINK("https://klasma.github.io/Logging_1293/kartor/A 44705-2021 karta.png", "A 44705-2021")</f>
        <v/>
      </c>
      <c r="V237">
        <f>HYPERLINK("https://klasma.github.io/Logging_1293/klagomål/A 44705-2021 FSC-klagomål.docx", "A 44705-2021")</f>
        <v/>
      </c>
      <c r="W237">
        <f>HYPERLINK("https://klasma.github.io/Logging_1293/klagomålsmail/A 44705-2021 FSC-klagomål mail.docx", "A 44705-2021")</f>
        <v/>
      </c>
      <c r="X237">
        <f>HYPERLINK("https://klasma.github.io/Logging_1293/tillsyn/A 44705-2021 tillsynsbegäran.docx", "A 44705-2021")</f>
        <v/>
      </c>
      <c r="Y237">
        <f>HYPERLINK("https://klasma.github.io/Logging_1293/tillsynsmail/A 44705-2021 tillsynsbegäran mail.docx", "A 44705-2021")</f>
        <v/>
      </c>
    </row>
    <row r="238" ht="15" customHeight="1">
      <c r="A238" t="inlineStr">
        <is>
          <t>A 46919-2021</t>
        </is>
      </c>
      <c r="B238" s="1" t="n">
        <v>44446</v>
      </c>
      <c r="C238" s="1" t="n">
        <v>45704</v>
      </c>
      <c r="D238" t="inlineStr">
        <is>
          <t>SKÅNE LÄN</t>
        </is>
      </c>
      <c r="E238" t="inlineStr">
        <is>
          <t>HÖÖR</t>
        </is>
      </c>
      <c r="G238" t="n">
        <v>2.8</v>
      </c>
      <c r="H238" t="n">
        <v>0</v>
      </c>
      <c r="I238" t="n">
        <v>1</v>
      </c>
      <c r="J238" t="n">
        <v>0</v>
      </c>
      <c r="K238" t="n">
        <v>0</v>
      </c>
      <c r="L238" t="n">
        <v>0</v>
      </c>
      <c r="M238" t="n">
        <v>0</v>
      </c>
      <c r="N238" t="n">
        <v>0</v>
      </c>
      <c r="O238" t="n">
        <v>0</v>
      </c>
      <c r="P238" t="n">
        <v>0</v>
      </c>
      <c r="Q238" t="n">
        <v>1</v>
      </c>
      <c r="R238" s="2" t="inlineStr">
        <is>
          <t>Strutbräken</t>
        </is>
      </c>
      <c r="S238">
        <f>HYPERLINK("https://klasma.github.io/Logging_1267/artfynd/A 46919-2021 artfynd.xlsx", "A 46919-2021")</f>
        <v/>
      </c>
      <c r="T238">
        <f>HYPERLINK("https://klasma.github.io/Logging_1267/kartor/A 46919-2021 karta.png", "A 46919-2021")</f>
        <v/>
      </c>
      <c r="V238">
        <f>HYPERLINK("https://klasma.github.io/Logging_1267/klagomål/A 46919-2021 FSC-klagomål.docx", "A 46919-2021")</f>
        <v/>
      </c>
      <c r="W238">
        <f>HYPERLINK("https://klasma.github.io/Logging_1267/klagomålsmail/A 46919-2021 FSC-klagomål mail.docx", "A 46919-2021")</f>
        <v/>
      </c>
      <c r="X238">
        <f>HYPERLINK("https://klasma.github.io/Logging_1267/tillsyn/A 46919-2021 tillsynsbegäran.docx", "A 46919-2021")</f>
        <v/>
      </c>
      <c r="Y238">
        <f>HYPERLINK("https://klasma.github.io/Logging_1267/tillsynsmail/A 46919-2021 tillsynsbegäran mail.docx", "A 46919-2021")</f>
        <v/>
      </c>
    </row>
    <row r="239" ht="15" customHeight="1">
      <c r="A239" t="inlineStr">
        <is>
          <t>A 52355-2021</t>
        </is>
      </c>
      <c r="B239" s="1" t="n">
        <v>44464</v>
      </c>
      <c r="C239" s="1" t="n">
        <v>45704</v>
      </c>
      <c r="D239" t="inlineStr">
        <is>
          <t>SKÅNE LÄN</t>
        </is>
      </c>
      <c r="E239" t="inlineStr">
        <is>
          <t>LUND</t>
        </is>
      </c>
      <c r="G239" t="n">
        <v>2.5</v>
      </c>
      <c r="H239" t="n">
        <v>0</v>
      </c>
      <c r="I239" t="n">
        <v>0</v>
      </c>
      <c r="J239" t="n">
        <v>0</v>
      </c>
      <c r="K239" t="n">
        <v>0</v>
      </c>
      <c r="L239" t="n">
        <v>0</v>
      </c>
      <c r="M239" t="n">
        <v>1</v>
      </c>
      <c r="N239" t="n">
        <v>0</v>
      </c>
      <c r="O239" t="n">
        <v>1</v>
      </c>
      <c r="P239" t="n">
        <v>1</v>
      </c>
      <c r="Q239" t="n">
        <v>1</v>
      </c>
      <c r="R239" s="2" t="inlineStr">
        <is>
          <t>Skogsalm</t>
        </is>
      </c>
      <c r="S239">
        <f>HYPERLINK("https://klasma.github.io/Logging_1281/artfynd/A 52355-2021 artfynd.xlsx", "A 52355-2021")</f>
        <v/>
      </c>
      <c r="T239">
        <f>HYPERLINK("https://klasma.github.io/Logging_1281/kartor/A 52355-2021 karta.png", "A 52355-2021")</f>
        <v/>
      </c>
      <c r="V239">
        <f>HYPERLINK("https://klasma.github.io/Logging_1281/klagomål/A 52355-2021 FSC-klagomål.docx", "A 52355-2021")</f>
        <v/>
      </c>
      <c r="W239">
        <f>HYPERLINK("https://klasma.github.io/Logging_1281/klagomålsmail/A 52355-2021 FSC-klagomål mail.docx", "A 52355-2021")</f>
        <v/>
      </c>
      <c r="X239">
        <f>HYPERLINK("https://klasma.github.io/Logging_1281/tillsyn/A 52355-2021 tillsynsbegäran.docx", "A 52355-2021")</f>
        <v/>
      </c>
      <c r="Y239">
        <f>HYPERLINK("https://klasma.github.io/Logging_1281/tillsynsmail/A 52355-2021 tillsynsbegäran mail.docx", "A 52355-2021")</f>
        <v/>
      </c>
    </row>
    <row r="240" ht="15" customHeight="1">
      <c r="A240" t="inlineStr">
        <is>
          <t>A 57968-2021</t>
        </is>
      </c>
      <c r="B240" s="1" t="n">
        <v>44487</v>
      </c>
      <c r="C240" s="1" t="n">
        <v>45704</v>
      </c>
      <c r="D240" t="inlineStr">
        <is>
          <t>SKÅNE LÄN</t>
        </is>
      </c>
      <c r="E240" t="inlineStr">
        <is>
          <t>KLIPPAN</t>
        </is>
      </c>
      <c r="G240" t="n">
        <v>5.2</v>
      </c>
      <c r="H240" t="n">
        <v>0</v>
      </c>
      <c r="I240" t="n">
        <v>0</v>
      </c>
      <c r="J240" t="n">
        <v>1</v>
      </c>
      <c r="K240" t="n">
        <v>0</v>
      </c>
      <c r="L240" t="n">
        <v>0</v>
      </c>
      <c r="M240" t="n">
        <v>0</v>
      </c>
      <c r="N240" t="n">
        <v>0</v>
      </c>
      <c r="O240" t="n">
        <v>1</v>
      </c>
      <c r="P240" t="n">
        <v>0</v>
      </c>
      <c r="Q240" t="n">
        <v>1</v>
      </c>
      <c r="R240" s="2" t="inlineStr">
        <is>
          <t>Kösa</t>
        </is>
      </c>
      <c r="S240">
        <f>HYPERLINK("https://klasma.github.io/Logging_1276/artfynd/A 57968-2021 artfynd.xlsx", "A 57968-2021")</f>
        <v/>
      </c>
      <c r="T240">
        <f>HYPERLINK("https://klasma.github.io/Logging_1276/kartor/A 57968-2021 karta.png", "A 57968-2021")</f>
        <v/>
      </c>
      <c r="V240">
        <f>HYPERLINK("https://klasma.github.io/Logging_1276/klagomål/A 57968-2021 FSC-klagomål.docx", "A 57968-2021")</f>
        <v/>
      </c>
      <c r="W240">
        <f>HYPERLINK("https://klasma.github.io/Logging_1276/klagomålsmail/A 57968-2021 FSC-klagomål mail.docx", "A 57968-2021")</f>
        <v/>
      </c>
      <c r="X240">
        <f>HYPERLINK("https://klasma.github.io/Logging_1276/tillsyn/A 57968-2021 tillsynsbegäran.docx", "A 57968-2021")</f>
        <v/>
      </c>
      <c r="Y240">
        <f>HYPERLINK("https://klasma.github.io/Logging_1276/tillsynsmail/A 57968-2021 tillsynsbegäran mail.docx", "A 57968-2021")</f>
        <v/>
      </c>
    </row>
    <row r="241" ht="15" customHeight="1">
      <c r="A241" t="inlineStr">
        <is>
          <t>A 65473-2021</t>
        </is>
      </c>
      <c r="B241" s="1" t="n">
        <v>44516</v>
      </c>
      <c r="C241" s="1" t="n">
        <v>45704</v>
      </c>
      <c r="D241" t="inlineStr">
        <is>
          <t>SKÅNE LÄN</t>
        </is>
      </c>
      <c r="E241" t="inlineStr">
        <is>
          <t>ÖRKELLJUNGA</t>
        </is>
      </c>
      <c r="G241" t="n">
        <v>0.5</v>
      </c>
      <c r="H241" t="n">
        <v>0</v>
      </c>
      <c r="I241" t="n">
        <v>1</v>
      </c>
      <c r="J241" t="n">
        <v>0</v>
      </c>
      <c r="K241" t="n">
        <v>0</v>
      </c>
      <c r="L241" t="n">
        <v>0</v>
      </c>
      <c r="M241" t="n">
        <v>0</v>
      </c>
      <c r="N241" t="n">
        <v>0</v>
      </c>
      <c r="O241" t="n">
        <v>0</v>
      </c>
      <c r="P241" t="n">
        <v>0</v>
      </c>
      <c r="Q241" t="n">
        <v>1</v>
      </c>
      <c r="R241" s="2" t="inlineStr">
        <is>
          <t>Blåmossa</t>
        </is>
      </c>
      <c r="S241">
        <f>HYPERLINK("https://klasma.github.io/Logging_1257/artfynd/A 65473-2021 artfynd.xlsx", "A 65473-2021")</f>
        <v/>
      </c>
      <c r="T241">
        <f>HYPERLINK("https://klasma.github.io/Logging_1257/kartor/A 65473-2021 karta.png", "A 65473-2021")</f>
        <v/>
      </c>
      <c r="V241">
        <f>HYPERLINK("https://klasma.github.io/Logging_1257/klagomål/A 65473-2021 FSC-klagomål.docx", "A 65473-2021")</f>
        <v/>
      </c>
      <c r="W241">
        <f>HYPERLINK("https://klasma.github.io/Logging_1257/klagomålsmail/A 65473-2021 FSC-klagomål mail.docx", "A 65473-2021")</f>
        <v/>
      </c>
      <c r="X241">
        <f>HYPERLINK("https://klasma.github.io/Logging_1257/tillsyn/A 65473-2021 tillsynsbegäran.docx", "A 65473-2021")</f>
        <v/>
      </c>
      <c r="Y241">
        <f>HYPERLINK("https://klasma.github.io/Logging_1257/tillsynsmail/A 65473-2021 tillsynsbegäran mail.docx", "A 65473-2021")</f>
        <v/>
      </c>
    </row>
    <row r="242" ht="15" customHeight="1">
      <c r="A242" t="inlineStr">
        <is>
          <t>A 71055-2021</t>
        </is>
      </c>
      <c r="B242" s="1" t="n">
        <v>44538</v>
      </c>
      <c r="C242" s="1" t="n">
        <v>45704</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72269-2021</t>
        </is>
      </c>
      <c r="B243" s="1" t="n">
        <v>44543</v>
      </c>
      <c r="C243" s="1" t="n">
        <v>45704</v>
      </c>
      <c r="D243" t="inlineStr">
        <is>
          <t>SKÅNE LÄN</t>
        </is>
      </c>
      <c r="E243" t="inlineStr">
        <is>
          <t>LUND</t>
        </is>
      </c>
      <c r="G243" t="n">
        <v>3.2</v>
      </c>
      <c r="H243" t="n">
        <v>0</v>
      </c>
      <c r="I243" t="n">
        <v>1</v>
      </c>
      <c r="J243" t="n">
        <v>0</v>
      </c>
      <c r="K243" t="n">
        <v>0</v>
      </c>
      <c r="L243" t="n">
        <v>0</v>
      </c>
      <c r="M243" t="n">
        <v>0</v>
      </c>
      <c r="N243" t="n">
        <v>0</v>
      </c>
      <c r="O243" t="n">
        <v>0</v>
      </c>
      <c r="P243" t="n">
        <v>0</v>
      </c>
      <c r="Q243" t="n">
        <v>1</v>
      </c>
      <c r="R243" s="2" t="inlineStr">
        <is>
          <t>Stor häxört</t>
        </is>
      </c>
      <c r="S243">
        <f>HYPERLINK("https://klasma.github.io/Logging_1281/artfynd/A 72269-2021 artfynd.xlsx", "A 72269-2021")</f>
        <v/>
      </c>
      <c r="T243">
        <f>HYPERLINK("https://klasma.github.io/Logging_1281/kartor/A 72269-2021 karta.png", "A 72269-2021")</f>
        <v/>
      </c>
      <c r="V243">
        <f>HYPERLINK("https://klasma.github.io/Logging_1281/klagomål/A 72269-2021 FSC-klagomål.docx", "A 72269-2021")</f>
        <v/>
      </c>
      <c r="W243">
        <f>HYPERLINK("https://klasma.github.io/Logging_1281/klagomålsmail/A 72269-2021 FSC-klagomål mail.docx", "A 72269-2021")</f>
        <v/>
      </c>
      <c r="X243">
        <f>HYPERLINK("https://klasma.github.io/Logging_1281/tillsyn/A 72269-2021 tillsynsbegäran.docx", "A 72269-2021")</f>
        <v/>
      </c>
      <c r="Y243">
        <f>HYPERLINK("https://klasma.github.io/Logging_1281/tillsynsmail/A 72269-2021 tillsynsbegäran mail.docx", "A 72269-2021")</f>
        <v/>
      </c>
    </row>
    <row r="244" ht="15" customHeight="1">
      <c r="A244" t="inlineStr">
        <is>
          <t>A 74272-2021</t>
        </is>
      </c>
      <c r="B244" s="1" t="n">
        <v>44553</v>
      </c>
      <c r="C244" s="1" t="n">
        <v>45704</v>
      </c>
      <c r="D244" t="inlineStr">
        <is>
          <t>SKÅNE LÄN</t>
        </is>
      </c>
      <c r="E244" t="inlineStr">
        <is>
          <t>ÄNGELHOLM</t>
        </is>
      </c>
      <c r="G244" t="n">
        <v>5</v>
      </c>
      <c r="H244" t="n">
        <v>1</v>
      </c>
      <c r="I244" t="n">
        <v>0</v>
      </c>
      <c r="J244" t="n">
        <v>1</v>
      </c>
      <c r="K244" t="n">
        <v>0</v>
      </c>
      <c r="L244" t="n">
        <v>0</v>
      </c>
      <c r="M244" t="n">
        <v>0</v>
      </c>
      <c r="N244" t="n">
        <v>0</v>
      </c>
      <c r="O244" t="n">
        <v>1</v>
      </c>
      <c r="P244" t="n">
        <v>0</v>
      </c>
      <c r="Q244" t="n">
        <v>1</v>
      </c>
      <c r="R244" s="2" t="inlineStr">
        <is>
          <t>Entita</t>
        </is>
      </c>
      <c r="S244">
        <f>HYPERLINK("https://klasma.github.io/Logging_1292/artfynd/A 74272-2021 artfynd.xlsx", "A 74272-2021")</f>
        <v/>
      </c>
      <c r="T244">
        <f>HYPERLINK("https://klasma.github.io/Logging_1292/kartor/A 74272-2021 karta.png", "A 74272-2021")</f>
        <v/>
      </c>
      <c r="V244">
        <f>HYPERLINK("https://klasma.github.io/Logging_1292/klagomål/A 74272-2021 FSC-klagomål.docx", "A 74272-2021")</f>
        <v/>
      </c>
      <c r="W244">
        <f>HYPERLINK("https://klasma.github.io/Logging_1292/klagomålsmail/A 74272-2021 FSC-klagomål mail.docx", "A 74272-2021")</f>
        <v/>
      </c>
      <c r="X244">
        <f>HYPERLINK("https://klasma.github.io/Logging_1292/tillsyn/A 74272-2021 tillsynsbegäran.docx", "A 74272-2021")</f>
        <v/>
      </c>
      <c r="Y244">
        <f>HYPERLINK("https://klasma.github.io/Logging_1292/tillsynsmail/A 74272-2021 tillsynsbegäran mail.docx", "A 74272-2021")</f>
        <v/>
      </c>
      <c r="Z244">
        <f>HYPERLINK("https://klasma.github.io/Logging_1292/fåglar/A 74272-2021 prioriterade fågelarter.docx", "A 74272-2021")</f>
        <v/>
      </c>
    </row>
    <row r="245" ht="15" customHeight="1">
      <c r="A245" t="inlineStr">
        <is>
          <t>A 2697-2022</t>
        </is>
      </c>
      <c r="B245" s="1" t="n">
        <v>44580</v>
      </c>
      <c r="C245" s="1" t="n">
        <v>45704</v>
      </c>
      <c r="D245" t="inlineStr">
        <is>
          <t>SKÅNE LÄN</t>
        </is>
      </c>
      <c r="E245" t="inlineStr">
        <is>
          <t>ÖSTRA GÖINGE</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HYPERLINK("https://klasma.github.io/Logging_1256/artfynd/A 2697-2022 artfynd.xlsx", "A 2697-2022")</f>
        <v/>
      </c>
      <c r="T245">
        <f>HYPERLINK("https://klasma.github.io/Logging_1256/kartor/A 2697-2022 karta.png", "A 2697-2022")</f>
        <v/>
      </c>
      <c r="V245">
        <f>HYPERLINK("https://klasma.github.io/Logging_1256/klagomål/A 2697-2022 FSC-klagomål.docx", "A 2697-2022")</f>
        <v/>
      </c>
      <c r="W245">
        <f>HYPERLINK("https://klasma.github.io/Logging_1256/klagomålsmail/A 2697-2022 FSC-klagomål mail.docx", "A 2697-2022")</f>
        <v/>
      </c>
      <c r="X245">
        <f>HYPERLINK("https://klasma.github.io/Logging_1256/tillsyn/A 2697-2022 tillsynsbegäran.docx", "A 2697-2022")</f>
        <v/>
      </c>
      <c r="Y245">
        <f>HYPERLINK("https://klasma.github.io/Logging_1256/tillsynsmail/A 2697-2022 tillsynsbegäran mail.docx", "A 2697-2022")</f>
        <v/>
      </c>
      <c r="Z245">
        <f>HYPERLINK("https://klasma.github.io/Logging_1256/fåglar/A 2697-2022 prioriterade fågelarter.docx", "A 2697-2022")</f>
        <v/>
      </c>
    </row>
    <row r="246" ht="15" customHeight="1">
      <c r="A246" t="inlineStr">
        <is>
          <t>A 5732-2022</t>
        </is>
      </c>
      <c r="B246" s="1" t="n">
        <v>44596</v>
      </c>
      <c r="C246" s="1" t="n">
        <v>45704</v>
      </c>
      <c r="D246" t="inlineStr">
        <is>
          <t>SKÅNE LÄN</t>
        </is>
      </c>
      <c r="E246" t="inlineStr">
        <is>
          <t>KLIPPAN</t>
        </is>
      </c>
      <c r="G246" t="n">
        <v>6.1</v>
      </c>
      <c r="H246" t="n">
        <v>1</v>
      </c>
      <c r="I246" t="n">
        <v>0</v>
      </c>
      <c r="J246" t="n">
        <v>1</v>
      </c>
      <c r="K246" t="n">
        <v>0</v>
      </c>
      <c r="L246" t="n">
        <v>0</v>
      </c>
      <c r="M246" t="n">
        <v>0</v>
      </c>
      <c r="N246" t="n">
        <v>0</v>
      </c>
      <c r="O246" t="n">
        <v>1</v>
      </c>
      <c r="P246" t="n">
        <v>0</v>
      </c>
      <c r="Q246" t="n">
        <v>1</v>
      </c>
      <c r="R246" s="2" t="inlineStr">
        <is>
          <t>Talltita</t>
        </is>
      </c>
      <c r="S246">
        <f>HYPERLINK("https://klasma.github.io/Logging_1276/artfynd/A 5732-2022 artfynd.xlsx", "A 5732-2022")</f>
        <v/>
      </c>
      <c r="T246">
        <f>HYPERLINK("https://klasma.github.io/Logging_1276/kartor/A 5732-2022 karta.png", "A 5732-2022")</f>
        <v/>
      </c>
      <c r="V246">
        <f>HYPERLINK("https://klasma.github.io/Logging_1276/klagomål/A 5732-2022 FSC-klagomål.docx", "A 5732-2022")</f>
        <v/>
      </c>
      <c r="W246">
        <f>HYPERLINK("https://klasma.github.io/Logging_1276/klagomålsmail/A 5732-2022 FSC-klagomål mail.docx", "A 5732-2022")</f>
        <v/>
      </c>
      <c r="X246">
        <f>HYPERLINK("https://klasma.github.io/Logging_1276/tillsyn/A 5732-2022 tillsynsbegäran.docx", "A 5732-2022")</f>
        <v/>
      </c>
      <c r="Y246">
        <f>HYPERLINK("https://klasma.github.io/Logging_1276/tillsynsmail/A 5732-2022 tillsynsbegäran mail.docx", "A 5732-2022")</f>
        <v/>
      </c>
      <c r="Z246">
        <f>HYPERLINK("https://klasma.github.io/Logging_1276/fåglar/A 5732-2022 prioriterade fågelarter.docx", "A 5732-2022")</f>
        <v/>
      </c>
    </row>
    <row r="247" ht="15" customHeight="1">
      <c r="A247" t="inlineStr">
        <is>
          <t>A 6350-2022</t>
        </is>
      </c>
      <c r="B247" s="1" t="n">
        <v>44600</v>
      </c>
      <c r="C247" s="1" t="n">
        <v>45704</v>
      </c>
      <c r="D247" t="inlineStr">
        <is>
          <t>SKÅNE LÄN</t>
        </is>
      </c>
      <c r="E247" t="inlineStr">
        <is>
          <t>HÄSSLEHOLM</t>
        </is>
      </c>
      <c r="G247" t="n">
        <v>6.1</v>
      </c>
      <c r="H247" t="n">
        <v>1</v>
      </c>
      <c r="I247" t="n">
        <v>1</v>
      </c>
      <c r="J247" t="n">
        <v>0</v>
      </c>
      <c r="K247" t="n">
        <v>0</v>
      </c>
      <c r="L247" t="n">
        <v>0</v>
      </c>
      <c r="M247" t="n">
        <v>0</v>
      </c>
      <c r="N247" t="n">
        <v>0</v>
      </c>
      <c r="O247" t="n">
        <v>0</v>
      </c>
      <c r="P247" t="n">
        <v>0</v>
      </c>
      <c r="Q247" t="n">
        <v>1</v>
      </c>
      <c r="R247" s="2" t="inlineStr">
        <is>
          <t>Skogsknipprot</t>
        </is>
      </c>
      <c r="S247">
        <f>HYPERLINK("https://klasma.github.io/Logging_1293/artfynd/A 6350-2022 artfynd.xlsx", "A 6350-2022")</f>
        <v/>
      </c>
      <c r="T247">
        <f>HYPERLINK("https://klasma.github.io/Logging_1293/kartor/A 6350-2022 karta.png", "A 6350-2022")</f>
        <v/>
      </c>
      <c r="V247">
        <f>HYPERLINK("https://klasma.github.io/Logging_1293/klagomål/A 6350-2022 FSC-klagomål.docx", "A 6350-2022")</f>
        <v/>
      </c>
      <c r="W247">
        <f>HYPERLINK("https://klasma.github.io/Logging_1293/klagomålsmail/A 6350-2022 FSC-klagomål mail.docx", "A 6350-2022")</f>
        <v/>
      </c>
      <c r="X247">
        <f>HYPERLINK("https://klasma.github.io/Logging_1293/tillsyn/A 6350-2022 tillsynsbegäran.docx", "A 6350-2022")</f>
        <v/>
      </c>
      <c r="Y247">
        <f>HYPERLINK("https://klasma.github.io/Logging_1293/tillsynsmail/A 6350-2022 tillsynsbegäran mail.docx", "A 6350-2022")</f>
        <v/>
      </c>
    </row>
    <row r="248" ht="15" customHeight="1">
      <c r="A248" t="inlineStr">
        <is>
          <t>A 11750-2022</t>
        </is>
      </c>
      <c r="B248" s="1" t="n">
        <v>44634</v>
      </c>
      <c r="C248" s="1" t="n">
        <v>45704</v>
      </c>
      <c r="D248" t="inlineStr">
        <is>
          <t>SKÅNE LÄN</t>
        </is>
      </c>
      <c r="E248" t="inlineStr">
        <is>
          <t>KRISTIANSTAD</t>
        </is>
      </c>
      <c r="G248" t="n">
        <v>1.8</v>
      </c>
      <c r="H248" t="n">
        <v>0</v>
      </c>
      <c r="I248" t="n">
        <v>0</v>
      </c>
      <c r="J248" t="n">
        <v>0</v>
      </c>
      <c r="K248" t="n">
        <v>1</v>
      </c>
      <c r="L248" t="n">
        <v>0</v>
      </c>
      <c r="M248" t="n">
        <v>0</v>
      </c>
      <c r="N248" t="n">
        <v>0</v>
      </c>
      <c r="O248" t="n">
        <v>1</v>
      </c>
      <c r="P248" t="n">
        <v>1</v>
      </c>
      <c r="Q248" t="n">
        <v>1</v>
      </c>
      <c r="R248" s="2" t="inlineStr">
        <is>
          <t>Sanddådra</t>
        </is>
      </c>
      <c r="S248">
        <f>HYPERLINK("https://klasma.github.io/Logging_1290/artfynd/A 11750-2022 artfynd.xlsx", "A 11750-2022")</f>
        <v/>
      </c>
      <c r="T248">
        <f>HYPERLINK("https://klasma.github.io/Logging_1290/kartor/A 11750-2022 karta.png", "A 11750-2022")</f>
        <v/>
      </c>
      <c r="V248">
        <f>HYPERLINK("https://klasma.github.io/Logging_1290/klagomål/A 11750-2022 FSC-klagomål.docx", "A 11750-2022")</f>
        <v/>
      </c>
      <c r="W248">
        <f>HYPERLINK("https://klasma.github.io/Logging_1290/klagomålsmail/A 11750-2022 FSC-klagomål mail.docx", "A 11750-2022")</f>
        <v/>
      </c>
      <c r="X248">
        <f>HYPERLINK("https://klasma.github.io/Logging_1290/tillsyn/A 11750-2022 tillsynsbegäran.docx", "A 11750-2022")</f>
        <v/>
      </c>
      <c r="Y248">
        <f>HYPERLINK("https://klasma.github.io/Logging_1290/tillsynsmail/A 11750-2022 tillsynsbegäran mail.docx", "A 11750-2022")</f>
        <v/>
      </c>
    </row>
    <row r="249" ht="15" customHeight="1">
      <c r="A249" t="inlineStr">
        <is>
          <t>A 13705-2022</t>
        </is>
      </c>
      <c r="B249" s="1" t="n">
        <v>44648</v>
      </c>
      <c r="C249" s="1" t="n">
        <v>45704</v>
      </c>
      <c r="D249" t="inlineStr">
        <is>
          <t>SKÅNE LÄN</t>
        </is>
      </c>
      <c r="E249" t="inlineStr">
        <is>
          <t>HÄSSLEHOLM</t>
        </is>
      </c>
      <c r="G249" t="n">
        <v>1.5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13705-2022 artfynd.xlsx", "A 13705-2022")</f>
        <v/>
      </c>
      <c r="T249">
        <f>HYPERLINK("https://klasma.github.io/Logging_1293/kartor/A 13705-2022 karta.png", "A 13705-2022")</f>
        <v/>
      </c>
      <c r="V249">
        <f>HYPERLINK("https://klasma.github.io/Logging_1293/klagomål/A 13705-2022 FSC-klagomål.docx", "A 13705-2022")</f>
        <v/>
      </c>
      <c r="W249">
        <f>HYPERLINK("https://klasma.github.io/Logging_1293/klagomålsmail/A 13705-2022 FSC-klagomål mail.docx", "A 13705-2022")</f>
        <v/>
      </c>
      <c r="X249">
        <f>HYPERLINK("https://klasma.github.io/Logging_1293/tillsyn/A 13705-2022 tillsynsbegäran.docx", "A 13705-2022")</f>
        <v/>
      </c>
      <c r="Y249">
        <f>HYPERLINK("https://klasma.github.io/Logging_1293/tillsynsmail/A 13705-2022 tillsynsbegäran mail.docx", "A 13705-2022")</f>
        <v/>
      </c>
    </row>
    <row r="250" ht="15" customHeight="1">
      <c r="A250" t="inlineStr">
        <is>
          <t>A 18464-2022</t>
        </is>
      </c>
      <c r="B250" s="1" t="n">
        <v>44686</v>
      </c>
      <c r="C250" s="1" t="n">
        <v>45704</v>
      </c>
      <c r="D250" t="inlineStr">
        <is>
          <t>SKÅNE LÄN</t>
        </is>
      </c>
      <c r="E250" t="inlineStr">
        <is>
          <t>SVEDALA</t>
        </is>
      </c>
      <c r="G250" t="n">
        <v>1.5</v>
      </c>
      <c r="H250" t="n">
        <v>1</v>
      </c>
      <c r="I250" t="n">
        <v>0</v>
      </c>
      <c r="J250" t="n">
        <v>0</v>
      </c>
      <c r="K250" t="n">
        <v>0</v>
      </c>
      <c r="L250" t="n">
        <v>0</v>
      </c>
      <c r="M250" t="n">
        <v>0</v>
      </c>
      <c r="N250" t="n">
        <v>0</v>
      </c>
      <c r="O250" t="n">
        <v>0</v>
      </c>
      <c r="P250" t="n">
        <v>0</v>
      </c>
      <c r="Q250" t="n">
        <v>1</v>
      </c>
      <c r="R250" s="2" t="inlineStr">
        <is>
          <t>Vanlig groda</t>
        </is>
      </c>
      <c r="S250">
        <f>HYPERLINK("https://klasma.github.io/Logging_1263/artfynd/A 18464-2022 artfynd.xlsx", "A 18464-2022")</f>
        <v/>
      </c>
      <c r="T250">
        <f>HYPERLINK("https://klasma.github.io/Logging_1263/kartor/A 18464-2022 karta.png", "A 18464-2022")</f>
        <v/>
      </c>
      <c r="V250">
        <f>HYPERLINK("https://klasma.github.io/Logging_1263/klagomål/A 18464-2022 FSC-klagomål.docx", "A 18464-2022")</f>
        <v/>
      </c>
      <c r="W250">
        <f>HYPERLINK("https://klasma.github.io/Logging_1263/klagomålsmail/A 18464-2022 FSC-klagomål mail.docx", "A 18464-2022")</f>
        <v/>
      </c>
      <c r="X250">
        <f>HYPERLINK("https://klasma.github.io/Logging_1263/tillsyn/A 18464-2022 tillsynsbegäran.docx", "A 18464-2022")</f>
        <v/>
      </c>
      <c r="Y250">
        <f>HYPERLINK("https://klasma.github.io/Logging_1263/tillsynsmail/A 18464-2022 tillsynsbegäran mail.docx", "A 18464-2022")</f>
        <v/>
      </c>
    </row>
    <row r="251" ht="15" customHeight="1">
      <c r="A251" t="inlineStr">
        <is>
          <t>A 18539-2022</t>
        </is>
      </c>
      <c r="B251" s="1" t="n">
        <v>44686</v>
      </c>
      <c r="C251" s="1" t="n">
        <v>45704</v>
      </c>
      <c r="D251" t="inlineStr">
        <is>
          <t>SKÅNE LÄN</t>
        </is>
      </c>
      <c r="E251" t="inlineStr">
        <is>
          <t>KRISTIANSTAD</t>
        </is>
      </c>
      <c r="G251" t="n">
        <v>4.3</v>
      </c>
      <c r="H251" t="n">
        <v>0</v>
      </c>
      <c r="I251" t="n">
        <v>0</v>
      </c>
      <c r="J251" t="n">
        <v>1</v>
      </c>
      <c r="K251" t="n">
        <v>0</v>
      </c>
      <c r="L251" t="n">
        <v>0</v>
      </c>
      <c r="M251" t="n">
        <v>0</v>
      </c>
      <c r="N251" t="n">
        <v>0</v>
      </c>
      <c r="O251" t="n">
        <v>1</v>
      </c>
      <c r="P251" t="n">
        <v>0</v>
      </c>
      <c r="Q251" t="n">
        <v>1</v>
      </c>
      <c r="R251" s="2" t="inlineStr">
        <is>
          <t>Skogslysing</t>
        </is>
      </c>
      <c r="S251">
        <f>HYPERLINK("https://klasma.github.io/Logging_1290/artfynd/A 18539-2022 artfynd.xlsx", "A 18539-2022")</f>
        <v/>
      </c>
      <c r="T251">
        <f>HYPERLINK("https://klasma.github.io/Logging_1290/kartor/A 18539-2022 karta.png", "A 18539-2022")</f>
        <v/>
      </c>
      <c r="V251">
        <f>HYPERLINK("https://klasma.github.io/Logging_1290/klagomål/A 18539-2022 FSC-klagomål.docx", "A 18539-2022")</f>
        <v/>
      </c>
      <c r="W251">
        <f>HYPERLINK("https://klasma.github.io/Logging_1290/klagomålsmail/A 18539-2022 FSC-klagomål mail.docx", "A 18539-2022")</f>
        <v/>
      </c>
      <c r="X251">
        <f>HYPERLINK("https://klasma.github.io/Logging_1290/tillsyn/A 18539-2022 tillsynsbegäran.docx", "A 18539-2022")</f>
        <v/>
      </c>
      <c r="Y251">
        <f>HYPERLINK("https://klasma.github.io/Logging_1290/tillsynsmail/A 18539-2022 tillsynsbegäran mail.docx", "A 18539-2022")</f>
        <v/>
      </c>
    </row>
    <row r="252" ht="15" customHeight="1">
      <c r="A252" t="inlineStr">
        <is>
          <t>A 23466-2022</t>
        </is>
      </c>
      <c r="B252" s="1" t="n">
        <v>44721</v>
      </c>
      <c r="C252" s="1" t="n">
        <v>45704</v>
      </c>
      <c r="D252" t="inlineStr">
        <is>
          <t>SKÅNE LÄN</t>
        </is>
      </c>
      <c r="E252" t="inlineStr">
        <is>
          <t>TOMELILLA</t>
        </is>
      </c>
      <c r="F252" t="inlineStr">
        <is>
          <t>Övriga Aktiebolag</t>
        </is>
      </c>
      <c r="G252" t="n">
        <v>6.3</v>
      </c>
      <c r="H252" t="n">
        <v>0</v>
      </c>
      <c r="I252" t="n">
        <v>0</v>
      </c>
      <c r="J252" t="n">
        <v>1</v>
      </c>
      <c r="K252" t="n">
        <v>0</v>
      </c>
      <c r="L252" t="n">
        <v>0</v>
      </c>
      <c r="M252" t="n">
        <v>0</v>
      </c>
      <c r="N252" t="n">
        <v>0</v>
      </c>
      <c r="O252" t="n">
        <v>1</v>
      </c>
      <c r="P252" t="n">
        <v>0</v>
      </c>
      <c r="Q252" t="n">
        <v>1</v>
      </c>
      <c r="R252" s="2" t="inlineStr">
        <is>
          <t>Skogslysing</t>
        </is>
      </c>
      <c r="S252">
        <f>HYPERLINK("https://klasma.github.io/Logging_1270/artfynd/A 23466-2022 artfynd.xlsx", "A 23466-2022")</f>
        <v/>
      </c>
      <c r="T252">
        <f>HYPERLINK("https://klasma.github.io/Logging_1270/kartor/A 23466-2022 karta.png", "A 23466-2022")</f>
        <v/>
      </c>
      <c r="V252">
        <f>HYPERLINK("https://klasma.github.io/Logging_1270/klagomål/A 23466-2022 FSC-klagomål.docx", "A 23466-2022")</f>
        <v/>
      </c>
      <c r="W252">
        <f>HYPERLINK("https://klasma.github.io/Logging_1270/klagomålsmail/A 23466-2022 FSC-klagomål mail.docx", "A 23466-2022")</f>
        <v/>
      </c>
      <c r="X252">
        <f>HYPERLINK("https://klasma.github.io/Logging_1270/tillsyn/A 23466-2022 tillsynsbegäran.docx", "A 23466-2022")</f>
        <v/>
      </c>
      <c r="Y252">
        <f>HYPERLINK("https://klasma.github.io/Logging_1270/tillsynsmail/A 23466-2022 tillsynsbegäran mail.docx", "A 23466-2022")</f>
        <v/>
      </c>
    </row>
    <row r="253" ht="15" customHeight="1">
      <c r="A253" t="inlineStr">
        <is>
          <t>A 23963-2022</t>
        </is>
      </c>
      <c r="B253" s="1" t="n">
        <v>44722</v>
      </c>
      <c r="C253" s="1" t="n">
        <v>45704</v>
      </c>
      <c r="D253" t="inlineStr">
        <is>
          <t>SKÅNE LÄN</t>
        </is>
      </c>
      <c r="E253" t="inlineStr">
        <is>
          <t>OSBY</t>
        </is>
      </c>
      <c r="F253" t="inlineStr">
        <is>
          <t>Kyrkan</t>
        </is>
      </c>
      <c r="G253" t="n">
        <v>4.5</v>
      </c>
      <c r="H253" t="n">
        <v>1</v>
      </c>
      <c r="I253" t="n">
        <v>0</v>
      </c>
      <c r="J253" t="n">
        <v>0</v>
      </c>
      <c r="K253" t="n">
        <v>0</v>
      </c>
      <c r="L253" t="n">
        <v>0</v>
      </c>
      <c r="M253" t="n">
        <v>0</v>
      </c>
      <c r="N253" t="n">
        <v>0</v>
      </c>
      <c r="O253" t="n">
        <v>0</v>
      </c>
      <c r="P253" t="n">
        <v>0</v>
      </c>
      <c r="Q253" t="n">
        <v>1</v>
      </c>
      <c r="R253" s="2" t="inlineStr">
        <is>
          <t>Kungsfågel</t>
        </is>
      </c>
      <c r="S253">
        <f>HYPERLINK("https://klasma.github.io/Logging_1273/artfynd/A 23963-2022 artfynd.xlsx", "A 23963-2022")</f>
        <v/>
      </c>
      <c r="T253">
        <f>HYPERLINK("https://klasma.github.io/Logging_1273/kartor/A 23963-2022 karta.png", "A 23963-2022")</f>
        <v/>
      </c>
      <c r="V253">
        <f>HYPERLINK("https://klasma.github.io/Logging_1273/klagomål/A 23963-2022 FSC-klagomål.docx", "A 23963-2022")</f>
        <v/>
      </c>
      <c r="W253">
        <f>HYPERLINK("https://klasma.github.io/Logging_1273/klagomålsmail/A 23963-2022 FSC-klagomål mail.docx", "A 23963-2022")</f>
        <v/>
      </c>
      <c r="X253">
        <f>HYPERLINK("https://klasma.github.io/Logging_1273/tillsyn/A 23963-2022 tillsynsbegäran.docx", "A 23963-2022")</f>
        <v/>
      </c>
      <c r="Y253">
        <f>HYPERLINK("https://klasma.github.io/Logging_1273/tillsynsmail/A 23963-2022 tillsynsbegäran mail.docx", "A 23963-2022")</f>
        <v/>
      </c>
      <c r="Z253">
        <f>HYPERLINK("https://klasma.github.io/Logging_1273/fåglar/A 23963-2022 prioriterade fågelarter.docx", "A 23963-2022")</f>
        <v/>
      </c>
    </row>
    <row r="254" ht="15" customHeight="1">
      <c r="A254" t="inlineStr">
        <is>
          <t>A 24158-2022</t>
        </is>
      </c>
      <c r="B254" s="1" t="n">
        <v>44725</v>
      </c>
      <c r="C254" s="1" t="n">
        <v>45704</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27327-2022</t>
        </is>
      </c>
      <c r="B255" s="1" t="n">
        <v>44742</v>
      </c>
      <c r="C255" s="1" t="n">
        <v>45704</v>
      </c>
      <c r="D255" t="inlineStr">
        <is>
          <t>SKÅNE LÄN</t>
        </is>
      </c>
      <c r="E255" t="inlineStr">
        <is>
          <t>ÄNGELHOLM</t>
        </is>
      </c>
      <c r="G255" t="n">
        <v>0.6</v>
      </c>
      <c r="H255" t="n">
        <v>0</v>
      </c>
      <c r="I255" t="n">
        <v>0</v>
      </c>
      <c r="J255" t="n">
        <v>0</v>
      </c>
      <c r="K255" t="n">
        <v>1</v>
      </c>
      <c r="L255" t="n">
        <v>0</v>
      </c>
      <c r="M255" t="n">
        <v>0</v>
      </c>
      <c r="N255" t="n">
        <v>0</v>
      </c>
      <c r="O255" t="n">
        <v>1</v>
      </c>
      <c r="P255" t="n">
        <v>1</v>
      </c>
      <c r="Q255" t="n">
        <v>1</v>
      </c>
      <c r="R255" s="2" t="inlineStr">
        <is>
          <t>Småvänderot</t>
        </is>
      </c>
      <c r="S255">
        <f>HYPERLINK("https://klasma.github.io/Logging_1292/artfynd/A 27327-2022 artfynd.xlsx", "A 27327-2022")</f>
        <v/>
      </c>
      <c r="T255">
        <f>HYPERLINK("https://klasma.github.io/Logging_1292/kartor/A 27327-2022 karta.png", "A 27327-2022")</f>
        <v/>
      </c>
      <c r="V255">
        <f>HYPERLINK("https://klasma.github.io/Logging_1292/klagomål/A 27327-2022 FSC-klagomål.docx", "A 27327-2022")</f>
        <v/>
      </c>
      <c r="W255">
        <f>HYPERLINK("https://klasma.github.io/Logging_1292/klagomålsmail/A 27327-2022 FSC-klagomål mail.docx", "A 27327-2022")</f>
        <v/>
      </c>
      <c r="X255">
        <f>HYPERLINK("https://klasma.github.io/Logging_1292/tillsyn/A 27327-2022 tillsynsbegäran.docx", "A 27327-2022")</f>
        <v/>
      </c>
      <c r="Y255">
        <f>HYPERLINK("https://klasma.github.io/Logging_1292/tillsynsmail/A 27327-2022 tillsynsbegäran mail.docx", "A 27327-2022")</f>
        <v/>
      </c>
    </row>
    <row r="256" ht="15" customHeight="1">
      <c r="A256" t="inlineStr">
        <is>
          <t>A 27958-2022</t>
        </is>
      </c>
      <c r="B256" s="1" t="n">
        <v>44744</v>
      </c>
      <c r="C256" s="1" t="n">
        <v>45704</v>
      </c>
      <c r="D256" t="inlineStr">
        <is>
          <t>SKÅNE LÄN</t>
        </is>
      </c>
      <c r="E256" t="inlineStr">
        <is>
          <t>HÄSSLEHOLM</t>
        </is>
      </c>
      <c r="G256" t="n">
        <v>3.9</v>
      </c>
      <c r="H256" t="n">
        <v>0</v>
      </c>
      <c r="I256" t="n">
        <v>1</v>
      </c>
      <c r="J256" t="n">
        <v>0</v>
      </c>
      <c r="K256" t="n">
        <v>0</v>
      </c>
      <c r="L256" t="n">
        <v>0</v>
      </c>
      <c r="M256" t="n">
        <v>0</v>
      </c>
      <c r="N256" t="n">
        <v>0</v>
      </c>
      <c r="O256" t="n">
        <v>0</v>
      </c>
      <c r="P256" t="n">
        <v>0</v>
      </c>
      <c r="Q256" t="n">
        <v>1</v>
      </c>
      <c r="R256" s="2" t="inlineStr">
        <is>
          <t>Myskmadra</t>
        </is>
      </c>
      <c r="S256">
        <f>HYPERLINK("https://klasma.github.io/Logging_1293/artfynd/A 27958-2022 artfynd.xlsx", "A 27958-2022")</f>
        <v/>
      </c>
      <c r="T256">
        <f>HYPERLINK("https://klasma.github.io/Logging_1293/kartor/A 27958-2022 karta.png", "A 27958-2022")</f>
        <v/>
      </c>
      <c r="V256">
        <f>HYPERLINK("https://klasma.github.io/Logging_1293/klagomål/A 27958-2022 FSC-klagomål.docx", "A 27958-2022")</f>
        <v/>
      </c>
      <c r="W256">
        <f>HYPERLINK("https://klasma.github.io/Logging_1293/klagomålsmail/A 27958-2022 FSC-klagomål mail.docx", "A 27958-2022")</f>
        <v/>
      </c>
      <c r="X256">
        <f>HYPERLINK("https://klasma.github.io/Logging_1293/tillsyn/A 27958-2022 tillsynsbegäran.docx", "A 27958-2022")</f>
        <v/>
      </c>
      <c r="Y256">
        <f>HYPERLINK("https://klasma.github.io/Logging_1293/tillsynsmail/A 27958-2022 tillsynsbegäran mail.docx", "A 27958-2022")</f>
        <v/>
      </c>
    </row>
    <row r="257" ht="15" customHeight="1">
      <c r="A257" t="inlineStr">
        <is>
          <t>A 28265-2022</t>
        </is>
      </c>
      <c r="B257" s="1" t="n">
        <v>44746</v>
      </c>
      <c r="C257" s="1" t="n">
        <v>45704</v>
      </c>
      <c r="D257" t="inlineStr">
        <is>
          <t>SKÅNE LÄN</t>
        </is>
      </c>
      <c r="E257" t="inlineStr">
        <is>
          <t>ÄNGELHOLM</t>
        </is>
      </c>
      <c r="G257" t="n">
        <v>3.3</v>
      </c>
      <c r="H257" t="n">
        <v>1</v>
      </c>
      <c r="I257" t="n">
        <v>0</v>
      </c>
      <c r="J257" t="n">
        <v>1</v>
      </c>
      <c r="K257" t="n">
        <v>0</v>
      </c>
      <c r="L257" t="n">
        <v>0</v>
      </c>
      <c r="M257" t="n">
        <v>0</v>
      </c>
      <c r="N257" t="n">
        <v>0</v>
      </c>
      <c r="O257" t="n">
        <v>1</v>
      </c>
      <c r="P257" t="n">
        <v>0</v>
      </c>
      <c r="Q257" t="n">
        <v>1</v>
      </c>
      <c r="R257" s="2" t="inlineStr">
        <is>
          <t>Havsörn</t>
        </is>
      </c>
      <c r="S257">
        <f>HYPERLINK("https://klasma.github.io/Logging_1292/artfynd/A 28265-2022 artfynd.xlsx", "A 28265-2022")</f>
        <v/>
      </c>
      <c r="T257">
        <f>HYPERLINK("https://klasma.github.io/Logging_1292/kartor/A 28265-2022 karta.png", "A 28265-2022")</f>
        <v/>
      </c>
      <c r="V257">
        <f>HYPERLINK("https://klasma.github.io/Logging_1292/klagomål/A 28265-2022 FSC-klagomål.docx", "A 28265-2022")</f>
        <v/>
      </c>
      <c r="W257">
        <f>HYPERLINK("https://klasma.github.io/Logging_1292/klagomålsmail/A 28265-2022 FSC-klagomål mail.docx", "A 28265-2022")</f>
        <v/>
      </c>
      <c r="X257">
        <f>HYPERLINK("https://klasma.github.io/Logging_1292/tillsyn/A 28265-2022 tillsynsbegäran.docx", "A 28265-2022")</f>
        <v/>
      </c>
      <c r="Y257">
        <f>HYPERLINK("https://klasma.github.io/Logging_1292/tillsynsmail/A 28265-2022 tillsynsbegäran mail.docx", "A 28265-2022")</f>
        <v/>
      </c>
      <c r="Z257">
        <f>HYPERLINK("https://klasma.github.io/Logging_1292/fåglar/A 28265-2022 prioriterade fågelarter.docx", "A 28265-2022")</f>
        <v/>
      </c>
    </row>
    <row r="258" ht="15" customHeight="1">
      <c r="A258" t="inlineStr">
        <is>
          <t>A 29858-2022</t>
        </is>
      </c>
      <c r="B258" s="1" t="n">
        <v>44756</v>
      </c>
      <c r="C258" s="1" t="n">
        <v>45704</v>
      </c>
      <c r="D258" t="inlineStr">
        <is>
          <t>SKÅNE LÄN</t>
        </is>
      </c>
      <c r="E258" t="inlineStr">
        <is>
          <t>YSTAD</t>
        </is>
      </c>
      <c r="G258" t="n">
        <v>0.5</v>
      </c>
      <c r="H258" t="n">
        <v>0</v>
      </c>
      <c r="I258" t="n">
        <v>0</v>
      </c>
      <c r="J258" t="n">
        <v>1</v>
      </c>
      <c r="K258" t="n">
        <v>0</v>
      </c>
      <c r="L258" t="n">
        <v>0</v>
      </c>
      <c r="M258" t="n">
        <v>0</v>
      </c>
      <c r="N258" t="n">
        <v>0</v>
      </c>
      <c r="O258" t="n">
        <v>1</v>
      </c>
      <c r="P258" t="n">
        <v>0</v>
      </c>
      <c r="Q258" t="n">
        <v>1</v>
      </c>
      <c r="R258" s="2" t="inlineStr">
        <is>
          <t>Igelkott</t>
        </is>
      </c>
      <c r="S258">
        <f>HYPERLINK("https://klasma.github.io/Logging_1286/artfynd/A 29858-2022 artfynd.xlsx", "A 29858-2022")</f>
        <v/>
      </c>
      <c r="T258">
        <f>HYPERLINK("https://klasma.github.io/Logging_1286/kartor/A 29858-2022 karta.png", "A 29858-2022")</f>
        <v/>
      </c>
      <c r="V258">
        <f>HYPERLINK("https://klasma.github.io/Logging_1286/klagomål/A 29858-2022 FSC-klagomål.docx", "A 29858-2022")</f>
        <v/>
      </c>
      <c r="W258">
        <f>HYPERLINK("https://klasma.github.io/Logging_1286/klagomålsmail/A 29858-2022 FSC-klagomål mail.docx", "A 29858-2022")</f>
        <v/>
      </c>
      <c r="X258">
        <f>HYPERLINK("https://klasma.github.io/Logging_1286/tillsyn/A 29858-2022 tillsynsbegäran.docx", "A 29858-2022")</f>
        <v/>
      </c>
      <c r="Y258">
        <f>HYPERLINK("https://klasma.github.io/Logging_1286/tillsynsmail/A 29858-2022 tillsynsbegäran mail.docx", "A 29858-2022")</f>
        <v/>
      </c>
    </row>
    <row r="259" ht="15" customHeight="1">
      <c r="A259" t="inlineStr">
        <is>
          <t>A 33491-2022</t>
        </is>
      </c>
      <c r="B259" s="1" t="n">
        <v>44788</v>
      </c>
      <c r="C259" s="1" t="n">
        <v>45704</v>
      </c>
      <c r="D259" t="inlineStr">
        <is>
          <t>SKÅNE LÄN</t>
        </is>
      </c>
      <c r="E259" t="inlineStr">
        <is>
          <t>OSBY</t>
        </is>
      </c>
      <c r="G259" t="n">
        <v>11.8</v>
      </c>
      <c r="H259" t="n">
        <v>0</v>
      </c>
      <c r="I259" t="n">
        <v>0</v>
      </c>
      <c r="J259" t="n">
        <v>0</v>
      </c>
      <c r="K259" t="n">
        <v>0</v>
      </c>
      <c r="L259" t="n">
        <v>0</v>
      </c>
      <c r="M259" t="n">
        <v>0</v>
      </c>
      <c r="N259" t="n">
        <v>1</v>
      </c>
      <c r="O259" t="n">
        <v>1</v>
      </c>
      <c r="P259" t="n">
        <v>0</v>
      </c>
      <c r="Q259" t="n">
        <v>1</v>
      </c>
      <c r="R259" s="2" t="inlineStr">
        <is>
          <t>Pimpinellros</t>
        </is>
      </c>
      <c r="S259">
        <f>HYPERLINK("https://klasma.github.io/Logging_1273/artfynd/A 33491-2022 artfynd.xlsx", "A 33491-2022")</f>
        <v/>
      </c>
      <c r="T259">
        <f>HYPERLINK("https://klasma.github.io/Logging_1273/kartor/A 33491-2022 karta.png", "A 33491-2022")</f>
        <v/>
      </c>
      <c r="V259">
        <f>HYPERLINK("https://klasma.github.io/Logging_1273/klagomål/A 33491-2022 FSC-klagomål.docx", "A 33491-2022")</f>
        <v/>
      </c>
      <c r="W259">
        <f>HYPERLINK("https://klasma.github.io/Logging_1273/klagomålsmail/A 33491-2022 FSC-klagomål mail.docx", "A 33491-2022")</f>
        <v/>
      </c>
      <c r="X259">
        <f>HYPERLINK("https://klasma.github.io/Logging_1273/tillsyn/A 33491-2022 tillsynsbegäran.docx", "A 33491-2022")</f>
        <v/>
      </c>
      <c r="Y259">
        <f>HYPERLINK("https://klasma.github.io/Logging_1273/tillsynsmail/A 33491-2022 tillsynsbegäran mail.docx", "A 33491-2022")</f>
        <v/>
      </c>
    </row>
    <row r="260" ht="15" customHeight="1">
      <c r="A260" t="inlineStr">
        <is>
          <t>A 36038-2022</t>
        </is>
      </c>
      <c r="B260" s="1" t="n">
        <v>44802</v>
      </c>
      <c r="C260" s="1" t="n">
        <v>45704</v>
      </c>
      <c r="D260" t="inlineStr">
        <is>
          <t>SKÅNE LÄN</t>
        </is>
      </c>
      <c r="E260" t="inlineStr">
        <is>
          <t>ÄNGELHOLM</t>
        </is>
      </c>
      <c r="G260" t="n">
        <v>1.7</v>
      </c>
      <c r="H260" t="n">
        <v>0</v>
      </c>
      <c r="I260" t="n">
        <v>1</v>
      </c>
      <c r="J260" t="n">
        <v>0</v>
      </c>
      <c r="K260" t="n">
        <v>0</v>
      </c>
      <c r="L260" t="n">
        <v>0</v>
      </c>
      <c r="M260" t="n">
        <v>0</v>
      </c>
      <c r="N260" t="n">
        <v>0</v>
      </c>
      <c r="O260" t="n">
        <v>0</v>
      </c>
      <c r="P260" t="n">
        <v>0</v>
      </c>
      <c r="Q260" t="n">
        <v>1</v>
      </c>
      <c r="R260" s="2" t="inlineStr">
        <is>
          <t>Västlig hakmossa</t>
        </is>
      </c>
      <c r="S260">
        <f>HYPERLINK("https://klasma.github.io/Logging_1292/artfynd/A 36038-2022 artfynd.xlsx", "A 36038-2022")</f>
        <v/>
      </c>
      <c r="T260">
        <f>HYPERLINK("https://klasma.github.io/Logging_1292/kartor/A 36038-2022 karta.png", "A 36038-2022")</f>
        <v/>
      </c>
      <c r="V260">
        <f>HYPERLINK("https://klasma.github.io/Logging_1292/klagomål/A 36038-2022 FSC-klagomål.docx", "A 36038-2022")</f>
        <v/>
      </c>
      <c r="W260">
        <f>HYPERLINK("https://klasma.github.io/Logging_1292/klagomålsmail/A 36038-2022 FSC-klagomål mail.docx", "A 36038-2022")</f>
        <v/>
      </c>
      <c r="X260">
        <f>HYPERLINK("https://klasma.github.io/Logging_1292/tillsyn/A 36038-2022 tillsynsbegäran.docx", "A 36038-2022")</f>
        <v/>
      </c>
      <c r="Y260">
        <f>HYPERLINK("https://klasma.github.io/Logging_1292/tillsynsmail/A 36038-2022 tillsynsbegäran mail.docx", "A 36038-2022")</f>
        <v/>
      </c>
    </row>
    <row r="261" ht="15" customHeight="1">
      <c r="A261" t="inlineStr">
        <is>
          <t>A 38643-2022</t>
        </is>
      </c>
      <c r="B261" s="1" t="n">
        <v>44813</v>
      </c>
      <c r="C261" s="1" t="n">
        <v>45704</v>
      </c>
      <c r="D261" t="inlineStr">
        <is>
          <t>SKÅNE LÄN</t>
        </is>
      </c>
      <c r="E261" t="inlineStr">
        <is>
          <t>OSBY</t>
        </is>
      </c>
      <c r="F261" t="inlineStr">
        <is>
          <t>Kyrkan</t>
        </is>
      </c>
      <c r="G261" t="n">
        <v>9.5</v>
      </c>
      <c r="H261" t="n">
        <v>0</v>
      </c>
      <c r="I261" t="n">
        <v>1</v>
      </c>
      <c r="J261" t="n">
        <v>0</v>
      </c>
      <c r="K261" t="n">
        <v>0</v>
      </c>
      <c r="L261" t="n">
        <v>0</v>
      </c>
      <c r="M261" t="n">
        <v>0</v>
      </c>
      <c r="N261" t="n">
        <v>0</v>
      </c>
      <c r="O261" t="n">
        <v>0</v>
      </c>
      <c r="P261" t="n">
        <v>0</v>
      </c>
      <c r="Q261" t="n">
        <v>1</v>
      </c>
      <c r="R261" s="2" t="inlineStr">
        <is>
          <t>Havstulpanlav</t>
        </is>
      </c>
      <c r="S261">
        <f>HYPERLINK("https://klasma.github.io/Logging_1273/artfynd/A 38643-2022 artfynd.xlsx", "A 38643-2022")</f>
        <v/>
      </c>
      <c r="T261">
        <f>HYPERLINK("https://klasma.github.io/Logging_1273/kartor/A 38643-2022 karta.png", "A 38643-2022")</f>
        <v/>
      </c>
      <c r="V261">
        <f>HYPERLINK("https://klasma.github.io/Logging_1273/klagomål/A 38643-2022 FSC-klagomål.docx", "A 38643-2022")</f>
        <v/>
      </c>
      <c r="W261">
        <f>HYPERLINK("https://klasma.github.io/Logging_1273/klagomålsmail/A 38643-2022 FSC-klagomål mail.docx", "A 38643-2022")</f>
        <v/>
      </c>
      <c r="X261">
        <f>HYPERLINK("https://klasma.github.io/Logging_1273/tillsyn/A 38643-2022 tillsynsbegäran.docx", "A 38643-2022")</f>
        <v/>
      </c>
      <c r="Y261">
        <f>HYPERLINK("https://klasma.github.io/Logging_1273/tillsynsmail/A 38643-2022 tillsynsbegäran mail.docx", "A 38643-2022")</f>
        <v/>
      </c>
    </row>
    <row r="262" ht="15" customHeight="1">
      <c r="A262" t="inlineStr">
        <is>
          <t>A 39733-2022</t>
        </is>
      </c>
      <c r="B262" s="1" t="n">
        <v>44819</v>
      </c>
      <c r="C262" s="1" t="n">
        <v>45704</v>
      </c>
      <c r="D262" t="inlineStr">
        <is>
          <t>SKÅNE LÄN</t>
        </is>
      </c>
      <c r="E262" t="inlineStr">
        <is>
          <t>HÄSSLEHOLM</t>
        </is>
      </c>
      <c r="G262" t="n">
        <v>1.9</v>
      </c>
      <c r="H262" t="n">
        <v>1</v>
      </c>
      <c r="I262" t="n">
        <v>0</v>
      </c>
      <c r="J262" t="n">
        <v>1</v>
      </c>
      <c r="K262" t="n">
        <v>0</v>
      </c>
      <c r="L262" t="n">
        <v>0</v>
      </c>
      <c r="M262" t="n">
        <v>0</v>
      </c>
      <c r="N262" t="n">
        <v>0</v>
      </c>
      <c r="O262" t="n">
        <v>1</v>
      </c>
      <c r="P262" t="n">
        <v>0</v>
      </c>
      <c r="Q262" t="n">
        <v>1</v>
      </c>
      <c r="R262" s="2" t="inlineStr">
        <is>
          <t>Spillkråka</t>
        </is>
      </c>
      <c r="S262">
        <f>HYPERLINK("https://klasma.github.io/Logging_1293/artfynd/A 39733-2022 artfynd.xlsx", "A 39733-2022")</f>
        <v/>
      </c>
      <c r="T262">
        <f>HYPERLINK("https://klasma.github.io/Logging_1293/kartor/A 39733-2022 karta.png", "A 39733-2022")</f>
        <v/>
      </c>
      <c r="V262">
        <f>HYPERLINK("https://klasma.github.io/Logging_1293/klagomål/A 39733-2022 FSC-klagomål.docx", "A 39733-2022")</f>
        <v/>
      </c>
      <c r="W262">
        <f>HYPERLINK("https://klasma.github.io/Logging_1293/klagomålsmail/A 39733-2022 FSC-klagomål mail.docx", "A 39733-2022")</f>
        <v/>
      </c>
      <c r="X262">
        <f>HYPERLINK("https://klasma.github.io/Logging_1293/tillsyn/A 39733-2022 tillsynsbegäran.docx", "A 39733-2022")</f>
        <v/>
      </c>
      <c r="Y262">
        <f>HYPERLINK("https://klasma.github.io/Logging_1293/tillsynsmail/A 39733-2022 tillsynsbegäran mail.docx", "A 39733-2022")</f>
        <v/>
      </c>
      <c r="Z262">
        <f>HYPERLINK("https://klasma.github.io/Logging_1293/fåglar/A 39733-2022 prioriterade fågelarter.docx", "A 39733-2022")</f>
        <v/>
      </c>
    </row>
    <row r="263" ht="15" customHeight="1">
      <c r="A263" t="inlineStr">
        <is>
          <t>A 40135-2022</t>
        </is>
      </c>
      <c r="B263" s="1" t="n">
        <v>44820</v>
      </c>
      <c r="C263" s="1" t="n">
        <v>45704</v>
      </c>
      <c r="D263" t="inlineStr">
        <is>
          <t>SKÅNE LÄN</t>
        </is>
      </c>
      <c r="E263" t="inlineStr">
        <is>
          <t>ÖSTRA GÖINGE</t>
        </is>
      </c>
      <c r="G263" t="n">
        <v>3.7</v>
      </c>
      <c r="H263" t="n">
        <v>0</v>
      </c>
      <c r="I263" t="n">
        <v>1</v>
      </c>
      <c r="J263" t="n">
        <v>0</v>
      </c>
      <c r="K263" t="n">
        <v>0</v>
      </c>
      <c r="L263" t="n">
        <v>0</v>
      </c>
      <c r="M263" t="n">
        <v>0</v>
      </c>
      <c r="N263" t="n">
        <v>0</v>
      </c>
      <c r="O263" t="n">
        <v>0</v>
      </c>
      <c r="P263" t="n">
        <v>0</v>
      </c>
      <c r="Q263" t="n">
        <v>1</v>
      </c>
      <c r="R263" s="2" t="inlineStr">
        <is>
          <t>Fällmossa</t>
        </is>
      </c>
      <c r="S263">
        <f>HYPERLINK("https://klasma.github.io/Logging_1256/artfynd/A 40135-2022 artfynd.xlsx", "A 40135-2022")</f>
        <v/>
      </c>
      <c r="T263">
        <f>HYPERLINK("https://klasma.github.io/Logging_1256/kartor/A 40135-2022 karta.png", "A 40135-2022")</f>
        <v/>
      </c>
      <c r="V263">
        <f>HYPERLINK("https://klasma.github.io/Logging_1256/klagomål/A 40135-2022 FSC-klagomål.docx", "A 40135-2022")</f>
        <v/>
      </c>
      <c r="W263">
        <f>HYPERLINK("https://klasma.github.io/Logging_1256/klagomålsmail/A 40135-2022 FSC-klagomål mail.docx", "A 40135-2022")</f>
        <v/>
      </c>
      <c r="X263">
        <f>HYPERLINK("https://klasma.github.io/Logging_1256/tillsyn/A 40135-2022 tillsynsbegäran.docx", "A 40135-2022")</f>
        <v/>
      </c>
      <c r="Y263">
        <f>HYPERLINK("https://klasma.github.io/Logging_1256/tillsynsmail/A 40135-2022 tillsynsbegäran mail.docx", "A 40135-2022")</f>
        <v/>
      </c>
    </row>
    <row r="264" ht="15" customHeight="1">
      <c r="A264" t="inlineStr">
        <is>
          <t>A 40904-2022</t>
        </is>
      </c>
      <c r="B264" s="1" t="n">
        <v>44820</v>
      </c>
      <c r="C264" s="1" t="n">
        <v>45704</v>
      </c>
      <c r="D264" t="inlineStr">
        <is>
          <t>SKÅNE LÄN</t>
        </is>
      </c>
      <c r="E264" t="inlineStr">
        <is>
          <t>ÖSTRA GÖINGE</t>
        </is>
      </c>
      <c r="G264" t="n">
        <v>4.1</v>
      </c>
      <c r="H264" t="n">
        <v>0</v>
      </c>
      <c r="I264" t="n">
        <v>0</v>
      </c>
      <c r="J264" t="n">
        <v>1</v>
      </c>
      <c r="K264" t="n">
        <v>0</v>
      </c>
      <c r="L264" t="n">
        <v>0</v>
      </c>
      <c r="M264" t="n">
        <v>0</v>
      </c>
      <c r="N264" t="n">
        <v>0</v>
      </c>
      <c r="O264" t="n">
        <v>1</v>
      </c>
      <c r="P264" t="n">
        <v>0</v>
      </c>
      <c r="Q264" t="n">
        <v>1</v>
      </c>
      <c r="R264" s="2" t="inlineStr">
        <is>
          <t>Igelkott</t>
        </is>
      </c>
      <c r="S264">
        <f>HYPERLINK("https://klasma.github.io/Logging_1256/artfynd/A 40904-2022 artfynd.xlsx", "A 40904-2022")</f>
        <v/>
      </c>
      <c r="T264">
        <f>HYPERLINK("https://klasma.github.io/Logging_1256/kartor/A 40904-2022 karta.png", "A 40904-2022")</f>
        <v/>
      </c>
      <c r="V264">
        <f>HYPERLINK("https://klasma.github.io/Logging_1256/klagomål/A 40904-2022 FSC-klagomål.docx", "A 40904-2022")</f>
        <v/>
      </c>
      <c r="W264">
        <f>HYPERLINK("https://klasma.github.io/Logging_1256/klagomålsmail/A 40904-2022 FSC-klagomål mail.docx", "A 40904-2022")</f>
        <v/>
      </c>
      <c r="X264">
        <f>HYPERLINK("https://klasma.github.io/Logging_1256/tillsyn/A 40904-2022 tillsynsbegäran.docx", "A 40904-2022")</f>
        <v/>
      </c>
      <c r="Y264">
        <f>HYPERLINK("https://klasma.github.io/Logging_1256/tillsynsmail/A 40904-2022 tillsynsbegäran mail.docx", "A 40904-2022")</f>
        <v/>
      </c>
    </row>
    <row r="265" ht="15" customHeight="1">
      <c r="A265" t="inlineStr">
        <is>
          <t>A 41004-2022</t>
        </is>
      </c>
      <c r="B265" s="1" t="n">
        <v>44825</v>
      </c>
      <c r="C265" s="1" t="n">
        <v>45704</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41275-2022</t>
        </is>
      </c>
      <c r="B266" s="1" t="n">
        <v>44826</v>
      </c>
      <c r="C266" s="1" t="n">
        <v>45704</v>
      </c>
      <c r="D266" t="inlineStr">
        <is>
          <t>SKÅNE LÄN</t>
        </is>
      </c>
      <c r="E266" t="inlineStr">
        <is>
          <t>KRISTIANSTAD</t>
        </is>
      </c>
      <c r="G266" t="n">
        <v>2.9</v>
      </c>
      <c r="H266" t="n">
        <v>1</v>
      </c>
      <c r="I266" t="n">
        <v>0</v>
      </c>
      <c r="J266" t="n">
        <v>0</v>
      </c>
      <c r="K266" t="n">
        <v>0</v>
      </c>
      <c r="L266" t="n">
        <v>1</v>
      </c>
      <c r="M266" t="n">
        <v>0</v>
      </c>
      <c r="N266" t="n">
        <v>0</v>
      </c>
      <c r="O266" t="n">
        <v>1</v>
      </c>
      <c r="P266" t="n">
        <v>1</v>
      </c>
      <c r="Q266" t="n">
        <v>1</v>
      </c>
      <c r="R266" s="2" t="inlineStr">
        <is>
          <t>Praktnejlika</t>
        </is>
      </c>
      <c r="S266">
        <f>HYPERLINK("https://klasma.github.io/Logging_1290/artfynd/A 41275-2022 artfynd.xlsx", "A 41275-2022")</f>
        <v/>
      </c>
      <c r="T266">
        <f>HYPERLINK("https://klasma.github.io/Logging_1290/kartor/A 41275-2022 karta.png", "A 41275-2022")</f>
        <v/>
      </c>
      <c r="V266">
        <f>HYPERLINK("https://klasma.github.io/Logging_1290/klagomål/A 41275-2022 FSC-klagomål.docx", "A 41275-2022")</f>
        <v/>
      </c>
      <c r="W266">
        <f>HYPERLINK("https://klasma.github.io/Logging_1290/klagomålsmail/A 41275-2022 FSC-klagomål mail.docx", "A 41275-2022")</f>
        <v/>
      </c>
      <c r="X266">
        <f>HYPERLINK("https://klasma.github.io/Logging_1290/tillsyn/A 41275-2022 tillsynsbegäran.docx", "A 41275-2022")</f>
        <v/>
      </c>
      <c r="Y266">
        <f>HYPERLINK("https://klasma.github.io/Logging_1290/tillsynsmail/A 41275-2022 tillsynsbegäran mail.docx", "A 41275-2022")</f>
        <v/>
      </c>
    </row>
    <row r="267" ht="15" customHeight="1">
      <c r="A267" t="inlineStr">
        <is>
          <t>A 45334-2022</t>
        </is>
      </c>
      <c r="B267" s="1" t="n">
        <v>44844</v>
      </c>
      <c r="C267" s="1" t="n">
        <v>45704</v>
      </c>
      <c r="D267" t="inlineStr">
        <is>
          <t>SKÅNE LÄN</t>
        </is>
      </c>
      <c r="E267" t="inlineStr">
        <is>
          <t>HÖRBY</t>
        </is>
      </c>
      <c r="F267" t="inlineStr">
        <is>
          <t>Sveaskog</t>
        </is>
      </c>
      <c r="G267" t="n">
        <v>4.7</v>
      </c>
      <c r="H267" t="n">
        <v>0</v>
      </c>
      <c r="I267" t="n">
        <v>1</v>
      </c>
      <c r="J267" t="n">
        <v>0</v>
      </c>
      <c r="K267" t="n">
        <v>0</v>
      </c>
      <c r="L267" t="n">
        <v>0</v>
      </c>
      <c r="M267" t="n">
        <v>0</v>
      </c>
      <c r="N267" t="n">
        <v>0</v>
      </c>
      <c r="O267" t="n">
        <v>0</v>
      </c>
      <c r="P267" t="n">
        <v>0</v>
      </c>
      <c r="Q267" t="n">
        <v>1</v>
      </c>
      <c r="R267" s="2" t="inlineStr">
        <is>
          <t>Strutbräken</t>
        </is>
      </c>
      <c r="S267">
        <f>HYPERLINK("https://klasma.github.io/Logging_1266/artfynd/A 45334-2022 artfynd.xlsx", "A 45334-2022")</f>
        <v/>
      </c>
      <c r="T267">
        <f>HYPERLINK("https://klasma.github.io/Logging_1266/kartor/A 45334-2022 karta.png", "A 45334-2022")</f>
        <v/>
      </c>
      <c r="V267">
        <f>HYPERLINK("https://klasma.github.io/Logging_1266/klagomål/A 45334-2022 FSC-klagomål.docx", "A 45334-2022")</f>
        <v/>
      </c>
      <c r="W267">
        <f>HYPERLINK("https://klasma.github.io/Logging_1266/klagomålsmail/A 45334-2022 FSC-klagomål mail.docx", "A 45334-2022")</f>
        <v/>
      </c>
      <c r="X267">
        <f>HYPERLINK("https://klasma.github.io/Logging_1266/tillsyn/A 45334-2022 tillsynsbegäran.docx", "A 45334-2022")</f>
        <v/>
      </c>
      <c r="Y267">
        <f>HYPERLINK("https://klasma.github.io/Logging_1266/tillsynsmail/A 45334-2022 tillsynsbegäran mail.docx", "A 45334-2022")</f>
        <v/>
      </c>
    </row>
    <row r="268" ht="15" customHeight="1">
      <c r="A268" t="inlineStr">
        <is>
          <t>A 45802-2022</t>
        </is>
      </c>
      <c r="B268" s="1" t="n">
        <v>44844</v>
      </c>
      <c r="C268" s="1" t="n">
        <v>45704</v>
      </c>
      <c r="D268" t="inlineStr">
        <is>
          <t>SKÅNE LÄN</t>
        </is>
      </c>
      <c r="E268" t="inlineStr">
        <is>
          <t>SIMRISHAMN</t>
        </is>
      </c>
      <c r="G268" t="n">
        <v>1.2</v>
      </c>
      <c r="H268" t="n">
        <v>0</v>
      </c>
      <c r="I268" t="n">
        <v>0</v>
      </c>
      <c r="J268" t="n">
        <v>0</v>
      </c>
      <c r="K268" t="n">
        <v>0</v>
      </c>
      <c r="L268" t="n">
        <v>1</v>
      </c>
      <c r="M268" t="n">
        <v>0</v>
      </c>
      <c r="N268" t="n">
        <v>0</v>
      </c>
      <c r="O268" t="n">
        <v>1</v>
      </c>
      <c r="P268" t="n">
        <v>1</v>
      </c>
      <c r="Q268" t="n">
        <v>1</v>
      </c>
      <c r="R268" s="2" t="inlineStr">
        <is>
          <t>Hartsticka</t>
        </is>
      </c>
      <c r="S268">
        <f>HYPERLINK("https://klasma.github.io/Logging_1291/artfynd/A 45802-2022 artfynd.xlsx", "A 45802-2022")</f>
        <v/>
      </c>
      <c r="T268">
        <f>HYPERLINK("https://klasma.github.io/Logging_1291/kartor/A 45802-2022 karta.png", "A 45802-2022")</f>
        <v/>
      </c>
      <c r="V268">
        <f>HYPERLINK("https://klasma.github.io/Logging_1291/klagomål/A 45802-2022 FSC-klagomål.docx", "A 45802-2022")</f>
        <v/>
      </c>
      <c r="W268">
        <f>HYPERLINK("https://klasma.github.io/Logging_1291/klagomålsmail/A 45802-2022 FSC-klagomål mail.docx", "A 45802-2022")</f>
        <v/>
      </c>
      <c r="X268">
        <f>HYPERLINK("https://klasma.github.io/Logging_1291/tillsyn/A 45802-2022 tillsynsbegäran.docx", "A 45802-2022")</f>
        <v/>
      </c>
      <c r="Y268">
        <f>HYPERLINK("https://klasma.github.io/Logging_1291/tillsynsmail/A 45802-2022 tillsynsbegäran mail.docx", "A 45802-2022")</f>
        <v/>
      </c>
    </row>
    <row r="269" ht="15" customHeight="1">
      <c r="A269" t="inlineStr">
        <is>
          <t>A 46195-2022</t>
        </is>
      </c>
      <c r="B269" s="1" t="n">
        <v>44845</v>
      </c>
      <c r="C269" s="1" t="n">
        <v>45704</v>
      </c>
      <c r="D269" t="inlineStr">
        <is>
          <t>SKÅNE LÄN</t>
        </is>
      </c>
      <c r="E269" t="inlineStr">
        <is>
          <t>PERSTORP</t>
        </is>
      </c>
      <c r="G269" t="n">
        <v>0.7</v>
      </c>
      <c r="H269" t="n">
        <v>0</v>
      </c>
      <c r="I269" t="n">
        <v>1</v>
      </c>
      <c r="J269" t="n">
        <v>0</v>
      </c>
      <c r="K269" t="n">
        <v>0</v>
      </c>
      <c r="L269" t="n">
        <v>0</v>
      </c>
      <c r="M269" t="n">
        <v>0</v>
      </c>
      <c r="N269" t="n">
        <v>0</v>
      </c>
      <c r="O269" t="n">
        <v>0</v>
      </c>
      <c r="P269" t="n">
        <v>0</v>
      </c>
      <c r="Q269" t="n">
        <v>1</v>
      </c>
      <c r="R269" s="2" t="inlineStr">
        <is>
          <t>Brandticka</t>
        </is>
      </c>
      <c r="S269">
        <f>HYPERLINK("https://klasma.github.io/Logging_1275/artfynd/A 46195-2022 artfynd.xlsx", "A 46195-2022")</f>
        <v/>
      </c>
      <c r="T269">
        <f>HYPERLINK("https://klasma.github.io/Logging_1275/kartor/A 46195-2022 karta.png", "A 46195-2022")</f>
        <v/>
      </c>
      <c r="V269">
        <f>HYPERLINK("https://klasma.github.io/Logging_1275/klagomål/A 46195-2022 FSC-klagomål.docx", "A 46195-2022")</f>
        <v/>
      </c>
      <c r="W269">
        <f>HYPERLINK("https://klasma.github.io/Logging_1275/klagomålsmail/A 46195-2022 FSC-klagomål mail.docx", "A 46195-2022")</f>
        <v/>
      </c>
      <c r="X269">
        <f>HYPERLINK("https://klasma.github.io/Logging_1275/tillsyn/A 46195-2022 tillsynsbegäran.docx", "A 46195-2022")</f>
        <v/>
      </c>
      <c r="Y269">
        <f>HYPERLINK("https://klasma.github.io/Logging_1275/tillsynsmail/A 46195-2022 tillsynsbegäran mail.docx", "A 46195-2022")</f>
        <v/>
      </c>
    </row>
    <row r="270" ht="15" customHeight="1">
      <c r="A270" t="inlineStr">
        <is>
          <t>A 46232-2022</t>
        </is>
      </c>
      <c r="B270" s="1" t="n">
        <v>44847</v>
      </c>
      <c r="C270" s="1" t="n">
        <v>45704</v>
      </c>
      <c r="D270" t="inlineStr">
        <is>
          <t>SKÅNE LÄN</t>
        </is>
      </c>
      <c r="E270" t="inlineStr">
        <is>
          <t>SVALÖV</t>
        </is>
      </c>
      <c r="G270" t="n">
        <v>3.8</v>
      </c>
      <c r="H270" t="n">
        <v>0</v>
      </c>
      <c r="I270" t="n">
        <v>0</v>
      </c>
      <c r="J270" t="n">
        <v>1</v>
      </c>
      <c r="K270" t="n">
        <v>0</v>
      </c>
      <c r="L270" t="n">
        <v>0</v>
      </c>
      <c r="M270" t="n">
        <v>0</v>
      </c>
      <c r="N270" t="n">
        <v>0</v>
      </c>
      <c r="O270" t="n">
        <v>1</v>
      </c>
      <c r="P270" t="n">
        <v>0</v>
      </c>
      <c r="Q270" t="n">
        <v>1</v>
      </c>
      <c r="R270" s="2" t="inlineStr">
        <is>
          <t>Igelkott</t>
        </is>
      </c>
      <c r="S270">
        <f>HYPERLINK("https://klasma.github.io/Logging_1214/artfynd/A 46232-2022 artfynd.xlsx", "A 46232-2022")</f>
        <v/>
      </c>
      <c r="T270">
        <f>HYPERLINK("https://klasma.github.io/Logging_1214/kartor/A 46232-2022 karta.png", "A 46232-2022")</f>
        <v/>
      </c>
      <c r="V270">
        <f>HYPERLINK("https://klasma.github.io/Logging_1214/klagomål/A 46232-2022 FSC-klagomål.docx", "A 46232-2022")</f>
        <v/>
      </c>
      <c r="W270">
        <f>HYPERLINK("https://klasma.github.io/Logging_1214/klagomålsmail/A 46232-2022 FSC-klagomål mail.docx", "A 46232-2022")</f>
        <v/>
      </c>
      <c r="X270">
        <f>HYPERLINK("https://klasma.github.io/Logging_1214/tillsyn/A 46232-2022 tillsynsbegäran.docx", "A 46232-2022")</f>
        <v/>
      </c>
      <c r="Y270">
        <f>HYPERLINK("https://klasma.github.io/Logging_1214/tillsynsmail/A 46232-2022 tillsynsbegäran mail.docx", "A 46232-2022")</f>
        <v/>
      </c>
    </row>
    <row r="271" ht="15" customHeight="1">
      <c r="A271" t="inlineStr">
        <is>
          <t>A 47612-2022</t>
        </is>
      </c>
      <c r="B271" s="1" t="n">
        <v>44852</v>
      </c>
      <c r="C271" s="1" t="n">
        <v>45704</v>
      </c>
      <c r="D271" t="inlineStr">
        <is>
          <t>SKÅNE LÄN</t>
        </is>
      </c>
      <c r="E271" t="inlineStr">
        <is>
          <t>OSBY</t>
        </is>
      </c>
      <c r="F271" t="inlineStr">
        <is>
          <t>Kyrkan</t>
        </is>
      </c>
      <c r="G271" t="n">
        <v>16.4</v>
      </c>
      <c r="H271" t="n">
        <v>1</v>
      </c>
      <c r="I271" t="n">
        <v>0</v>
      </c>
      <c r="J271" t="n">
        <v>1</v>
      </c>
      <c r="K271" t="n">
        <v>0</v>
      </c>
      <c r="L271" t="n">
        <v>0</v>
      </c>
      <c r="M271" t="n">
        <v>0</v>
      </c>
      <c r="N271" t="n">
        <v>0</v>
      </c>
      <c r="O271" t="n">
        <v>1</v>
      </c>
      <c r="P271" t="n">
        <v>0</v>
      </c>
      <c r="Q271" t="n">
        <v>1</v>
      </c>
      <c r="R271" s="2" t="inlineStr">
        <is>
          <t>Ärtsångare</t>
        </is>
      </c>
      <c r="S271">
        <f>HYPERLINK("https://klasma.github.io/Logging_1273/artfynd/A 47612-2022 artfynd.xlsx", "A 47612-2022")</f>
        <v/>
      </c>
      <c r="T271">
        <f>HYPERLINK("https://klasma.github.io/Logging_1273/kartor/A 47612-2022 karta.png", "A 47612-2022")</f>
        <v/>
      </c>
      <c r="V271">
        <f>HYPERLINK("https://klasma.github.io/Logging_1273/klagomål/A 47612-2022 FSC-klagomål.docx", "A 47612-2022")</f>
        <v/>
      </c>
      <c r="W271">
        <f>HYPERLINK("https://klasma.github.io/Logging_1273/klagomålsmail/A 47612-2022 FSC-klagomål mail.docx", "A 47612-2022")</f>
        <v/>
      </c>
      <c r="X271">
        <f>HYPERLINK("https://klasma.github.io/Logging_1273/tillsyn/A 47612-2022 tillsynsbegäran.docx", "A 47612-2022")</f>
        <v/>
      </c>
      <c r="Y271">
        <f>HYPERLINK("https://klasma.github.io/Logging_1273/tillsynsmail/A 47612-2022 tillsynsbegäran mail.docx", "A 47612-2022")</f>
        <v/>
      </c>
      <c r="Z271">
        <f>HYPERLINK("https://klasma.github.io/Logging_1273/fåglar/A 47612-2022 prioriterade fågelarter.docx", "A 47612-2022")</f>
        <v/>
      </c>
    </row>
    <row r="272" ht="15" customHeight="1">
      <c r="A272" t="inlineStr">
        <is>
          <t>A 50118-2022</t>
        </is>
      </c>
      <c r="B272" s="1" t="n">
        <v>44860</v>
      </c>
      <c r="C272" s="1" t="n">
        <v>45704</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49572-2022</t>
        </is>
      </c>
      <c r="B273" s="1" t="n">
        <v>44862</v>
      </c>
      <c r="C273" s="1" t="n">
        <v>45704</v>
      </c>
      <c r="D273" t="inlineStr">
        <is>
          <t>SKÅNE LÄN</t>
        </is>
      </c>
      <c r="E273" t="inlineStr">
        <is>
          <t>HÄSSLEHOLM</t>
        </is>
      </c>
      <c r="G273" t="n">
        <v>1.4</v>
      </c>
      <c r="H273" t="n">
        <v>0</v>
      </c>
      <c r="I273" t="n">
        <v>1</v>
      </c>
      <c r="J273" t="n">
        <v>0</v>
      </c>
      <c r="K273" t="n">
        <v>0</v>
      </c>
      <c r="L273" t="n">
        <v>0</v>
      </c>
      <c r="M273" t="n">
        <v>0</v>
      </c>
      <c r="N273" t="n">
        <v>0</v>
      </c>
      <c r="O273" t="n">
        <v>0</v>
      </c>
      <c r="P273" t="n">
        <v>0</v>
      </c>
      <c r="Q273" t="n">
        <v>1</v>
      </c>
      <c r="R273" s="2" t="inlineStr">
        <is>
          <t>Blåmossa</t>
        </is>
      </c>
      <c r="S273">
        <f>HYPERLINK("https://klasma.github.io/Logging_1293/artfynd/A 49572-2022 artfynd.xlsx", "A 49572-2022")</f>
        <v/>
      </c>
      <c r="T273">
        <f>HYPERLINK("https://klasma.github.io/Logging_1293/kartor/A 49572-2022 karta.png", "A 49572-2022")</f>
        <v/>
      </c>
      <c r="V273">
        <f>HYPERLINK("https://klasma.github.io/Logging_1293/klagomål/A 49572-2022 FSC-klagomål.docx", "A 49572-2022")</f>
        <v/>
      </c>
      <c r="W273">
        <f>HYPERLINK("https://klasma.github.io/Logging_1293/klagomålsmail/A 49572-2022 FSC-klagomål mail.docx", "A 49572-2022")</f>
        <v/>
      </c>
      <c r="X273">
        <f>HYPERLINK("https://klasma.github.io/Logging_1293/tillsyn/A 49572-2022 tillsynsbegäran.docx", "A 49572-2022")</f>
        <v/>
      </c>
      <c r="Y273">
        <f>HYPERLINK("https://klasma.github.io/Logging_1293/tillsynsmail/A 49572-2022 tillsynsbegäran mail.docx", "A 49572-2022")</f>
        <v/>
      </c>
    </row>
    <row r="274" ht="15" customHeight="1">
      <c r="A274" t="inlineStr">
        <is>
          <t>A 57811-2022</t>
        </is>
      </c>
      <c r="B274" s="1" t="n">
        <v>44897</v>
      </c>
      <c r="C274" s="1" t="n">
        <v>45704</v>
      </c>
      <c r="D274" t="inlineStr">
        <is>
          <t>SKÅNE LÄN</t>
        </is>
      </c>
      <c r="E274" t="inlineStr">
        <is>
          <t>TRELLEBORG</t>
        </is>
      </c>
      <c r="G274" t="n">
        <v>2.2</v>
      </c>
      <c r="H274" t="n">
        <v>0</v>
      </c>
      <c r="I274" t="n">
        <v>0</v>
      </c>
      <c r="J274" t="n">
        <v>1</v>
      </c>
      <c r="K274" t="n">
        <v>0</v>
      </c>
      <c r="L274" t="n">
        <v>0</v>
      </c>
      <c r="M274" t="n">
        <v>0</v>
      </c>
      <c r="N274" t="n">
        <v>0</v>
      </c>
      <c r="O274" t="n">
        <v>1</v>
      </c>
      <c r="P274" t="n">
        <v>0</v>
      </c>
      <c r="Q274" t="n">
        <v>1</v>
      </c>
      <c r="R274" s="2" t="inlineStr">
        <is>
          <t>Skogsveronika</t>
        </is>
      </c>
      <c r="S274">
        <f>HYPERLINK("https://klasma.github.io/Logging_1287/artfynd/A 57811-2022 artfynd.xlsx", "A 57811-2022")</f>
        <v/>
      </c>
      <c r="T274">
        <f>HYPERLINK("https://klasma.github.io/Logging_1287/kartor/A 57811-2022 karta.png", "A 57811-2022")</f>
        <v/>
      </c>
      <c r="V274">
        <f>HYPERLINK("https://klasma.github.io/Logging_1287/klagomål/A 57811-2022 FSC-klagomål.docx", "A 57811-2022")</f>
        <v/>
      </c>
      <c r="W274">
        <f>HYPERLINK("https://klasma.github.io/Logging_1287/klagomålsmail/A 57811-2022 FSC-klagomål mail.docx", "A 57811-2022")</f>
        <v/>
      </c>
      <c r="X274">
        <f>HYPERLINK("https://klasma.github.io/Logging_1287/tillsyn/A 57811-2022 tillsynsbegäran.docx", "A 57811-2022")</f>
        <v/>
      </c>
      <c r="Y274">
        <f>HYPERLINK("https://klasma.github.io/Logging_1287/tillsynsmail/A 57811-2022 tillsynsbegäran mail.docx", "A 57811-2022")</f>
        <v/>
      </c>
    </row>
    <row r="275" ht="15" customHeight="1">
      <c r="A275" t="inlineStr">
        <is>
          <t>A 58641-2022</t>
        </is>
      </c>
      <c r="B275" s="1" t="n">
        <v>44902</v>
      </c>
      <c r="C275" s="1" t="n">
        <v>45704</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61517-2022</t>
        </is>
      </c>
      <c r="B276" s="1" t="n">
        <v>44910</v>
      </c>
      <c r="C276" s="1" t="n">
        <v>45704</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61885-2022</t>
        </is>
      </c>
      <c r="B277" s="1" t="n">
        <v>44917</v>
      </c>
      <c r="C277" s="1" t="n">
        <v>45704</v>
      </c>
      <c r="D277" t="inlineStr">
        <is>
          <t>SKÅNE LÄN</t>
        </is>
      </c>
      <c r="E277" t="inlineStr">
        <is>
          <t>KRISTIANSTAD</t>
        </is>
      </c>
      <c r="G277" t="n">
        <v>1.4</v>
      </c>
      <c r="H277" t="n">
        <v>0</v>
      </c>
      <c r="I277" t="n">
        <v>0</v>
      </c>
      <c r="J277" t="n">
        <v>1</v>
      </c>
      <c r="K277" t="n">
        <v>0</v>
      </c>
      <c r="L277" t="n">
        <v>0</v>
      </c>
      <c r="M277" t="n">
        <v>0</v>
      </c>
      <c r="N277" t="n">
        <v>0</v>
      </c>
      <c r="O277" t="n">
        <v>1</v>
      </c>
      <c r="P277" t="n">
        <v>0</v>
      </c>
      <c r="Q277" t="n">
        <v>1</v>
      </c>
      <c r="R277" s="2" t="inlineStr">
        <is>
          <t>Koralltaggsvamp</t>
        </is>
      </c>
      <c r="S277">
        <f>HYPERLINK("https://klasma.github.io/Logging_1290/artfynd/A 61885-2022 artfynd.xlsx", "A 61885-2022")</f>
        <v/>
      </c>
      <c r="T277">
        <f>HYPERLINK("https://klasma.github.io/Logging_1290/kartor/A 61885-2022 karta.png", "A 61885-2022")</f>
        <v/>
      </c>
      <c r="V277">
        <f>HYPERLINK("https://klasma.github.io/Logging_1290/klagomål/A 61885-2022 FSC-klagomål.docx", "A 61885-2022")</f>
        <v/>
      </c>
      <c r="W277">
        <f>HYPERLINK("https://klasma.github.io/Logging_1290/klagomålsmail/A 61885-2022 FSC-klagomål mail.docx", "A 61885-2022")</f>
        <v/>
      </c>
      <c r="X277">
        <f>HYPERLINK("https://klasma.github.io/Logging_1290/tillsyn/A 61885-2022 tillsynsbegäran.docx", "A 61885-2022")</f>
        <v/>
      </c>
      <c r="Y277">
        <f>HYPERLINK("https://klasma.github.io/Logging_1290/tillsynsmail/A 61885-2022 tillsynsbegäran mail.docx", "A 61885-2022")</f>
        <v/>
      </c>
    </row>
    <row r="278" ht="15" customHeight="1">
      <c r="A278" t="inlineStr">
        <is>
          <t>A 62067-2022</t>
        </is>
      </c>
      <c r="B278" s="1" t="n">
        <v>44918</v>
      </c>
      <c r="C278" s="1" t="n">
        <v>45704</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113-2023</t>
        </is>
      </c>
      <c r="B279" s="1" t="n">
        <v>44928</v>
      </c>
      <c r="C279" s="1" t="n">
        <v>45704</v>
      </c>
      <c r="D279" t="inlineStr">
        <is>
          <t>SKÅNE LÄN</t>
        </is>
      </c>
      <c r="E279" t="inlineStr">
        <is>
          <t>HÖRBY</t>
        </is>
      </c>
      <c r="G279" t="n">
        <v>5.1</v>
      </c>
      <c r="H279" t="n">
        <v>0</v>
      </c>
      <c r="I279" t="n">
        <v>0</v>
      </c>
      <c r="J279" t="n">
        <v>0</v>
      </c>
      <c r="K279" t="n">
        <v>1</v>
      </c>
      <c r="L279" t="n">
        <v>0</v>
      </c>
      <c r="M279" t="n">
        <v>0</v>
      </c>
      <c r="N279" t="n">
        <v>0</v>
      </c>
      <c r="O279" t="n">
        <v>1</v>
      </c>
      <c r="P279" t="n">
        <v>1</v>
      </c>
      <c r="Q279" t="n">
        <v>1</v>
      </c>
      <c r="R279" s="2" t="inlineStr">
        <is>
          <t>Slåttergubbe</t>
        </is>
      </c>
      <c r="S279">
        <f>HYPERLINK("https://klasma.github.io/Logging_1266/artfynd/A 113-2023 artfynd.xlsx", "A 113-2023")</f>
        <v/>
      </c>
      <c r="T279">
        <f>HYPERLINK("https://klasma.github.io/Logging_1266/kartor/A 113-2023 karta.png", "A 113-2023")</f>
        <v/>
      </c>
      <c r="V279">
        <f>HYPERLINK("https://klasma.github.io/Logging_1266/klagomål/A 113-2023 FSC-klagomål.docx", "A 113-2023")</f>
        <v/>
      </c>
      <c r="W279">
        <f>HYPERLINK("https://klasma.github.io/Logging_1266/klagomålsmail/A 113-2023 FSC-klagomål mail.docx", "A 113-2023")</f>
        <v/>
      </c>
      <c r="X279">
        <f>HYPERLINK("https://klasma.github.io/Logging_1266/tillsyn/A 113-2023 tillsynsbegäran.docx", "A 113-2023")</f>
        <v/>
      </c>
      <c r="Y279">
        <f>HYPERLINK("https://klasma.github.io/Logging_1266/tillsynsmail/A 113-2023 tillsynsbegäran mail.docx", "A 113-2023")</f>
        <v/>
      </c>
    </row>
    <row r="280" ht="15" customHeight="1">
      <c r="A280" t="inlineStr">
        <is>
          <t>A 389-2023</t>
        </is>
      </c>
      <c r="B280" s="1" t="n">
        <v>44929</v>
      </c>
      <c r="C280" s="1" t="n">
        <v>45704</v>
      </c>
      <c r="D280" t="inlineStr">
        <is>
          <t>SKÅNE LÄN</t>
        </is>
      </c>
      <c r="E280" t="inlineStr">
        <is>
          <t>BÅSTAD</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HYPERLINK("https://klasma.github.io/Logging_1278/artfynd/A 389-2023 artfynd.xlsx", "A 389-2023")</f>
        <v/>
      </c>
      <c r="T280">
        <f>HYPERLINK("https://klasma.github.io/Logging_1278/kartor/A 389-2023 karta.png", "A 389-2023")</f>
        <v/>
      </c>
      <c r="V280">
        <f>HYPERLINK("https://klasma.github.io/Logging_1278/klagomål/A 389-2023 FSC-klagomål.docx", "A 389-2023")</f>
        <v/>
      </c>
      <c r="W280">
        <f>HYPERLINK("https://klasma.github.io/Logging_1278/klagomålsmail/A 389-2023 FSC-klagomål mail.docx", "A 389-2023")</f>
        <v/>
      </c>
      <c r="X280">
        <f>HYPERLINK("https://klasma.github.io/Logging_1278/tillsyn/A 389-2023 tillsynsbegäran.docx", "A 389-2023")</f>
        <v/>
      </c>
      <c r="Y280">
        <f>HYPERLINK("https://klasma.github.io/Logging_1278/tillsynsmail/A 389-2023 tillsynsbegäran mail.docx", "A 389-2023")</f>
        <v/>
      </c>
    </row>
    <row r="281" ht="15" customHeight="1">
      <c r="A281" t="inlineStr">
        <is>
          <t>A 4251-2023</t>
        </is>
      </c>
      <c r="B281" s="1" t="n">
        <v>44953</v>
      </c>
      <c r="C281" s="1" t="n">
        <v>45704</v>
      </c>
      <c r="D281" t="inlineStr">
        <is>
          <t>SKÅNE LÄN</t>
        </is>
      </c>
      <c r="E281" t="inlineStr">
        <is>
          <t>ÖSTRA GÖINGE</t>
        </is>
      </c>
      <c r="G281" t="n">
        <v>6.4</v>
      </c>
      <c r="H281" t="n">
        <v>0</v>
      </c>
      <c r="I281" t="n">
        <v>0</v>
      </c>
      <c r="J281" t="n">
        <v>0</v>
      </c>
      <c r="K281" t="n">
        <v>0</v>
      </c>
      <c r="L281" t="n">
        <v>1</v>
      </c>
      <c r="M281" t="n">
        <v>0</v>
      </c>
      <c r="N281" t="n">
        <v>0</v>
      </c>
      <c r="O281" t="n">
        <v>1</v>
      </c>
      <c r="P281" t="n">
        <v>1</v>
      </c>
      <c r="Q281" t="n">
        <v>1</v>
      </c>
      <c r="R281" s="2" t="inlineStr">
        <is>
          <t>Ask</t>
        </is>
      </c>
      <c r="S281">
        <f>HYPERLINK("https://klasma.github.io/Logging_1256/artfynd/A 4251-2023 artfynd.xlsx", "A 4251-2023")</f>
        <v/>
      </c>
      <c r="T281">
        <f>HYPERLINK("https://klasma.github.io/Logging_1256/kartor/A 4251-2023 karta.png", "A 4251-2023")</f>
        <v/>
      </c>
      <c r="V281">
        <f>HYPERLINK("https://klasma.github.io/Logging_1256/klagomål/A 4251-2023 FSC-klagomål.docx", "A 4251-2023")</f>
        <v/>
      </c>
      <c r="W281">
        <f>HYPERLINK("https://klasma.github.io/Logging_1256/klagomålsmail/A 4251-2023 FSC-klagomål mail.docx", "A 4251-2023")</f>
        <v/>
      </c>
      <c r="X281">
        <f>HYPERLINK("https://klasma.github.io/Logging_1256/tillsyn/A 4251-2023 tillsynsbegäran.docx", "A 4251-2023")</f>
        <v/>
      </c>
      <c r="Y281">
        <f>HYPERLINK("https://klasma.github.io/Logging_1256/tillsynsmail/A 4251-2023 tillsynsbegäran mail.docx", "A 4251-2023")</f>
        <v/>
      </c>
    </row>
    <row r="282" ht="15" customHeight="1">
      <c r="A282" t="inlineStr">
        <is>
          <t>A 4892-2023</t>
        </is>
      </c>
      <c r="B282" s="1" t="n">
        <v>44958</v>
      </c>
      <c r="C282" s="1" t="n">
        <v>45704</v>
      </c>
      <c r="D282" t="inlineStr">
        <is>
          <t>SKÅNE LÄN</t>
        </is>
      </c>
      <c r="E282" t="inlineStr">
        <is>
          <t>ÖSTRA GÖINGE</t>
        </is>
      </c>
      <c r="G282" t="n">
        <v>2</v>
      </c>
      <c r="H282" t="n">
        <v>1</v>
      </c>
      <c r="I282" t="n">
        <v>0</v>
      </c>
      <c r="J282" t="n">
        <v>1</v>
      </c>
      <c r="K282" t="n">
        <v>0</v>
      </c>
      <c r="L282" t="n">
        <v>0</v>
      </c>
      <c r="M282" t="n">
        <v>0</v>
      </c>
      <c r="N282" t="n">
        <v>0</v>
      </c>
      <c r="O282" t="n">
        <v>1</v>
      </c>
      <c r="P282" t="n">
        <v>0</v>
      </c>
      <c r="Q282" t="n">
        <v>1</v>
      </c>
      <c r="R282" s="2" t="inlineStr">
        <is>
          <t>Gulsparv</t>
        </is>
      </c>
      <c r="S282">
        <f>HYPERLINK("https://klasma.github.io/Logging_1256/artfynd/A 4892-2023 artfynd.xlsx", "A 4892-2023")</f>
        <v/>
      </c>
      <c r="T282">
        <f>HYPERLINK("https://klasma.github.io/Logging_1256/kartor/A 4892-2023 karta.png", "A 4892-2023")</f>
        <v/>
      </c>
      <c r="V282">
        <f>HYPERLINK("https://klasma.github.io/Logging_1256/klagomål/A 4892-2023 FSC-klagomål.docx", "A 4892-2023")</f>
        <v/>
      </c>
      <c r="W282">
        <f>HYPERLINK("https://klasma.github.io/Logging_1256/klagomålsmail/A 4892-2023 FSC-klagomål mail.docx", "A 4892-2023")</f>
        <v/>
      </c>
      <c r="X282">
        <f>HYPERLINK("https://klasma.github.io/Logging_1256/tillsyn/A 4892-2023 tillsynsbegäran.docx", "A 4892-2023")</f>
        <v/>
      </c>
      <c r="Y282">
        <f>HYPERLINK("https://klasma.github.io/Logging_1256/tillsynsmail/A 4892-2023 tillsynsbegäran mail.docx", "A 4892-2023")</f>
        <v/>
      </c>
      <c r="Z282">
        <f>HYPERLINK("https://klasma.github.io/Logging_1256/fåglar/A 4892-2023 prioriterade fågelarter.docx", "A 4892-2023")</f>
        <v/>
      </c>
    </row>
    <row r="283" ht="15" customHeight="1">
      <c r="A283" t="inlineStr">
        <is>
          <t>A 11170-2023</t>
        </is>
      </c>
      <c r="B283" s="1" t="n">
        <v>44987</v>
      </c>
      <c r="C283" s="1" t="n">
        <v>45704</v>
      </c>
      <c r="D283" t="inlineStr">
        <is>
          <t>SKÅNE LÄN</t>
        </is>
      </c>
      <c r="E283" t="inlineStr">
        <is>
          <t>SVALÖV</t>
        </is>
      </c>
      <c r="G283" t="n">
        <v>0.9</v>
      </c>
      <c r="H283" t="n">
        <v>0</v>
      </c>
      <c r="I283" t="n">
        <v>0</v>
      </c>
      <c r="J283" t="n">
        <v>0</v>
      </c>
      <c r="K283" t="n">
        <v>0</v>
      </c>
      <c r="L283" t="n">
        <v>1</v>
      </c>
      <c r="M283" t="n">
        <v>0</v>
      </c>
      <c r="N283" t="n">
        <v>0</v>
      </c>
      <c r="O283" t="n">
        <v>1</v>
      </c>
      <c r="P283" t="n">
        <v>1</v>
      </c>
      <c r="Q283" t="n">
        <v>1</v>
      </c>
      <c r="R283" s="2" t="inlineStr">
        <is>
          <t>Korndådra</t>
        </is>
      </c>
      <c r="S283">
        <f>HYPERLINK("https://klasma.github.io/Logging_1214/artfynd/A 11170-2023 artfynd.xlsx", "A 11170-2023")</f>
        <v/>
      </c>
      <c r="T283">
        <f>HYPERLINK("https://klasma.github.io/Logging_1214/kartor/A 11170-2023 karta.png", "A 11170-2023")</f>
        <v/>
      </c>
      <c r="V283">
        <f>HYPERLINK("https://klasma.github.io/Logging_1214/klagomål/A 11170-2023 FSC-klagomål.docx", "A 11170-2023")</f>
        <v/>
      </c>
      <c r="W283">
        <f>HYPERLINK("https://klasma.github.io/Logging_1214/klagomålsmail/A 11170-2023 FSC-klagomål mail.docx", "A 11170-2023")</f>
        <v/>
      </c>
      <c r="X283">
        <f>HYPERLINK("https://klasma.github.io/Logging_1214/tillsyn/A 11170-2023 tillsynsbegäran.docx", "A 11170-2023")</f>
        <v/>
      </c>
      <c r="Y283">
        <f>HYPERLINK("https://klasma.github.io/Logging_1214/tillsynsmail/A 11170-2023 tillsynsbegäran mail.docx", "A 11170-2023")</f>
        <v/>
      </c>
    </row>
    <row r="284" ht="15" customHeight="1">
      <c r="A284" t="inlineStr">
        <is>
          <t>A 12026-2023</t>
        </is>
      </c>
      <c r="B284" s="1" t="n">
        <v>44995</v>
      </c>
      <c r="C284" s="1" t="n">
        <v>45704</v>
      </c>
      <c r="D284" t="inlineStr">
        <is>
          <t>SKÅNE LÄN</t>
        </is>
      </c>
      <c r="E284" t="inlineStr">
        <is>
          <t>LOMMA</t>
        </is>
      </c>
      <c r="G284" t="n">
        <v>0.5</v>
      </c>
      <c r="H284" t="n">
        <v>1</v>
      </c>
      <c r="I284" t="n">
        <v>0</v>
      </c>
      <c r="J284" t="n">
        <v>0</v>
      </c>
      <c r="K284" t="n">
        <v>1</v>
      </c>
      <c r="L284" t="n">
        <v>0</v>
      </c>
      <c r="M284" t="n">
        <v>0</v>
      </c>
      <c r="N284" t="n">
        <v>0</v>
      </c>
      <c r="O284" t="n">
        <v>1</v>
      </c>
      <c r="P284" t="n">
        <v>1</v>
      </c>
      <c r="Q284" t="n">
        <v>1</v>
      </c>
      <c r="R284" s="2" t="inlineStr">
        <is>
          <t>Hedblomster</t>
        </is>
      </c>
      <c r="S284">
        <f>HYPERLINK("https://klasma.github.io/Logging_1262/artfynd/A 12026-2023 artfynd.xlsx", "A 12026-2023")</f>
        <v/>
      </c>
      <c r="T284">
        <f>HYPERLINK("https://klasma.github.io/Logging_1262/kartor/A 12026-2023 karta.png", "A 12026-2023")</f>
        <v/>
      </c>
      <c r="V284">
        <f>HYPERLINK("https://klasma.github.io/Logging_1262/klagomål/A 12026-2023 FSC-klagomål.docx", "A 12026-2023")</f>
        <v/>
      </c>
      <c r="W284">
        <f>HYPERLINK("https://klasma.github.io/Logging_1262/klagomålsmail/A 12026-2023 FSC-klagomål mail.docx", "A 12026-2023")</f>
        <v/>
      </c>
      <c r="X284">
        <f>HYPERLINK("https://klasma.github.io/Logging_1262/tillsyn/A 12026-2023 tillsynsbegäran.docx", "A 12026-2023")</f>
        <v/>
      </c>
      <c r="Y284">
        <f>HYPERLINK("https://klasma.github.io/Logging_1262/tillsynsmail/A 12026-2023 tillsynsbegäran mail.docx", "A 12026-2023")</f>
        <v/>
      </c>
    </row>
    <row r="285" ht="15" customHeight="1">
      <c r="A285" t="inlineStr">
        <is>
          <t>A 12906-2023</t>
        </is>
      </c>
      <c r="B285" s="1" t="n">
        <v>45001</v>
      </c>
      <c r="C285" s="1" t="n">
        <v>45704</v>
      </c>
      <c r="D285" t="inlineStr">
        <is>
          <t>SKÅNE LÄN</t>
        </is>
      </c>
      <c r="E285" t="inlineStr">
        <is>
          <t>HÖÖR</t>
        </is>
      </c>
      <c r="G285" t="n">
        <v>2.4</v>
      </c>
      <c r="H285" t="n">
        <v>1</v>
      </c>
      <c r="I285" t="n">
        <v>0</v>
      </c>
      <c r="J285" t="n">
        <v>0</v>
      </c>
      <c r="K285" t="n">
        <v>0</v>
      </c>
      <c r="L285" t="n">
        <v>0</v>
      </c>
      <c r="M285" t="n">
        <v>0</v>
      </c>
      <c r="N285" t="n">
        <v>0</v>
      </c>
      <c r="O285" t="n">
        <v>0</v>
      </c>
      <c r="P285" t="n">
        <v>0</v>
      </c>
      <c r="Q285" t="n">
        <v>1</v>
      </c>
      <c r="R285" s="2" t="inlineStr">
        <is>
          <t>Revlummer</t>
        </is>
      </c>
      <c r="S285">
        <f>HYPERLINK("https://klasma.github.io/Logging_1267/artfynd/A 12906-2023 artfynd.xlsx", "A 12906-2023")</f>
        <v/>
      </c>
      <c r="T285">
        <f>HYPERLINK("https://klasma.github.io/Logging_1267/kartor/A 12906-2023 karta.png", "A 12906-2023")</f>
        <v/>
      </c>
      <c r="V285">
        <f>HYPERLINK("https://klasma.github.io/Logging_1267/klagomål/A 12906-2023 FSC-klagomål.docx", "A 12906-2023")</f>
        <v/>
      </c>
      <c r="W285">
        <f>HYPERLINK("https://klasma.github.io/Logging_1267/klagomålsmail/A 12906-2023 FSC-klagomål mail.docx", "A 12906-2023")</f>
        <v/>
      </c>
      <c r="X285">
        <f>HYPERLINK("https://klasma.github.io/Logging_1267/tillsyn/A 12906-2023 tillsynsbegäran.docx", "A 12906-2023")</f>
        <v/>
      </c>
      <c r="Y285">
        <f>HYPERLINK("https://klasma.github.io/Logging_1267/tillsynsmail/A 12906-2023 tillsynsbegäran mail.docx", "A 12906-2023")</f>
        <v/>
      </c>
    </row>
    <row r="286" ht="15" customHeight="1">
      <c r="A286" t="inlineStr">
        <is>
          <t>A 13766-2023</t>
        </is>
      </c>
      <c r="B286" s="1" t="n">
        <v>45007</v>
      </c>
      <c r="C286" s="1" t="n">
        <v>45704</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14933-2023</t>
        </is>
      </c>
      <c r="B287" s="1" t="n">
        <v>45014</v>
      </c>
      <c r="C287" s="1" t="n">
        <v>45704</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14892-2023</t>
        </is>
      </c>
      <c r="B288" s="1" t="n">
        <v>45015</v>
      </c>
      <c r="C288" s="1" t="n">
        <v>45704</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15068-2023</t>
        </is>
      </c>
      <c r="B289" s="1" t="n">
        <v>45015</v>
      </c>
      <c r="C289" s="1" t="n">
        <v>45704</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16684-2023</t>
        </is>
      </c>
      <c r="B290" s="1" t="n">
        <v>45030</v>
      </c>
      <c r="C290" s="1" t="n">
        <v>45704</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16837-2023</t>
        </is>
      </c>
      <c r="B291" s="1" t="n">
        <v>45033</v>
      </c>
      <c r="C291" s="1" t="n">
        <v>45704</v>
      </c>
      <c r="D291" t="inlineStr">
        <is>
          <t>SKÅNE LÄN</t>
        </is>
      </c>
      <c r="E291" t="inlineStr">
        <is>
          <t>OSBY</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HYPERLINK("https://klasma.github.io/Logging_1273/artfynd/A 16837-2023 artfynd.xlsx", "A 16837-2023")</f>
        <v/>
      </c>
      <c r="T291">
        <f>HYPERLINK("https://klasma.github.io/Logging_1273/kartor/A 16837-2023 karta.png", "A 16837-2023")</f>
        <v/>
      </c>
      <c r="V291">
        <f>HYPERLINK("https://klasma.github.io/Logging_1273/klagomål/A 16837-2023 FSC-klagomål.docx", "A 16837-2023")</f>
        <v/>
      </c>
      <c r="W291">
        <f>HYPERLINK("https://klasma.github.io/Logging_1273/klagomålsmail/A 16837-2023 FSC-klagomål mail.docx", "A 16837-2023")</f>
        <v/>
      </c>
      <c r="X291">
        <f>HYPERLINK("https://klasma.github.io/Logging_1273/tillsyn/A 16837-2023 tillsynsbegäran.docx", "A 16837-2023")</f>
        <v/>
      </c>
      <c r="Y291">
        <f>HYPERLINK("https://klasma.github.io/Logging_1273/tillsynsmail/A 16837-2023 tillsynsbegäran mail.docx", "A 16837-2023")</f>
        <v/>
      </c>
      <c r="Z291">
        <f>HYPERLINK("https://klasma.github.io/Logging_1273/fåglar/A 16837-2023 prioriterade fågelarter.docx", "A 16837-2023")</f>
        <v/>
      </c>
    </row>
    <row r="292" ht="15" customHeight="1">
      <c r="A292" t="inlineStr">
        <is>
          <t>A 18971-2023</t>
        </is>
      </c>
      <c r="B292" s="1" t="n">
        <v>45044</v>
      </c>
      <c r="C292" s="1" t="n">
        <v>45704</v>
      </c>
      <c r="D292" t="inlineStr">
        <is>
          <t>SKÅNE LÄN</t>
        </is>
      </c>
      <c r="E292" t="inlineStr">
        <is>
          <t>SJÖBO</t>
        </is>
      </c>
      <c r="G292" t="n">
        <v>19.4</v>
      </c>
      <c r="H292" t="n">
        <v>0</v>
      </c>
      <c r="I292" t="n">
        <v>1</v>
      </c>
      <c r="J292" t="n">
        <v>0</v>
      </c>
      <c r="K292" t="n">
        <v>0</v>
      </c>
      <c r="L292" t="n">
        <v>0</v>
      </c>
      <c r="M292" t="n">
        <v>0</v>
      </c>
      <c r="N292" t="n">
        <v>0</v>
      </c>
      <c r="O292" t="n">
        <v>0</v>
      </c>
      <c r="P292" t="n">
        <v>0</v>
      </c>
      <c r="Q292" t="n">
        <v>1</v>
      </c>
      <c r="R292" s="2" t="inlineStr">
        <is>
          <t>Stor häxört</t>
        </is>
      </c>
      <c r="S292">
        <f>HYPERLINK("https://klasma.github.io/Logging_1265/artfynd/A 18971-2023 artfynd.xlsx", "A 18971-2023")</f>
        <v/>
      </c>
      <c r="T292">
        <f>HYPERLINK("https://klasma.github.io/Logging_1265/kartor/A 18971-2023 karta.png", "A 18971-2023")</f>
        <v/>
      </c>
      <c r="V292">
        <f>HYPERLINK("https://klasma.github.io/Logging_1265/klagomål/A 18971-2023 FSC-klagomål.docx", "A 18971-2023")</f>
        <v/>
      </c>
      <c r="W292">
        <f>HYPERLINK("https://klasma.github.io/Logging_1265/klagomålsmail/A 18971-2023 FSC-klagomål mail.docx", "A 18971-2023")</f>
        <v/>
      </c>
      <c r="X292">
        <f>HYPERLINK("https://klasma.github.io/Logging_1265/tillsyn/A 18971-2023 tillsynsbegäran.docx", "A 18971-2023")</f>
        <v/>
      </c>
      <c r="Y292">
        <f>HYPERLINK("https://klasma.github.io/Logging_1265/tillsynsmail/A 18971-2023 tillsynsbegäran mail.docx", "A 18971-2023")</f>
        <v/>
      </c>
    </row>
    <row r="293" ht="15" customHeight="1">
      <c r="A293" t="inlineStr">
        <is>
          <t>A 22786-2023</t>
        </is>
      </c>
      <c r="B293" s="1" t="n">
        <v>45072</v>
      </c>
      <c r="C293" s="1" t="n">
        <v>45704</v>
      </c>
      <c r="D293" t="inlineStr">
        <is>
          <t>SKÅNE LÄN</t>
        </is>
      </c>
      <c r="E293" t="inlineStr">
        <is>
          <t>ESLÖV</t>
        </is>
      </c>
      <c r="G293" t="n">
        <v>12.8</v>
      </c>
      <c r="H293" t="n">
        <v>0</v>
      </c>
      <c r="I293" t="n">
        <v>0</v>
      </c>
      <c r="J293" t="n">
        <v>0</v>
      </c>
      <c r="K293" t="n">
        <v>0</v>
      </c>
      <c r="L293" t="n">
        <v>1</v>
      </c>
      <c r="M293" t="n">
        <v>0</v>
      </c>
      <c r="N293" t="n">
        <v>0</v>
      </c>
      <c r="O293" t="n">
        <v>1</v>
      </c>
      <c r="P293" t="n">
        <v>1</v>
      </c>
      <c r="Q293" t="n">
        <v>1</v>
      </c>
      <c r="R293" s="2" t="inlineStr">
        <is>
          <t>Ask</t>
        </is>
      </c>
      <c r="S293">
        <f>HYPERLINK("https://klasma.github.io/Logging_1285/artfynd/A 22786-2023 artfynd.xlsx", "A 22786-2023")</f>
        <v/>
      </c>
      <c r="T293">
        <f>HYPERLINK("https://klasma.github.io/Logging_1285/kartor/A 22786-2023 karta.png", "A 22786-2023")</f>
        <v/>
      </c>
      <c r="V293">
        <f>HYPERLINK("https://klasma.github.io/Logging_1285/klagomål/A 22786-2023 FSC-klagomål.docx", "A 22786-2023")</f>
        <v/>
      </c>
      <c r="W293">
        <f>HYPERLINK("https://klasma.github.io/Logging_1285/klagomålsmail/A 22786-2023 FSC-klagomål mail.docx", "A 22786-2023")</f>
        <v/>
      </c>
      <c r="X293">
        <f>HYPERLINK("https://klasma.github.io/Logging_1285/tillsyn/A 22786-2023 tillsynsbegäran.docx", "A 22786-2023")</f>
        <v/>
      </c>
      <c r="Y293">
        <f>HYPERLINK("https://klasma.github.io/Logging_1285/tillsynsmail/A 22786-2023 tillsynsbegäran mail.docx", "A 22786-2023")</f>
        <v/>
      </c>
    </row>
    <row r="294" ht="15" customHeight="1">
      <c r="A294" t="inlineStr">
        <is>
          <t>A 24388-2023</t>
        </is>
      </c>
      <c r="B294" s="1" t="n">
        <v>45082</v>
      </c>
      <c r="C294" s="1" t="n">
        <v>45704</v>
      </c>
      <c r="D294" t="inlineStr">
        <is>
          <t>SKÅNE LÄN</t>
        </is>
      </c>
      <c r="E294" t="inlineStr">
        <is>
          <t>OSBY</t>
        </is>
      </c>
      <c r="G294" t="n">
        <v>4.1</v>
      </c>
      <c r="H294" t="n">
        <v>0</v>
      </c>
      <c r="I294" t="n">
        <v>1</v>
      </c>
      <c r="J294" t="n">
        <v>0</v>
      </c>
      <c r="K294" t="n">
        <v>0</v>
      </c>
      <c r="L294" t="n">
        <v>0</v>
      </c>
      <c r="M294" t="n">
        <v>0</v>
      </c>
      <c r="N294" t="n">
        <v>0</v>
      </c>
      <c r="O294" t="n">
        <v>0</v>
      </c>
      <c r="P294" t="n">
        <v>0</v>
      </c>
      <c r="Q294" t="n">
        <v>1</v>
      </c>
      <c r="R294" s="2" t="inlineStr">
        <is>
          <t>Havstulpanlav</t>
        </is>
      </c>
      <c r="S294">
        <f>HYPERLINK("https://klasma.github.io/Logging_1273/artfynd/A 24388-2023 artfynd.xlsx", "A 24388-2023")</f>
        <v/>
      </c>
      <c r="T294">
        <f>HYPERLINK("https://klasma.github.io/Logging_1273/kartor/A 24388-2023 karta.png", "A 24388-2023")</f>
        <v/>
      </c>
      <c r="V294">
        <f>HYPERLINK("https://klasma.github.io/Logging_1273/klagomål/A 24388-2023 FSC-klagomål.docx", "A 24388-2023")</f>
        <v/>
      </c>
      <c r="W294">
        <f>HYPERLINK("https://klasma.github.io/Logging_1273/klagomålsmail/A 24388-2023 FSC-klagomål mail.docx", "A 24388-2023")</f>
        <v/>
      </c>
      <c r="X294">
        <f>HYPERLINK("https://klasma.github.io/Logging_1273/tillsyn/A 24388-2023 tillsynsbegäran.docx", "A 24388-2023")</f>
        <v/>
      </c>
      <c r="Y294">
        <f>HYPERLINK("https://klasma.github.io/Logging_1273/tillsynsmail/A 24388-2023 tillsynsbegäran mail.docx", "A 24388-2023")</f>
        <v/>
      </c>
    </row>
    <row r="295" ht="15" customHeight="1">
      <c r="A295" t="inlineStr">
        <is>
          <t>A 24528-2023</t>
        </is>
      </c>
      <c r="B295" s="1" t="n">
        <v>45082</v>
      </c>
      <c r="C295" s="1" t="n">
        <v>45704</v>
      </c>
      <c r="D295" t="inlineStr">
        <is>
          <t>SKÅNE LÄN</t>
        </is>
      </c>
      <c r="E295" t="inlineStr">
        <is>
          <t>ÖSTRA GÖINGE</t>
        </is>
      </c>
      <c r="G295" t="n">
        <v>5.1</v>
      </c>
      <c r="H295" t="n">
        <v>0</v>
      </c>
      <c r="I295" t="n">
        <v>1</v>
      </c>
      <c r="J295" t="n">
        <v>0</v>
      </c>
      <c r="K295" t="n">
        <v>0</v>
      </c>
      <c r="L295" t="n">
        <v>0</v>
      </c>
      <c r="M295" t="n">
        <v>0</v>
      </c>
      <c r="N295" t="n">
        <v>0</v>
      </c>
      <c r="O295" t="n">
        <v>0</v>
      </c>
      <c r="P295" t="n">
        <v>0</v>
      </c>
      <c r="Q295" t="n">
        <v>1</v>
      </c>
      <c r="R295" s="2" t="inlineStr">
        <is>
          <t>Springkorn</t>
        </is>
      </c>
      <c r="S295">
        <f>HYPERLINK("https://klasma.github.io/Logging_1256/artfynd/A 24528-2023 artfynd.xlsx", "A 24528-2023")</f>
        <v/>
      </c>
      <c r="T295">
        <f>HYPERLINK("https://klasma.github.io/Logging_1256/kartor/A 24528-2023 karta.png", "A 24528-2023")</f>
        <v/>
      </c>
      <c r="V295">
        <f>HYPERLINK("https://klasma.github.io/Logging_1256/klagomål/A 24528-2023 FSC-klagomål.docx", "A 24528-2023")</f>
        <v/>
      </c>
      <c r="W295">
        <f>HYPERLINK("https://klasma.github.io/Logging_1256/klagomålsmail/A 24528-2023 FSC-klagomål mail.docx", "A 24528-2023")</f>
        <v/>
      </c>
      <c r="X295">
        <f>HYPERLINK("https://klasma.github.io/Logging_1256/tillsyn/A 24528-2023 tillsynsbegäran.docx", "A 24528-2023")</f>
        <v/>
      </c>
      <c r="Y295">
        <f>HYPERLINK("https://klasma.github.io/Logging_1256/tillsynsmail/A 24528-2023 tillsynsbegäran mail.docx", "A 24528-2023")</f>
        <v/>
      </c>
    </row>
    <row r="296" ht="15" customHeight="1">
      <c r="A296" t="inlineStr">
        <is>
          <t>A 24650-2023</t>
        </is>
      </c>
      <c r="B296" s="1" t="n">
        <v>45084</v>
      </c>
      <c r="C296" s="1" t="n">
        <v>45704</v>
      </c>
      <c r="D296" t="inlineStr">
        <is>
          <t>SKÅNE LÄN</t>
        </is>
      </c>
      <c r="E296" t="inlineStr">
        <is>
          <t>KLIPPAN</t>
        </is>
      </c>
      <c r="F296" t="inlineStr">
        <is>
          <t>Övriga Aktiebolag</t>
        </is>
      </c>
      <c r="G296" t="n">
        <v>10.1</v>
      </c>
      <c r="H296" t="n">
        <v>0</v>
      </c>
      <c r="I296" t="n">
        <v>1</v>
      </c>
      <c r="J296" t="n">
        <v>0</v>
      </c>
      <c r="K296" t="n">
        <v>0</v>
      </c>
      <c r="L296" t="n">
        <v>0</v>
      </c>
      <c r="M296" t="n">
        <v>0</v>
      </c>
      <c r="N296" t="n">
        <v>0</v>
      </c>
      <c r="O296" t="n">
        <v>0</v>
      </c>
      <c r="P296" t="n">
        <v>0</v>
      </c>
      <c r="Q296" t="n">
        <v>1</v>
      </c>
      <c r="R296" s="2" t="inlineStr">
        <is>
          <t>Kambräken</t>
        </is>
      </c>
      <c r="S296">
        <f>HYPERLINK("https://klasma.github.io/Logging_1276/artfynd/A 24650-2023 artfynd.xlsx", "A 24650-2023")</f>
        <v/>
      </c>
      <c r="T296">
        <f>HYPERLINK("https://klasma.github.io/Logging_1276/kartor/A 24650-2023 karta.png", "A 24650-2023")</f>
        <v/>
      </c>
      <c r="V296">
        <f>HYPERLINK("https://klasma.github.io/Logging_1276/klagomål/A 24650-2023 FSC-klagomål.docx", "A 24650-2023")</f>
        <v/>
      </c>
      <c r="W296">
        <f>HYPERLINK("https://klasma.github.io/Logging_1276/klagomålsmail/A 24650-2023 FSC-klagomål mail.docx", "A 24650-2023")</f>
        <v/>
      </c>
      <c r="X296">
        <f>HYPERLINK("https://klasma.github.io/Logging_1276/tillsyn/A 24650-2023 tillsynsbegäran.docx", "A 24650-2023")</f>
        <v/>
      </c>
      <c r="Y296">
        <f>HYPERLINK("https://klasma.github.io/Logging_1276/tillsynsmail/A 24650-2023 tillsynsbegäran mail.docx", "A 24650-2023")</f>
        <v/>
      </c>
    </row>
    <row r="297" ht="15" customHeight="1">
      <c r="A297" t="inlineStr">
        <is>
          <t>A 26965-2023</t>
        </is>
      </c>
      <c r="B297" s="1" t="n">
        <v>45093</v>
      </c>
      <c r="C297" s="1" t="n">
        <v>45704</v>
      </c>
      <c r="D297" t="inlineStr">
        <is>
          <t>SKÅNE LÄN</t>
        </is>
      </c>
      <c r="E297" t="inlineStr">
        <is>
          <t>KRISTIANSTAD</t>
        </is>
      </c>
      <c r="F297" t="inlineStr">
        <is>
          <t>Sveaskog</t>
        </is>
      </c>
      <c r="G297" t="n">
        <v>9.9</v>
      </c>
      <c r="H297" t="n">
        <v>0</v>
      </c>
      <c r="I297" t="n">
        <v>0</v>
      </c>
      <c r="J297" t="n">
        <v>0</v>
      </c>
      <c r="K297" t="n">
        <v>1</v>
      </c>
      <c r="L297" t="n">
        <v>0</v>
      </c>
      <c r="M297" t="n">
        <v>0</v>
      </c>
      <c r="N297" t="n">
        <v>0</v>
      </c>
      <c r="O297" t="n">
        <v>1</v>
      </c>
      <c r="P297" t="n">
        <v>1</v>
      </c>
      <c r="Q297" t="n">
        <v>1</v>
      </c>
      <c r="R297" s="2" t="inlineStr">
        <is>
          <t>Sjötåtel</t>
        </is>
      </c>
      <c r="S297">
        <f>HYPERLINK("https://klasma.github.io/Logging_1290/artfynd/A 26965-2023 artfynd.xlsx", "A 26965-2023")</f>
        <v/>
      </c>
      <c r="T297">
        <f>HYPERLINK("https://klasma.github.io/Logging_1290/kartor/A 26965-2023 karta.png", "A 26965-2023")</f>
        <v/>
      </c>
      <c r="V297">
        <f>HYPERLINK("https://klasma.github.io/Logging_1290/klagomål/A 26965-2023 FSC-klagomål.docx", "A 26965-2023")</f>
        <v/>
      </c>
      <c r="W297">
        <f>HYPERLINK("https://klasma.github.io/Logging_1290/klagomålsmail/A 26965-2023 FSC-klagomål mail.docx", "A 26965-2023")</f>
        <v/>
      </c>
      <c r="X297">
        <f>HYPERLINK("https://klasma.github.io/Logging_1290/tillsyn/A 26965-2023 tillsynsbegäran.docx", "A 26965-2023")</f>
        <v/>
      </c>
      <c r="Y297">
        <f>HYPERLINK("https://klasma.github.io/Logging_1290/tillsynsmail/A 26965-2023 tillsynsbegäran mail.docx", "A 26965-2023")</f>
        <v/>
      </c>
    </row>
    <row r="298" ht="15" customHeight="1">
      <c r="A298" t="inlineStr">
        <is>
          <t>A 29183-2023</t>
        </is>
      </c>
      <c r="B298" s="1" t="n">
        <v>45105</v>
      </c>
      <c r="C298" s="1" t="n">
        <v>45704</v>
      </c>
      <c r="D298" t="inlineStr">
        <is>
          <t>SKÅNE LÄN</t>
        </is>
      </c>
      <c r="E298" t="inlineStr">
        <is>
          <t>KRISTIANSTAD</t>
        </is>
      </c>
      <c r="G298" t="n">
        <v>3.2</v>
      </c>
      <c r="H298" t="n">
        <v>0</v>
      </c>
      <c r="I298" t="n">
        <v>0</v>
      </c>
      <c r="J298" t="n">
        <v>0</v>
      </c>
      <c r="K298" t="n">
        <v>1</v>
      </c>
      <c r="L298" t="n">
        <v>0</v>
      </c>
      <c r="M298" t="n">
        <v>0</v>
      </c>
      <c r="N298" t="n">
        <v>0</v>
      </c>
      <c r="O298" t="n">
        <v>1</v>
      </c>
      <c r="P298" t="n">
        <v>1</v>
      </c>
      <c r="Q298" t="n">
        <v>1</v>
      </c>
      <c r="R298" s="2" t="inlineStr">
        <is>
          <t>Småvänderot</t>
        </is>
      </c>
      <c r="S298">
        <f>HYPERLINK("https://klasma.github.io/Logging_1290/artfynd/A 29183-2023 artfynd.xlsx", "A 29183-2023")</f>
        <v/>
      </c>
      <c r="T298">
        <f>HYPERLINK("https://klasma.github.io/Logging_1290/kartor/A 29183-2023 karta.png", "A 29183-2023")</f>
        <v/>
      </c>
      <c r="V298">
        <f>HYPERLINK("https://klasma.github.io/Logging_1290/klagomål/A 29183-2023 FSC-klagomål.docx", "A 29183-2023")</f>
        <v/>
      </c>
      <c r="W298">
        <f>HYPERLINK("https://klasma.github.io/Logging_1290/klagomålsmail/A 29183-2023 FSC-klagomål mail.docx", "A 29183-2023")</f>
        <v/>
      </c>
      <c r="X298">
        <f>HYPERLINK("https://klasma.github.io/Logging_1290/tillsyn/A 29183-2023 tillsynsbegäran.docx", "A 29183-2023")</f>
        <v/>
      </c>
      <c r="Y298">
        <f>HYPERLINK("https://klasma.github.io/Logging_1290/tillsynsmail/A 29183-2023 tillsynsbegäran mail.docx", "A 29183-2023")</f>
        <v/>
      </c>
    </row>
    <row r="299" ht="15" customHeight="1">
      <c r="A299" t="inlineStr">
        <is>
          <t>A 29272-2023</t>
        </is>
      </c>
      <c r="B299" s="1" t="n">
        <v>45105</v>
      </c>
      <c r="C299" s="1" t="n">
        <v>45704</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29683-2023</t>
        </is>
      </c>
      <c r="B300" s="1" t="n">
        <v>45107</v>
      </c>
      <c r="C300" s="1" t="n">
        <v>45704</v>
      </c>
      <c r="D300" t="inlineStr">
        <is>
          <t>SKÅNE LÄN</t>
        </is>
      </c>
      <c r="E300" t="inlineStr">
        <is>
          <t>KRISTIANSTAD</t>
        </is>
      </c>
      <c r="G300" t="n">
        <v>7.4</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29683-2023 artfynd.xlsx", "A 29683-2023")</f>
        <v/>
      </c>
      <c r="T300">
        <f>HYPERLINK("https://klasma.github.io/Logging_1290/kartor/A 29683-2023 karta.png", "A 29683-2023")</f>
        <v/>
      </c>
      <c r="V300">
        <f>HYPERLINK("https://klasma.github.io/Logging_1290/klagomål/A 29683-2023 FSC-klagomål.docx", "A 29683-2023")</f>
        <v/>
      </c>
      <c r="W300">
        <f>HYPERLINK("https://klasma.github.io/Logging_1290/klagomålsmail/A 29683-2023 FSC-klagomål mail.docx", "A 29683-2023")</f>
        <v/>
      </c>
      <c r="X300">
        <f>HYPERLINK("https://klasma.github.io/Logging_1290/tillsyn/A 29683-2023 tillsynsbegäran.docx", "A 29683-2023")</f>
        <v/>
      </c>
      <c r="Y300">
        <f>HYPERLINK("https://klasma.github.io/Logging_1290/tillsynsmail/A 29683-2023 tillsynsbegäran mail.docx", "A 29683-2023")</f>
        <v/>
      </c>
    </row>
    <row r="301" ht="15" customHeight="1">
      <c r="A301" t="inlineStr">
        <is>
          <t>A 31181-2023</t>
        </is>
      </c>
      <c r="B301" s="1" t="n">
        <v>45113</v>
      </c>
      <c r="C301" s="1" t="n">
        <v>45704</v>
      </c>
      <c r="D301" t="inlineStr">
        <is>
          <t>SKÅNE LÄN</t>
        </is>
      </c>
      <c r="E301" t="inlineStr">
        <is>
          <t>ESLÖV</t>
        </is>
      </c>
      <c r="G301" t="n">
        <v>3.1</v>
      </c>
      <c r="H301" t="n">
        <v>0</v>
      </c>
      <c r="I301" t="n">
        <v>1</v>
      </c>
      <c r="J301" t="n">
        <v>0</v>
      </c>
      <c r="K301" t="n">
        <v>0</v>
      </c>
      <c r="L301" t="n">
        <v>0</v>
      </c>
      <c r="M301" t="n">
        <v>0</v>
      </c>
      <c r="N301" t="n">
        <v>0</v>
      </c>
      <c r="O301" t="n">
        <v>0</v>
      </c>
      <c r="P301" t="n">
        <v>0</v>
      </c>
      <c r="Q301" t="n">
        <v>1</v>
      </c>
      <c r="R301" s="2" t="inlineStr">
        <is>
          <t>Springkorn</t>
        </is>
      </c>
      <c r="S301">
        <f>HYPERLINK("https://klasma.github.io/Logging_1285/artfynd/A 31181-2023 artfynd.xlsx", "A 31181-2023")</f>
        <v/>
      </c>
      <c r="T301">
        <f>HYPERLINK("https://klasma.github.io/Logging_1285/kartor/A 31181-2023 karta.png", "A 31181-2023")</f>
        <v/>
      </c>
      <c r="V301">
        <f>HYPERLINK("https://klasma.github.io/Logging_1285/klagomål/A 31181-2023 FSC-klagomål.docx", "A 31181-2023")</f>
        <v/>
      </c>
      <c r="W301">
        <f>HYPERLINK("https://klasma.github.io/Logging_1285/klagomålsmail/A 31181-2023 FSC-klagomål mail.docx", "A 31181-2023")</f>
        <v/>
      </c>
      <c r="X301">
        <f>HYPERLINK("https://klasma.github.io/Logging_1285/tillsyn/A 31181-2023 tillsynsbegäran.docx", "A 31181-2023")</f>
        <v/>
      </c>
      <c r="Y301">
        <f>HYPERLINK("https://klasma.github.io/Logging_1285/tillsynsmail/A 31181-2023 tillsynsbegäran mail.docx", "A 31181-2023")</f>
        <v/>
      </c>
    </row>
    <row r="302" ht="15" customHeight="1">
      <c r="A302" t="inlineStr">
        <is>
          <t>A 31213-2023</t>
        </is>
      </c>
      <c r="B302" s="1" t="n">
        <v>45113</v>
      </c>
      <c r="C302" s="1" t="n">
        <v>45704</v>
      </c>
      <c r="D302" t="inlineStr">
        <is>
          <t>SKÅNE LÄN</t>
        </is>
      </c>
      <c r="E302" t="inlineStr">
        <is>
          <t>YSTAD</t>
        </is>
      </c>
      <c r="G302" t="n">
        <v>6.5</v>
      </c>
      <c r="H302" t="n">
        <v>0</v>
      </c>
      <c r="I302" t="n">
        <v>0</v>
      </c>
      <c r="J302" t="n">
        <v>1</v>
      </c>
      <c r="K302" t="n">
        <v>0</v>
      </c>
      <c r="L302" t="n">
        <v>0</v>
      </c>
      <c r="M302" t="n">
        <v>0</v>
      </c>
      <c r="N302" t="n">
        <v>0</v>
      </c>
      <c r="O302" t="n">
        <v>1</v>
      </c>
      <c r="P302" t="n">
        <v>0</v>
      </c>
      <c r="Q302" t="n">
        <v>1</v>
      </c>
      <c r="R302" s="2" t="inlineStr">
        <is>
          <t>Skogsveronika</t>
        </is>
      </c>
      <c r="S302">
        <f>HYPERLINK("https://klasma.github.io/Logging_1286/artfynd/A 31213-2023 artfynd.xlsx", "A 31213-2023")</f>
        <v/>
      </c>
      <c r="T302">
        <f>HYPERLINK("https://klasma.github.io/Logging_1286/kartor/A 31213-2023 karta.png", "A 31213-2023")</f>
        <v/>
      </c>
      <c r="V302">
        <f>HYPERLINK("https://klasma.github.io/Logging_1286/klagomål/A 31213-2023 FSC-klagomål.docx", "A 31213-2023")</f>
        <v/>
      </c>
      <c r="W302">
        <f>HYPERLINK("https://klasma.github.io/Logging_1286/klagomålsmail/A 31213-2023 FSC-klagomål mail.docx", "A 31213-2023")</f>
        <v/>
      </c>
      <c r="X302">
        <f>HYPERLINK("https://klasma.github.io/Logging_1286/tillsyn/A 31213-2023 tillsynsbegäran.docx", "A 31213-2023")</f>
        <v/>
      </c>
      <c r="Y302">
        <f>HYPERLINK("https://klasma.github.io/Logging_1286/tillsynsmail/A 31213-2023 tillsynsbegäran mail.docx", "A 31213-2023")</f>
        <v/>
      </c>
    </row>
    <row r="303" ht="15" customHeight="1">
      <c r="A303" t="inlineStr">
        <is>
          <t>A 31700-2023</t>
        </is>
      </c>
      <c r="B303" s="1" t="n">
        <v>45117</v>
      </c>
      <c r="C303" s="1" t="n">
        <v>45704</v>
      </c>
      <c r="D303" t="inlineStr">
        <is>
          <t>SKÅNE LÄN</t>
        </is>
      </c>
      <c r="E303" t="inlineStr">
        <is>
          <t>SVEDALA</t>
        </is>
      </c>
      <c r="G303" t="n">
        <v>1.1</v>
      </c>
      <c r="H303" t="n">
        <v>0</v>
      </c>
      <c r="I303" t="n">
        <v>0</v>
      </c>
      <c r="J303" t="n">
        <v>0</v>
      </c>
      <c r="K303" t="n">
        <v>1</v>
      </c>
      <c r="L303" t="n">
        <v>0</v>
      </c>
      <c r="M303" t="n">
        <v>0</v>
      </c>
      <c r="N303" t="n">
        <v>0</v>
      </c>
      <c r="O303" t="n">
        <v>1</v>
      </c>
      <c r="P303" t="n">
        <v>1</v>
      </c>
      <c r="Q303" t="n">
        <v>1</v>
      </c>
      <c r="R303" s="2" t="inlineStr">
        <is>
          <t>Revig blodrot</t>
        </is>
      </c>
      <c r="S303">
        <f>HYPERLINK("https://klasma.github.io/Logging_1263/artfynd/A 31700-2023 artfynd.xlsx", "A 31700-2023")</f>
        <v/>
      </c>
      <c r="T303">
        <f>HYPERLINK("https://klasma.github.io/Logging_1263/kartor/A 31700-2023 karta.png", "A 31700-2023")</f>
        <v/>
      </c>
      <c r="V303">
        <f>HYPERLINK("https://klasma.github.io/Logging_1263/klagomål/A 31700-2023 FSC-klagomål.docx", "A 31700-2023")</f>
        <v/>
      </c>
      <c r="W303">
        <f>HYPERLINK("https://klasma.github.io/Logging_1263/klagomålsmail/A 31700-2023 FSC-klagomål mail.docx", "A 31700-2023")</f>
        <v/>
      </c>
      <c r="X303">
        <f>HYPERLINK("https://klasma.github.io/Logging_1263/tillsyn/A 31700-2023 tillsynsbegäran.docx", "A 31700-2023")</f>
        <v/>
      </c>
      <c r="Y303">
        <f>HYPERLINK("https://klasma.github.io/Logging_1263/tillsynsmail/A 31700-2023 tillsynsbegäran mail.docx", "A 31700-2023")</f>
        <v/>
      </c>
    </row>
    <row r="304" ht="15" customHeight="1">
      <c r="A304" t="inlineStr">
        <is>
          <t>A 31722-2023</t>
        </is>
      </c>
      <c r="B304" s="1" t="n">
        <v>45117</v>
      </c>
      <c r="C304" s="1" t="n">
        <v>45704</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31764-2023</t>
        </is>
      </c>
      <c r="B305" s="1" t="n">
        <v>45118</v>
      </c>
      <c r="C305" s="1" t="n">
        <v>45704</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34360-2023</t>
        </is>
      </c>
      <c r="B306" s="1" t="n">
        <v>45139</v>
      </c>
      <c r="C306" s="1" t="n">
        <v>45704</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34729-2023</t>
        </is>
      </c>
      <c r="B307" s="1" t="n">
        <v>45139</v>
      </c>
      <c r="C307" s="1" t="n">
        <v>45704</v>
      </c>
      <c r="D307" t="inlineStr">
        <is>
          <t>SKÅNE LÄN</t>
        </is>
      </c>
      <c r="E307" t="inlineStr">
        <is>
          <t>ÖSTRA GÖINGE</t>
        </is>
      </c>
      <c r="G307" t="n">
        <v>7.3</v>
      </c>
      <c r="H307" t="n">
        <v>0</v>
      </c>
      <c r="I307" t="n">
        <v>0</v>
      </c>
      <c r="J307" t="n">
        <v>1</v>
      </c>
      <c r="K307" t="n">
        <v>0</v>
      </c>
      <c r="L307" t="n">
        <v>0</v>
      </c>
      <c r="M307" t="n">
        <v>0</v>
      </c>
      <c r="N307" t="n">
        <v>0</v>
      </c>
      <c r="O307" t="n">
        <v>1</v>
      </c>
      <c r="P307" t="n">
        <v>0</v>
      </c>
      <c r="Q307" t="n">
        <v>1</v>
      </c>
      <c r="R307" s="2" t="inlineStr">
        <is>
          <t>Grynig filtlav</t>
        </is>
      </c>
      <c r="S307">
        <f>HYPERLINK("https://klasma.github.io/Logging_1256/artfynd/A 34729-2023 artfynd.xlsx", "A 34729-2023")</f>
        <v/>
      </c>
      <c r="T307">
        <f>HYPERLINK("https://klasma.github.io/Logging_1256/kartor/A 34729-2023 karta.png", "A 34729-2023")</f>
        <v/>
      </c>
      <c r="V307">
        <f>HYPERLINK("https://klasma.github.io/Logging_1256/klagomål/A 34729-2023 FSC-klagomål.docx", "A 34729-2023")</f>
        <v/>
      </c>
      <c r="W307">
        <f>HYPERLINK("https://klasma.github.io/Logging_1256/klagomålsmail/A 34729-2023 FSC-klagomål mail.docx", "A 34729-2023")</f>
        <v/>
      </c>
      <c r="X307">
        <f>HYPERLINK("https://klasma.github.io/Logging_1256/tillsyn/A 34729-2023 tillsynsbegäran.docx", "A 34729-2023")</f>
        <v/>
      </c>
      <c r="Y307">
        <f>HYPERLINK("https://klasma.github.io/Logging_1256/tillsynsmail/A 34729-2023 tillsynsbegäran mail.docx", "A 34729-2023")</f>
        <v/>
      </c>
    </row>
    <row r="308" ht="15" customHeight="1">
      <c r="A308" t="inlineStr">
        <is>
          <t>A 40376-2023</t>
        </is>
      </c>
      <c r="B308" s="1" t="n">
        <v>45169</v>
      </c>
      <c r="C308" s="1" t="n">
        <v>45704</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42053-2023</t>
        </is>
      </c>
      <c r="B309" s="1" t="n">
        <v>45174</v>
      </c>
      <c r="C309" s="1" t="n">
        <v>45704</v>
      </c>
      <c r="D309" t="inlineStr">
        <is>
          <t>SKÅNE LÄN</t>
        </is>
      </c>
      <c r="E309" t="inlineStr">
        <is>
          <t>HÖÖR</t>
        </is>
      </c>
      <c r="G309" t="n">
        <v>1</v>
      </c>
      <c r="H309" t="n">
        <v>0</v>
      </c>
      <c r="I309" t="n">
        <v>0</v>
      </c>
      <c r="J309" t="n">
        <v>0</v>
      </c>
      <c r="K309" t="n">
        <v>1</v>
      </c>
      <c r="L309" t="n">
        <v>0</v>
      </c>
      <c r="M309" t="n">
        <v>0</v>
      </c>
      <c r="N309" t="n">
        <v>0</v>
      </c>
      <c r="O309" t="n">
        <v>1</v>
      </c>
      <c r="P309" t="n">
        <v>1</v>
      </c>
      <c r="Q309" t="n">
        <v>1</v>
      </c>
      <c r="R309" s="2" t="inlineStr">
        <is>
          <t>Småvänderot</t>
        </is>
      </c>
      <c r="S309">
        <f>HYPERLINK("https://klasma.github.io/Logging_1267/artfynd/A 42053-2023 artfynd.xlsx", "A 42053-2023")</f>
        <v/>
      </c>
      <c r="T309">
        <f>HYPERLINK("https://klasma.github.io/Logging_1267/kartor/A 42053-2023 karta.png", "A 42053-2023")</f>
        <v/>
      </c>
      <c r="V309">
        <f>HYPERLINK("https://klasma.github.io/Logging_1267/klagomål/A 42053-2023 FSC-klagomål.docx", "A 42053-2023")</f>
        <v/>
      </c>
      <c r="W309">
        <f>HYPERLINK("https://klasma.github.io/Logging_1267/klagomålsmail/A 42053-2023 FSC-klagomål mail.docx", "A 42053-2023")</f>
        <v/>
      </c>
      <c r="X309">
        <f>HYPERLINK("https://klasma.github.io/Logging_1267/tillsyn/A 42053-2023 tillsynsbegäran.docx", "A 42053-2023")</f>
        <v/>
      </c>
      <c r="Y309">
        <f>HYPERLINK("https://klasma.github.io/Logging_1267/tillsynsmail/A 42053-2023 tillsynsbegäran mail.docx", "A 42053-2023")</f>
        <v/>
      </c>
    </row>
    <row r="310" ht="15" customHeight="1">
      <c r="A310" t="inlineStr">
        <is>
          <t>A 42027-2023</t>
        </is>
      </c>
      <c r="B310" s="1" t="n">
        <v>45177</v>
      </c>
      <c r="C310" s="1" t="n">
        <v>45704</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43335-2023</t>
        </is>
      </c>
      <c r="B311" s="1" t="n">
        <v>45183</v>
      </c>
      <c r="C311" s="1" t="n">
        <v>45704</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45088-2023</t>
        </is>
      </c>
      <c r="B312" s="1" t="n">
        <v>45191</v>
      </c>
      <c r="C312" s="1" t="n">
        <v>45704</v>
      </c>
      <c r="D312" t="inlineStr">
        <is>
          <t>SKÅNE LÄN</t>
        </is>
      </c>
      <c r="E312" t="inlineStr">
        <is>
          <t>HÖÖR</t>
        </is>
      </c>
      <c r="G312" t="n">
        <v>2.5</v>
      </c>
      <c r="H312" t="n">
        <v>0</v>
      </c>
      <c r="I312" t="n">
        <v>0</v>
      </c>
      <c r="J312" t="n">
        <v>0</v>
      </c>
      <c r="K312" t="n">
        <v>1</v>
      </c>
      <c r="L312" t="n">
        <v>0</v>
      </c>
      <c r="M312" t="n">
        <v>0</v>
      </c>
      <c r="N312" t="n">
        <v>0</v>
      </c>
      <c r="O312" t="n">
        <v>1</v>
      </c>
      <c r="P312" t="n">
        <v>1</v>
      </c>
      <c r="Q312" t="n">
        <v>1</v>
      </c>
      <c r="R312" s="2" t="inlineStr">
        <is>
          <t>Småvänderot</t>
        </is>
      </c>
      <c r="S312">
        <f>HYPERLINK("https://klasma.github.io/Logging_1267/artfynd/A 45088-2023 artfynd.xlsx", "A 45088-2023")</f>
        <v/>
      </c>
      <c r="T312">
        <f>HYPERLINK("https://klasma.github.io/Logging_1267/kartor/A 45088-2023 karta.png", "A 45088-2023")</f>
        <v/>
      </c>
      <c r="V312">
        <f>HYPERLINK("https://klasma.github.io/Logging_1267/klagomål/A 45088-2023 FSC-klagomål.docx", "A 45088-2023")</f>
        <v/>
      </c>
      <c r="W312">
        <f>HYPERLINK("https://klasma.github.io/Logging_1267/klagomålsmail/A 45088-2023 FSC-klagomål mail.docx", "A 45088-2023")</f>
        <v/>
      </c>
      <c r="X312">
        <f>HYPERLINK("https://klasma.github.io/Logging_1267/tillsyn/A 45088-2023 tillsynsbegäran.docx", "A 45088-2023")</f>
        <v/>
      </c>
      <c r="Y312">
        <f>HYPERLINK("https://klasma.github.io/Logging_1267/tillsynsmail/A 45088-2023 tillsynsbegäran mail.docx", "A 45088-2023")</f>
        <v/>
      </c>
    </row>
    <row r="313" ht="15" customHeight="1">
      <c r="A313" t="inlineStr">
        <is>
          <t>A 46602-2023</t>
        </is>
      </c>
      <c r="B313" s="1" t="n">
        <v>45194</v>
      </c>
      <c r="C313" s="1" t="n">
        <v>45704</v>
      </c>
      <c r="D313" t="inlineStr">
        <is>
          <t>SKÅNE LÄN</t>
        </is>
      </c>
      <c r="E313" t="inlineStr">
        <is>
          <t>HÄSSLEHOLM</t>
        </is>
      </c>
      <c r="G313" t="n">
        <v>7.3</v>
      </c>
      <c r="H313" t="n">
        <v>0</v>
      </c>
      <c r="I313" t="n">
        <v>0</v>
      </c>
      <c r="J313" t="n">
        <v>0</v>
      </c>
      <c r="K313" t="n">
        <v>1</v>
      </c>
      <c r="L313" t="n">
        <v>0</v>
      </c>
      <c r="M313" t="n">
        <v>0</v>
      </c>
      <c r="N313" t="n">
        <v>0</v>
      </c>
      <c r="O313" t="n">
        <v>1</v>
      </c>
      <c r="P313" t="n">
        <v>1</v>
      </c>
      <c r="Q313" t="n">
        <v>1</v>
      </c>
      <c r="R313" s="2" t="inlineStr">
        <is>
          <t>Lungrot</t>
        </is>
      </c>
      <c r="S313">
        <f>HYPERLINK("https://klasma.github.io/Logging_1293/artfynd/A 46602-2023 artfynd.xlsx", "A 46602-2023")</f>
        <v/>
      </c>
      <c r="T313">
        <f>HYPERLINK("https://klasma.github.io/Logging_1293/kartor/A 46602-2023 karta.png", "A 46602-2023")</f>
        <v/>
      </c>
      <c r="V313">
        <f>HYPERLINK("https://klasma.github.io/Logging_1293/klagomål/A 46602-2023 FSC-klagomål.docx", "A 46602-2023")</f>
        <v/>
      </c>
      <c r="W313">
        <f>HYPERLINK("https://klasma.github.io/Logging_1293/klagomålsmail/A 46602-2023 FSC-klagomål mail.docx", "A 46602-2023")</f>
        <v/>
      </c>
      <c r="X313">
        <f>HYPERLINK("https://klasma.github.io/Logging_1293/tillsyn/A 46602-2023 tillsynsbegäran.docx", "A 46602-2023")</f>
        <v/>
      </c>
      <c r="Y313">
        <f>HYPERLINK("https://klasma.github.io/Logging_1293/tillsynsmail/A 46602-2023 tillsynsbegäran mail.docx", "A 46602-2023")</f>
        <v/>
      </c>
    </row>
    <row r="314" ht="15" customHeight="1">
      <c r="A314" t="inlineStr">
        <is>
          <t>A 45832-2023</t>
        </is>
      </c>
      <c r="B314" s="1" t="n">
        <v>45195</v>
      </c>
      <c r="C314" s="1" t="n">
        <v>45704</v>
      </c>
      <c r="D314" t="inlineStr">
        <is>
          <t>SKÅNE LÄN</t>
        </is>
      </c>
      <c r="E314" t="inlineStr">
        <is>
          <t>HELSINGBORG</t>
        </is>
      </c>
      <c r="G314" t="n">
        <v>2.3</v>
      </c>
      <c r="H314" t="n">
        <v>0</v>
      </c>
      <c r="I314" t="n">
        <v>0</v>
      </c>
      <c r="J314" t="n">
        <v>1</v>
      </c>
      <c r="K314" t="n">
        <v>0</v>
      </c>
      <c r="L314" t="n">
        <v>0</v>
      </c>
      <c r="M314" t="n">
        <v>0</v>
      </c>
      <c r="N314" t="n">
        <v>0</v>
      </c>
      <c r="O314" t="n">
        <v>1</v>
      </c>
      <c r="P314" t="n">
        <v>0</v>
      </c>
      <c r="Q314" t="n">
        <v>1</v>
      </c>
      <c r="R314" s="2" t="inlineStr">
        <is>
          <t>Skånebjörnbär</t>
        </is>
      </c>
      <c r="S314">
        <f>HYPERLINK("https://klasma.github.io/Logging_1283/artfynd/A 45832-2023 artfynd.xlsx", "A 45832-2023")</f>
        <v/>
      </c>
      <c r="T314">
        <f>HYPERLINK("https://klasma.github.io/Logging_1283/kartor/A 45832-2023 karta.png", "A 45832-2023")</f>
        <v/>
      </c>
      <c r="V314">
        <f>HYPERLINK("https://klasma.github.io/Logging_1283/klagomål/A 45832-2023 FSC-klagomål.docx", "A 45832-2023")</f>
        <v/>
      </c>
      <c r="W314">
        <f>HYPERLINK("https://klasma.github.io/Logging_1283/klagomålsmail/A 45832-2023 FSC-klagomål mail.docx", "A 45832-2023")</f>
        <v/>
      </c>
      <c r="X314">
        <f>HYPERLINK("https://klasma.github.io/Logging_1283/tillsyn/A 45832-2023 tillsynsbegäran.docx", "A 45832-2023")</f>
        <v/>
      </c>
      <c r="Y314">
        <f>HYPERLINK("https://klasma.github.io/Logging_1283/tillsynsmail/A 45832-2023 tillsynsbegäran mail.docx", "A 45832-2023")</f>
        <v/>
      </c>
    </row>
    <row r="315" ht="15" customHeight="1">
      <c r="A315" t="inlineStr">
        <is>
          <t>A 46870-2023</t>
        </is>
      </c>
      <c r="B315" s="1" t="n">
        <v>45200</v>
      </c>
      <c r="C315" s="1" t="n">
        <v>45704</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48514-2023</t>
        </is>
      </c>
      <c r="B316" s="1" t="n">
        <v>45208</v>
      </c>
      <c r="C316" s="1" t="n">
        <v>45704</v>
      </c>
      <c r="D316" t="inlineStr">
        <is>
          <t>SKÅNE LÄN</t>
        </is>
      </c>
      <c r="E316" t="inlineStr">
        <is>
          <t>OSBY</t>
        </is>
      </c>
      <c r="G316" t="n">
        <v>3.3</v>
      </c>
      <c r="H316" t="n">
        <v>0</v>
      </c>
      <c r="I316" t="n">
        <v>1</v>
      </c>
      <c r="J316" t="n">
        <v>0</v>
      </c>
      <c r="K316" t="n">
        <v>0</v>
      </c>
      <c r="L316" t="n">
        <v>0</v>
      </c>
      <c r="M316" t="n">
        <v>0</v>
      </c>
      <c r="N316" t="n">
        <v>0</v>
      </c>
      <c r="O316" t="n">
        <v>0</v>
      </c>
      <c r="P316" t="n">
        <v>0</v>
      </c>
      <c r="Q316" t="n">
        <v>1</v>
      </c>
      <c r="R316" s="2" t="inlineStr">
        <is>
          <t>Blåmossa</t>
        </is>
      </c>
      <c r="S316">
        <f>HYPERLINK("https://klasma.github.io/Logging_1273/artfynd/A 48514-2023 artfynd.xlsx", "A 48514-2023")</f>
        <v/>
      </c>
      <c r="T316">
        <f>HYPERLINK("https://klasma.github.io/Logging_1273/kartor/A 48514-2023 karta.png", "A 48514-2023")</f>
        <v/>
      </c>
      <c r="V316">
        <f>HYPERLINK("https://klasma.github.io/Logging_1273/klagomål/A 48514-2023 FSC-klagomål.docx", "A 48514-2023")</f>
        <v/>
      </c>
      <c r="W316">
        <f>HYPERLINK("https://klasma.github.io/Logging_1273/klagomålsmail/A 48514-2023 FSC-klagomål mail.docx", "A 48514-2023")</f>
        <v/>
      </c>
      <c r="X316">
        <f>HYPERLINK("https://klasma.github.io/Logging_1273/tillsyn/A 48514-2023 tillsynsbegäran.docx", "A 48514-2023")</f>
        <v/>
      </c>
      <c r="Y316">
        <f>HYPERLINK("https://klasma.github.io/Logging_1273/tillsynsmail/A 48514-2023 tillsynsbegäran mail.docx", "A 48514-2023")</f>
        <v/>
      </c>
    </row>
    <row r="317" ht="15" customHeight="1">
      <c r="A317" t="inlineStr">
        <is>
          <t>A 50089-2023</t>
        </is>
      </c>
      <c r="B317" s="1" t="n">
        <v>45208</v>
      </c>
      <c r="C317" s="1" t="n">
        <v>45704</v>
      </c>
      <c r="D317" t="inlineStr">
        <is>
          <t>SKÅNE LÄN</t>
        </is>
      </c>
      <c r="E317" t="inlineStr">
        <is>
          <t>KLIPPAN</t>
        </is>
      </c>
      <c r="G317" t="n">
        <v>13.6</v>
      </c>
      <c r="H317" t="n">
        <v>1</v>
      </c>
      <c r="I317" t="n">
        <v>0</v>
      </c>
      <c r="J317" t="n">
        <v>1</v>
      </c>
      <c r="K317" t="n">
        <v>0</v>
      </c>
      <c r="L317" t="n">
        <v>0</v>
      </c>
      <c r="M317" t="n">
        <v>0</v>
      </c>
      <c r="N317" t="n">
        <v>0</v>
      </c>
      <c r="O317" t="n">
        <v>1</v>
      </c>
      <c r="P317" t="n">
        <v>0</v>
      </c>
      <c r="Q317" t="n">
        <v>1</v>
      </c>
      <c r="R317" s="2" t="inlineStr">
        <is>
          <t>Entita</t>
        </is>
      </c>
      <c r="S317">
        <f>HYPERLINK("https://klasma.github.io/Logging_1276/artfynd/A 50089-2023 artfynd.xlsx", "A 50089-2023")</f>
        <v/>
      </c>
      <c r="T317">
        <f>HYPERLINK("https://klasma.github.io/Logging_1276/kartor/A 50089-2023 karta.png", "A 50089-2023")</f>
        <v/>
      </c>
      <c r="V317">
        <f>HYPERLINK("https://klasma.github.io/Logging_1276/klagomål/A 50089-2023 FSC-klagomål.docx", "A 50089-2023")</f>
        <v/>
      </c>
      <c r="W317">
        <f>HYPERLINK("https://klasma.github.io/Logging_1276/klagomålsmail/A 50089-2023 FSC-klagomål mail.docx", "A 50089-2023")</f>
        <v/>
      </c>
      <c r="X317">
        <f>HYPERLINK("https://klasma.github.io/Logging_1276/tillsyn/A 50089-2023 tillsynsbegäran.docx", "A 50089-2023")</f>
        <v/>
      </c>
      <c r="Y317">
        <f>HYPERLINK("https://klasma.github.io/Logging_1276/tillsynsmail/A 50089-2023 tillsynsbegäran mail.docx", "A 50089-2023")</f>
        <v/>
      </c>
      <c r="Z317">
        <f>HYPERLINK("https://klasma.github.io/Logging_1276/fåglar/A 50089-2023 prioriterade fågelarter.docx", "A 50089-2023")</f>
        <v/>
      </c>
    </row>
    <row r="318" ht="15" customHeight="1">
      <c r="A318" t="inlineStr">
        <is>
          <t>A 50684-2023</t>
        </is>
      </c>
      <c r="B318" s="1" t="n">
        <v>45210</v>
      </c>
      <c r="C318" s="1" t="n">
        <v>45704</v>
      </c>
      <c r="D318" t="inlineStr">
        <is>
          <t>SKÅNE LÄN</t>
        </is>
      </c>
      <c r="E318" t="inlineStr">
        <is>
          <t>ÄNGELHOLM</t>
        </is>
      </c>
      <c r="G318" t="n">
        <v>1.6</v>
      </c>
      <c r="H318" t="n">
        <v>1</v>
      </c>
      <c r="I318" t="n">
        <v>0</v>
      </c>
      <c r="J318" t="n">
        <v>0</v>
      </c>
      <c r="K318" t="n">
        <v>0</v>
      </c>
      <c r="L318" t="n">
        <v>0</v>
      </c>
      <c r="M318" t="n">
        <v>0</v>
      </c>
      <c r="N318" t="n">
        <v>0</v>
      </c>
      <c r="O318" t="n">
        <v>0</v>
      </c>
      <c r="P318" t="n">
        <v>0</v>
      </c>
      <c r="Q318" t="n">
        <v>1</v>
      </c>
      <c r="R318" s="2" t="inlineStr">
        <is>
          <t>Kopparödla</t>
        </is>
      </c>
      <c r="S318">
        <f>HYPERLINK("https://klasma.github.io/Logging_1292/artfynd/A 50684-2023 artfynd.xlsx", "A 50684-2023")</f>
        <v/>
      </c>
      <c r="T318">
        <f>HYPERLINK("https://klasma.github.io/Logging_1292/kartor/A 50684-2023 karta.png", "A 50684-2023")</f>
        <v/>
      </c>
      <c r="V318">
        <f>HYPERLINK("https://klasma.github.io/Logging_1292/klagomål/A 50684-2023 FSC-klagomål.docx", "A 50684-2023")</f>
        <v/>
      </c>
      <c r="W318">
        <f>HYPERLINK("https://klasma.github.io/Logging_1292/klagomålsmail/A 50684-2023 FSC-klagomål mail.docx", "A 50684-2023")</f>
        <v/>
      </c>
      <c r="X318">
        <f>HYPERLINK("https://klasma.github.io/Logging_1292/tillsyn/A 50684-2023 tillsynsbegäran.docx", "A 50684-2023")</f>
        <v/>
      </c>
      <c r="Y318">
        <f>HYPERLINK("https://klasma.github.io/Logging_1292/tillsynsmail/A 50684-2023 tillsynsbegäran mail.docx", "A 50684-2023")</f>
        <v/>
      </c>
    </row>
    <row r="319" ht="15" customHeight="1">
      <c r="A319" t="inlineStr">
        <is>
          <t>A 50642-2023</t>
        </is>
      </c>
      <c r="B319" s="1" t="n">
        <v>45210</v>
      </c>
      <c r="C319" s="1" t="n">
        <v>45704</v>
      </c>
      <c r="D319" t="inlineStr">
        <is>
          <t>SKÅNE LÄN</t>
        </is>
      </c>
      <c r="E319" t="inlineStr">
        <is>
          <t>ÄNGELHOLM</t>
        </is>
      </c>
      <c r="G319" t="n">
        <v>0.8</v>
      </c>
      <c r="H319" t="n">
        <v>1</v>
      </c>
      <c r="I319" t="n">
        <v>0</v>
      </c>
      <c r="J319" t="n">
        <v>0</v>
      </c>
      <c r="K319" t="n">
        <v>0</v>
      </c>
      <c r="L319" t="n">
        <v>0</v>
      </c>
      <c r="M319" t="n">
        <v>0</v>
      </c>
      <c r="N319" t="n">
        <v>0</v>
      </c>
      <c r="O319" t="n">
        <v>0</v>
      </c>
      <c r="P319" t="n">
        <v>0</v>
      </c>
      <c r="Q319" t="n">
        <v>1</v>
      </c>
      <c r="R319" s="2" t="inlineStr">
        <is>
          <t>Vanlig padda</t>
        </is>
      </c>
      <c r="S319">
        <f>HYPERLINK("https://klasma.github.io/Logging_1292/artfynd/A 50642-2023 artfynd.xlsx", "A 50642-2023")</f>
        <v/>
      </c>
      <c r="T319">
        <f>HYPERLINK("https://klasma.github.io/Logging_1292/kartor/A 50642-2023 karta.png", "A 50642-2023")</f>
        <v/>
      </c>
      <c r="V319">
        <f>HYPERLINK("https://klasma.github.io/Logging_1292/klagomål/A 50642-2023 FSC-klagomål.docx", "A 50642-2023")</f>
        <v/>
      </c>
      <c r="W319">
        <f>HYPERLINK("https://klasma.github.io/Logging_1292/klagomålsmail/A 50642-2023 FSC-klagomål mail.docx", "A 50642-2023")</f>
        <v/>
      </c>
      <c r="X319">
        <f>HYPERLINK("https://klasma.github.io/Logging_1292/tillsyn/A 50642-2023 tillsynsbegäran.docx", "A 50642-2023")</f>
        <v/>
      </c>
      <c r="Y319">
        <f>HYPERLINK("https://klasma.github.io/Logging_1292/tillsynsmail/A 50642-2023 tillsynsbegäran mail.docx", "A 50642-2023")</f>
        <v/>
      </c>
    </row>
    <row r="320" ht="15" customHeight="1">
      <c r="A320" t="inlineStr">
        <is>
          <t>A 49505-2023</t>
        </is>
      </c>
      <c r="B320" s="1" t="n">
        <v>45211</v>
      </c>
      <c r="C320" s="1" t="n">
        <v>45704</v>
      </c>
      <c r="D320" t="inlineStr">
        <is>
          <t>SKÅNE LÄN</t>
        </is>
      </c>
      <c r="E320" t="inlineStr">
        <is>
          <t>OSBY</t>
        </is>
      </c>
      <c r="G320" t="n">
        <v>3.5</v>
      </c>
      <c r="H320" t="n">
        <v>1</v>
      </c>
      <c r="I320" t="n">
        <v>1</v>
      </c>
      <c r="J320" t="n">
        <v>0</v>
      </c>
      <c r="K320" t="n">
        <v>0</v>
      </c>
      <c r="L320" t="n">
        <v>0</v>
      </c>
      <c r="M320" t="n">
        <v>0</v>
      </c>
      <c r="N320" t="n">
        <v>0</v>
      </c>
      <c r="O320" t="n">
        <v>0</v>
      </c>
      <c r="P320" t="n">
        <v>0</v>
      </c>
      <c r="Q320" t="n">
        <v>1</v>
      </c>
      <c r="R320" s="2" t="inlineStr">
        <is>
          <t>Plattlummer</t>
        </is>
      </c>
      <c r="S320">
        <f>HYPERLINK("https://klasma.github.io/Logging_1273/artfynd/A 49505-2023 artfynd.xlsx", "A 49505-2023")</f>
        <v/>
      </c>
      <c r="T320">
        <f>HYPERLINK("https://klasma.github.io/Logging_1273/kartor/A 49505-2023 karta.png", "A 49505-2023")</f>
        <v/>
      </c>
      <c r="V320">
        <f>HYPERLINK("https://klasma.github.io/Logging_1273/klagomål/A 49505-2023 FSC-klagomål.docx", "A 49505-2023")</f>
        <v/>
      </c>
      <c r="W320">
        <f>HYPERLINK("https://klasma.github.io/Logging_1273/klagomålsmail/A 49505-2023 FSC-klagomål mail.docx", "A 49505-2023")</f>
        <v/>
      </c>
      <c r="X320">
        <f>HYPERLINK("https://klasma.github.io/Logging_1273/tillsyn/A 49505-2023 tillsynsbegäran.docx", "A 49505-2023")</f>
        <v/>
      </c>
      <c r="Y320">
        <f>HYPERLINK("https://klasma.github.io/Logging_1273/tillsynsmail/A 49505-2023 tillsynsbegäran mail.docx", "A 49505-2023")</f>
        <v/>
      </c>
    </row>
    <row r="321" ht="15" customHeight="1">
      <c r="A321" t="inlineStr">
        <is>
          <t>A 53519-2023</t>
        </is>
      </c>
      <c r="B321" s="1" t="n">
        <v>45230</v>
      </c>
      <c r="C321" s="1" t="n">
        <v>45704</v>
      </c>
      <c r="D321" t="inlineStr">
        <is>
          <t>SKÅNE LÄN</t>
        </is>
      </c>
      <c r="E321" t="inlineStr">
        <is>
          <t>KÄVLINGE</t>
        </is>
      </c>
      <c r="G321" t="n">
        <v>1</v>
      </c>
      <c r="H321" t="n">
        <v>0</v>
      </c>
      <c r="I321" t="n">
        <v>0</v>
      </c>
      <c r="J321" t="n">
        <v>0</v>
      </c>
      <c r="K321" t="n">
        <v>0</v>
      </c>
      <c r="L321" t="n">
        <v>1</v>
      </c>
      <c r="M321" t="n">
        <v>0</v>
      </c>
      <c r="N321" t="n">
        <v>0</v>
      </c>
      <c r="O321" t="n">
        <v>1</v>
      </c>
      <c r="P321" t="n">
        <v>1</v>
      </c>
      <c r="Q321" t="n">
        <v>1</v>
      </c>
      <c r="R321" s="2" t="inlineStr">
        <is>
          <t>Bergbjörnbär</t>
        </is>
      </c>
      <c r="S321">
        <f>HYPERLINK("https://klasma.github.io/Logging_1261/artfynd/A 53519-2023 artfynd.xlsx", "A 53519-2023")</f>
        <v/>
      </c>
      <c r="T321">
        <f>HYPERLINK("https://klasma.github.io/Logging_1261/kartor/A 53519-2023 karta.png", "A 53519-2023")</f>
        <v/>
      </c>
      <c r="V321">
        <f>HYPERLINK("https://klasma.github.io/Logging_1261/klagomål/A 53519-2023 FSC-klagomål.docx", "A 53519-2023")</f>
        <v/>
      </c>
      <c r="W321">
        <f>HYPERLINK("https://klasma.github.io/Logging_1261/klagomålsmail/A 53519-2023 FSC-klagomål mail.docx", "A 53519-2023")</f>
        <v/>
      </c>
      <c r="X321">
        <f>HYPERLINK("https://klasma.github.io/Logging_1261/tillsyn/A 53519-2023 tillsynsbegäran.docx", "A 53519-2023")</f>
        <v/>
      </c>
      <c r="Y321">
        <f>HYPERLINK("https://klasma.github.io/Logging_1261/tillsynsmail/A 53519-2023 tillsynsbegäran mail.docx", "A 53519-2023")</f>
        <v/>
      </c>
    </row>
    <row r="322" ht="15" customHeight="1">
      <c r="A322" t="inlineStr">
        <is>
          <t>A 54424-2023</t>
        </is>
      </c>
      <c r="B322" s="1" t="n">
        <v>45233</v>
      </c>
      <c r="C322" s="1" t="n">
        <v>45704</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55145-2023</t>
        </is>
      </c>
      <c r="B323" s="1" t="n">
        <v>45237</v>
      </c>
      <c r="C323" s="1" t="n">
        <v>45704</v>
      </c>
      <c r="D323" t="inlineStr">
        <is>
          <t>SKÅNE LÄN</t>
        </is>
      </c>
      <c r="E323" t="inlineStr">
        <is>
          <t>LUND</t>
        </is>
      </c>
      <c r="F323" t="inlineStr">
        <is>
          <t>Kommuner</t>
        </is>
      </c>
      <c r="G323" t="n">
        <v>4.5</v>
      </c>
      <c r="H323" t="n">
        <v>0</v>
      </c>
      <c r="I323" t="n">
        <v>1</v>
      </c>
      <c r="J323" t="n">
        <v>0</v>
      </c>
      <c r="K323" t="n">
        <v>0</v>
      </c>
      <c r="L323" t="n">
        <v>0</v>
      </c>
      <c r="M323" t="n">
        <v>0</v>
      </c>
      <c r="N323" t="n">
        <v>0</v>
      </c>
      <c r="O323" t="n">
        <v>0</v>
      </c>
      <c r="P323" t="n">
        <v>0</v>
      </c>
      <c r="Q323" t="n">
        <v>1</v>
      </c>
      <c r="R323" s="2" t="inlineStr">
        <is>
          <t>Grovticka</t>
        </is>
      </c>
      <c r="S323">
        <f>HYPERLINK("https://klasma.github.io/Logging_1281/artfynd/A 55145-2023 artfynd.xlsx", "A 55145-2023")</f>
        <v/>
      </c>
      <c r="T323">
        <f>HYPERLINK("https://klasma.github.io/Logging_1281/kartor/A 55145-2023 karta.png", "A 55145-2023")</f>
        <v/>
      </c>
      <c r="V323">
        <f>HYPERLINK("https://klasma.github.io/Logging_1281/klagomål/A 55145-2023 FSC-klagomål.docx", "A 55145-2023")</f>
        <v/>
      </c>
      <c r="W323">
        <f>HYPERLINK("https://klasma.github.io/Logging_1281/klagomålsmail/A 55145-2023 FSC-klagomål mail.docx", "A 55145-2023")</f>
        <v/>
      </c>
      <c r="X323">
        <f>HYPERLINK("https://klasma.github.io/Logging_1281/tillsyn/A 55145-2023 tillsynsbegäran.docx", "A 55145-2023")</f>
        <v/>
      </c>
      <c r="Y323">
        <f>HYPERLINK("https://klasma.github.io/Logging_1281/tillsynsmail/A 55145-2023 tillsynsbegäran mail.docx", "A 55145-2023")</f>
        <v/>
      </c>
    </row>
    <row r="324" ht="15" customHeight="1">
      <c r="A324" t="inlineStr">
        <is>
          <t>A 57035-2023</t>
        </is>
      </c>
      <c r="B324" s="1" t="n">
        <v>45244</v>
      </c>
      <c r="C324" s="1" t="n">
        <v>45704</v>
      </c>
      <c r="D324" t="inlineStr">
        <is>
          <t>SKÅNE LÄN</t>
        </is>
      </c>
      <c r="E324" t="inlineStr">
        <is>
          <t>OSBY</t>
        </is>
      </c>
      <c r="G324" t="n">
        <v>5.1</v>
      </c>
      <c r="H324" t="n">
        <v>1</v>
      </c>
      <c r="I324" t="n">
        <v>0</v>
      </c>
      <c r="J324" t="n">
        <v>0</v>
      </c>
      <c r="K324" t="n">
        <v>0</v>
      </c>
      <c r="L324" t="n">
        <v>0</v>
      </c>
      <c r="M324" t="n">
        <v>0</v>
      </c>
      <c r="N324" t="n">
        <v>0</v>
      </c>
      <c r="O324" t="n">
        <v>0</v>
      </c>
      <c r="P324" t="n">
        <v>0</v>
      </c>
      <c r="Q324" t="n">
        <v>1</v>
      </c>
      <c r="R324" s="2" t="inlineStr">
        <is>
          <t>Kungsfågel</t>
        </is>
      </c>
      <c r="S324">
        <f>HYPERLINK("https://klasma.github.io/Logging_1273/artfynd/A 57035-2023 artfynd.xlsx", "A 57035-2023")</f>
        <v/>
      </c>
      <c r="T324">
        <f>HYPERLINK("https://klasma.github.io/Logging_1273/kartor/A 57035-2023 karta.png", "A 57035-2023")</f>
        <v/>
      </c>
      <c r="V324">
        <f>HYPERLINK("https://klasma.github.io/Logging_1273/klagomål/A 57035-2023 FSC-klagomål.docx", "A 57035-2023")</f>
        <v/>
      </c>
      <c r="W324">
        <f>HYPERLINK("https://klasma.github.io/Logging_1273/klagomålsmail/A 57035-2023 FSC-klagomål mail.docx", "A 57035-2023")</f>
        <v/>
      </c>
      <c r="X324">
        <f>HYPERLINK("https://klasma.github.io/Logging_1273/tillsyn/A 57035-2023 tillsynsbegäran.docx", "A 57035-2023")</f>
        <v/>
      </c>
      <c r="Y324">
        <f>HYPERLINK("https://klasma.github.io/Logging_1273/tillsynsmail/A 57035-2023 tillsynsbegäran mail.docx", "A 57035-2023")</f>
        <v/>
      </c>
      <c r="Z324">
        <f>HYPERLINK("https://klasma.github.io/Logging_1273/fåglar/A 57035-2023 prioriterade fågelarter.docx", "A 57035-2023")</f>
        <v/>
      </c>
    </row>
    <row r="325" ht="15" customHeight="1">
      <c r="A325" t="inlineStr">
        <is>
          <t>A 59610-2023</t>
        </is>
      </c>
      <c r="B325" s="1" t="n">
        <v>45253</v>
      </c>
      <c r="C325" s="1" t="n">
        <v>45704</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45704</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61690-2023</t>
        </is>
      </c>
      <c r="B327" s="1" t="n">
        <v>45264</v>
      </c>
      <c r="C327" s="1" t="n">
        <v>45704</v>
      </c>
      <c r="D327" t="inlineStr">
        <is>
          <t>SKÅNE LÄN</t>
        </is>
      </c>
      <c r="E327" t="inlineStr">
        <is>
          <t>KLIPPAN</t>
        </is>
      </c>
      <c r="G327" t="n">
        <v>5.5</v>
      </c>
      <c r="H327" t="n">
        <v>1</v>
      </c>
      <c r="I327" t="n">
        <v>0</v>
      </c>
      <c r="J327" t="n">
        <v>1</v>
      </c>
      <c r="K327" t="n">
        <v>0</v>
      </c>
      <c r="L327" t="n">
        <v>0</v>
      </c>
      <c r="M327" t="n">
        <v>0</v>
      </c>
      <c r="N327" t="n">
        <v>0</v>
      </c>
      <c r="O327" t="n">
        <v>1</v>
      </c>
      <c r="P327" t="n">
        <v>0</v>
      </c>
      <c r="Q327" t="n">
        <v>1</v>
      </c>
      <c r="R327" s="2" t="inlineStr">
        <is>
          <t>Entita</t>
        </is>
      </c>
      <c r="S327">
        <f>HYPERLINK("https://klasma.github.io/Logging_1276/artfynd/A 61690-2023 artfynd.xlsx", "A 61690-2023")</f>
        <v/>
      </c>
      <c r="T327">
        <f>HYPERLINK("https://klasma.github.io/Logging_1276/kartor/A 61690-2023 karta.png", "A 61690-2023")</f>
        <v/>
      </c>
      <c r="V327">
        <f>HYPERLINK("https://klasma.github.io/Logging_1276/klagomål/A 61690-2023 FSC-klagomål.docx", "A 61690-2023")</f>
        <v/>
      </c>
      <c r="W327">
        <f>HYPERLINK("https://klasma.github.io/Logging_1276/klagomålsmail/A 61690-2023 FSC-klagomål mail.docx", "A 61690-2023")</f>
        <v/>
      </c>
      <c r="X327">
        <f>HYPERLINK("https://klasma.github.io/Logging_1276/tillsyn/A 61690-2023 tillsynsbegäran.docx", "A 61690-2023")</f>
        <v/>
      </c>
      <c r="Y327">
        <f>HYPERLINK("https://klasma.github.io/Logging_1276/tillsynsmail/A 61690-2023 tillsynsbegäran mail.docx", "A 61690-2023")</f>
        <v/>
      </c>
      <c r="Z327">
        <f>HYPERLINK("https://klasma.github.io/Logging_1276/fåglar/A 61690-2023 prioriterade fågelarter.docx", "A 61690-2023")</f>
        <v/>
      </c>
    </row>
    <row r="328" ht="15" customHeight="1">
      <c r="A328" t="inlineStr">
        <is>
          <t>A 61558-2023</t>
        </is>
      </c>
      <c r="B328" s="1" t="n">
        <v>45265</v>
      </c>
      <c r="C328" s="1" t="n">
        <v>45704</v>
      </c>
      <c r="D328" t="inlineStr">
        <is>
          <t>SKÅNE LÄN</t>
        </is>
      </c>
      <c r="E328" t="inlineStr">
        <is>
          <t>YSTAD</t>
        </is>
      </c>
      <c r="F328" t="inlineStr">
        <is>
          <t>Övriga statliga verk och myndigheter</t>
        </is>
      </c>
      <c r="G328" t="n">
        <v>1.5</v>
      </c>
      <c r="H328" t="n">
        <v>0</v>
      </c>
      <c r="I328" t="n">
        <v>0</v>
      </c>
      <c r="J328" t="n">
        <v>0</v>
      </c>
      <c r="K328" t="n">
        <v>0</v>
      </c>
      <c r="L328" t="n">
        <v>1</v>
      </c>
      <c r="M328" t="n">
        <v>0</v>
      </c>
      <c r="N328" t="n">
        <v>0</v>
      </c>
      <c r="O328" t="n">
        <v>1</v>
      </c>
      <c r="P328" t="n">
        <v>1</v>
      </c>
      <c r="Q328" t="n">
        <v>1</v>
      </c>
      <c r="R328" s="2" t="inlineStr">
        <is>
          <t>Ask</t>
        </is>
      </c>
      <c r="S328">
        <f>HYPERLINK("https://klasma.github.io/Logging_1286/artfynd/A 61558-2023 artfynd.xlsx", "A 61558-2023")</f>
        <v/>
      </c>
      <c r="T328">
        <f>HYPERLINK("https://klasma.github.io/Logging_1286/kartor/A 61558-2023 karta.png", "A 61558-2023")</f>
        <v/>
      </c>
      <c r="V328">
        <f>HYPERLINK("https://klasma.github.io/Logging_1286/klagomål/A 61558-2023 FSC-klagomål.docx", "A 61558-2023")</f>
        <v/>
      </c>
      <c r="W328">
        <f>HYPERLINK("https://klasma.github.io/Logging_1286/klagomålsmail/A 61558-2023 FSC-klagomål mail.docx", "A 61558-2023")</f>
        <v/>
      </c>
      <c r="X328">
        <f>HYPERLINK("https://klasma.github.io/Logging_1286/tillsyn/A 61558-2023 tillsynsbegäran.docx", "A 61558-2023")</f>
        <v/>
      </c>
      <c r="Y328">
        <f>HYPERLINK("https://klasma.github.io/Logging_1286/tillsynsmail/A 61558-2023 tillsynsbegäran mail.docx", "A 61558-2023")</f>
        <v/>
      </c>
    </row>
    <row r="329" ht="15" customHeight="1">
      <c r="A329" t="inlineStr">
        <is>
          <t>A 62140-2023</t>
        </is>
      </c>
      <c r="B329" s="1" t="n">
        <v>45267</v>
      </c>
      <c r="C329" s="1" t="n">
        <v>45704</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62349-2023</t>
        </is>
      </c>
      <c r="B330" s="1" t="n">
        <v>45267</v>
      </c>
      <c r="C330" s="1" t="n">
        <v>45704</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62724-2023</t>
        </is>
      </c>
      <c r="B331" s="1" t="n">
        <v>45271</v>
      </c>
      <c r="C331" s="1" t="n">
        <v>45704</v>
      </c>
      <c r="D331" t="inlineStr">
        <is>
          <t>SKÅNE LÄN</t>
        </is>
      </c>
      <c r="E331" t="inlineStr">
        <is>
          <t>OSBY</t>
        </is>
      </c>
      <c r="G331" t="n">
        <v>3.8</v>
      </c>
      <c r="H331" t="n">
        <v>1</v>
      </c>
      <c r="I331" t="n">
        <v>0</v>
      </c>
      <c r="J331" t="n">
        <v>0</v>
      </c>
      <c r="K331" t="n">
        <v>0</v>
      </c>
      <c r="L331" t="n">
        <v>0</v>
      </c>
      <c r="M331" t="n">
        <v>0</v>
      </c>
      <c r="N331" t="n">
        <v>0</v>
      </c>
      <c r="O331" t="n">
        <v>0</v>
      </c>
      <c r="P331" t="n">
        <v>0</v>
      </c>
      <c r="Q331" t="n">
        <v>1</v>
      </c>
      <c r="R331" s="2" t="inlineStr">
        <is>
          <t>Järnsparv</t>
        </is>
      </c>
      <c r="S331">
        <f>HYPERLINK("https://klasma.github.io/Logging_1273/artfynd/A 62724-2023 artfynd.xlsx", "A 62724-2023")</f>
        <v/>
      </c>
      <c r="T331">
        <f>HYPERLINK("https://klasma.github.io/Logging_1273/kartor/A 62724-2023 karta.png", "A 62724-2023")</f>
        <v/>
      </c>
      <c r="V331">
        <f>HYPERLINK("https://klasma.github.io/Logging_1273/klagomål/A 62724-2023 FSC-klagomål.docx", "A 62724-2023")</f>
        <v/>
      </c>
      <c r="W331">
        <f>HYPERLINK("https://klasma.github.io/Logging_1273/klagomålsmail/A 62724-2023 FSC-klagomål mail.docx", "A 62724-2023")</f>
        <v/>
      </c>
      <c r="X331">
        <f>HYPERLINK("https://klasma.github.io/Logging_1273/tillsyn/A 62724-2023 tillsynsbegäran.docx", "A 62724-2023")</f>
        <v/>
      </c>
      <c r="Y331">
        <f>HYPERLINK("https://klasma.github.io/Logging_1273/tillsynsmail/A 62724-2023 tillsynsbegäran mail.docx", "A 62724-2023")</f>
        <v/>
      </c>
      <c r="Z331">
        <f>HYPERLINK("https://klasma.github.io/Logging_1273/fåglar/A 62724-2023 prioriterade fågelarter.docx", "A 62724-2023")</f>
        <v/>
      </c>
    </row>
    <row r="332" ht="15" customHeight="1">
      <c r="A332" t="inlineStr">
        <is>
          <t>A 561-2024</t>
        </is>
      </c>
      <c r="B332" s="1" t="n">
        <v>45299</v>
      </c>
      <c r="C332" s="1" t="n">
        <v>45704</v>
      </c>
      <c r="D332" t="inlineStr">
        <is>
          <t>SKÅNE LÄN</t>
        </is>
      </c>
      <c r="E332" t="inlineStr">
        <is>
          <t>TOMELILLA</t>
        </is>
      </c>
      <c r="F332" t="inlineStr">
        <is>
          <t>Övriga Aktiebolag</t>
        </is>
      </c>
      <c r="G332" t="n">
        <v>22.1</v>
      </c>
      <c r="H332" t="n">
        <v>1</v>
      </c>
      <c r="I332" t="n">
        <v>0</v>
      </c>
      <c r="J332" t="n">
        <v>0</v>
      </c>
      <c r="K332" t="n">
        <v>0</v>
      </c>
      <c r="L332" t="n">
        <v>0</v>
      </c>
      <c r="M332" t="n">
        <v>0</v>
      </c>
      <c r="N332" t="n">
        <v>0</v>
      </c>
      <c r="O332" t="n">
        <v>0</v>
      </c>
      <c r="P332" t="n">
        <v>0</v>
      </c>
      <c r="Q332" t="n">
        <v>1</v>
      </c>
      <c r="R332" s="2" t="inlineStr">
        <is>
          <t>Vanlig snok</t>
        </is>
      </c>
      <c r="S332">
        <f>HYPERLINK("https://klasma.github.io/Logging_1270/artfynd/A 561-2024 artfynd.xlsx", "A 561-2024")</f>
        <v/>
      </c>
      <c r="T332">
        <f>HYPERLINK("https://klasma.github.io/Logging_1270/kartor/A 561-2024 karta.png", "A 561-2024")</f>
        <v/>
      </c>
      <c r="V332">
        <f>HYPERLINK("https://klasma.github.io/Logging_1270/klagomål/A 561-2024 FSC-klagomål.docx", "A 561-2024")</f>
        <v/>
      </c>
      <c r="W332">
        <f>HYPERLINK("https://klasma.github.io/Logging_1270/klagomålsmail/A 561-2024 FSC-klagomål mail.docx", "A 561-2024")</f>
        <v/>
      </c>
      <c r="X332">
        <f>HYPERLINK("https://klasma.github.io/Logging_1270/tillsyn/A 561-2024 tillsynsbegäran.docx", "A 561-2024")</f>
        <v/>
      </c>
      <c r="Y332">
        <f>HYPERLINK("https://klasma.github.io/Logging_1270/tillsynsmail/A 561-2024 tillsynsbegäran mail.docx", "A 561-2024")</f>
        <v/>
      </c>
    </row>
    <row r="333" ht="15" customHeight="1">
      <c r="A333" t="inlineStr">
        <is>
          <t>A 756-2024</t>
        </is>
      </c>
      <c r="B333" s="1" t="n">
        <v>45300</v>
      </c>
      <c r="C333" s="1" t="n">
        <v>45704</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951-2024</t>
        </is>
      </c>
      <c r="B334" s="1" t="n">
        <v>45301</v>
      </c>
      <c r="C334" s="1" t="n">
        <v>45704</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1188-2024</t>
        </is>
      </c>
      <c r="B335" s="1" t="n">
        <v>45302</v>
      </c>
      <c r="C335" s="1" t="n">
        <v>45704</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1418-2024</t>
        </is>
      </c>
      <c r="B336" s="1" t="n">
        <v>45303</v>
      </c>
      <c r="C336" s="1" t="n">
        <v>45704</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1510-2024</t>
        </is>
      </c>
      <c r="B337" s="1" t="n">
        <v>45306</v>
      </c>
      <c r="C337" s="1" t="n">
        <v>45704</v>
      </c>
      <c r="D337" t="inlineStr">
        <is>
          <t>SKÅNE LÄN</t>
        </is>
      </c>
      <c r="E337" t="inlineStr">
        <is>
          <t>ESLÖV</t>
        </is>
      </c>
      <c r="G337" t="n">
        <v>3.7</v>
      </c>
      <c r="H337" t="n">
        <v>1</v>
      </c>
      <c r="I337" t="n">
        <v>0</v>
      </c>
      <c r="J337" t="n">
        <v>0</v>
      </c>
      <c r="K337" t="n">
        <v>0</v>
      </c>
      <c r="L337" t="n">
        <v>0</v>
      </c>
      <c r="M337" t="n">
        <v>0</v>
      </c>
      <c r="N337" t="n">
        <v>1</v>
      </c>
      <c r="O337" t="n">
        <v>1</v>
      </c>
      <c r="P337" t="n">
        <v>0</v>
      </c>
      <c r="Q337" t="n">
        <v>1</v>
      </c>
      <c r="R337" s="2" t="inlineStr">
        <is>
          <t>Svart stork</t>
        </is>
      </c>
      <c r="S337">
        <f>HYPERLINK("https://klasma.github.io/Logging_1285/artfynd/A 1510-2024 artfynd.xlsx", "A 1510-2024")</f>
        <v/>
      </c>
      <c r="T337">
        <f>HYPERLINK("https://klasma.github.io/Logging_1285/kartor/A 1510-2024 karta.png", "A 1510-2024")</f>
        <v/>
      </c>
      <c r="V337">
        <f>HYPERLINK("https://klasma.github.io/Logging_1285/klagomål/A 1510-2024 FSC-klagomål.docx", "A 1510-2024")</f>
        <v/>
      </c>
      <c r="W337">
        <f>HYPERLINK("https://klasma.github.io/Logging_1285/klagomålsmail/A 1510-2024 FSC-klagomål mail.docx", "A 1510-2024")</f>
        <v/>
      </c>
      <c r="X337">
        <f>HYPERLINK("https://klasma.github.io/Logging_1285/tillsyn/A 1510-2024 tillsynsbegäran.docx", "A 1510-2024")</f>
        <v/>
      </c>
      <c r="Y337">
        <f>HYPERLINK("https://klasma.github.io/Logging_1285/tillsynsmail/A 1510-2024 tillsynsbegäran mail.docx", "A 1510-2024")</f>
        <v/>
      </c>
      <c r="Z337">
        <f>HYPERLINK("https://klasma.github.io/Logging_1285/fåglar/A 1510-2024 prioriterade fågelarter.docx", "A 1510-2024")</f>
        <v/>
      </c>
    </row>
    <row r="338" ht="15" customHeight="1">
      <c r="A338" t="inlineStr">
        <is>
          <t>A 1577-2024</t>
        </is>
      </c>
      <c r="B338" s="1" t="n">
        <v>45306</v>
      </c>
      <c r="C338" s="1" t="n">
        <v>45704</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1782-2024</t>
        </is>
      </c>
      <c r="B339" s="1" t="n">
        <v>45307</v>
      </c>
      <c r="C339" s="1" t="n">
        <v>45704</v>
      </c>
      <c r="D339" t="inlineStr">
        <is>
          <t>SKÅNE LÄN</t>
        </is>
      </c>
      <c r="E339" t="inlineStr">
        <is>
          <t>BÅSTAD</t>
        </is>
      </c>
      <c r="G339" t="n">
        <v>2.7</v>
      </c>
      <c r="H339" t="n">
        <v>1</v>
      </c>
      <c r="I339" t="n">
        <v>0</v>
      </c>
      <c r="J339" t="n">
        <v>0</v>
      </c>
      <c r="K339" t="n">
        <v>0</v>
      </c>
      <c r="L339" t="n">
        <v>0</v>
      </c>
      <c r="M339" t="n">
        <v>0</v>
      </c>
      <c r="N339" t="n">
        <v>0</v>
      </c>
      <c r="O339" t="n">
        <v>0</v>
      </c>
      <c r="P339" t="n">
        <v>0</v>
      </c>
      <c r="Q339" t="n">
        <v>1</v>
      </c>
      <c r="R339" s="2" t="inlineStr">
        <is>
          <t>Grönvit nattviol</t>
        </is>
      </c>
      <c r="S339">
        <f>HYPERLINK("https://klasma.github.io/Logging_1278/artfynd/A 1782-2024 artfynd.xlsx", "A 1782-2024")</f>
        <v/>
      </c>
      <c r="T339">
        <f>HYPERLINK("https://klasma.github.io/Logging_1278/kartor/A 1782-2024 karta.png", "A 1782-2024")</f>
        <v/>
      </c>
      <c r="V339">
        <f>HYPERLINK("https://klasma.github.io/Logging_1278/klagomål/A 1782-2024 FSC-klagomål.docx", "A 1782-2024")</f>
        <v/>
      </c>
      <c r="W339">
        <f>HYPERLINK("https://klasma.github.io/Logging_1278/klagomålsmail/A 1782-2024 FSC-klagomål mail.docx", "A 1782-2024")</f>
        <v/>
      </c>
      <c r="X339">
        <f>HYPERLINK("https://klasma.github.io/Logging_1278/tillsyn/A 1782-2024 tillsynsbegäran.docx", "A 1782-2024")</f>
        <v/>
      </c>
      <c r="Y339">
        <f>HYPERLINK("https://klasma.github.io/Logging_1278/tillsynsmail/A 1782-2024 tillsynsbegäran mail.docx", "A 1782-2024")</f>
        <v/>
      </c>
    </row>
    <row r="340" ht="15" customHeight="1">
      <c r="A340" t="inlineStr">
        <is>
          <t>A 2018-2024</t>
        </is>
      </c>
      <c r="B340" s="1" t="n">
        <v>45308</v>
      </c>
      <c r="C340" s="1" t="n">
        <v>45704</v>
      </c>
      <c r="D340" t="inlineStr">
        <is>
          <t>SKÅNE LÄN</t>
        </is>
      </c>
      <c r="E340" t="inlineStr">
        <is>
          <t>TOMELILLA</t>
        </is>
      </c>
      <c r="G340" t="n">
        <v>17.2</v>
      </c>
      <c r="H340" t="n">
        <v>0</v>
      </c>
      <c r="I340" t="n">
        <v>0</v>
      </c>
      <c r="J340" t="n">
        <v>1</v>
      </c>
      <c r="K340" t="n">
        <v>0</v>
      </c>
      <c r="L340" t="n">
        <v>0</v>
      </c>
      <c r="M340" t="n">
        <v>0</v>
      </c>
      <c r="N340" t="n">
        <v>0</v>
      </c>
      <c r="O340" t="n">
        <v>1</v>
      </c>
      <c r="P340" t="n">
        <v>0</v>
      </c>
      <c r="Q340" t="n">
        <v>1</v>
      </c>
      <c r="R340" s="2" t="inlineStr">
        <is>
          <t>Åkerkulla</t>
        </is>
      </c>
      <c r="S340">
        <f>HYPERLINK("https://klasma.github.io/Logging_1270/artfynd/A 2018-2024 artfynd.xlsx", "A 2018-2024")</f>
        <v/>
      </c>
      <c r="T340">
        <f>HYPERLINK("https://klasma.github.io/Logging_1270/kartor/A 2018-2024 karta.png", "A 2018-2024")</f>
        <v/>
      </c>
      <c r="V340">
        <f>HYPERLINK("https://klasma.github.io/Logging_1270/klagomål/A 2018-2024 FSC-klagomål.docx", "A 2018-2024")</f>
        <v/>
      </c>
      <c r="W340">
        <f>HYPERLINK("https://klasma.github.io/Logging_1270/klagomålsmail/A 2018-2024 FSC-klagomål mail.docx", "A 2018-2024")</f>
        <v/>
      </c>
      <c r="X340">
        <f>HYPERLINK("https://klasma.github.io/Logging_1270/tillsyn/A 2018-2024 tillsynsbegäran.docx", "A 2018-2024")</f>
        <v/>
      </c>
      <c r="Y340">
        <f>HYPERLINK("https://klasma.github.io/Logging_1270/tillsynsmail/A 2018-2024 tillsynsbegäran mail.docx", "A 2018-2024")</f>
        <v/>
      </c>
    </row>
    <row r="341" ht="15" customHeight="1">
      <c r="A341" t="inlineStr">
        <is>
          <t>A 2942-2024</t>
        </is>
      </c>
      <c r="B341" s="1" t="n">
        <v>45315</v>
      </c>
      <c r="C341" s="1" t="n">
        <v>45704</v>
      </c>
      <c r="D341" t="inlineStr">
        <is>
          <t>SKÅNE LÄN</t>
        </is>
      </c>
      <c r="E341" t="inlineStr">
        <is>
          <t>HÖÖR</t>
        </is>
      </c>
      <c r="G341" t="n">
        <v>11.2</v>
      </c>
      <c r="H341" t="n">
        <v>1</v>
      </c>
      <c r="I341" t="n">
        <v>0</v>
      </c>
      <c r="J341" t="n">
        <v>0</v>
      </c>
      <c r="K341" t="n">
        <v>0</v>
      </c>
      <c r="L341" t="n">
        <v>0</v>
      </c>
      <c r="M341" t="n">
        <v>0</v>
      </c>
      <c r="N341" t="n">
        <v>0</v>
      </c>
      <c r="O341" t="n">
        <v>0</v>
      </c>
      <c r="P341" t="n">
        <v>0</v>
      </c>
      <c r="Q341" t="n">
        <v>1</v>
      </c>
      <c r="R341" s="2" t="inlineStr">
        <is>
          <t>Revlummer</t>
        </is>
      </c>
      <c r="S341">
        <f>HYPERLINK("https://klasma.github.io/Logging_1267/artfynd/A 2942-2024 artfynd.xlsx", "A 2942-2024")</f>
        <v/>
      </c>
      <c r="T341">
        <f>HYPERLINK("https://klasma.github.io/Logging_1267/kartor/A 2942-2024 karta.png", "A 2942-2024")</f>
        <v/>
      </c>
      <c r="V341">
        <f>HYPERLINK("https://klasma.github.io/Logging_1267/klagomål/A 2942-2024 FSC-klagomål.docx", "A 2942-2024")</f>
        <v/>
      </c>
      <c r="W341">
        <f>HYPERLINK("https://klasma.github.io/Logging_1267/klagomålsmail/A 2942-2024 FSC-klagomål mail.docx", "A 2942-2024")</f>
        <v/>
      </c>
      <c r="X341">
        <f>HYPERLINK("https://klasma.github.io/Logging_1267/tillsyn/A 2942-2024 tillsynsbegäran.docx", "A 2942-2024")</f>
        <v/>
      </c>
      <c r="Y341">
        <f>HYPERLINK("https://klasma.github.io/Logging_1267/tillsynsmail/A 2942-2024 tillsynsbegäran mail.docx", "A 2942-2024")</f>
        <v/>
      </c>
    </row>
    <row r="342" ht="15" customHeight="1">
      <c r="A342" t="inlineStr">
        <is>
          <t>A 3401-2024</t>
        </is>
      </c>
      <c r="B342" s="1" t="n">
        <v>45318</v>
      </c>
      <c r="C342" s="1" t="n">
        <v>45704</v>
      </c>
      <c r="D342" t="inlineStr">
        <is>
          <t>SKÅNE LÄN</t>
        </is>
      </c>
      <c r="E342" t="inlineStr">
        <is>
          <t>SIMRISHAMN</t>
        </is>
      </c>
      <c r="G342" t="n">
        <v>6.8</v>
      </c>
      <c r="H342" t="n">
        <v>0</v>
      </c>
      <c r="I342" t="n">
        <v>0</v>
      </c>
      <c r="J342" t="n">
        <v>1</v>
      </c>
      <c r="K342" t="n">
        <v>0</v>
      </c>
      <c r="L342" t="n">
        <v>0</v>
      </c>
      <c r="M342" t="n">
        <v>0</v>
      </c>
      <c r="N342" t="n">
        <v>0</v>
      </c>
      <c r="O342" t="n">
        <v>1</v>
      </c>
      <c r="P342" t="n">
        <v>0</v>
      </c>
      <c r="Q342" t="n">
        <v>1</v>
      </c>
      <c r="R342" s="2" t="inlineStr">
        <is>
          <t>Borsttåg</t>
        </is>
      </c>
      <c r="S342">
        <f>HYPERLINK("https://klasma.github.io/Logging_1291/artfynd/A 3401-2024 artfynd.xlsx", "A 3401-2024")</f>
        <v/>
      </c>
      <c r="T342">
        <f>HYPERLINK("https://klasma.github.io/Logging_1291/kartor/A 3401-2024 karta.png", "A 3401-2024")</f>
        <v/>
      </c>
      <c r="V342">
        <f>HYPERLINK("https://klasma.github.io/Logging_1291/klagomål/A 3401-2024 FSC-klagomål.docx", "A 3401-2024")</f>
        <v/>
      </c>
      <c r="W342">
        <f>HYPERLINK("https://klasma.github.io/Logging_1291/klagomålsmail/A 3401-2024 FSC-klagomål mail.docx", "A 3401-2024")</f>
        <v/>
      </c>
      <c r="X342">
        <f>HYPERLINK("https://klasma.github.io/Logging_1291/tillsyn/A 3401-2024 tillsynsbegäran.docx", "A 3401-2024")</f>
        <v/>
      </c>
      <c r="Y342">
        <f>HYPERLINK("https://klasma.github.io/Logging_1291/tillsynsmail/A 3401-2024 tillsynsbegäran mail.docx", "A 3401-2024")</f>
        <v/>
      </c>
    </row>
    <row r="343" ht="15" customHeight="1">
      <c r="A343" t="inlineStr">
        <is>
          <t>A 3954-2024</t>
        </is>
      </c>
      <c r="B343" s="1" t="n">
        <v>45322</v>
      </c>
      <c r="C343" s="1" t="n">
        <v>45704</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4443-2024</t>
        </is>
      </c>
      <c r="B344" s="1" t="n">
        <v>45324</v>
      </c>
      <c r="C344" s="1" t="n">
        <v>45704</v>
      </c>
      <c r="D344" t="inlineStr">
        <is>
          <t>SKÅNE LÄN</t>
        </is>
      </c>
      <c r="E344" t="inlineStr">
        <is>
          <t>HÖÖR</t>
        </is>
      </c>
      <c r="G344" t="n">
        <v>6.5</v>
      </c>
      <c r="H344" t="n">
        <v>0</v>
      </c>
      <c r="I344" t="n">
        <v>0</v>
      </c>
      <c r="J344" t="n">
        <v>0</v>
      </c>
      <c r="K344" t="n">
        <v>1</v>
      </c>
      <c r="L344" t="n">
        <v>0</v>
      </c>
      <c r="M344" t="n">
        <v>0</v>
      </c>
      <c r="N344" t="n">
        <v>0</v>
      </c>
      <c r="O344" t="n">
        <v>1</v>
      </c>
      <c r="P344" t="n">
        <v>1</v>
      </c>
      <c r="Q344" t="n">
        <v>1</v>
      </c>
      <c r="R344" s="2" t="inlineStr">
        <is>
          <t>Småvänderot</t>
        </is>
      </c>
      <c r="S344">
        <f>HYPERLINK("https://klasma.github.io/Logging_1267/artfynd/A 4443-2024 artfynd.xlsx", "A 4443-2024")</f>
        <v/>
      </c>
      <c r="T344">
        <f>HYPERLINK("https://klasma.github.io/Logging_1267/kartor/A 4443-2024 karta.png", "A 4443-2024")</f>
        <v/>
      </c>
      <c r="V344">
        <f>HYPERLINK("https://klasma.github.io/Logging_1267/klagomål/A 4443-2024 FSC-klagomål.docx", "A 4443-2024")</f>
        <v/>
      </c>
      <c r="W344">
        <f>HYPERLINK("https://klasma.github.io/Logging_1267/klagomålsmail/A 4443-2024 FSC-klagomål mail.docx", "A 4443-2024")</f>
        <v/>
      </c>
      <c r="X344">
        <f>HYPERLINK("https://klasma.github.io/Logging_1267/tillsyn/A 4443-2024 tillsynsbegäran.docx", "A 4443-2024")</f>
        <v/>
      </c>
      <c r="Y344">
        <f>HYPERLINK("https://klasma.github.io/Logging_1267/tillsynsmail/A 4443-2024 tillsynsbegäran mail.docx", "A 4443-2024")</f>
        <v/>
      </c>
    </row>
    <row r="345" ht="15" customHeight="1">
      <c r="A345" t="inlineStr">
        <is>
          <t>A 5423-2024</t>
        </is>
      </c>
      <c r="B345" s="1" t="n">
        <v>45331</v>
      </c>
      <c r="C345" s="1" t="n">
        <v>45704</v>
      </c>
      <c r="D345" t="inlineStr">
        <is>
          <t>SKÅNE LÄN</t>
        </is>
      </c>
      <c r="E345" t="inlineStr">
        <is>
          <t>HÖÖR</t>
        </is>
      </c>
      <c r="G345" t="n">
        <v>6.2</v>
      </c>
      <c r="H345" t="n">
        <v>0</v>
      </c>
      <c r="I345" t="n">
        <v>0</v>
      </c>
      <c r="J345" t="n">
        <v>1</v>
      </c>
      <c r="K345" t="n">
        <v>0</v>
      </c>
      <c r="L345" t="n">
        <v>0</v>
      </c>
      <c r="M345" t="n">
        <v>0</v>
      </c>
      <c r="N345" t="n">
        <v>0</v>
      </c>
      <c r="O345" t="n">
        <v>1</v>
      </c>
      <c r="P345" t="n">
        <v>0</v>
      </c>
      <c r="Q345" t="n">
        <v>1</v>
      </c>
      <c r="R345" s="2" t="inlineStr">
        <is>
          <t>Igelkott</t>
        </is>
      </c>
      <c r="S345">
        <f>HYPERLINK("https://klasma.github.io/Logging_1267/artfynd/A 5423-2024 artfynd.xlsx", "A 5423-2024")</f>
        <v/>
      </c>
      <c r="T345">
        <f>HYPERLINK("https://klasma.github.io/Logging_1267/kartor/A 5423-2024 karta.png", "A 5423-2024")</f>
        <v/>
      </c>
      <c r="V345">
        <f>HYPERLINK("https://klasma.github.io/Logging_1267/klagomål/A 5423-2024 FSC-klagomål.docx", "A 5423-2024")</f>
        <v/>
      </c>
      <c r="W345">
        <f>HYPERLINK("https://klasma.github.io/Logging_1267/klagomålsmail/A 5423-2024 FSC-klagomål mail.docx", "A 5423-2024")</f>
        <v/>
      </c>
      <c r="X345">
        <f>HYPERLINK("https://klasma.github.io/Logging_1267/tillsyn/A 5423-2024 tillsynsbegäran.docx", "A 5423-2024")</f>
        <v/>
      </c>
      <c r="Y345">
        <f>HYPERLINK("https://klasma.github.io/Logging_1267/tillsynsmail/A 5423-2024 tillsynsbegäran mail.docx", "A 5423-2024")</f>
        <v/>
      </c>
    </row>
    <row r="346" ht="15" customHeight="1">
      <c r="A346" t="inlineStr">
        <is>
          <t>A 6245-2024</t>
        </is>
      </c>
      <c r="B346" s="1" t="n">
        <v>45337</v>
      </c>
      <c r="C346" s="1" t="n">
        <v>45704</v>
      </c>
      <c r="D346" t="inlineStr">
        <is>
          <t>SKÅNE LÄN</t>
        </is>
      </c>
      <c r="E346" t="inlineStr">
        <is>
          <t>KRISTIANSTAD</t>
        </is>
      </c>
      <c r="F346" t="inlineStr">
        <is>
          <t>Övriga Aktiebolag</t>
        </is>
      </c>
      <c r="G346" t="n">
        <v>8.699999999999999</v>
      </c>
      <c r="H346" t="n">
        <v>0</v>
      </c>
      <c r="I346" t="n">
        <v>0</v>
      </c>
      <c r="J346" t="n">
        <v>0</v>
      </c>
      <c r="K346" t="n">
        <v>1</v>
      </c>
      <c r="L346" t="n">
        <v>0</v>
      </c>
      <c r="M346" t="n">
        <v>0</v>
      </c>
      <c r="N346" t="n">
        <v>0</v>
      </c>
      <c r="O346" t="n">
        <v>1</v>
      </c>
      <c r="P346" t="n">
        <v>1</v>
      </c>
      <c r="Q346" t="n">
        <v>1</v>
      </c>
      <c r="R346" s="2" t="inlineStr">
        <is>
          <t>Flenörtskapuschongfly</t>
        </is>
      </c>
      <c r="S346">
        <f>HYPERLINK("https://klasma.github.io/Logging_1290/artfynd/A 6245-2024 artfynd.xlsx", "A 6245-2024")</f>
        <v/>
      </c>
      <c r="T346">
        <f>HYPERLINK("https://klasma.github.io/Logging_1290/kartor/A 6245-2024 karta.png", "A 6245-2024")</f>
        <v/>
      </c>
      <c r="V346">
        <f>HYPERLINK("https://klasma.github.io/Logging_1290/klagomål/A 6245-2024 FSC-klagomål.docx", "A 6245-2024")</f>
        <v/>
      </c>
      <c r="W346">
        <f>HYPERLINK("https://klasma.github.io/Logging_1290/klagomålsmail/A 6245-2024 FSC-klagomål mail.docx", "A 6245-2024")</f>
        <v/>
      </c>
      <c r="X346">
        <f>HYPERLINK("https://klasma.github.io/Logging_1290/tillsyn/A 6245-2024 tillsynsbegäran.docx", "A 6245-2024")</f>
        <v/>
      </c>
      <c r="Y346">
        <f>HYPERLINK("https://klasma.github.io/Logging_1290/tillsynsmail/A 6245-2024 tillsynsbegäran mail.docx", "A 6245-2024")</f>
        <v/>
      </c>
    </row>
    <row r="347" ht="15" customHeight="1">
      <c r="A347" t="inlineStr">
        <is>
          <t>A 6634-2024</t>
        </is>
      </c>
      <c r="B347" s="1" t="n">
        <v>45341</v>
      </c>
      <c r="C347" s="1" t="n">
        <v>45704</v>
      </c>
      <c r="D347" t="inlineStr">
        <is>
          <t>SKÅNE LÄN</t>
        </is>
      </c>
      <c r="E347" t="inlineStr">
        <is>
          <t>HÄSSLEHOLM</t>
        </is>
      </c>
      <c r="G347" t="n">
        <v>1.9</v>
      </c>
      <c r="H347" t="n">
        <v>0</v>
      </c>
      <c r="I347" t="n">
        <v>0</v>
      </c>
      <c r="J347" t="n">
        <v>0</v>
      </c>
      <c r="K347" t="n">
        <v>1</v>
      </c>
      <c r="L347" t="n">
        <v>0</v>
      </c>
      <c r="M347" t="n">
        <v>0</v>
      </c>
      <c r="N347" t="n">
        <v>0</v>
      </c>
      <c r="O347" t="n">
        <v>1</v>
      </c>
      <c r="P347" t="n">
        <v>1</v>
      </c>
      <c r="Q347" t="n">
        <v>1</v>
      </c>
      <c r="R347" s="2" t="inlineStr">
        <is>
          <t>Revig blodrot</t>
        </is>
      </c>
      <c r="S347">
        <f>HYPERLINK("https://klasma.github.io/Logging_1293/artfynd/A 6634-2024 artfynd.xlsx", "A 6634-2024")</f>
        <v/>
      </c>
      <c r="T347">
        <f>HYPERLINK("https://klasma.github.io/Logging_1293/kartor/A 6634-2024 karta.png", "A 6634-2024")</f>
        <v/>
      </c>
      <c r="V347">
        <f>HYPERLINK("https://klasma.github.io/Logging_1293/klagomål/A 6634-2024 FSC-klagomål.docx", "A 6634-2024")</f>
        <v/>
      </c>
      <c r="W347">
        <f>HYPERLINK("https://klasma.github.io/Logging_1293/klagomålsmail/A 6634-2024 FSC-klagomål mail.docx", "A 6634-2024")</f>
        <v/>
      </c>
      <c r="X347">
        <f>HYPERLINK("https://klasma.github.io/Logging_1293/tillsyn/A 6634-2024 tillsynsbegäran.docx", "A 6634-2024")</f>
        <v/>
      </c>
      <c r="Y347">
        <f>HYPERLINK("https://klasma.github.io/Logging_1293/tillsynsmail/A 6634-2024 tillsynsbegäran mail.docx", "A 6634-2024")</f>
        <v/>
      </c>
    </row>
    <row r="348" ht="15" customHeight="1">
      <c r="A348" t="inlineStr">
        <is>
          <t>A 7082-2024</t>
        </is>
      </c>
      <c r="B348" s="1" t="n">
        <v>45343</v>
      </c>
      <c r="C348" s="1" t="n">
        <v>45704</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7559-2024</t>
        </is>
      </c>
      <c r="B349" s="1" t="n">
        <v>45348</v>
      </c>
      <c r="C349" s="1" t="n">
        <v>45704</v>
      </c>
      <c r="D349" t="inlineStr">
        <is>
          <t>SKÅNE LÄN</t>
        </is>
      </c>
      <c r="E349" t="inlineStr">
        <is>
          <t>SVALÖV</t>
        </is>
      </c>
      <c r="G349" t="n">
        <v>10.2</v>
      </c>
      <c r="H349" t="n">
        <v>1</v>
      </c>
      <c r="I349" t="n">
        <v>0</v>
      </c>
      <c r="J349" t="n">
        <v>1</v>
      </c>
      <c r="K349" t="n">
        <v>0</v>
      </c>
      <c r="L349" t="n">
        <v>0</v>
      </c>
      <c r="M349" t="n">
        <v>0</v>
      </c>
      <c r="N349" t="n">
        <v>0</v>
      </c>
      <c r="O349" t="n">
        <v>1</v>
      </c>
      <c r="P349" t="n">
        <v>0</v>
      </c>
      <c r="Q349" t="n">
        <v>1</v>
      </c>
      <c r="R349" s="2" t="inlineStr">
        <is>
          <t>Entita</t>
        </is>
      </c>
      <c r="S349">
        <f>HYPERLINK("https://klasma.github.io/Logging_1214/artfynd/A 7559-2024 artfynd.xlsx", "A 7559-2024")</f>
        <v/>
      </c>
      <c r="T349">
        <f>HYPERLINK("https://klasma.github.io/Logging_1214/kartor/A 7559-2024 karta.png", "A 7559-2024")</f>
        <v/>
      </c>
      <c r="V349">
        <f>HYPERLINK("https://klasma.github.io/Logging_1214/klagomål/A 7559-2024 FSC-klagomål.docx", "A 7559-2024")</f>
        <v/>
      </c>
      <c r="W349">
        <f>HYPERLINK("https://klasma.github.io/Logging_1214/klagomålsmail/A 7559-2024 FSC-klagomål mail.docx", "A 7559-2024")</f>
        <v/>
      </c>
      <c r="X349">
        <f>HYPERLINK("https://klasma.github.io/Logging_1214/tillsyn/A 7559-2024 tillsynsbegäran.docx", "A 7559-2024")</f>
        <v/>
      </c>
      <c r="Y349">
        <f>HYPERLINK("https://klasma.github.io/Logging_1214/tillsynsmail/A 7559-2024 tillsynsbegäran mail.docx", "A 7559-2024")</f>
        <v/>
      </c>
      <c r="Z349">
        <f>HYPERLINK("https://klasma.github.io/Logging_1214/fåglar/A 7559-2024 prioriterade fågelarter.docx", "A 7559-2024")</f>
        <v/>
      </c>
    </row>
    <row r="350" ht="15" customHeight="1">
      <c r="A350" t="inlineStr">
        <is>
          <t>A 7862-2024</t>
        </is>
      </c>
      <c r="B350" s="1" t="n">
        <v>45348</v>
      </c>
      <c r="C350" s="1" t="n">
        <v>45704</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8150-2024</t>
        </is>
      </c>
      <c r="B351" s="1" t="n">
        <v>45351</v>
      </c>
      <c r="C351" s="1" t="n">
        <v>45704</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8169-2024</t>
        </is>
      </c>
      <c r="B352" s="1" t="n">
        <v>45351</v>
      </c>
      <c r="C352" s="1" t="n">
        <v>45704</v>
      </c>
      <c r="D352" t="inlineStr">
        <is>
          <t>SKÅNE LÄN</t>
        </is>
      </c>
      <c r="E352" t="inlineStr">
        <is>
          <t>SVALÖV</t>
        </is>
      </c>
      <c r="G352" t="n">
        <v>3.1</v>
      </c>
      <c r="H352" t="n">
        <v>0</v>
      </c>
      <c r="I352" t="n">
        <v>0</v>
      </c>
      <c r="J352" t="n">
        <v>1</v>
      </c>
      <c r="K352" t="n">
        <v>0</v>
      </c>
      <c r="L352" t="n">
        <v>0</v>
      </c>
      <c r="M352" t="n">
        <v>0</v>
      </c>
      <c r="N352" t="n">
        <v>0</v>
      </c>
      <c r="O352" t="n">
        <v>1</v>
      </c>
      <c r="P352" t="n">
        <v>0</v>
      </c>
      <c r="Q352" t="n">
        <v>1</v>
      </c>
      <c r="R352" s="2" t="inlineStr">
        <is>
          <t>Mjukdån</t>
        </is>
      </c>
      <c r="S352">
        <f>HYPERLINK("https://klasma.github.io/Logging_1214/artfynd/A 8169-2024 artfynd.xlsx", "A 8169-2024")</f>
        <v/>
      </c>
      <c r="T352">
        <f>HYPERLINK("https://klasma.github.io/Logging_1214/kartor/A 8169-2024 karta.png", "A 8169-2024")</f>
        <v/>
      </c>
      <c r="V352">
        <f>HYPERLINK("https://klasma.github.io/Logging_1214/klagomål/A 8169-2024 FSC-klagomål.docx", "A 8169-2024")</f>
        <v/>
      </c>
      <c r="W352">
        <f>HYPERLINK("https://klasma.github.io/Logging_1214/klagomålsmail/A 8169-2024 FSC-klagomål mail.docx", "A 8169-2024")</f>
        <v/>
      </c>
      <c r="X352">
        <f>HYPERLINK("https://klasma.github.io/Logging_1214/tillsyn/A 8169-2024 tillsynsbegäran.docx", "A 8169-2024")</f>
        <v/>
      </c>
      <c r="Y352">
        <f>HYPERLINK("https://klasma.github.io/Logging_1214/tillsynsmail/A 8169-2024 tillsynsbegäran mail.docx", "A 8169-2024")</f>
        <v/>
      </c>
    </row>
    <row r="353" ht="15" customHeight="1">
      <c r="A353" t="inlineStr">
        <is>
          <t>A 9758-2024</t>
        </is>
      </c>
      <c r="B353" s="1" t="n">
        <v>45362</v>
      </c>
      <c r="C353" s="1" t="n">
        <v>45704</v>
      </c>
      <c r="D353" t="inlineStr">
        <is>
          <t>SKÅNE LÄN</t>
        </is>
      </c>
      <c r="E353" t="inlineStr">
        <is>
          <t>LUND</t>
        </is>
      </c>
      <c r="G353" t="n">
        <v>12.4</v>
      </c>
      <c r="H353" t="n">
        <v>1</v>
      </c>
      <c r="I353" t="n">
        <v>0</v>
      </c>
      <c r="J353" t="n">
        <v>0</v>
      </c>
      <c r="K353" t="n">
        <v>0</v>
      </c>
      <c r="L353" t="n">
        <v>0</v>
      </c>
      <c r="M353" t="n">
        <v>0</v>
      </c>
      <c r="N353" t="n">
        <v>0</v>
      </c>
      <c r="O353" t="n">
        <v>0</v>
      </c>
      <c r="P353" t="n">
        <v>0</v>
      </c>
      <c r="Q353" t="n">
        <v>1</v>
      </c>
      <c r="R353" s="2" t="inlineStr">
        <is>
          <t>Grönvit nattviol</t>
        </is>
      </c>
      <c r="S353">
        <f>HYPERLINK("https://klasma.github.io/Logging_1281/artfynd/A 9758-2024 artfynd.xlsx", "A 9758-2024")</f>
        <v/>
      </c>
      <c r="T353">
        <f>HYPERLINK("https://klasma.github.io/Logging_1281/kartor/A 9758-2024 karta.png", "A 9758-2024")</f>
        <v/>
      </c>
      <c r="V353">
        <f>HYPERLINK("https://klasma.github.io/Logging_1281/klagomål/A 9758-2024 FSC-klagomål.docx", "A 9758-2024")</f>
        <v/>
      </c>
      <c r="W353">
        <f>HYPERLINK("https://klasma.github.io/Logging_1281/klagomålsmail/A 9758-2024 FSC-klagomål mail.docx", "A 9758-2024")</f>
        <v/>
      </c>
      <c r="X353">
        <f>HYPERLINK("https://klasma.github.io/Logging_1281/tillsyn/A 9758-2024 tillsynsbegäran.docx", "A 9758-2024")</f>
        <v/>
      </c>
      <c r="Y353">
        <f>HYPERLINK("https://klasma.github.io/Logging_1281/tillsynsmail/A 9758-2024 tillsynsbegäran mail.docx", "A 9758-2024")</f>
        <v/>
      </c>
    </row>
    <row r="354" ht="15" customHeight="1">
      <c r="A354" t="inlineStr">
        <is>
          <t>A 10056-2024</t>
        </is>
      </c>
      <c r="B354" s="1" t="n">
        <v>45364</v>
      </c>
      <c r="C354" s="1" t="n">
        <v>45704</v>
      </c>
      <c r="D354" t="inlineStr">
        <is>
          <t>SKÅNE LÄN</t>
        </is>
      </c>
      <c r="E354" t="inlineStr">
        <is>
          <t>OSBY</t>
        </is>
      </c>
      <c r="G354" t="n">
        <v>6</v>
      </c>
      <c r="H354" t="n">
        <v>1</v>
      </c>
      <c r="I354" t="n">
        <v>0</v>
      </c>
      <c r="J354" t="n">
        <v>0</v>
      </c>
      <c r="K354" t="n">
        <v>0</v>
      </c>
      <c r="L354" t="n">
        <v>0</v>
      </c>
      <c r="M354" t="n">
        <v>0</v>
      </c>
      <c r="N354" t="n">
        <v>0</v>
      </c>
      <c r="O354" t="n">
        <v>0</v>
      </c>
      <c r="P354" t="n">
        <v>0</v>
      </c>
      <c r="Q354" t="n">
        <v>1</v>
      </c>
      <c r="R354" s="2" t="inlineStr">
        <is>
          <t>Grönvit nattviol</t>
        </is>
      </c>
      <c r="S354">
        <f>HYPERLINK("https://klasma.github.io/Logging_1273/artfynd/A 10056-2024 artfynd.xlsx", "A 10056-2024")</f>
        <v/>
      </c>
      <c r="T354">
        <f>HYPERLINK("https://klasma.github.io/Logging_1273/kartor/A 10056-2024 karta.png", "A 10056-2024")</f>
        <v/>
      </c>
      <c r="V354">
        <f>HYPERLINK("https://klasma.github.io/Logging_1273/klagomål/A 10056-2024 FSC-klagomål.docx", "A 10056-2024")</f>
        <v/>
      </c>
      <c r="W354">
        <f>HYPERLINK("https://klasma.github.io/Logging_1273/klagomålsmail/A 10056-2024 FSC-klagomål mail.docx", "A 10056-2024")</f>
        <v/>
      </c>
      <c r="X354">
        <f>HYPERLINK("https://klasma.github.io/Logging_1273/tillsyn/A 10056-2024 tillsynsbegäran.docx", "A 10056-2024")</f>
        <v/>
      </c>
      <c r="Y354">
        <f>HYPERLINK("https://klasma.github.io/Logging_1273/tillsynsmail/A 10056-2024 tillsynsbegäran mail.docx", "A 10056-2024")</f>
        <v/>
      </c>
    </row>
    <row r="355" ht="15" customHeight="1">
      <c r="A355" t="inlineStr">
        <is>
          <t>A 11226-2024</t>
        </is>
      </c>
      <c r="B355" s="1" t="n">
        <v>45371</v>
      </c>
      <c r="C355" s="1" t="n">
        <v>45704</v>
      </c>
      <c r="D355" t="inlineStr">
        <is>
          <t>SKÅNE LÄN</t>
        </is>
      </c>
      <c r="E355" t="inlineStr">
        <is>
          <t>HÄSSLEHOLM</t>
        </is>
      </c>
      <c r="G355" t="n">
        <v>1.5</v>
      </c>
      <c r="H355" t="n">
        <v>0</v>
      </c>
      <c r="I355" t="n">
        <v>0</v>
      </c>
      <c r="J355" t="n">
        <v>0</v>
      </c>
      <c r="K355" t="n">
        <v>1</v>
      </c>
      <c r="L355" t="n">
        <v>0</v>
      </c>
      <c r="M355" t="n">
        <v>0</v>
      </c>
      <c r="N355" t="n">
        <v>0</v>
      </c>
      <c r="O355" t="n">
        <v>1</v>
      </c>
      <c r="P355" t="n">
        <v>1</v>
      </c>
      <c r="Q355" t="n">
        <v>1</v>
      </c>
      <c r="R355" s="2" t="inlineStr">
        <is>
          <t>Småvänderot</t>
        </is>
      </c>
      <c r="S355">
        <f>HYPERLINK("https://klasma.github.io/Logging_1293/artfynd/A 11226-2024 artfynd.xlsx", "A 11226-2024")</f>
        <v/>
      </c>
      <c r="T355">
        <f>HYPERLINK("https://klasma.github.io/Logging_1293/kartor/A 11226-2024 karta.png", "A 11226-2024")</f>
        <v/>
      </c>
      <c r="V355">
        <f>HYPERLINK("https://klasma.github.io/Logging_1293/klagomål/A 11226-2024 FSC-klagomål.docx", "A 11226-2024")</f>
        <v/>
      </c>
      <c r="W355">
        <f>HYPERLINK("https://klasma.github.io/Logging_1293/klagomålsmail/A 11226-2024 FSC-klagomål mail.docx", "A 11226-2024")</f>
        <v/>
      </c>
      <c r="X355">
        <f>HYPERLINK("https://klasma.github.io/Logging_1293/tillsyn/A 11226-2024 tillsynsbegäran.docx", "A 11226-2024")</f>
        <v/>
      </c>
      <c r="Y355">
        <f>HYPERLINK("https://klasma.github.io/Logging_1293/tillsynsmail/A 11226-2024 tillsynsbegäran mail.docx", "A 11226-2024")</f>
        <v/>
      </c>
    </row>
    <row r="356" ht="15" customHeight="1">
      <c r="A356" t="inlineStr">
        <is>
          <t>A 11731-2024</t>
        </is>
      </c>
      <c r="B356" s="1" t="n">
        <v>45373</v>
      </c>
      <c r="C356" s="1" t="n">
        <v>45704</v>
      </c>
      <c r="D356" t="inlineStr">
        <is>
          <t>SKÅNE LÄN</t>
        </is>
      </c>
      <c r="E356" t="inlineStr">
        <is>
          <t>LUND</t>
        </is>
      </c>
      <c r="G356" t="n">
        <v>14.5</v>
      </c>
      <c r="H356" t="n">
        <v>0</v>
      </c>
      <c r="I356" t="n">
        <v>1</v>
      </c>
      <c r="J356" t="n">
        <v>0</v>
      </c>
      <c r="K356" t="n">
        <v>0</v>
      </c>
      <c r="L356" t="n">
        <v>0</v>
      </c>
      <c r="M356" t="n">
        <v>0</v>
      </c>
      <c r="N356" t="n">
        <v>0</v>
      </c>
      <c r="O356" t="n">
        <v>0</v>
      </c>
      <c r="P356" t="n">
        <v>0</v>
      </c>
      <c r="Q356" t="n">
        <v>1</v>
      </c>
      <c r="R356" s="2" t="inlineStr">
        <is>
          <t>Skogsbräsma</t>
        </is>
      </c>
      <c r="S356">
        <f>HYPERLINK("https://klasma.github.io/Logging_1281/artfynd/A 11731-2024 artfynd.xlsx", "A 11731-2024")</f>
        <v/>
      </c>
      <c r="T356">
        <f>HYPERLINK("https://klasma.github.io/Logging_1281/kartor/A 11731-2024 karta.png", "A 11731-2024")</f>
        <v/>
      </c>
      <c r="V356">
        <f>HYPERLINK("https://klasma.github.io/Logging_1281/klagomål/A 11731-2024 FSC-klagomål.docx", "A 11731-2024")</f>
        <v/>
      </c>
      <c r="W356">
        <f>HYPERLINK("https://klasma.github.io/Logging_1281/klagomålsmail/A 11731-2024 FSC-klagomål mail.docx", "A 11731-2024")</f>
        <v/>
      </c>
      <c r="X356">
        <f>HYPERLINK("https://klasma.github.io/Logging_1281/tillsyn/A 11731-2024 tillsynsbegäran.docx", "A 11731-2024")</f>
        <v/>
      </c>
      <c r="Y356">
        <f>HYPERLINK("https://klasma.github.io/Logging_1281/tillsynsmail/A 11731-2024 tillsynsbegäran mail.docx", "A 11731-2024")</f>
        <v/>
      </c>
    </row>
    <row r="357" ht="15" customHeight="1">
      <c r="A357" t="inlineStr">
        <is>
          <t>A 12892-2024</t>
        </is>
      </c>
      <c r="B357" s="1" t="n">
        <v>45385</v>
      </c>
      <c r="C357" s="1" t="n">
        <v>45704</v>
      </c>
      <c r="D357" t="inlineStr">
        <is>
          <t>SKÅNE LÄN</t>
        </is>
      </c>
      <c r="E357" t="inlineStr">
        <is>
          <t>HÖRBY</t>
        </is>
      </c>
      <c r="G357" t="n">
        <v>1.5</v>
      </c>
      <c r="H357" t="n">
        <v>0</v>
      </c>
      <c r="I357" t="n">
        <v>1</v>
      </c>
      <c r="J357" t="n">
        <v>0</v>
      </c>
      <c r="K357" t="n">
        <v>0</v>
      </c>
      <c r="L357" t="n">
        <v>0</v>
      </c>
      <c r="M357" t="n">
        <v>0</v>
      </c>
      <c r="N357" t="n">
        <v>0</v>
      </c>
      <c r="O357" t="n">
        <v>0</v>
      </c>
      <c r="P357" t="n">
        <v>0</v>
      </c>
      <c r="Q357" t="n">
        <v>1</v>
      </c>
      <c r="R357" s="2" t="inlineStr">
        <is>
          <t>Blåmossa</t>
        </is>
      </c>
      <c r="S357">
        <f>HYPERLINK("https://klasma.github.io/Logging_1266/artfynd/A 12892-2024 artfynd.xlsx", "A 12892-2024")</f>
        <v/>
      </c>
      <c r="T357">
        <f>HYPERLINK("https://klasma.github.io/Logging_1266/kartor/A 12892-2024 karta.png", "A 12892-2024")</f>
        <v/>
      </c>
      <c r="V357">
        <f>HYPERLINK("https://klasma.github.io/Logging_1266/klagomål/A 12892-2024 FSC-klagomål.docx", "A 12892-2024")</f>
        <v/>
      </c>
      <c r="W357">
        <f>HYPERLINK("https://klasma.github.io/Logging_1266/klagomålsmail/A 12892-2024 FSC-klagomål mail.docx", "A 12892-2024")</f>
        <v/>
      </c>
      <c r="X357">
        <f>HYPERLINK("https://klasma.github.io/Logging_1266/tillsyn/A 12892-2024 tillsynsbegäran.docx", "A 12892-2024")</f>
        <v/>
      </c>
      <c r="Y357">
        <f>HYPERLINK("https://klasma.github.io/Logging_1266/tillsynsmail/A 12892-2024 tillsynsbegäran mail.docx", "A 12892-2024")</f>
        <v/>
      </c>
    </row>
    <row r="358" ht="15" customHeight="1">
      <c r="A358" t="inlineStr">
        <is>
          <t>A 12934-2024</t>
        </is>
      </c>
      <c r="B358" s="1" t="n">
        <v>45385</v>
      </c>
      <c r="C358" s="1" t="n">
        <v>45704</v>
      </c>
      <c r="D358" t="inlineStr">
        <is>
          <t>SKÅNE LÄN</t>
        </is>
      </c>
      <c r="E358" t="inlineStr">
        <is>
          <t>TOMELILLA</t>
        </is>
      </c>
      <c r="F358" t="inlineStr">
        <is>
          <t>Övriga Aktiebolag</t>
        </is>
      </c>
      <c r="G358" t="n">
        <v>22</v>
      </c>
      <c r="H358" t="n">
        <v>0</v>
      </c>
      <c r="I358" t="n">
        <v>0</v>
      </c>
      <c r="J358" t="n">
        <v>1</v>
      </c>
      <c r="K358" t="n">
        <v>0</v>
      </c>
      <c r="L358" t="n">
        <v>0</v>
      </c>
      <c r="M358" t="n">
        <v>0</v>
      </c>
      <c r="N358" t="n">
        <v>0</v>
      </c>
      <c r="O358" t="n">
        <v>1</v>
      </c>
      <c r="P358" t="n">
        <v>0</v>
      </c>
      <c r="Q358" t="n">
        <v>1</v>
      </c>
      <c r="R358" s="2" t="inlineStr">
        <is>
          <t>Mindre bastardsvärmare</t>
        </is>
      </c>
      <c r="S358">
        <f>HYPERLINK("https://klasma.github.io/Logging_1270/artfynd/A 12934-2024 artfynd.xlsx", "A 12934-2024")</f>
        <v/>
      </c>
      <c r="T358">
        <f>HYPERLINK("https://klasma.github.io/Logging_1270/kartor/A 12934-2024 karta.png", "A 12934-2024")</f>
        <v/>
      </c>
      <c r="V358">
        <f>HYPERLINK("https://klasma.github.io/Logging_1270/klagomål/A 12934-2024 FSC-klagomål.docx", "A 12934-2024")</f>
        <v/>
      </c>
      <c r="W358">
        <f>HYPERLINK("https://klasma.github.io/Logging_1270/klagomålsmail/A 12934-2024 FSC-klagomål mail.docx", "A 12934-2024")</f>
        <v/>
      </c>
      <c r="X358">
        <f>HYPERLINK("https://klasma.github.io/Logging_1270/tillsyn/A 12934-2024 tillsynsbegäran.docx", "A 12934-2024")</f>
        <v/>
      </c>
      <c r="Y358">
        <f>HYPERLINK("https://klasma.github.io/Logging_1270/tillsynsmail/A 12934-2024 tillsynsbegäran mail.docx", "A 12934-2024")</f>
        <v/>
      </c>
    </row>
    <row r="359" ht="15" customHeight="1">
      <c r="A359" t="inlineStr">
        <is>
          <t>A 15456-2024</t>
        </is>
      </c>
      <c r="B359" s="1" t="n">
        <v>45401</v>
      </c>
      <c r="C359" s="1" t="n">
        <v>45704</v>
      </c>
      <c r="D359" t="inlineStr">
        <is>
          <t>SKÅNE LÄN</t>
        </is>
      </c>
      <c r="E359" t="inlineStr">
        <is>
          <t>SVALÖV</t>
        </is>
      </c>
      <c r="G359" t="n">
        <v>2.5</v>
      </c>
      <c r="H359" t="n">
        <v>0</v>
      </c>
      <c r="I359" t="n">
        <v>0</v>
      </c>
      <c r="J359" t="n">
        <v>0</v>
      </c>
      <c r="K359" t="n">
        <v>1</v>
      </c>
      <c r="L359" t="n">
        <v>0</v>
      </c>
      <c r="M359" t="n">
        <v>0</v>
      </c>
      <c r="N359" t="n">
        <v>0</v>
      </c>
      <c r="O359" t="n">
        <v>1</v>
      </c>
      <c r="P359" t="n">
        <v>1</v>
      </c>
      <c r="Q359" t="n">
        <v>1</v>
      </c>
      <c r="R359" s="2" t="inlineStr">
        <is>
          <t>Lundticka</t>
        </is>
      </c>
      <c r="S359">
        <f>HYPERLINK("https://klasma.github.io/Logging_1214/artfynd/A 15456-2024 artfynd.xlsx", "A 15456-2024")</f>
        <v/>
      </c>
      <c r="T359">
        <f>HYPERLINK("https://klasma.github.io/Logging_1214/kartor/A 15456-2024 karta.png", "A 15456-2024")</f>
        <v/>
      </c>
      <c r="V359">
        <f>HYPERLINK("https://klasma.github.io/Logging_1214/klagomål/A 15456-2024 FSC-klagomål.docx", "A 15456-2024")</f>
        <v/>
      </c>
      <c r="W359">
        <f>HYPERLINK("https://klasma.github.io/Logging_1214/klagomålsmail/A 15456-2024 FSC-klagomål mail.docx", "A 15456-2024")</f>
        <v/>
      </c>
      <c r="X359">
        <f>HYPERLINK("https://klasma.github.io/Logging_1214/tillsyn/A 15456-2024 tillsynsbegäran.docx", "A 15456-2024")</f>
        <v/>
      </c>
      <c r="Y359">
        <f>HYPERLINK("https://klasma.github.io/Logging_1214/tillsynsmail/A 15456-2024 tillsynsbegäran mail.docx", "A 15456-2024")</f>
        <v/>
      </c>
    </row>
    <row r="360" ht="15" customHeight="1">
      <c r="A360" t="inlineStr">
        <is>
          <t>A 15475-2024</t>
        </is>
      </c>
      <c r="B360" s="1" t="n">
        <v>45401</v>
      </c>
      <c r="C360" s="1" t="n">
        <v>45704</v>
      </c>
      <c r="D360" t="inlineStr">
        <is>
          <t>SKÅNE LÄN</t>
        </is>
      </c>
      <c r="E360" t="inlineStr">
        <is>
          <t>SVALÖV</t>
        </is>
      </c>
      <c r="G360" t="n">
        <v>4.7</v>
      </c>
      <c r="H360" t="n">
        <v>0</v>
      </c>
      <c r="I360" t="n">
        <v>1</v>
      </c>
      <c r="J360" t="n">
        <v>0</v>
      </c>
      <c r="K360" t="n">
        <v>0</v>
      </c>
      <c r="L360" t="n">
        <v>0</v>
      </c>
      <c r="M360" t="n">
        <v>0</v>
      </c>
      <c r="N360" t="n">
        <v>0</v>
      </c>
      <c r="O360" t="n">
        <v>0</v>
      </c>
      <c r="P360" t="n">
        <v>0</v>
      </c>
      <c r="Q360" t="n">
        <v>1</v>
      </c>
      <c r="R360" s="2" t="inlineStr">
        <is>
          <t>Strutbräken</t>
        </is>
      </c>
      <c r="S360">
        <f>HYPERLINK("https://klasma.github.io/Logging_1214/artfynd/A 15475-2024 artfynd.xlsx", "A 15475-2024")</f>
        <v/>
      </c>
      <c r="T360">
        <f>HYPERLINK("https://klasma.github.io/Logging_1214/kartor/A 15475-2024 karta.png", "A 15475-2024")</f>
        <v/>
      </c>
      <c r="V360">
        <f>HYPERLINK("https://klasma.github.io/Logging_1214/klagomål/A 15475-2024 FSC-klagomål.docx", "A 15475-2024")</f>
        <v/>
      </c>
      <c r="W360">
        <f>HYPERLINK("https://klasma.github.io/Logging_1214/klagomålsmail/A 15475-2024 FSC-klagomål mail.docx", "A 15475-2024")</f>
        <v/>
      </c>
      <c r="X360">
        <f>HYPERLINK("https://klasma.github.io/Logging_1214/tillsyn/A 15475-2024 tillsynsbegäran.docx", "A 15475-2024")</f>
        <v/>
      </c>
      <c r="Y360">
        <f>HYPERLINK("https://klasma.github.io/Logging_1214/tillsynsmail/A 15475-2024 tillsynsbegäran mail.docx", "A 15475-2024")</f>
        <v/>
      </c>
    </row>
    <row r="361" ht="15" customHeight="1">
      <c r="A361" t="inlineStr">
        <is>
          <t>A 17396-2024</t>
        </is>
      </c>
      <c r="B361" s="1" t="n">
        <v>45414</v>
      </c>
      <c r="C361" s="1" t="n">
        <v>45704</v>
      </c>
      <c r="D361" t="inlineStr">
        <is>
          <t>SKÅNE LÄN</t>
        </is>
      </c>
      <c r="E361" t="inlineStr">
        <is>
          <t>BROMÖLLA</t>
        </is>
      </c>
      <c r="G361" t="n">
        <v>1.8</v>
      </c>
      <c r="H361" t="n">
        <v>0</v>
      </c>
      <c r="I361" t="n">
        <v>1</v>
      </c>
      <c r="J361" t="n">
        <v>0</v>
      </c>
      <c r="K361" t="n">
        <v>0</v>
      </c>
      <c r="L361" t="n">
        <v>0</v>
      </c>
      <c r="M361" t="n">
        <v>0</v>
      </c>
      <c r="N361" t="n">
        <v>0</v>
      </c>
      <c r="O361" t="n">
        <v>0</v>
      </c>
      <c r="P361" t="n">
        <v>0</v>
      </c>
      <c r="Q361" t="n">
        <v>1</v>
      </c>
      <c r="R361" s="2" t="inlineStr">
        <is>
          <t>Safsa</t>
        </is>
      </c>
      <c r="S361">
        <f>HYPERLINK("https://klasma.github.io/Logging_1272/artfynd/A 17396-2024 artfynd.xlsx", "A 17396-2024")</f>
        <v/>
      </c>
      <c r="T361">
        <f>HYPERLINK("https://klasma.github.io/Logging_1272/kartor/A 17396-2024 karta.png", "A 17396-2024")</f>
        <v/>
      </c>
      <c r="V361">
        <f>HYPERLINK("https://klasma.github.io/Logging_1272/klagomål/A 17396-2024 FSC-klagomål.docx", "A 17396-2024")</f>
        <v/>
      </c>
      <c r="W361">
        <f>HYPERLINK("https://klasma.github.io/Logging_1272/klagomålsmail/A 17396-2024 FSC-klagomål mail.docx", "A 17396-2024")</f>
        <v/>
      </c>
      <c r="X361">
        <f>HYPERLINK("https://klasma.github.io/Logging_1272/tillsyn/A 17396-2024 tillsynsbegäran.docx", "A 17396-2024")</f>
        <v/>
      </c>
      <c r="Y361">
        <f>HYPERLINK("https://klasma.github.io/Logging_1272/tillsynsmail/A 17396-2024 tillsynsbegäran mail.docx", "A 17396-2024")</f>
        <v/>
      </c>
    </row>
    <row r="362" ht="15" customHeight="1">
      <c r="A362" t="inlineStr">
        <is>
          <t>A 20090-2024</t>
        </is>
      </c>
      <c r="B362" s="1" t="n">
        <v>45434</v>
      </c>
      <c r="C362" s="1" t="n">
        <v>45704</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20179-2024</t>
        </is>
      </c>
      <c r="B363" s="1" t="n">
        <v>45434</v>
      </c>
      <c r="C363" s="1" t="n">
        <v>45704</v>
      </c>
      <c r="D363" t="inlineStr">
        <is>
          <t>SKÅNE LÄN</t>
        </is>
      </c>
      <c r="E363" t="inlineStr">
        <is>
          <t>ESLÖV</t>
        </is>
      </c>
      <c r="G363" t="n">
        <v>1.8</v>
      </c>
      <c r="H363" t="n">
        <v>0</v>
      </c>
      <c r="I363" t="n">
        <v>0</v>
      </c>
      <c r="J363" t="n">
        <v>1</v>
      </c>
      <c r="K363" t="n">
        <v>0</v>
      </c>
      <c r="L363" t="n">
        <v>0</v>
      </c>
      <c r="M363" t="n">
        <v>0</v>
      </c>
      <c r="N363" t="n">
        <v>0</v>
      </c>
      <c r="O363" t="n">
        <v>1</v>
      </c>
      <c r="P363" t="n">
        <v>0</v>
      </c>
      <c r="Q363" t="n">
        <v>1</v>
      </c>
      <c r="R363" s="2" t="inlineStr">
        <is>
          <t>Stiftklotterlav</t>
        </is>
      </c>
      <c r="S363">
        <f>HYPERLINK("https://klasma.github.io/Logging_1285/artfynd/A 20179-2024 artfynd.xlsx", "A 20179-2024")</f>
        <v/>
      </c>
      <c r="T363">
        <f>HYPERLINK("https://klasma.github.io/Logging_1285/kartor/A 20179-2024 karta.png", "A 20179-2024")</f>
        <v/>
      </c>
      <c r="V363">
        <f>HYPERLINK("https://klasma.github.io/Logging_1285/klagomål/A 20179-2024 FSC-klagomål.docx", "A 20179-2024")</f>
        <v/>
      </c>
      <c r="W363">
        <f>HYPERLINK("https://klasma.github.io/Logging_1285/klagomålsmail/A 20179-2024 FSC-klagomål mail.docx", "A 20179-2024")</f>
        <v/>
      </c>
      <c r="X363">
        <f>HYPERLINK("https://klasma.github.io/Logging_1285/tillsyn/A 20179-2024 tillsynsbegäran.docx", "A 20179-2024")</f>
        <v/>
      </c>
      <c r="Y363">
        <f>HYPERLINK("https://klasma.github.io/Logging_1285/tillsynsmail/A 20179-2024 tillsynsbegäran mail.docx", "A 20179-2024")</f>
        <v/>
      </c>
    </row>
    <row r="364" ht="15" customHeight="1">
      <c r="A364" t="inlineStr">
        <is>
          <t>A 20679-2024</t>
        </is>
      </c>
      <c r="B364" s="1" t="n">
        <v>45436</v>
      </c>
      <c r="C364" s="1" t="n">
        <v>45704</v>
      </c>
      <c r="D364" t="inlineStr">
        <is>
          <t>SKÅNE LÄN</t>
        </is>
      </c>
      <c r="E364" t="inlineStr">
        <is>
          <t>HÄSSLEHOLM</t>
        </is>
      </c>
      <c r="G364" t="n">
        <v>1.1</v>
      </c>
      <c r="H364" t="n">
        <v>0</v>
      </c>
      <c r="I364" t="n">
        <v>1</v>
      </c>
      <c r="J364" t="n">
        <v>0</v>
      </c>
      <c r="K364" t="n">
        <v>0</v>
      </c>
      <c r="L364" t="n">
        <v>0</v>
      </c>
      <c r="M364" t="n">
        <v>0</v>
      </c>
      <c r="N364" t="n">
        <v>0</v>
      </c>
      <c r="O364" t="n">
        <v>0</v>
      </c>
      <c r="P364" t="n">
        <v>0</v>
      </c>
      <c r="Q364" t="n">
        <v>1</v>
      </c>
      <c r="R364" s="2" t="inlineStr">
        <is>
          <t>Blodticka</t>
        </is>
      </c>
      <c r="S364">
        <f>HYPERLINK("https://klasma.github.io/Logging_1293/artfynd/A 20679-2024 artfynd.xlsx", "A 20679-2024")</f>
        <v/>
      </c>
      <c r="T364">
        <f>HYPERLINK("https://klasma.github.io/Logging_1293/kartor/A 20679-2024 karta.png", "A 20679-2024")</f>
        <v/>
      </c>
      <c r="V364">
        <f>HYPERLINK("https://klasma.github.io/Logging_1293/klagomål/A 20679-2024 FSC-klagomål.docx", "A 20679-2024")</f>
        <v/>
      </c>
      <c r="W364">
        <f>HYPERLINK("https://klasma.github.io/Logging_1293/klagomålsmail/A 20679-2024 FSC-klagomål mail.docx", "A 20679-2024")</f>
        <v/>
      </c>
      <c r="X364">
        <f>HYPERLINK("https://klasma.github.io/Logging_1293/tillsyn/A 20679-2024 tillsynsbegäran.docx", "A 20679-2024")</f>
        <v/>
      </c>
      <c r="Y364">
        <f>HYPERLINK("https://klasma.github.io/Logging_1293/tillsynsmail/A 20679-2024 tillsynsbegäran mail.docx", "A 20679-2024")</f>
        <v/>
      </c>
    </row>
    <row r="365" ht="15" customHeight="1">
      <c r="A365" t="inlineStr">
        <is>
          <t>A 21313-2024</t>
        </is>
      </c>
      <c r="B365" s="1" t="n">
        <v>45440</v>
      </c>
      <c r="C365" s="1" t="n">
        <v>45704</v>
      </c>
      <c r="D365" t="inlineStr">
        <is>
          <t>SKÅNE LÄN</t>
        </is>
      </c>
      <c r="E365" t="inlineStr">
        <is>
          <t>OSBY</t>
        </is>
      </c>
      <c r="G365" t="n">
        <v>3.2</v>
      </c>
      <c r="H365" t="n">
        <v>0</v>
      </c>
      <c r="I365" t="n">
        <v>1</v>
      </c>
      <c r="J365" t="n">
        <v>0</v>
      </c>
      <c r="K365" t="n">
        <v>0</v>
      </c>
      <c r="L365" t="n">
        <v>0</v>
      </c>
      <c r="M365" t="n">
        <v>0</v>
      </c>
      <c r="N365" t="n">
        <v>0</v>
      </c>
      <c r="O365" t="n">
        <v>0</v>
      </c>
      <c r="P365" t="n">
        <v>0</v>
      </c>
      <c r="Q365" t="n">
        <v>1</v>
      </c>
      <c r="R365" s="2" t="inlineStr">
        <is>
          <t>Blåmossa</t>
        </is>
      </c>
      <c r="S365">
        <f>HYPERLINK("https://klasma.github.io/Logging_1273/artfynd/A 21313-2024 artfynd.xlsx", "A 21313-2024")</f>
        <v/>
      </c>
      <c r="T365">
        <f>HYPERLINK("https://klasma.github.io/Logging_1273/kartor/A 21313-2024 karta.png", "A 21313-2024")</f>
        <v/>
      </c>
      <c r="V365">
        <f>HYPERLINK("https://klasma.github.io/Logging_1273/klagomål/A 21313-2024 FSC-klagomål.docx", "A 21313-2024")</f>
        <v/>
      </c>
      <c r="W365">
        <f>HYPERLINK("https://klasma.github.io/Logging_1273/klagomålsmail/A 21313-2024 FSC-klagomål mail.docx", "A 21313-2024")</f>
        <v/>
      </c>
      <c r="X365">
        <f>HYPERLINK("https://klasma.github.io/Logging_1273/tillsyn/A 21313-2024 tillsynsbegäran.docx", "A 21313-2024")</f>
        <v/>
      </c>
      <c r="Y365">
        <f>HYPERLINK("https://klasma.github.io/Logging_1273/tillsynsmail/A 21313-2024 tillsynsbegäran mail.docx", "A 21313-2024")</f>
        <v/>
      </c>
    </row>
    <row r="366" ht="15" customHeight="1">
      <c r="A366" t="inlineStr">
        <is>
          <t>A 22569-2024</t>
        </is>
      </c>
      <c r="B366" s="1" t="n">
        <v>45447</v>
      </c>
      <c r="C366" s="1" t="n">
        <v>45704</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23403-2024</t>
        </is>
      </c>
      <c r="B367" s="1" t="n">
        <v>45453</v>
      </c>
      <c r="C367" s="1" t="n">
        <v>45704</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23694-2024</t>
        </is>
      </c>
      <c r="B368" s="1" t="n">
        <v>45454</v>
      </c>
      <c r="C368" s="1" t="n">
        <v>45704</v>
      </c>
      <c r="D368" t="inlineStr">
        <is>
          <t>SKÅNE LÄN</t>
        </is>
      </c>
      <c r="E368" t="inlineStr">
        <is>
          <t>OSBY</t>
        </is>
      </c>
      <c r="G368" t="n">
        <v>6</v>
      </c>
      <c r="H368" t="n">
        <v>0</v>
      </c>
      <c r="I368" t="n">
        <v>0</v>
      </c>
      <c r="J368" t="n">
        <v>0</v>
      </c>
      <c r="K368" t="n">
        <v>1</v>
      </c>
      <c r="L368" t="n">
        <v>0</v>
      </c>
      <c r="M368" t="n">
        <v>0</v>
      </c>
      <c r="N368" t="n">
        <v>0</v>
      </c>
      <c r="O368" t="n">
        <v>1</v>
      </c>
      <c r="P368" t="n">
        <v>1</v>
      </c>
      <c r="Q368" t="n">
        <v>1</v>
      </c>
      <c r="R368" s="2" t="inlineStr">
        <is>
          <t>Slåttergubbe</t>
        </is>
      </c>
      <c r="S368">
        <f>HYPERLINK("https://klasma.github.io/Logging_1273/artfynd/A 23694-2024 artfynd.xlsx", "A 23694-2024")</f>
        <v/>
      </c>
      <c r="T368">
        <f>HYPERLINK("https://klasma.github.io/Logging_1273/kartor/A 23694-2024 karta.png", "A 23694-2024")</f>
        <v/>
      </c>
      <c r="V368">
        <f>HYPERLINK("https://klasma.github.io/Logging_1273/klagomål/A 23694-2024 FSC-klagomål.docx", "A 23694-2024")</f>
        <v/>
      </c>
      <c r="W368">
        <f>HYPERLINK("https://klasma.github.io/Logging_1273/klagomålsmail/A 23694-2024 FSC-klagomål mail.docx", "A 23694-2024")</f>
        <v/>
      </c>
      <c r="X368">
        <f>HYPERLINK("https://klasma.github.io/Logging_1273/tillsyn/A 23694-2024 tillsynsbegäran.docx", "A 23694-2024")</f>
        <v/>
      </c>
      <c r="Y368">
        <f>HYPERLINK("https://klasma.github.io/Logging_1273/tillsynsmail/A 23694-2024 tillsynsbegäran mail.docx", "A 23694-2024")</f>
        <v/>
      </c>
    </row>
    <row r="369" ht="15" customHeight="1">
      <c r="A369" t="inlineStr">
        <is>
          <t>A 25761-2024</t>
        </is>
      </c>
      <c r="B369" s="1" t="n">
        <v>45465</v>
      </c>
      <c r="C369" s="1" t="n">
        <v>45704</v>
      </c>
      <c r="D369" t="inlineStr">
        <is>
          <t>SKÅNE LÄN</t>
        </is>
      </c>
      <c r="E369" t="inlineStr">
        <is>
          <t>KRISTIANSTAD</t>
        </is>
      </c>
      <c r="G369" t="n">
        <v>2.8</v>
      </c>
      <c r="H369" t="n">
        <v>1</v>
      </c>
      <c r="I369" t="n">
        <v>0</v>
      </c>
      <c r="J369" t="n">
        <v>0</v>
      </c>
      <c r="K369" t="n">
        <v>0</v>
      </c>
      <c r="L369" t="n">
        <v>0</v>
      </c>
      <c r="M369" t="n">
        <v>0</v>
      </c>
      <c r="N369" t="n">
        <v>0</v>
      </c>
      <c r="O369" t="n">
        <v>0</v>
      </c>
      <c r="P369" t="n">
        <v>0</v>
      </c>
      <c r="Q369" t="n">
        <v>1</v>
      </c>
      <c r="R369" s="2" t="inlineStr">
        <is>
          <t>Gullviva</t>
        </is>
      </c>
      <c r="S369">
        <f>HYPERLINK("https://klasma.github.io/Logging_1290/artfynd/A 25761-2024 artfynd.xlsx", "A 25761-2024")</f>
        <v/>
      </c>
      <c r="T369">
        <f>HYPERLINK("https://klasma.github.io/Logging_1290/kartor/A 25761-2024 karta.png", "A 25761-2024")</f>
        <v/>
      </c>
      <c r="V369">
        <f>HYPERLINK("https://klasma.github.io/Logging_1290/klagomål/A 25761-2024 FSC-klagomål.docx", "A 25761-2024")</f>
        <v/>
      </c>
      <c r="W369">
        <f>HYPERLINK("https://klasma.github.io/Logging_1290/klagomålsmail/A 25761-2024 FSC-klagomål mail.docx", "A 25761-2024")</f>
        <v/>
      </c>
      <c r="X369">
        <f>HYPERLINK("https://klasma.github.io/Logging_1290/tillsyn/A 25761-2024 tillsynsbegäran.docx", "A 25761-2024")</f>
        <v/>
      </c>
      <c r="Y369">
        <f>HYPERLINK("https://klasma.github.io/Logging_1290/tillsynsmail/A 25761-2024 tillsynsbegäran mail.docx", "A 25761-2024")</f>
        <v/>
      </c>
    </row>
    <row r="370" ht="15" customHeight="1">
      <c r="A370" t="inlineStr">
        <is>
          <t>A 27230-2024</t>
        </is>
      </c>
      <c r="B370" s="1" t="n">
        <v>45471</v>
      </c>
      <c r="C370" s="1" t="n">
        <v>45704</v>
      </c>
      <c r="D370" t="inlineStr">
        <is>
          <t>SKÅNE LÄN</t>
        </is>
      </c>
      <c r="E370" t="inlineStr">
        <is>
          <t>SJÖBO</t>
        </is>
      </c>
      <c r="G370" t="n">
        <v>1.5</v>
      </c>
      <c r="H370" t="n">
        <v>1</v>
      </c>
      <c r="I370" t="n">
        <v>0</v>
      </c>
      <c r="J370" t="n">
        <v>1</v>
      </c>
      <c r="K370" t="n">
        <v>0</v>
      </c>
      <c r="L370" t="n">
        <v>0</v>
      </c>
      <c r="M370" t="n">
        <v>0</v>
      </c>
      <c r="N370" t="n">
        <v>0</v>
      </c>
      <c r="O370" t="n">
        <v>1</v>
      </c>
      <c r="P370" t="n">
        <v>0</v>
      </c>
      <c r="Q370" t="n">
        <v>1</v>
      </c>
      <c r="R370" s="2" t="inlineStr">
        <is>
          <t>Havsörn</t>
        </is>
      </c>
      <c r="S370">
        <f>HYPERLINK("https://klasma.github.io/Logging_1265/artfynd/A 27230-2024 artfynd.xlsx", "A 27230-2024")</f>
        <v/>
      </c>
      <c r="T370">
        <f>HYPERLINK("https://klasma.github.io/Logging_1265/kartor/A 27230-2024 karta.png", "A 27230-2024")</f>
        <v/>
      </c>
      <c r="V370">
        <f>HYPERLINK("https://klasma.github.io/Logging_1265/klagomål/A 27230-2024 FSC-klagomål.docx", "A 27230-2024")</f>
        <v/>
      </c>
      <c r="W370">
        <f>HYPERLINK("https://klasma.github.io/Logging_1265/klagomålsmail/A 27230-2024 FSC-klagomål mail.docx", "A 27230-2024")</f>
        <v/>
      </c>
      <c r="X370">
        <f>HYPERLINK("https://klasma.github.io/Logging_1265/tillsyn/A 27230-2024 tillsynsbegäran.docx", "A 27230-2024")</f>
        <v/>
      </c>
      <c r="Y370">
        <f>HYPERLINK("https://klasma.github.io/Logging_1265/tillsynsmail/A 27230-2024 tillsynsbegäran mail.docx", "A 27230-2024")</f>
        <v/>
      </c>
      <c r="Z370">
        <f>HYPERLINK("https://klasma.github.io/Logging_1265/fåglar/A 27230-2024 prioriterade fågelarter.docx", "A 27230-2024")</f>
        <v/>
      </c>
    </row>
    <row r="371" ht="15" customHeight="1">
      <c r="A371" t="inlineStr">
        <is>
          <t>A 28429-2024</t>
        </is>
      </c>
      <c r="B371" s="1" t="n">
        <v>45477</v>
      </c>
      <c r="C371" s="1" t="n">
        <v>45704</v>
      </c>
      <c r="D371" t="inlineStr">
        <is>
          <t>SKÅNE LÄN</t>
        </is>
      </c>
      <c r="E371" t="inlineStr">
        <is>
          <t>KRISTIANSTAD</t>
        </is>
      </c>
      <c r="G371" t="n">
        <v>0.4</v>
      </c>
      <c r="H371" t="n">
        <v>0</v>
      </c>
      <c r="I371" t="n">
        <v>0</v>
      </c>
      <c r="J371" t="n">
        <v>1</v>
      </c>
      <c r="K371" t="n">
        <v>0</v>
      </c>
      <c r="L371" t="n">
        <v>0</v>
      </c>
      <c r="M371" t="n">
        <v>0</v>
      </c>
      <c r="N371" t="n">
        <v>0</v>
      </c>
      <c r="O371" t="n">
        <v>1</v>
      </c>
      <c r="P371" t="n">
        <v>0</v>
      </c>
      <c r="Q371" t="n">
        <v>1</v>
      </c>
      <c r="R371" s="2" t="inlineStr">
        <is>
          <t>Knölspindel</t>
        </is>
      </c>
      <c r="S371">
        <f>HYPERLINK("https://klasma.github.io/Logging_1290/artfynd/A 28429-2024 artfynd.xlsx", "A 28429-2024")</f>
        <v/>
      </c>
      <c r="T371">
        <f>HYPERLINK("https://klasma.github.io/Logging_1290/kartor/A 28429-2024 karta.png", "A 28429-2024")</f>
        <v/>
      </c>
      <c r="V371">
        <f>HYPERLINK("https://klasma.github.io/Logging_1290/klagomål/A 28429-2024 FSC-klagomål.docx", "A 28429-2024")</f>
        <v/>
      </c>
      <c r="W371">
        <f>HYPERLINK("https://klasma.github.io/Logging_1290/klagomålsmail/A 28429-2024 FSC-klagomål mail.docx", "A 28429-2024")</f>
        <v/>
      </c>
      <c r="X371">
        <f>HYPERLINK("https://klasma.github.io/Logging_1290/tillsyn/A 28429-2024 tillsynsbegäran.docx", "A 28429-2024")</f>
        <v/>
      </c>
      <c r="Y371">
        <f>HYPERLINK("https://klasma.github.io/Logging_1290/tillsynsmail/A 28429-2024 tillsynsbegäran mail.docx", "A 28429-2024")</f>
        <v/>
      </c>
    </row>
    <row r="372" ht="15" customHeight="1">
      <c r="A372" t="inlineStr">
        <is>
          <t>A 28342-2024</t>
        </is>
      </c>
      <c r="B372" s="1" t="n">
        <v>45477</v>
      </c>
      <c r="C372" s="1" t="n">
        <v>45704</v>
      </c>
      <c r="D372" t="inlineStr">
        <is>
          <t>SKÅNE LÄN</t>
        </is>
      </c>
      <c r="E372" t="inlineStr">
        <is>
          <t>KRISTIANSTAD</t>
        </is>
      </c>
      <c r="G372" t="n">
        <v>3.2</v>
      </c>
      <c r="H372" t="n">
        <v>0</v>
      </c>
      <c r="I372" t="n">
        <v>0</v>
      </c>
      <c r="J372" t="n">
        <v>1</v>
      </c>
      <c r="K372" t="n">
        <v>0</v>
      </c>
      <c r="L372" t="n">
        <v>0</v>
      </c>
      <c r="M372" t="n">
        <v>0</v>
      </c>
      <c r="N372" t="n">
        <v>0</v>
      </c>
      <c r="O372" t="n">
        <v>1</v>
      </c>
      <c r="P372" t="n">
        <v>0</v>
      </c>
      <c r="Q372" t="n">
        <v>1</v>
      </c>
      <c r="R372" s="2" t="inlineStr">
        <is>
          <t>Knölspindel</t>
        </is>
      </c>
      <c r="S372">
        <f>HYPERLINK("https://klasma.github.io/Logging_1290/artfynd/A 28342-2024 artfynd.xlsx", "A 28342-2024")</f>
        <v/>
      </c>
      <c r="T372">
        <f>HYPERLINK("https://klasma.github.io/Logging_1290/kartor/A 28342-2024 karta.png", "A 28342-2024")</f>
        <v/>
      </c>
      <c r="V372">
        <f>HYPERLINK("https://klasma.github.io/Logging_1290/klagomål/A 28342-2024 FSC-klagomål.docx", "A 28342-2024")</f>
        <v/>
      </c>
      <c r="W372">
        <f>HYPERLINK("https://klasma.github.io/Logging_1290/klagomålsmail/A 28342-2024 FSC-klagomål mail.docx", "A 28342-2024")</f>
        <v/>
      </c>
      <c r="X372">
        <f>HYPERLINK("https://klasma.github.io/Logging_1290/tillsyn/A 28342-2024 tillsynsbegäran.docx", "A 28342-2024")</f>
        <v/>
      </c>
      <c r="Y372">
        <f>HYPERLINK("https://klasma.github.io/Logging_1290/tillsynsmail/A 28342-2024 tillsynsbegäran mail.docx", "A 28342-2024")</f>
        <v/>
      </c>
    </row>
    <row r="373" ht="15" customHeight="1">
      <c r="A373" t="inlineStr">
        <is>
          <t>A 30000-2024</t>
        </is>
      </c>
      <c r="B373" s="1" t="n">
        <v>45488</v>
      </c>
      <c r="C373" s="1" t="n">
        <v>45704</v>
      </c>
      <c r="D373" t="inlineStr">
        <is>
          <t>SKÅNE LÄN</t>
        </is>
      </c>
      <c r="E373" t="inlineStr">
        <is>
          <t>PERSTORP</t>
        </is>
      </c>
      <c r="G373" t="n">
        <v>10.8</v>
      </c>
      <c r="H373" t="n">
        <v>1</v>
      </c>
      <c r="I373" t="n">
        <v>0</v>
      </c>
      <c r="J373" t="n">
        <v>0</v>
      </c>
      <c r="K373" t="n">
        <v>0</v>
      </c>
      <c r="L373" t="n">
        <v>0</v>
      </c>
      <c r="M373" t="n">
        <v>0</v>
      </c>
      <c r="N373" t="n">
        <v>0</v>
      </c>
      <c r="O373" t="n">
        <v>0</v>
      </c>
      <c r="P373" t="n">
        <v>0</v>
      </c>
      <c r="Q373" t="n">
        <v>1</v>
      </c>
      <c r="R373" s="2" t="inlineStr">
        <is>
          <t>Revlummer</t>
        </is>
      </c>
      <c r="S373">
        <f>HYPERLINK("https://klasma.github.io/Logging_1275/artfynd/A 30000-2024 artfynd.xlsx", "A 30000-2024")</f>
        <v/>
      </c>
      <c r="T373">
        <f>HYPERLINK("https://klasma.github.io/Logging_1275/kartor/A 30000-2024 karta.png", "A 30000-2024")</f>
        <v/>
      </c>
      <c r="V373">
        <f>HYPERLINK("https://klasma.github.io/Logging_1275/klagomål/A 30000-2024 FSC-klagomål.docx", "A 30000-2024")</f>
        <v/>
      </c>
      <c r="W373">
        <f>HYPERLINK("https://klasma.github.io/Logging_1275/klagomålsmail/A 30000-2024 FSC-klagomål mail.docx", "A 30000-2024")</f>
        <v/>
      </c>
      <c r="X373">
        <f>HYPERLINK("https://klasma.github.io/Logging_1275/tillsyn/A 30000-2024 tillsynsbegäran.docx", "A 30000-2024")</f>
        <v/>
      </c>
      <c r="Y373">
        <f>HYPERLINK("https://klasma.github.io/Logging_1275/tillsynsmail/A 30000-2024 tillsynsbegäran mail.docx", "A 30000-2024")</f>
        <v/>
      </c>
    </row>
    <row r="374" ht="15" customHeight="1">
      <c r="A374" t="inlineStr">
        <is>
          <t>A 30526-2024</t>
        </is>
      </c>
      <c r="B374" s="1" t="n">
        <v>45492</v>
      </c>
      <c r="C374" s="1" t="n">
        <v>45704</v>
      </c>
      <c r="D374" t="inlineStr">
        <is>
          <t>SKÅNE LÄN</t>
        </is>
      </c>
      <c r="E374" t="inlineStr">
        <is>
          <t>KRISTIANSTAD</t>
        </is>
      </c>
      <c r="G374" t="n">
        <v>2.3</v>
      </c>
      <c r="H374" t="n">
        <v>1</v>
      </c>
      <c r="I374" t="n">
        <v>0</v>
      </c>
      <c r="J374" t="n">
        <v>0</v>
      </c>
      <c r="K374" t="n">
        <v>0</v>
      </c>
      <c r="L374" t="n">
        <v>1</v>
      </c>
      <c r="M374" t="n">
        <v>0</v>
      </c>
      <c r="N374" t="n">
        <v>0</v>
      </c>
      <c r="O374" t="n">
        <v>1</v>
      </c>
      <c r="P374" t="n">
        <v>1</v>
      </c>
      <c r="Q374" t="n">
        <v>1</v>
      </c>
      <c r="R374" s="2" t="inlineStr">
        <is>
          <t>Dvärgjohannesört</t>
        </is>
      </c>
      <c r="S374">
        <f>HYPERLINK("https://klasma.github.io/Logging_1290/artfynd/A 30526-2024 artfynd.xlsx", "A 30526-2024")</f>
        <v/>
      </c>
      <c r="T374">
        <f>HYPERLINK("https://klasma.github.io/Logging_1290/kartor/A 30526-2024 karta.png", "A 30526-2024")</f>
        <v/>
      </c>
      <c r="V374">
        <f>HYPERLINK("https://klasma.github.io/Logging_1290/klagomål/A 30526-2024 FSC-klagomål.docx", "A 30526-2024")</f>
        <v/>
      </c>
      <c r="W374">
        <f>HYPERLINK("https://klasma.github.io/Logging_1290/klagomålsmail/A 30526-2024 FSC-klagomål mail.docx", "A 30526-2024")</f>
        <v/>
      </c>
      <c r="X374">
        <f>HYPERLINK("https://klasma.github.io/Logging_1290/tillsyn/A 30526-2024 tillsynsbegäran.docx", "A 30526-2024")</f>
        <v/>
      </c>
      <c r="Y374">
        <f>HYPERLINK("https://klasma.github.io/Logging_1290/tillsynsmail/A 30526-2024 tillsynsbegäran mail.docx", "A 30526-2024")</f>
        <v/>
      </c>
    </row>
    <row r="375" ht="15" customHeight="1">
      <c r="A375" t="inlineStr">
        <is>
          <t>A 31620-2024</t>
        </is>
      </c>
      <c r="B375" s="1" t="n">
        <v>45506</v>
      </c>
      <c r="C375" s="1" t="n">
        <v>45704</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32101-2024</t>
        </is>
      </c>
      <c r="B376" s="1" t="n">
        <v>45511</v>
      </c>
      <c r="C376" s="1" t="n">
        <v>45704</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32367-2024</t>
        </is>
      </c>
      <c r="B377" s="1" t="n">
        <v>45512</v>
      </c>
      <c r="C377" s="1" t="n">
        <v>45704</v>
      </c>
      <c r="D377" t="inlineStr">
        <is>
          <t>SKÅNE LÄN</t>
        </is>
      </c>
      <c r="E377" t="inlineStr">
        <is>
          <t>ÖSTRA GÖINGE</t>
        </is>
      </c>
      <c r="G377" t="n">
        <v>5.4</v>
      </c>
      <c r="H377" t="n">
        <v>0</v>
      </c>
      <c r="I377" t="n">
        <v>1</v>
      </c>
      <c r="J377" t="n">
        <v>0</v>
      </c>
      <c r="K377" t="n">
        <v>0</v>
      </c>
      <c r="L377" t="n">
        <v>0</v>
      </c>
      <c r="M377" t="n">
        <v>0</v>
      </c>
      <c r="N377" t="n">
        <v>0</v>
      </c>
      <c r="O377" t="n">
        <v>0</v>
      </c>
      <c r="P377" t="n">
        <v>0</v>
      </c>
      <c r="Q377" t="n">
        <v>1</v>
      </c>
      <c r="R377" s="2" t="inlineStr">
        <is>
          <t>Blomkålssvamp</t>
        </is>
      </c>
      <c r="S377">
        <f>HYPERLINK("https://klasma.github.io/Logging_1256/artfynd/A 32367-2024 artfynd.xlsx", "A 32367-2024")</f>
        <v/>
      </c>
      <c r="T377">
        <f>HYPERLINK("https://klasma.github.io/Logging_1256/kartor/A 32367-2024 karta.png", "A 32367-2024")</f>
        <v/>
      </c>
      <c r="V377">
        <f>HYPERLINK("https://klasma.github.io/Logging_1256/klagomål/A 32367-2024 FSC-klagomål.docx", "A 32367-2024")</f>
        <v/>
      </c>
      <c r="W377">
        <f>HYPERLINK("https://klasma.github.io/Logging_1256/klagomålsmail/A 32367-2024 FSC-klagomål mail.docx", "A 32367-2024")</f>
        <v/>
      </c>
      <c r="X377">
        <f>HYPERLINK("https://klasma.github.io/Logging_1256/tillsyn/A 32367-2024 tillsynsbegäran.docx", "A 32367-2024")</f>
        <v/>
      </c>
      <c r="Y377">
        <f>HYPERLINK("https://klasma.github.io/Logging_1256/tillsynsmail/A 32367-2024 tillsynsbegäran mail.docx", "A 32367-2024")</f>
        <v/>
      </c>
    </row>
    <row r="378" ht="15" customHeight="1">
      <c r="A378" t="inlineStr">
        <is>
          <t>A 32842-2024</t>
        </is>
      </c>
      <c r="B378" s="1" t="n">
        <v>45516</v>
      </c>
      <c r="C378" s="1" t="n">
        <v>45704</v>
      </c>
      <c r="D378" t="inlineStr">
        <is>
          <t>SKÅNE LÄN</t>
        </is>
      </c>
      <c r="E378" t="inlineStr">
        <is>
          <t>PERSTORP</t>
        </is>
      </c>
      <c r="G378" t="n">
        <v>2.5</v>
      </c>
      <c r="H378" t="n">
        <v>0</v>
      </c>
      <c r="I378" t="n">
        <v>1</v>
      </c>
      <c r="J378" t="n">
        <v>0</v>
      </c>
      <c r="K378" t="n">
        <v>0</v>
      </c>
      <c r="L378" t="n">
        <v>0</v>
      </c>
      <c r="M378" t="n">
        <v>0</v>
      </c>
      <c r="N378" t="n">
        <v>0</v>
      </c>
      <c r="O378" t="n">
        <v>0</v>
      </c>
      <c r="P378" t="n">
        <v>0</v>
      </c>
      <c r="Q378" t="n">
        <v>1</v>
      </c>
      <c r="R378" s="2" t="inlineStr">
        <is>
          <t>Blåmossa</t>
        </is>
      </c>
      <c r="S378">
        <f>HYPERLINK("https://klasma.github.io/Logging_1275/artfynd/A 32842-2024 artfynd.xlsx", "A 32842-2024")</f>
        <v/>
      </c>
      <c r="T378">
        <f>HYPERLINK("https://klasma.github.io/Logging_1275/kartor/A 32842-2024 karta.png", "A 32842-2024")</f>
        <v/>
      </c>
      <c r="V378">
        <f>HYPERLINK("https://klasma.github.io/Logging_1275/klagomål/A 32842-2024 FSC-klagomål.docx", "A 32842-2024")</f>
        <v/>
      </c>
      <c r="W378">
        <f>HYPERLINK("https://klasma.github.io/Logging_1275/klagomålsmail/A 32842-2024 FSC-klagomål mail.docx", "A 32842-2024")</f>
        <v/>
      </c>
      <c r="X378">
        <f>HYPERLINK("https://klasma.github.io/Logging_1275/tillsyn/A 32842-2024 tillsynsbegäran.docx", "A 32842-2024")</f>
        <v/>
      </c>
      <c r="Y378">
        <f>HYPERLINK("https://klasma.github.io/Logging_1275/tillsynsmail/A 32842-2024 tillsynsbegäran mail.docx", "A 32842-2024")</f>
        <v/>
      </c>
    </row>
    <row r="379" ht="15" customHeight="1">
      <c r="A379" t="inlineStr">
        <is>
          <t>A 34341-2024</t>
        </is>
      </c>
      <c r="B379" s="1" t="n">
        <v>45525</v>
      </c>
      <c r="C379" s="1" t="n">
        <v>45704</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35258-2024</t>
        </is>
      </c>
      <c r="B380" s="1" t="n">
        <v>45530</v>
      </c>
      <c r="C380" s="1" t="n">
        <v>45704</v>
      </c>
      <c r="D380" t="inlineStr">
        <is>
          <t>SKÅNE LÄN</t>
        </is>
      </c>
      <c r="E380" t="inlineStr">
        <is>
          <t>SJÖBO</t>
        </is>
      </c>
      <c r="G380" t="n">
        <v>16.6</v>
      </c>
      <c r="H380" t="n">
        <v>0</v>
      </c>
      <c r="I380" t="n">
        <v>0</v>
      </c>
      <c r="J380" t="n">
        <v>0</v>
      </c>
      <c r="K380" t="n">
        <v>0</v>
      </c>
      <c r="L380" t="n">
        <v>1</v>
      </c>
      <c r="M380" t="n">
        <v>0</v>
      </c>
      <c r="N380" t="n">
        <v>0</v>
      </c>
      <c r="O380" t="n">
        <v>1</v>
      </c>
      <c r="P380" t="n">
        <v>1</v>
      </c>
      <c r="Q380" t="n">
        <v>1</v>
      </c>
      <c r="R380" s="2" t="inlineStr">
        <is>
          <t>Ask</t>
        </is>
      </c>
      <c r="S380">
        <f>HYPERLINK("https://klasma.github.io/Logging_1265/artfynd/A 35258-2024 artfynd.xlsx", "A 35258-2024")</f>
        <v/>
      </c>
      <c r="T380">
        <f>HYPERLINK("https://klasma.github.io/Logging_1265/kartor/A 35258-2024 karta.png", "A 35258-2024")</f>
        <v/>
      </c>
      <c r="V380">
        <f>HYPERLINK("https://klasma.github.io/Logging_1265/klagomål/A 35258-2024 FSC-klagomål.docx", "A 35258-2024")</f>
        <v/>
      </c>
      <c r="W380">
        <f>HYPERLINK("https://klasma.github.io/Logging_1265/klagomålsmail/A 35258-2024 FSC-klagomål mail.docx", "A 35258-2024")</f>
        <v/>
      </c>
      <c r="X380">
        <f>HYPERLINK("https://klasma.github.io/Logging_1265/tillsyn/A 35258-2024 tillsynsbegäran.docx", "A 35258-2024")</f>
        <v/>
      </c>
      <c r="Y380">
        <f>HYPERLINK("https://klasma.github.io/Logging_1265/tillsynsmail/A 35258-2024 tillsynsbegäran mail.docx", "A 35258-2024")</f>
        <v/>
      </c>
    </row>
    <row r="381" ht="15" customHeight="1">
      <c r="A381" t="inlineStr">
        <is>
          <t>A 48064-2024</t>
        </is>
      </c>
      <c r="B381" s="1" t="n">
        <v>45589</v>
      </c>
      <c r="C381" s="1" t="n">
        <v>45704</v>
      </c>
      <c r="D381" t="inlineStr">
        <is>
          <t>SKÅNE LÄN</t>
        </is>
      </c>
      <c r="E381" t="inlineStr">
        <is>
          <t>ÄNGELHOLM</t>
        </is>
      </c>
      <c r="G381" t="n">
        <v>14.9</v>
      </c>
      <c r="H381" t="n">
        <v>1</v>
      </c>
      <c r="I381" t="n">
        <v>0</v>
      </c>
      <c r="J381" t="n">
        <v>0</v>
      </c>
      <c r="K381" t="n">
        <v>0</v>
      </c>
      <c r="L381" t="n">
        <v>0</v>
      </c>
      <c r="M381" t="n">
        <v>0</v>
      </c>
      <c r="N381" t="n">
        <v>0</v>
      </c>
      <c r="O381" t="n">
        <v>0</v>
      </c>
      <c r="P381" t="n">
        <v>0</v>
      </c>
      <c r="Q381" t="n">
        <v>1</v>
      </c>
      <c r="R381" s="2" t="inlineStr">
        <is>
          <t>Klotullört</t>
        </is>
      </c>
      <c r="S381">
        <f>HYPERLINK("https://klasma.github.io/Logging_1292/artfynd/A 48064-2024 artfynd.xlsx", "A 48064-2024")</f>
        <v/>
      </c>
      <c r="T381">
        <f>HYPERLINK("https://klasma.github.io/Logging_1292/kartor/A 48064-2024 karta.png", "A 48064-2024")</f>
        <v/>
      </c>
      <c r="V381">
        <f>HYPERLINK("https://klasma.github.io/Logging_1292/klagomål/A 48064-2024 FSC-klagomål.docx", "A 48064-2024")</f>
        <v/>
      </c>
      <c r="W381">
        <f>HYPERLINK("https://klasma.github.io/Logging_1292/klagomålsmail/A 48064-2024 FSC-klagomål mail.docx", "A 48064-2024")</f>
        <v/>
      </c>
      <c r="X381">
        <f>HYPERLINK("https://klasma.github.io/Logging_1292/tillsyn/A 48064-2024 tillsynsbegäran.docx", "A 48064-2024")</f>
        <v/>
      </c>
      <c r="Y381">
        <f>HYPERLINK("https://klasma.github.io/Logging_1292/tillsynsmail/A 48064-2024 tillsynsbegäran mail.docx", "A 48064-2024")</f>
        <v/>
      </c>
    </row>
    <row r="382" ht="15" customHeight="1">
      <c r="A382" t="inlineStr">
        <is>
          <t>A 48926-2024</t>
        </is>
      </c>
      <c r="B382" s="1" t="n">
        <v>45594</v>
      </c>
      <c r="C382" s="1" t="n">
        <v>45704</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50779-2024</t>
        </is>
      </c>
      <c r="B383" s="1" t="n">
        <v>45602</v>
      </c>
      <c r="C383" s="1" t="n">
        <v>45704</v>
      </c>
      <c r="D383" t="inlineStr">
        <is>
          <t>SKÅNE LÄN</t>
        </is>
      </c>
      <c r="E383" t="inlineStr">
        <is>
          <t>KRISTIANSTAD</t>
        </is>
      </c>
      <c r="G383" t="n">
        <v>6.6</v>
      </c>
      <c r="H383" t="n">
        <v>0</v>
      </c>
      <c r="I383" t="n">
        <v>1</v>
      </c>
      <c r="J383" t="n">
        <v>0</v>
      </c>
      <c r="K383" t="n">
        <v>0</v>
      </c>
      <c r="L383" t="n">
        <v>0</v>
      </c>
      <c r="M383" t="n">
        <v>0</v>
      </c>
      <c r="N383" t="n">
        <v>0</v>
      </c>
      <c r="O383" t="n">
        <v>0</v>
      </c>
      <c r="P383" t="n">
        <v>0</v>
      </c>
      <c r="Q383" t="n">
        <v>1</v>
      </c>
      <c r="R383" s="2" t="inlineStr">
        <is>
          <t>Bokoxe</t>
        </is>
      </c>
      <c r="S383">
        <f>HYPERLINK("https://klasma.github.io/Logging_1290/artfynd/A 50779-2024 artfynd.xlsx", "A 50779-2024")</f>
        <v/>
      </c>
      <c r="T383">
        <f>HYPERLINK("https://klasma.github.io/Logging_1290/kartor/A 50779-2024 karta.png", "A 50779-2024")</f>
        <v/>
      </c>
      <c r="V383">
        <f>HYPERLINK("https://klasma.github.io/Logging_1290/klagomål/A 50779-2024 FSC-klagomål.docx", "A 50779-2024")</f>
        <v/>
      </c>
      <c r="W383">
        <f>HYPERLINK("https://klasma.github.io/Logging_1290/klagomålsmail/A 50779-2024 FSC-klagomål mail.docx", "A 50779-2024")</f>
        <v/>
      </c>
      <c r="X383">
        <f>HYPERLINK("https://klasma.github.io/Logging_1290/tillsyn/A 50779-2024 tillsynsbegäran.docx", "A 50779-2024")</f>
        <v/>
      </c>
      <c r="Y383">
        <f>HYPERLINK("https://klasma.github.io/Logging_1290/tillsynsmail/A 50779-2024 tillsynsbegäran mail.docx", "A 50779-2024")</f>
        <v/>
      </c>
    </row>
    <row r="384" ht="15" customHeight="1">
      <c r="A384" t="inlineStr">
        <is>
          <t>A 53811-2024</t>
        </is>
      </c>
      <c r="B384" s="1" t="n">
        <v>45615</v>
      </c>
      <c r="C384" s="1" t="n">
        <v>45704</v>
      </c>
      <c r="D384" t="inlineStr">
        <is>
          <t>SKÅNE LÄN</t>
        </is>
      </c>
      <c r="E384" t="inlineStr">
        <is>
          <t>ESLÖV</t>
        </is>
      </c>
      <c r="G384" t="n">
        <v>1.2</v>
      </c>
      <c r="H384" t="n">
        <v>0</v>
      </c>
      <c r="I384" t="n">
        <v>0</v>
      </c>
      <c r="J384" t="n">
        <v>1</v>
      </c>
      <c r="K384" t="n">
        <v>0</v>
      </c>
      <c r="L384" t="n">
        <v>0</v>
      </c>
      <c r="M384" t="n">
        <v>0</v>
      </c>
      <c r="N384" t="n">
        <v>0</v>
      </c>
      <c r="O384" t="n">
        <v>1</v>
      </c>
      <c r="P384" t="n">
        <v>0</v>
      </c>
      <c r="Q384" t="n">
        <v>1</v>
      </c>
      <c r="R384" s="2" t="inlineStr">
        <is>
          <t>Dystersopp</t>
        </is>
      </c>
      <c r="S384">
        <f>HYPERLINK("https://klasma.github.io/Logging_1285/artfynd/A 53811-2024 artfynd.xlsx", "A 53811-2024")</f>
        <v/>
      </c>
      <c r="T384">
        <f>HYPERLINK("https://klasma.github.io/Logging_1285/kartor/A 53811-2024 karta.png", "A 53811-2024")</f>
        <v/>
      </c>
      <c r="V384">
        <f>HYPERLINK("https://klasma.github.io/Logging_1285/klagomål/A 53811-2024 FSC-klagomål.docx", "A 53811-2024")</f>
        <v/>
      </c>
      <c r="W384">
        <f>HYPERLINK("https://klasma.github.io/Logging_1285/klagomålsmail/A 53811-2024 FSC-klagomål mail.docx", "A 53811-2024")</f>
        <v/>
      </c>
      <c r="X384">
        <f>HYPERLINK("https://klasma.github.io/Logging_1285/tillsyn/A 53811-2024 tillsynsbegäran.docx", "A 53811-2024")</f>
        <v/>
      </c>
      <c r="Y384">
        <f>HYPERLINK("https://klasma.github.io/Logging_1285/tillsynsmail/A 53811-2024 tillsynsbegäran mail.docx", "A 53811-2024")</f>
        <v/>
      </c>
    </row>
    <row r="385" ht="15" customHeight="1">
      <c r="A385" t="inlineStr">
        <is>
          <t>A 54523-2024</t>
        </is>
      </c>
      <c r="B385" s="1" t="n">
        <v>45617</v>
      </c>
      <c r="C385" s="1" t="n">
        <v>45704</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59446-2024</t>
        </is>
      </c>
      <c r="B386" s="1" t="n">
        <v>45638</v>
      </c>
      <c r="C386" s="1" t="n">
        <v>45704</v>
      </c>
      <c r="D386" t="inlineStr">
        <is>
          <t>SKÅNE LÄN</t>
        </is>
      </c>
      <c r="E386" t="inlineStr">
        <is>
          <t>BJUV</t>
        </is>
      </c>
      <c r="G386" t="n">
        <v>3.9</v>
      </c>
      <c r="H386" t="n">
        <v>0</v>
      </c>
      <c r="I386" t="n">
        <v>1</v>
      </c>
      <c r="J386" t="n">
        <v>0</v>
      </c>
      <c r="K386" t="n">
        <v>0</v>
      </c>
      <c r="L386" t="n">
        <v>0</v>
      </c>
      <c r="M386" t="n">
        <v>0</v>
      </c>
      <c r="N386" t="n">
        <v>0</v>
      </c>
      <c r="O386" t="n">
        <v>0</v>
      </c>
      <c r="P386" t="n">
        <v>0</v>
      </c>
      <c r="Q386" t="n">
        <v>1</v>
      </c>
      <c r="R386" s="2" t="inlineStr">
        <is>
          <t>Platt fjädermossa</t>
        </is>
      </c>
      <c r="S386">
        <f>HYPERLINK("https://klasma.github.io/Logging_1260/artfynd/A 59446-2024 artfynd.xlsx", "A 59446-2024")</f>
        <v/>
      </c>
      <c r="T386">
        <f>HYPERLINK("https://klasma.github.io/Logging_1260/kartor/A 59446-2024 karta.png", "A 59446-2024")</f>
        <v/>
      </c>
      <c r="V386">
        <f>HYPERLINK("https://klasma.github.io/Logging_1260/klagomål/A 59446-2024 FSC-klagomål.docx", "A 59446-2024")</f>
        <v/>
      </c>
      <c r="W386">
        <f>HYPERLINK("https://klasma.github.io/Logging_1260/klagomålsmail/A 59446-2024 FSC-klagomål mail.docx", "A 59446-2024")</f>
        <v/>
      </c>
      <c r="X386">
        <f>HYPERLINK("https://klasma.github.io/Logging_1260/tillsyn/A 59446-2024 tillsynsbegäran.docx", "A 59446-2024")</f>
        <v/>
      </c>
      <c r="Y386">
        <f>HYPERLINK("https://klasma.github.io/Logging_1260/tillsynsmail/A 59446-2024 tillsynsbegäran mail.docx", "A 59446-2024")</f>
        <v/>
      </c>
    </row>
    <row r="387" ht="15" customHeight="1">
      <c r="A387" t="inlineStr">
        <is>
          <t>A 60891-2024</t>
        </is>
      </c>
      <c r="B387" s="1" t="n">
        <v>45644</v>
      </c>
      <c r="C387" s="1" t="n">
        <v>45704</v>
      </c>
      <c r="D387" t="inlineStr">
        <is>
          <t>SKÅNE LÄN</t>
        </is>
      </c>
      <c r="E387" t="inlineStr">
        <is>
          <t>YSTAD</t>
        </is>
      </c>
      <c r="G387" t="n">
        <v>16.1</v>
      </c>
      <c r="H387" t="n">
        <v>1</v>
      </c>
      <c r="I387" t="n">
        <v>0</v>
      </c>
      <c r="J387" t="n">
        <v>0</v>
      </c>
      <c r="K387" t="n">
        <v>0</v>
      </c>
      <c r="L387" t="n">
        <v>0</v>
      </c>
      <c r="M387" t="n">
        <v>0</v>
      </c>
      <c r="N387" t="n">
        <v>0</v>
      </c>
      <c r="O387" t="n">
        <v>0</v>
      </c>
      <c r="P387" t="n">
        <v>0</v>
      </c>
      <c r="Q387" t="n">
        <v>1</v>
      </c>
      <c r="R387" s="2" t="inlineStr">
        <is>
          <t>Lövgroda</t>
        </is>
      </c>
      <c r="S387">
        <f>HYPERLINK("https://klasma.github.io/Logging_1286/artfynd/A 60891-2024 artfynd.xlsx", "A 60891-2024")</f>
        <v/>
      </c>
      <c r="T387">
        <f>HYPERLINK("https://klasma.github.io/Logging_1286/kartor/A 60891-2024 karta.png", "A 60891-2024")</f>
        <v/>
      </c>
      <c r="V387">
        <f>HYPERLINK("https://klasma.github.io/Logging_1286/klagomål/A 60891-2024 FSC-klagomål.docx", "A 60891-2024")</f>
        <v/>
      </c>
      <c r="W387">
        <f>HYPERLINK("https://klasma.github.io/Logging_1286/klagomålsmail/A 60891-2024 FSC-klagomål mail.docx", "A 60891-2024")</f>
        <v/>
      </c>
      <c r="X387">
        <f>HYPERLINK("https://klasma.github.io/Logging_1286/tillsyn/A 60891-2024 tillsynsbegäran.docx", "A 60891-2024")</f>
        <v/>
      </c>
      <c r="Y387">
        <f>HYPERLINK("https://klasma.github.io/Logging_1286/tillsynsmail/A 60891-2024 tillsynsbegäran mail.docx", "A 60891-2024")</f>
        <v/>
      </c>
    </row>
    <row r="388" ht="15" customHeight="1">
      <c r="A388" t="inlineStr">
        <is>
          <t>A 60925-2024</t>
        </is>
      </c>
      <c r="B388" s="1" t="n">
        <v>45645</v>
      </c>
      <c r="C388" s="1" t="n">
        <v>45704</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61019-2024</t>
        </is>
      </c>
      <c r="B389" s="1" t="n">
        <v>45645</v>
      </c>
      <c r="C389" s="1" t="n">
        <v>45704</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61707-2024</t>
        </is>
      </c>
      <c r="B390" s="1" t="n">
        <v>45648</v>
      </c>
      <c r="C390" s="1" t="n">
        <v>45704</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Rödlånke</t>
        </is>
      </c>
      <c r="S390">
        <f>HYPERLINK("https://klasma.github.io/Logging_1293/artfynd/A 61707-2024 artfynd.xlsx", "A 61707-2024")</f>
        <v/>
      </c>
      <c r="T390">
        <f>HYPERLINK("https://klasma.github.io/Logging_1293/kartor/A 61707-2024 karta.png", "A 61707-2024")</f>
        <v/>
      </c>
      <c r="V390">
        <f>HYPERLINK("https://klasma.github.io/Logging_1293/klagomål/A 61707-2024 FSC-klagomål.docx", "A 61707-2024")</f>
        <v/>
      </c>
      <c r="W390">
        <f>HYPERLINK("https://klasma.github.io/Logging_1293/klagomålsmail/A 61707-2024 FSC-klagomål mail.docx", "A 61707-2024")</f>
        <v/>
      </c>
      <c r="X390">
        <f>HYPERLINK("https://klasma.github.io/Logging_1293/tillsyn/A 61707-2024 tillsynsbegäran.docx", "A 61707-2024")</f>
        <v/>
      </c>
      <c r="Y390">
        <f>HYPERLINK("https://klasma.github.io/Logging_1293/tillsynsmail/A 61707-2024 tillsynsbegäran mail.docx", "A 61707-2024")</f>
        <v/>
      </c>
    </row>
    <row r="391" ht="15" customHeight="1">
      <c r="A391" t="inlineStr">
        <is>
          <t>A 61738-2024</t>
        </is>
      </c>
      <c r="B391" s="1" t="n">
        <v>45649</v>
      </c>
      <c r="C391" s="1" t="n">
        <v>45704</v>
      </c>
      <c r="D391" t="inlineStr">
        <is>
          <t>SKÅNE LÄN</t>
        </is>
      </c>
      <c r="E391" t="inlineStr">
        <is>
          <t>OSBY</t>
        </is>
      </c>
      <c r="G391" t="n">
        <v>3.7</v>
      </c>
      <c r="H391" t="n">
        <v>1</v>
      </c>
      <c r="I391" t="n">
        <v>0</v>
      </c>
      <c r="J391" t="n">
        <v>0</v>
      </c>
      <c r="K391" t="n">
        <v>0</v>
      </c>
      <c r="L391" t="n">
        <v>0</v>
      </c>
      <c r="M391" t="n">
        <v>0</v>
      </c>
      <c r="N391" t="n">
        <v>0</v>
      </c>
      <c r="O391" t="n">
        <v>0</v>
      </c>
      <c r="P391" t="n">
        <v>0</v>
      </c>
      <c r="Q391" t="n">
        <v>1</v>
      </c>
      <c r="R391" s="2" t="inlineStr">
        <is>
          <t>Vanlig snok</t>
        </is>
      </c>
      <c r="S391">
        <f>HYPERLINK("https://klasma.github.io/Logging_1273/artfynd/A 61738-2024 artfynd.xlsx", "A 61738-2024")</f>
        <v/>
      </c>
      <c r="T391">
        <f>HYPERLINK("https://klasma.github.io/Logging_1273/kartor/A 61738-2024 karta.png", "A 61738-2024")</f>
        <v/>
      </c>
      <c r="V391">
        <f>HYPERLINK("https://klasma.github.io/Logging_1273/klagomål/A 61738-2024 FSC-klagomål.docx", "A 61738-2024")</f>
        <v/>
      </c>
      <c r="W391">
        <f>HYPERLINK("https://klasma.github.io/Logging_1273/klagomålsmail/A 61738-2024 FSC-klagomål mail.docx", "A 61738-2024")</f>
        <v/>
      </c>
      <c r="X391">
        <f>HYPERLINK("https://klasma.github.io/Logging_1273/tillsyn/A 61738-2024 tillsynsbegäran.docx", "A 61738-2024")</f>
        <v/>
      </c>
      <c r="Y391">
        <f>HYPERLINK("https://klasma.github.io/Logging_1273/tillsynsmail/A 61738-2024 tillsynsbegäran mail.docx", "A 61738-2024")</f>
        <v/>
      </c>
    </row>
    <row r="392" ht="15" customHeight="1">
      <c r="A392" t="inlineStr">
        <is>
          <t>A 2482-2025</t>
        </is>
      </c>
      <c r="B392" s="1" t="n">
        <v>45674</v>
      </c>
      <c r="C392" s="1" t="n">
        <v>45704</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4619-2025</t>
        </is>
      </c>
      <c r="B393" s="1" t="n">
        <v>45687</v>
      </c>
      <c r="C393" s="1" t="n">
        <v>45704</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4725-2025</t>
        </is>
      </c>
      <c r="B394" s="1" t="n">
        <v>45688</v>
      </c>
      <c r="C394" s="1" t="n">
        <v>45704</v>
      </c>
      <c r="D394" t="inlineStr">
        <is>
          <t>SKÅNE LÄN</t>
        </is>
      </c>
      <c r="E394" t="inlineStr">
        <is>
          <t>HÄSSLEHOLM</t>
        </is>
      </c>
      <c r="G394" t="n">
        <v>5.5</v>
      </c>
      <c r="H394" t="n">
        <v>1</v>
      </c>
      <c r="I394" t="n">
        <v>0</v>
      </c>
      <c r="J394" t="n">
        <v>0</v>
      </c>
      <c r="K394" t="n">
        <v>0</v>
      </c>
      <c r="L394" t="n">
        <v>0</v>
      </c>
      <c r="M394" t="n">
        <v>0</v>
      </c>
      <c r="N394" t="n">
        <v>0</v>
      </c>
      <c r="O394" t="n">
        <v>0</v>
      </c>
      <c r="P394" t="n">
        <v>0</v>
      </c>
      <c r="Q394" t="n">
        <v>1</v>
      </c>
      <c r="R394" s="2" t="inlineStr">
        <is>
          <t>Grönvit nattviol</t>
        </is>
      </c>
      <c r="S394">
        <f>HYPERLINK("https://klasma.github.io/Logging_1293/artfynd/A 4725-2025 artfynd.xlsx", "A 4725-2025")</f>
        <v/>
      </c>
      <c r="T394">
        <f>HYPERLINK("https://klasma.github.io/Logging_1293/kartor/A 4725-2025 karta.png", "A 4725-2025")</f>
        <v/>
      </c>
      <c r="V394">
        <f>HYPERLINK("https://klasma.github.io/Logging_1293/klagomål/A 4725-2025 FSC-klagomål.docx", "A 4725-2025")</f>
        <v/>
      </c>
      <c r="W394">
        <f>HYPERLINK("https://klasma.github.io/Logging_1293/klagomålsmail/A 4725-2025 FSC-klagomål mail.docx", "A 4725-2025")</f>
        <v/>
      </c>
      <c r="X394">
        <f>HYPERLINK("https://klasma.github.io/Logging_1293/tillsyn/A 4725-2025 tillsynsbegäran.docx", "A 4725-2025")</f>
        <v/>
      </c>
      <c r="Y394">
        <f>HYPERLINK("https://klasma.github.io/Logging_1293/tillsynsmail/A 4725-2025 tillsynsbegäran mail.docx", "A 4725-2025")</f>
        <v/>
      </c>
    </row>
    <row r="395" ht="15" customHeight="1">
      <c r="A395" t="inlineStr">
        <is>
          <t>A 4746-2025</t>
        </is>
      </c>
      <c r="B395" s="1" t="n">
        <v>45688</v>
      </c>
      <c r="C395" s="1" t="n">
        <v>45704</v>
      </c>
      <c r="D395" t="inlineStr">
        <is>
          <t>SKÅNE LÄN</t>
        </is>
      </c>
      <c r="E395" t="inlineStr">
        <is>
          <t>LUND</t>
        </is>
      </c>
      <c r="G395" t="n">
        <v>1.1</v>
      </c>
      <c r="H395" t="n">
        <v>1</v>
      </c>
      <c r="I395" t="n">
        <v>0</v>
      </c>
      <c r="J395" t="n">
        <v>1</v>
      </c>
      <c r="K395" t="n">
        <v>0</v>
      </c>
      <c r="L395" t="n">
        <v>0</v>
      </c>
      <c r="M395" t="n">
        <v>0</v>
      </c>
      <c r="N395" t="n">
        <v>0</v>
      </c>
      <c r="O395" t="n">
        <v>1</v>
      </c>
      <c r="P395" t="n">
        <v>0</v>
      </c>
      <c r="Q395" t="n">
        <v>1</v>
      </c>
      <c r="R395" s="2" t="inlineStr">
        <is>
          <t>Svartvit flugsnappare</t>
        </is>
      </c>
      <c r="S395">
        <f>HYPERLINK("https://klasma.github.io/Logging_1281/artfynd/A 4746-2025 artfynd.xlsx", "A 4746-2025")</f>
        <v/>
      </c>
      <c r="T395">
        <f>HYPERLINK("https://klasma.github.io/Logging_1281/kartor/A 4746-2025 karta.png", "A 4746-2025")</f>
        <v/>
      </c>
      <c r="V395">
        <f>HYPERLINK("https://klasma.github.io/Logging_1281/klagomål/A 4746-2025 FSC-klagomål.docx", "A 4746-2025")</f>
        <v/>
      </c>
      <c r="W395">
        <f>HYPERLINK("https://klasma.github.io/Logging_1281/klagomålsmail/A 4746-2025 FSC-klagomål mail.docx", "A 4746-2025")</f>
        <v/>
      </c>
      <c r="X395">
        <f>HYPERLINK("https://klasma.github.io/Logging_1281/tillsyn/A 4746-2025 tillsynsbegäran.docx", "A 4746-2025")</f>
        <v/>
      </c>
      <c r="Y395">
        <f>HYPERLINK("https://klasma.github.io/Logging_1281/tillsynsmail/A 4746-2025 tillsynsbegäran mail.docx", "A 4746-2025")</f>
        <v/>
      </c>
      <c r="Z395">
        <f>HYPERLINK("https://klasma.github.io/Logging_1281/fåglar/A 4746-2025 prioriterade fågelarter.docx", "A 4746-2025")</f>
        <v/>
      </c>
    </row>
    <row r="396" ht="15" customHeight="1">
      <c r="A396" t="inlineStr">
        <is>
          <t>A 4792-2025</t>
        </is>
      </c>
      <c r="B396" s="1" t="n">
        <v>45688</v>
      </c>
      <c r="C396" s="1" t="n">
        <v>45704</v>
      </c>
      <c r="D396" t="inlineStr">
        <is>
          <t>SKÅNE LÄN</t>
        </is>
      </c>
      <c r="E396" t="inlineStr">
        <is>
          <t>LUND</t>
        </is>
      </c>
      <c r="G396" t="n">
        <v>5.9</v>
      </c>
      <c r="H396" t="n">
        <v>0</v>
      </c>
      <c r="I396" t="n">
        <v>0</v>
      </c>
      <c r="J396" t="n">
        <v>1</v>
      </c>
      <c r="K396" t="n">
        <v>0</v>
      </c>
      <c r="L396" t="n">
        <v>0</v>
      </c>
      <c r="M396" t="n">
        <v>0</v>
      </c>
      <c r="N396" t="n">
        <v>0</v>
      </c>
      <c r="O396" t="n">
        <v>1</v>
      </c>
      <c r="P396" t="n">
        <v>0</v>
      </c>
      <c r="Q396" t="n">
        <v>1</v>
      </c>
      <c r="R396" s="2" t="inlineStr">
        <is>
          <t>Oxtungssvamp</t>
        </is>
      </c>
      <c r="S396">
        <f>HYPERLINK("https://klasma.github.io/Logging_1281/artfynd/A 4792-2025 artfynd.xlsx", "A 4792-2025")</f>
        <v/>
      </c>
      <c r="T396">
        <f>HYPERLINK("https://klasma.github.io/Logging_1281/kartor/A 4792-2025 karta.png", "A 4792-2025")</f>
        <v/>
      </c>
      <c r="V396">
        <f>HYPERLINK("https://klasma.github.io/Logging_1281/klagomål/A 4792-2025 FSC-klagomål.docx", "A 4792-2025")</f>
        <v/>
      </c>
      <c r="W396">
        <f>HYPERLINK("https://klasma.github.io/Logging_1281/klagomålsmail/A 4792-2025 FSC-klagomål mail.docx", "A 4792-2025")</f>
        <v/>
      </c>
      <c r="X396">
        <f>HYPERLINK("https://klasma.github.io/Logging_1281/tillsyn/A 4792-2025 tillsynsbegäran.docx", "A 4792-2025")</f>
        <v/>
      </c>
      <c r="Y396">
        <f>HYPERLINK("https://klasma.github.io/Logging_1281/tillsynsmail/A 4792-2025 tillsynsbegäran mail.docx", "A 4792-2025")</f>
        <v/>
      </c>
    </row>
    <row r="397" ht="15" customHeight="1">
      <c r="A397" t="inlineStr">
        <is>
          <t>A 4816-2025</t>
        </is>
      </c>
      <c r="B397" s="1" t="n">
        <v>45688</v>
      </c>
      <c r="C397" s="1" t="n">
        <v>45704</v>
      </c>
      <c r="D397" t="inlineStr">
        <is>
          <t>SKÅNE LÄN</t>
        </is>
      </c>
      <c r="E397" t="inlineStr">
        <is>
          <t>LUND</t>
        </is>
      </c>
      <c r="G397" t="n">
        <v>7.7</v>
      </c>
      <c r="H397" t="n">
        <v>0</v>
      </c>
      <c r="I397" t="n">
        <v>1</v>
      </c>
      <c r="J397" t="n">
        <v>0</v>
      </c>
      <c r="K397" t="n">
        <v>0</v>
      </c>
      <c r="L397" t="n">
        <v>0</v>
      </c>
      <c r="M397" t="n">
        <v>0</v>
      </c>
      <c r="N397" t="n">
        <v>0</v>
      </c>
      <c r="O397" t="n">
        <v>0</v>
      </c>
      <c r="P397" t="n">
        <v>0</v>
      </c>
      <c r="Q397" t="n">
        <v>1</v>
      </c>
      <c r="R397" s="2" t="inlineStr">
        <is>
          <t>Strutbräken</t>
        </is>
      </c>
      <c r="S397">
        <f>HYPERLINK("https://klasma.github.io/Logging_1281/artfynd/A 4816-2025 artfynd.xlsx", "A 4816-2025")</f>
        <v/>
      </c>
      <c r="T397">
        <f>HYPERLINK("https://klasma.github.io/Logging_1281/kartor/A 4816-2025 karta.png", "A 4816-2025")</f>
        <v/>
      </c>
      <c r="V397">
        <f>HYPERLINK("https://klasma.github.io/Logging_1281/klagomål/A 4816-2025 FSC-klagomål.docx", "A 4816-2025")</f>
        <v/>
      </c>
      <c r="W397">
        <f>HYPERLINK("https://klasma.github.io/Logging_1281/klagomålsmail/A 4816-2025 FSC-klagomål mail.docx", "A 4816-2025")</f>
        <v/>
      </c>
      <c r="X397">
        <f>HYPERLINK("https://klasma.github.io/Logging_1281/tillsyn/A 4816-2025 tillsynsbegäran.docx", "A 4816-2025")</f>
        <v/>
      </c>
      <c r="Y397">
        <f>HYPERLINK("https://klasma.github.io/Logging_1281/tillsynsmail/A 4816-2025 tillsynsbegäran mail.docx", "A 4816-2025")</f>
        <v/>
      </c>
    </row>
    <row r="398" ht="15" customHeight="1">
      <c r="A398" t="inlineStr">
        <is>
          <t>A 18175-2019</t>
        </is>
      </c>
      <c r="B398" s="1" t="n">
        <v>43556</v>
      </c>
      <c r="C398" s="1" t="n">
        <v>45704</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45704</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45704</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45704</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45704</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45704</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45704</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45704</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45704</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45704</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45704</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45704</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45704</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45704</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45704</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45704</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45704</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45704</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45704</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45704</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45704</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45704</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45704</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45704</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45704</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45704</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45704</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45704</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45704</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45704</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45704</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45704</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45704</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45704</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45704</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45704</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45704</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45704</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45704</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45704</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45704</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45704</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45704</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45704</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45704</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45704</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45704</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45704</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45704</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45704</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45704</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45704</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45704</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45704</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45704</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45704</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45704</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45704</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45704</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45704</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45704</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45704</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45704</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45704</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45704</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45704</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45704</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45704</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45704</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45704</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45704</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45704</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45704</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45704</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45704</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45704</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45704</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45704</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45704</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45704</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45704</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45704</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45704</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45704</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45704</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45704</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45704</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45704</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45704</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45704</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45704</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45704</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45704</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45704</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45704</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45704</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45704</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45704</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45704</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45704</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45704</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45704</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45704</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45704</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45704</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45704</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45704</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45704</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45704</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45704</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45704</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45704</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45704</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45704</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45704</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45704</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45704</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45704</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45704</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45704</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45704</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45704</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45704</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45704</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45704</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45704</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45704</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45704</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45704</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45704</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45704</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45704</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45704</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45704</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45704</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45704</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45704</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45704</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45704</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45704</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45704</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45704</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45704</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45704</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45704</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45704</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45704</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45704</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45704</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45704</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45704</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45704</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45704</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45704</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45704</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45704</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45704</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45704</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45704</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45704</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45704</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45704</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45704</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45704</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45704</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45704</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45704</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45704</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45704</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45704</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45704</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45704</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45704</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45704</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45704</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45704</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45704</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45704</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45704</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45704</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45704</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45704</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45704</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45704</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45704</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45704</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45704</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45704</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45704</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45704</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45704</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45704</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45704</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45704</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45704</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45704</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45704</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45704</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45704</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45704</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45704</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45704</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45704</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45704</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45704</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45704</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45704</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45704</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45704</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45704</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45704</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45704</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45704</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45704</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45704</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45704</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45704</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45704</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45704</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45704</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45704</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45704</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45704</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45704</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45704</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45704</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45704</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45704</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45704</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45704</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45704</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45704</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45704</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45704</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45704</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45704</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45704</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45704</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45704</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45704</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45704</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45704</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45704</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45704</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45704</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45704</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45704</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45704</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45704</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45704</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45704</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45704</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45704</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45704</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45704</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45704</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45704</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45704</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45704</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45704</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45704</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45704</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45704</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45704</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45704</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45704</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45704</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45704</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45704</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45704</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45704</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45704</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45704</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45704</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45704</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45704</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45704</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45704</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45704</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45704</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45704</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45704</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45704</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45704</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45704</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45704</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45704</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45704</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45704</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45704</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45704</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45704</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45704</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45704</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45704</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45704</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45704</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45704</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45704</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45704</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45704</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45704</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45704</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45704</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45704</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45704</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45704</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45704</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45704</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45704</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45704</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45704</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45704</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45704</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45704</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45704</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45704</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45704</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45704</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45704</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45704</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45704</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45704</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45704</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45704</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45704</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45704</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45704</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45704</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45704</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45704</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45704</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45704</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45704</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45704</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45704</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45704</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45704</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45704</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45704</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45704</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45704</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45704</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45704</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45704</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45704</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45704</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45704</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45704</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45704</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45704</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45704</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45704</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45704</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45704</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45704</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45704</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45704</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45704</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45704</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45704</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45704</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45704</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45704</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45704</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45704</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45704</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45704</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45704</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45704</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45704</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45704</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45704</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45704</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45704</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45704</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45704</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45704</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45704</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45704</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45704</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45704</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45704</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45704</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45704</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45704</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45704</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45704</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45704</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45704</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45704</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45704</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45704</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45704</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45704</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45704</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45704</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45704</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45704</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45704</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45704</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45704</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45704</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45704</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45704</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45704</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45704</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45704</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45704</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45704</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45704</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45704</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45704</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45704</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45704</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45704</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45704</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45704</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45704</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45704</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45704</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45704</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45704</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45704</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45704</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45704</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45704</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45704</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45704</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45704</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45704</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45704</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45704</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45704</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45704</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45704</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45704</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45704</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45704</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45704</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45704</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45704</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45704</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45704</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45704</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45704</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45704</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45704</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45704</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45704</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45704</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45704</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45704</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45704</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45704</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45704</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45704</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45704</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45704</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45704</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45704</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45704</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45704</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45704</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45704</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45704</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45704</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45704</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45704</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45704</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45704</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45704</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45704</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45704</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45704</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45704</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45704</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45704</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45704</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45704</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45704</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45704</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45704</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45704</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45704</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45704</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45704</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45704</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45704</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45704</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45704</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45704</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45704</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45704</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45704</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45704</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45704</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45704</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45704</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45704</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45704</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45704</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45704</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45704</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45704</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45704</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45704</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45704</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45704</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45704</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45704</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45704</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45704</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45704</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45704</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45704</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45704</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45704</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45704</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45704</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45704</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45704</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45704</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45704</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45704</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45704</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45704</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45704</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45704</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45704</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45704</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45704</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45704</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45704</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45704</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45704</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45704</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45704</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45704</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45704</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45704</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45704</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45704</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45704</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45704</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45704</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45704</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45704</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45704</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45704</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45704</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45704</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45704</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45704</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45704</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45704</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45704</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45704</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45704</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45704</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45704</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45704</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45704</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45704</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45704</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45704</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45704</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45704</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45704</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45704</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45704</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45704</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45704</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45704</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45704</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45704</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45704</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45704</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45704</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45704</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45704</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45704</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45704</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45704</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45704</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45704</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45704</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45704</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45704</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45704</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45704</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45704</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45704</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45704</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45704</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45704</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45704</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45704</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45704</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45704</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45704</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45704</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45704</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45704</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45704</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45704</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45704</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45704</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45704</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45704</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45704</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45704</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45704</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45704</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45704</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45704</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45704</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45704</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45704</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45704</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45704</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45704</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45704</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45704</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45704</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45704</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45704</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45704</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45704</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45704</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45704</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45704</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45704</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45704</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45704</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45704</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45704</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45704</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45704</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45704</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45704</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45704</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45704</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45704</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45704</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45704</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45704</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45704</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45704</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45704</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45704</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45704</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45704</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45704</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45704</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45704</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45704</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45704</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45704</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45704</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45704</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45704</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45704</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45704</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45704</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45704</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45704</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45704</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45704</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45704</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45704</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45704</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45704</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45704</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45704</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45704</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45704</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45704</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45704</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45704</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45704</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45704</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45704</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45704</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45704</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45704</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45704</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45704</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45704</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45704</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45704</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45704</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45704</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45704</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45704</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45704</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45704</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45704</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45704</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45704</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45704</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45704</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45704</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45704</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45704</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45704</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45704</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45704</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45704</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45704</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45704</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45704</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45704</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45704</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45704</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45704</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45704</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45704</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45704</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45704</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45704</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45704</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45704</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45704</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45704</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45704</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45704</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45704</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45704</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45704</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45704</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45704</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45704</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45704</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45704</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45704</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45704</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45704</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45704</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45704</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45704</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45704</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45704</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45704</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45704</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45704</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45704</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45704</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45704</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45704</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45704</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45704</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45704</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45704</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45704</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45704</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45704</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45704</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45704</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45704</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45704</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45704</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45704</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45704</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45704</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45704</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45704</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45704</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45704</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45704</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45704</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45704</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45704</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45704</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45704</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45704</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45704</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45704</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45704</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45704</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45704</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45704</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45704</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45704</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45704</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45704</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45704</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45704</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45704</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45704</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45704</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45704</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45704</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45704</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45704</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45704</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45704</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45704</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45704</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45704</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45704</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45704</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45704</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45704</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45704</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45704</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45704</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45704</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45704</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45704</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45704</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45704</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45704</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45704</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45704</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45704</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45704</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45704</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45704</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45704</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45704</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45704</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45704</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45704</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45704</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45704</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45704</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45704</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45704</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45704</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45704</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45704</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45704</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45704</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45704</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45704</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45704</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45704</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45704</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45704</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45704</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45704</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45704</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45704</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45704</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45704</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45704</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45704</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45704</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45704</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45704</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45704</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45704</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45704</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45704</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45704</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45704</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45704</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45704</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45704</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45704</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45704</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45704</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45704</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45704</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45704</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45704</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45704</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45704</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45704</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45704</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45704</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45704</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45704</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45704</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45704</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45704</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45704</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45704</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45704</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45704</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45704</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45704</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45704</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45704</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45704</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45704</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45704</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45704</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45704</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45704</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45704</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45704</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45704</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45704</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45704</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45704</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45704</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45704</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45704</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45704</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45704</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45704</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45704</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45704</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45704</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45704</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45704</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45704</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45704</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45704</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45704</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45704</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45704</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45704</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45704</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45704</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45704</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45704</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45704</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45704</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45704</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45704</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45704</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45704</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45704</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45704</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45704</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45704</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45704</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45704</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45704</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45704</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45704</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45704</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45704</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45704</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45704</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45704</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45704</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45704</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45704</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45704</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45704</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45704</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45704</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45704</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45704</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45704</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45704</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45704</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45704</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45704</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45704</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45704</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45704</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45704</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45704</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45704</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45704</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45704</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45704</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45704</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45704</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45704</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45704</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45704</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45704</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45704</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45704</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45704</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45704</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45704</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45704</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45704</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45704</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45704</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45704</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45704</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45704</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45704</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45704</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45704</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45704</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45704</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45704</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45704</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45704</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45704</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45704</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45704</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45704</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45704</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45704</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45704</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45704</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45704</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45704</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45704</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45704</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45704</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45704</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45704</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45704</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45704</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45704</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45704</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45704</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45704</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45704</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45704</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45704</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45704</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45704</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45704</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45704</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45704</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45704</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45704</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45704</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45704</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45704</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45704</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45704</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45704</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45704</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45704</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45704</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45704</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45704</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45704</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45704</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45704</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45704</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45704</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45704</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45704</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45704</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45704</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45704</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45704</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45704</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45704</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45704</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45704</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45704</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45704</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45704</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45704</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45704</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45704</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45704</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45704</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45704</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45704</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45704</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45704</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45704</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45704</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45704</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45704</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45704</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45704</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45704</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45704</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45704</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45704</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45704</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45704</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45704</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45704</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45704</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45704</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45704</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45704</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45704</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45704</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45704</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45704</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45704</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45704</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45704</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45704</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45704</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45704</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45704</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45704</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45704</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45704</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45704</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45704</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45704</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45704</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45704</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45704</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45704</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45704</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45704</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45704</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45704</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45704</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45704</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45704</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45704</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45704</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45704</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45704</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45704</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45704</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45704</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45704</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45704</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45704</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45704</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45704</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45704</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45704</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45704</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45704</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45704</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45704</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45704</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45704</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45704</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45704</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45704</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45704</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45704</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45704</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45704</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45704</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45704</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45704</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45704</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45704</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45704</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45704</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45704</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45704</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45704</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45704</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45704</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45704</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45704</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45704</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45704</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45704</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45704</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45704</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45704</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45704</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45704</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45704</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45704</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45704</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45704</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45704</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45704</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45704</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45704</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45704</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45704</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45704</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45704</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45704</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45704</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45704</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45704</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45704</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45704</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45704</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45704</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45704</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45704</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45704</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45704</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45704</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45704</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45704</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45704</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45704</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45704</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45704</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45704</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45704</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45704</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45704</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45704</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45704</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45704</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45704</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45704</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45704</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45704</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45704</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45704</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45704</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45704</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45704</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45704</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45704</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45704</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45704</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45704</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45704</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45704</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45704</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45704</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45704</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45704</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45704</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45704</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45704</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45704</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45704</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45704</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45704</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45704</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45704</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45704</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45704</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45704</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45704</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45704</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45704</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45704</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45704</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45704</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45704</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45704</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45704</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45704</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45704</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45704</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45704</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45704</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45704</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45704</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45704</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45704</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45704</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45704</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45704</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45704</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45704</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45704</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45704</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45704</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45704</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45704</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45704</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45704</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45704</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45704</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45704</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45704</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45704</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45704</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45704</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45704</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45704</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45704</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45704</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45704</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45704</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45704</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45704</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45704</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45704</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45704</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45704</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45704</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45704</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45704</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45704</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45704</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45704</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45704</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45704</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45704</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45704</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45704</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45704</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45704</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45704</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45704</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45704</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45704</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45704</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45704</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45704</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45704</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45704</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45704</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45704</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45704</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45704</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45704</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45704</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45704</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45704</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45704</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45704</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45704</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45704</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45704</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45704</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45704</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45704</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45704</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45704</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45704</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45704</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45704</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45704</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45704</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45704</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45704</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45704</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45704</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45704</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45704</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45704</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45704</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45704</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45704</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45704</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45704</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45704</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45704</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45704</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45704</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45704</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45704</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45704</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45704</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45704</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45704</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45704</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45704</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45704</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45704</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45704</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45704</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45704</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45704</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45704</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45704</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45704</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45704</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45704</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45704</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45704</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45704</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45704</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45704</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45704</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45704</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45704</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45704</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45704</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45704</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45704</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45704</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45704</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45704</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45704</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45704</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45704</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45704</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45704</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45704</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45704</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45704</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45704</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45704</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45704</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45704</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45704</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45704</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45704</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45704</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45704</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45704</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45704</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45704</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45704</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45704</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45704</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45704</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45704</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45704</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45704</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45704</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45704</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45704</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45704</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45704</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45704</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45704</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45704</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45704</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45704</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45704</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45704</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45704</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45704</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45704</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45704</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45704</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45704</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45704</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45704</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45704</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45704</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45704</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45704</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45704</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45704</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45704</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45704</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45704</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45704</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45704</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45704</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45704</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45704</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45704</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45704</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45704</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45704</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45704</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45704</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45704</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45704</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45704</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45704</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45704</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45704</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45704</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45704</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45704</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45704</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45704</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45704</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45704</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45704</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45704</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45704</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45704</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45704</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45704</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45704</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45704</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45704</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45704</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45704</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45704</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45704</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45704</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45704</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45704</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45704</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45704</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45704</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45704</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45704</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45704</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45704</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45704</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45704</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45704</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45704</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45704</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45704</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45704</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45704</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45704</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45704</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45704</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45704</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45704</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45704</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45704</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45704</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45704</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45704</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45704</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45704</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45704</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45704</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45704</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45704</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45704</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45704</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45704</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45704</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45704</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45704</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45704</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45704</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45704</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45704</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45704</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45704</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45704</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45704</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45704</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45704</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45704</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45704</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45704</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45704</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45704</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45704</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45704</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45704</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45704</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45704</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45704</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45704</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45704</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45704</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45704</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45704</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45704</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45704</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45704</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45704</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45704</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45704</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45704</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45704</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45704</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45704</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45704</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45704</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45704</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45704</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45704</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45704</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45704</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45704</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45704</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45704</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45704</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45704</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45704</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45704</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45704</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45704</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45704</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45704</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45704</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45704</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45704</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45704</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45704</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45704</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45704</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45704</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45704</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45704</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45704</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45704</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45704</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45704</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45704</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45704</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45704</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45704</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45704</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45704</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45704</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45704</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45704</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45704</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45704</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45704</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45704</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45704</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45704</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45704</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45704</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45704</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45704</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45704</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45704</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45704</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45704</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45704</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45704</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45704</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45704</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45704</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45704</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45704</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45704</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45704</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45704</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45704</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45704</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45704</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45704</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45704</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45704</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45704</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45704</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45704</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45704</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45704</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45704</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45704</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45704</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45704</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45704</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45704</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45704</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45704</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45704</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45704</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45704</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45704</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45704</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45704</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45704</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45704</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45704</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45704</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45704</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45704</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45704</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45704</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45704</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45704</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45704</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45704</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45704</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45704</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45704</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45704</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45704</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45704</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45704</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45704</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45704</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45704</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45704</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45704</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45704</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45704</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45704</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45704</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45704</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45704</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45704</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45704</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45704</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45704</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45704</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45704</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45704</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45704</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45704</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45704</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45704</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45704</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45704</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45704</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45704</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45704</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45704</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45704</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45704</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45704</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45704</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45704</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45704</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45704</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45704</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45704</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45704</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45704</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45704</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45704</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45704</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45704</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45704</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45704</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45704</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45704</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45704</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45704</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45704</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45704</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45704</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45704</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45704</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45704</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45704</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45704</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45704</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45704</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45704</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45704</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45704</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45704</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45704</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45704</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45704</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45704</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45704</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45704</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45704</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45704</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45704</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45704</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45704</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45704</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45704</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45704</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45704</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45704</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45704</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45704</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45704</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45704</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45704</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45704</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45704</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45704</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45704</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45704</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45704</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45704</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45704</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45704</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45704</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45704</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45704</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45704</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45704</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45704</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45704</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45704</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45704</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45704</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45704</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45704</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45704</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45704</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45704</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45704</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45704</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45704</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45704</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45704</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45704</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45704</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45704</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45704</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45704</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45704</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45704</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45704</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45704</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45704</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45704</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45704</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45704</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45704</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45704</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45704</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45704</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45704</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45704</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45704</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45704</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45704</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45704</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45704</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45704</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45704</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45704</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45704</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45704</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45704</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45704</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45704</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45704</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45704</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45704</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45704</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45704</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45704</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45704</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45704</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45704</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45704</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45704</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45704</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45704</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45704</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45704</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45704</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45704</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45704</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45704</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45704</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45704</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45704</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45704</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45704</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45704</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45704</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45704</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45704</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45704</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45704</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45704</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45704</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45704</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45704</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45704</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45704</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45704</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45704</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45704</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45704</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45704</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45704</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45704</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45704</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45704</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45704</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45704</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45704</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45704</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45704</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45704</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45704</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45704</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45704</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45704</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45704</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45704</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45704</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45704</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45704</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45704</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45704</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45704</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45704</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45704</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45704</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45704</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45704</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45704</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45704</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45704</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45704</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45704</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45704</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45704</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45704</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45704</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45704</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45704</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45704</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45704</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45704</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45704</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45704</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45704</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45704</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45704</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45704</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45704</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45704</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45704</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45704</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45704</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45704</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45704</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45704</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45704</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45704</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45704</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45704</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45704</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45704</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45704</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45704</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45704</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45704</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45704</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45704</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45704</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45704</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45704</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45704</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45704</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45704</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45704</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45704</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45704</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45704</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45704</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45704</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45704</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45704</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45704</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45704</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45704</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45704</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45704</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45704</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45704</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45704</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45704</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45704</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45704</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45704</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45704</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45704</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45704</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45704</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45704</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45704</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45704</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45704</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45704</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45704</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45704</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45704</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45704</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45704</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45704</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45704</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45704</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45704</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45704</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45704</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45704</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45704</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45704</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45704</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45704</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45704</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45704</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45704</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45704</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45704</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45704</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45704</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45704</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45704</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45704</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45704</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45704</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45704</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45704</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45704</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45704</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45704</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45704</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45704</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45704</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45704</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45704</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45704</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45704</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45704</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45704</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45704</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45704</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45704</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45704</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45704</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45704</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45704</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45704</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45704</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45704</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45704</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45704</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45704</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45704</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45704</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45704</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45704</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45704</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45704</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45704</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45704</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45704</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45704</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45704</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45704</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45704</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45704</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45704</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45704</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45704</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45704</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45704</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45704</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45704</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45704</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45704</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45704</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45704</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45704</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45704</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45704</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45704</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45704</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45704</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45704</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45704</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45704</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45704</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45704</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45704</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45704</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45704</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45704</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45704</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45704</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45704</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45704</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45704</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45704</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45704</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45704</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45704</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45704</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45704</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45704</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45704</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45704</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45704</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45704</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45704</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45704</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45704</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45704</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45704</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45704</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45704</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45704</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45704</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45704</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45704</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45704</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45704</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45704</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45704</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45704</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45704</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45704</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45704</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45704</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45704</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45704</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45704</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45704</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45704</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45704</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45704</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45704</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45704</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45704</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45704</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45704</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45704</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45704</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45704</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45704</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45704</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45704</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45704</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45704</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45704</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45704</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45704</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45704</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45704</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45704</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45704</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45704</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45704</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45704</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45704</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45704</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45704</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45704</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45704</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45704</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45704</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45704</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45704</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45704</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45704</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45704</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45704</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45704</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45704</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45704</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45704</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45704</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45704</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45704</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45704</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45704</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45704</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45704</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45704</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45704</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45704</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45704</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45704</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45704</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45704</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45704</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45704</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45704</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45704</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45704</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45704</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45704</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45704</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45704</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45704</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45704</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45704</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45704</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45704</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45704</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45704</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45704</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45704</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45704</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45704</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45704</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45704</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45704</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45704</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45704</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45704</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45704</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45704</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45704</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45704</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45704</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45704</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45704</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45704</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45704</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45704</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45704</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45704</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45704</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45704</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45704</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45704</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45704</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45704</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45704</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45704</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45704</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45704</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45704</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45704</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45704</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45704</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45704</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45704</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45704</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45704</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45704</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45704</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45704</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45704</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45704</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45704</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45704</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45704</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45704</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45704</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45704</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45704</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45704</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45704</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45704</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45704</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45704</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45704</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45704</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45704</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45704</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45704</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45704</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45704</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45704</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45704</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45704</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45704</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45704</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45704</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45704</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45704</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45704</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45704</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45704</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45704</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45704</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45704</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45704</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45704</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45704</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45704</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45704</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45704</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45704</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45704</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45704</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45704</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45704</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45704</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45704</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45704</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45704</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45704</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45704</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45704</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45704</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45704</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45704</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45704</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45704</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45704</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45704</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45704</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45704</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45704</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45704</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45704</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45704</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45704</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45704</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45704</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45704</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45704</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45704</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45704</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45704</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45704</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45704</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45704</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45704</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45704</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45704</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45704</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45704</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45704</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45704</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45704</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45704</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45704</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45704</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45704</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45704</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45704</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45704</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45704</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45704</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45704</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45704</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45704</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45704</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45704</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45704</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45704</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45704</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45704</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45704</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45704</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45704</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45704</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45704</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45704</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45704</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45704</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45704</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45704</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45704</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45704</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45704</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45704</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45704</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45704</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45704</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45704</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45704</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45704</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45704</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45704</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45704</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45704</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45704</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45704</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45704</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45704</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45704</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45704</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45704</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45704</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45704</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45704</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45704</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45704</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45704</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45704</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45704</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45704</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45704</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45704</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45704</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45704</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45704</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45704</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45704</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45704</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45704</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45704</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45704</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45704</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45704</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45704</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45704</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45704</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45704</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45704</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45704</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45704</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45704</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45704</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45704</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45704</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45704</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45704</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45704</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45704</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45704</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45704</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45704</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45704</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45704</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45704</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45704</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45704</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45704</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45704</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45704</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45704</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45704</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45704</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45704</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45704</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45704</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45704</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45704</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45704</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45704</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45704</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45704</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45704</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45704</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45704</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45704</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45704</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45704</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45704</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45704</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45704</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45704</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45704</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45704</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45704</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45704</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45704</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45704</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45704</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45704</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45704</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45704</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45704</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45704</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45704</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45704</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45704</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45704</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45704</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45704</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45704</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45704</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45704</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45704</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45704</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45704</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45704</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45704</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45704</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45704</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45704</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45704</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45704</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45704</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45704</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45704</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45704</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45704</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45704</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45704</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45704</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45704</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45704</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45704</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45704</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45704</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45704</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45704</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45704</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45704</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45704</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45704</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45704</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45704</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45704</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45704</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45704</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45704</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45704</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45704</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45704</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45704</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45704</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45704</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45704</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45704</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45704</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45704</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45704</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45704</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45704</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45704</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45704</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45704</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45704</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45704</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45704</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45704</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45704</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45704</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45704</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45704</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45704</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45704</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45704</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45704</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45704</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45704</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45704</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45704</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45704</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45704</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45704</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45704</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45704</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45704</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45704</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45704</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45704</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45704</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45704</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45704</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45704</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45704</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45704</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45704</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45704</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45704</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45704</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45704</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45704</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45704</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45704</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45704</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45704</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45704</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45704</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45704</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45704</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45704</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45704</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45704</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45704</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45704</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45704</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45704</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45704</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45704</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45704</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45704</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45704</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45704</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45704</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45704</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45704</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45704</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45704</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45704</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45704</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45704</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45704</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45704</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45704</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45704</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45704</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45704</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45704</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45704</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45704</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45704</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45704</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45704</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45704</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45704</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45704</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45704</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45704</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45704</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45704</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45704</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45704</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45704</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45704</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45704</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45704</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45704</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45704</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45704</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45704</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45704</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45704</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45704</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45704</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45704</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45704</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45704</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45704</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45704</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45704</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45704</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45704</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45704</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45704</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45704</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45704</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45704</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45704</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45704</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45704</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45704</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45704</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45704</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45704</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45704</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45704</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45704</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45704</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45704</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45704</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45704</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45704</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45704</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45704</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45704</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45704</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45704</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45704</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45704</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45704</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45704</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45704</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45704</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45704</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45704</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45704</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45704</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45704</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45704</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45704</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45704</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45704</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45704</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45704</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45704</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45704</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45704</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45704</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45704</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45704</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45704</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45704</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45704</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45704</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45704</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45704</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45704</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45704</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45704</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45704</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45704</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45704</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45704</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45704</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45704</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45704</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45704</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45704</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45704</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45704</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45704</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45704</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45704</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45704</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45704</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45704</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45704</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45704</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45704</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45704</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45704</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45704</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45704</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45704</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45704</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45704</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45704</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45704</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45704</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45704</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45704</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45704</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45704</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45704</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45704</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45704</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45704</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45704</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45704</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45704</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45704</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45704</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45704</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45704</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45704</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45704</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45704</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45704</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45704</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45704</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45704</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45704</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45704</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45704</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45704</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45704</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45704</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45704</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45704</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45704</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45704</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45704</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45704</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45704</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45704</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45704</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45704</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45704</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45704</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45704</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45704</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45704</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45704</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45704</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45704</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45704</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45704</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45704</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45704</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45704</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45704</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45704</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45704</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45704</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45704</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45704</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45704</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45704</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45704</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45704</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45704</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45704</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45704</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45704</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45704</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45704</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45704</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45704</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45704</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45704</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45704</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45704</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45704</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45704</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45704</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45704</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45704</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45704</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45704</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45704</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45704</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45704</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45704</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45704</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45704</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45704</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45704</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45704</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45704</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45704</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45704</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45704</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45704</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45704</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45704</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45704</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45704</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45704</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45704</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45704</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45704</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45704</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45704</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45704</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45704</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45704</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45704</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45704</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45704</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45704</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45704</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45704</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45704</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45704</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45704</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45704</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45704</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45704</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45704</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45704</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45704</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45704</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45704</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45704</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45704</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45704</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45704</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45704</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45704</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45704</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45704</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45704</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45704</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45704</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45704</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45704</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45704</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45704</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45704</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45704</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45704</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45704</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45704</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45704</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45704</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45704</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45704</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45704</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45704</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45704</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45704</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45704</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45704</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45704</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45704</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45704</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45704</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45704</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45704</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45704</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45704</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45704</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45704</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45704</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45704</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45704</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45704</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45704</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45704</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45704</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45704</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45704</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45704</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45704</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45704</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45704</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45704</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45704</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45704</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45704</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45704</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45704</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45704</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45704</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45704</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45704</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45704</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45704</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45704</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45704</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45704</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45704</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45704</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45704</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45704</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45704</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45704</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45704</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45704</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45704</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45704</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45704</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45704</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45704</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45704</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45704</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45704</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45704</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45704</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45704</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45704</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45704</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45704</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45704</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45704</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45704</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45704</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45704</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45704</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45704</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45704</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45704</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45704</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45704</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45704</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45704</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45704</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45704</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45704</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45704</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45704</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45704</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45704</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45704</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45704</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45704</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45704</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45704</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45704</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45704</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45704</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45704</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45704</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45704</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45704</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45704</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45704</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45704</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45704</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45704</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45704</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45704</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45704</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45704</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45704</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45704</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45704</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45704</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45704</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45704</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45704</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45704</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45704</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45704</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45704</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45704</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45704</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45704</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45704</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45704</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45704</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45704</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45704</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45704</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45704</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45704</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45704</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45704</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45704</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45704</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45704</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45704</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45704</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45704</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45704</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45704</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45704</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45704</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45704</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45704</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45704</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45704</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45704</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45704</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45704</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45704</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45704</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45704</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45704</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45704</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45704</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45704</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45704</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45704</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45704</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45704</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45704</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45704</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45704</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45704</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45704</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45704</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45704</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45704</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45704</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45704</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45704</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45704</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45704</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45704</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45704</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45704</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45704</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45704</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45704</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45704</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45704</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45704</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45704</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45704</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45704</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45704</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45704</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45704</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45704</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45704</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45704</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45704</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45704</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45704</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45704</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45704</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45704</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45704</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45704</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45704</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45704</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45704</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45704</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45704</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45704</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45704</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45704</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45704</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45704</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45704</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45704</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45704</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45704</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45704</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45704</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45704</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45704</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45704</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45704</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45704</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45704</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45704</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45704</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45704</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45704</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45704</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45704</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45704</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45704</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45704</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45704</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45704</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45704</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45704</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45704</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45704</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45704</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45704</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45704</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45704</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45704</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45704</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45704</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45704</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45704</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45704</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45704</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45704</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45704</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45704</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45704</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45704</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45704</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45704</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45704</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45704</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45704</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45704</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45704</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45704</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45704</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45704</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45704</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45704</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45704</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45704</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45704</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45704</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45704</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45704</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45704</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45704</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45704</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45704</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45704</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45704</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45704</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45704</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45704</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45704</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45704</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45704</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45704</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45704</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45704</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45704</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45704</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45704</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45704</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45704</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45704</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45704</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45704</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45704</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45704</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45704</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45704</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45704</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45704</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45704</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45704</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45704</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45704</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45704</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45704</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45704</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45704</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45704</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45704</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45704</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45704</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45704</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45704</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45704</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45704</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45704</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45704</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45704</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45704</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45704</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45704</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45704</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45704</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45704</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45704</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45704</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45704</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45704</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45704</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45704</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45704</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45704</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45704</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45704</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45704</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45704</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45704</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45704</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45704</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45704</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45704</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45704</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45704</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45704</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45704</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45704</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45704</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45704</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45704</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45704</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45704</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45704</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45704</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45704</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45704</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45704</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45704</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45704</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45704</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45704</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45704</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45704</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45704</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45704</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45704</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45704</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45704</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45704</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45704</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45704</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45704</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45704</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45704</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45704</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45704</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45704</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45704</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45704</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45704</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45704</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45704</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45704</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45704</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45704</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45704</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45704</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45704</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45704</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45704</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45704</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45704</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45704</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45704</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45704</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45704</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45704</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45704</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45704</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45704</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45704</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45704</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45704</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45704</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45704</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45704</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45704</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45704</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45704</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45704</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45704</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45704</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45704</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45704</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45704</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45704</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45704</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45704</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45704</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45704</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45704</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45704</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45704</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45704</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45704</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45704</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45704</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45704</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45704</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45704</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45704</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45704</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45704</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45704</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45704</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45704</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45704</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45704</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45704</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45704</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45704</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45704</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45704</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45704</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45704</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45704</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45704</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45704</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45704</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45704</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45704</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45704</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45704</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45704</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45704</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45704</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45704</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45704</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45704</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45704</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45704</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45704</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45704</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45704</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45704</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45704</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45704</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45704</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45704</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45704</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45704</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45704</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45704</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45704</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45704</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45704</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45704</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45704</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45704</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45704</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45704</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45704</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45704</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45704</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45704</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45704</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45704</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45704</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45704</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45704</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45704</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45704</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45704</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45704</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45704</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45704</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45704</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45704</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45704</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45704</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45704</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45704</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45704</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45704</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45704</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45704</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45704</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45704</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45704</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45704</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45704</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45704</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45704</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45704</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45704</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45704</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45704</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45704</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45704</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45704</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45704</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45704</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45704</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45704</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45704</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45704</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45704</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45704</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45704</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45704</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45704</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45704</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45704</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45704</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45704</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45704</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45704</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45704</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45704</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45704</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45704</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45704</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45704</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45704</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45704</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45704</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45704</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45704</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45704</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45704</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45704</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45704</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45704</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45704</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45704</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45704</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45704</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45704</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45704</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45704</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45704</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45704</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45704</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45704</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45704</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45704</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45704</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45704</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45704</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45704</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45704</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45704</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45704</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45704</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45704</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45704</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45704</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45704</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45704</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45704</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45704</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45704</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45704</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45704</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45704</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45704</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45704</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45704</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45704</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45704</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45704</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45704</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45704</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45704</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45704</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45704</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45704</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45704</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45704</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45704</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45704</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45704</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45704</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45704</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45704</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45704</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45704</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45704</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45704</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45704</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45704</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45704</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45704</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45704</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45704</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45704</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45704</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45704</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45704</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45704</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45704</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45704</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45704</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45704</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45704</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45704</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45704</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45704</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45704</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45704</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45704</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45704</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45704</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45704</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45704</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45704</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45704</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45704</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45704</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45704</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45704</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45704</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45704</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45704</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45704</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45704</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45704</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45704</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45704</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45704</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45704</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45704</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45704</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45704</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45704</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45704</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45704</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45704</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45704</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45704</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45704</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45704</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45704</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45704</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45704</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45704</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45704</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45704</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45704</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45704</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45704</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45704</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45704</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45704</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45704</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45704</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45704</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45704</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45704</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45704</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45704</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45704</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45704</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45704</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45704</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45704</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45704</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45704</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45704</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45704</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45704</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45704</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45704</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45704</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45704</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45704</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45704</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45704</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45704</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45704</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45704</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45704</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45704</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45704</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45704</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45704</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45704</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45704</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45704</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45704</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45704</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45704</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45704</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45704</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45704</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45704</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45704</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45704</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45704</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45704</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45704</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45704</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45704</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45704</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45704</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45704</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45704</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45704</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45704</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45704</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45704</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45704</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45704</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45704</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45704</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45704</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45704</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45704</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45704</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45704</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45704</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45704</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45704</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45704</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45704</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45704</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45704</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45704</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45704</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45704</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45704</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45704</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45704</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45704</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45704</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45704</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45704</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45704</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45704</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45704</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45704</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45704</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45704</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45704</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45704</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45704</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45704</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45704</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45704</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45704</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45704</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45704</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45704</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45704</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45704</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45704</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45704</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45704</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45704</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45704</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45704</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45704</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45704</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45704</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45704</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45704</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45704</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45704</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45704</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45704</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45704</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45704</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45704</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45704</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45704</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45704</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45704</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45704</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45704</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45704</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45704</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45704</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45704</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45704</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45704</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45704</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45704</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45704</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45704</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45704</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45704</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45704</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45704</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45704</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45704</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45704</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45704</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45704</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45704</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45704</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45704</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45704</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45704</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45704</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45704</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45704</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45704</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45704</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45704</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45704</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45704</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45704</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45704</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45704</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45704</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45704</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45704</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45704</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45704</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45704</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45704</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45704</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45704</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45704</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45704</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45704</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45704</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45704</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45704</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45704</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45704</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45704</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45704</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45704</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45704</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45704</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45704</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45704</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45704</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45704</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45704</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45704</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45704</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45704</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45704</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45704</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45704</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45704</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45704</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45704</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45704</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45704</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45704</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45704</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45704</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45704</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45704</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45704</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45704</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45704</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45704</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45704</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45704</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45704</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45704</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45704</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45704</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45704</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45704</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45704</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45704</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45704</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45704</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45704</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45704</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45704</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45704</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45704</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45704</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45704</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45704</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45704</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45704</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45704</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45704</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45704</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45704</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45704</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45704</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45704</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45704</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45704</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45704</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45704</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45704</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45704</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45704</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45704</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45704</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45704</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45704</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45704</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45704</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45704</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45704</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45704</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45704</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45704</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45704</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45704</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45704</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45704</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45704</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45704</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45704</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45704</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45704</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45704</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45704</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45704</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45704</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45704</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45704</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45704</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45704</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45704</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45704</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45704</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45704</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45704</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45704</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45704</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45704</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45704</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45704</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45704</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45704</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45704</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45704</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45704</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45704</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45704</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45704</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45704</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45704</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45704</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45704</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45704</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45704</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45704</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45704</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45704</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45704</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45704</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45704</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45704</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45704</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45704</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45704</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45704</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45704</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45704</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45704</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45704</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45704</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45704</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45704</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45704</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45704</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45704</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45704</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45704</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45704</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45704</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45704</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45704</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45704</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45704</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45704</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45704</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45704</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45704</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45704</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45704</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45704</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45704</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45704</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45704</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45704</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45704</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45704</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45704</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45704</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45704</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45704</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45704</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45704</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45704</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45704</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45704</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45704</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45704</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45704</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45704</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45704</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45704</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45704</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45704</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45704</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45704</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45704</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45704</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45704</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45704</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45704</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45704</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45704</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45704</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45704</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45704</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45704</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45704</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45704</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45704</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45704</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45704</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45704</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45704</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45704</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45704</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45704</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45704</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45704</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45704</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45704</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45704</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45704</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45704</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45704</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45704</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45704</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45704</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45704</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45704</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45704</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45704</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45704</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45704</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45704</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45704</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45704</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45704</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45704</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45704</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45704</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45704</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45704</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45704</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45704</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45704</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45704</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45704</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45704</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45704</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45704</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45704</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45704</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45704</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45704</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45704</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45704</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45704</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45704</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45704</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45704</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45704</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45704</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45704</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45704</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45704</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45704</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45704</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45704</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45704</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45704</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45704</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45704</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45704</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45704</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45704</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45704</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45704</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45704</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45704</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45704</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45704</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45704</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45704</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45704</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45704</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45704</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45704</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45704</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45704</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45704</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45704</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45704</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45704</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45704</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45704</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45704</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45704</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45704</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45704</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45704</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45704</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45704</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45704</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45704</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45704</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45704</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45704</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45704</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45704</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45704</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45704</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45704</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45704</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45704</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45704</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45704</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45704</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45704</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45704</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45704</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45704</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45704</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45704</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45704</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45704</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45704</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45704</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45704</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45704</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45704</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45704</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45704</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45704</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45704</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45704</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45704</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45704</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45704</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45704</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45704</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45704</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45704</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45704</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45704</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45704</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45704</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45704</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45704</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45704</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45704</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45704</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45704</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45704</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45704</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45704</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45704</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45704</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45704</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45704</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45704</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45704</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45704</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45704</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45704</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45704</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45704</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45704</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45704</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45704</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45704</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45704</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45704</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45704</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45704</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45704</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45704</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45704</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45704</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45704</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45704</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45704</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45704</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45704</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45704</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45704</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45704</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45704</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45704</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45704</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45704</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45704</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45704</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45704</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45704</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45704</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45704</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45704</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45704</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45704</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45704</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45704</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45704</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45704</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45704</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45704</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45704</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45704</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45704</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45704</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45704</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45704</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45704</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45704</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45704</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45704</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45704</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45704</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45704</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45704</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45704</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45704</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45704</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45704</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45704</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45704</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45704</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45704</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45704</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45704</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45704</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45704</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45704</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45704</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45704</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45704</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45704</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45704</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45704</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45704</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45704</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45704</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45704</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45704</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45704</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45704</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45704</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45704</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45704</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45704</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45704</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45704</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45704</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45704</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45704</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45704</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45704</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45704</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45704</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45704</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45704</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45704</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45704</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45704</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45704</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45704</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45704</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45704</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45704</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45704</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45704</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45704</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45704</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45704</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45704</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45704</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45704</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45704</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45704</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45704</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45704</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45704</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45704</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45704</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45704</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45704</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45704</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45704</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45704</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45704</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45704</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45704</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45704</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45704</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45704</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45704</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45704</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45704</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45704</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45704</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45704</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45704</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45704</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45704</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45704</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45704</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45704</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45704</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45704</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45704</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45704</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45704</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45704</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45704</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45704</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45704</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45704</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45704</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45704</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45704</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45704</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45704</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45704</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45704</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45704</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45704</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45704</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45704</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45704</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45704</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45704</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45704</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45704</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45704</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45704</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45704</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45704</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45704</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45704</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45704</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45704</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45704</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45704</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45704</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45704</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45704</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45704</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45704</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45704</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45704</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45704</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45704</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45704</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45704</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45704</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45704</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45704</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45704</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45704</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45704</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45704</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45704</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45704</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45704</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45704</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45704</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45704</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45704</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45704</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45704</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45704</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45704</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45704</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45704</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45704</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45704</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45704</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45704</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45704</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45704</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45704</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45704</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45704</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45704</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45704</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45704</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45704</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45704</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45704</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45704</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45704</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45704</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45704</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45704</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45704</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45704</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45704</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45704</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45704</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45704</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45704</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45704</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45704</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45704</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45704</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45704</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45704</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45704</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45704</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45704</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45704</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45704</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45704</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45704</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45704</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45704</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45704</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45704</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45704</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45704</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45704</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45704</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45704</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45704</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45704</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45704</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45704</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45704</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45704</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45704</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45704</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45704</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45704</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45704</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45704</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45704</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45704</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45704</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45704</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45704</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45704</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45704</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45704</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45704</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45704</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45704</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45704</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45704</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45704</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45704</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45704</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45704</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45704</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45704</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45704</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45704</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45704</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45704</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45704</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45704</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45704</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45704</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45704</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45704</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45704</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45704</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45704</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45704</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45704</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45704</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45704</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45704</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45704</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45704</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45704</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45704</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45704</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45704</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45704</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45704</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45704</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45704</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45704</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45704</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45704</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45704</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45704</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45704</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45704</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45704</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45704</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45704</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45704</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45704</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45704</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45704</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45704</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45704</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45704</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45704</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45704</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45704</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45704</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45704</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45704</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45704</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45704</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45704</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45704</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45704</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45704</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45704</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45704</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45704</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45704</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45704</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45704</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45704</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45704</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45704</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45704</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45704</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45704</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45704</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45704</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45704</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45704</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45704</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45704</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45704</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45704</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45704</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45704</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45704</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45704</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45704</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45704</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45704</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45704</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45704</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45704</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45704</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45704</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45704</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45704</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45704</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45704</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45704</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45704</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45704</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45704</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45704</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45704</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45704</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45704</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45704</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45704</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45704</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45704</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45704</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45704</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45704</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45704</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45704</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45704</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45704</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45704</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45704</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45704</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45704</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45704</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45704</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45704</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45704</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45704</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45704</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45704</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45704</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45704</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45704</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45704</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45704</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45704</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45704</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45704</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45704</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45704</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45704</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45704</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45704</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45704</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45704</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45704</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45704</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45704</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45704</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45704</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45704</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45704</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45704</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45704</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45704</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45704</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45704</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45704</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45704</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45704</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45704</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45704</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45704</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45704</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45704</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45704</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45704</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45704</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45704</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45704</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45704</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45704</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45704</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45704</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45704</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45704</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45704</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45704</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45704</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45704</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45704</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45704</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45704</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45704</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45704</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45704</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45704</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45704</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45704</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45704</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45704</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45704</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45704</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45704</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45704</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45704</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45704</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45704</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45704</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45704</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45704</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45704</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45704</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45704</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45704</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45704</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45704</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45704</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45704</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45704</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45704</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45704</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45704</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45704</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45704</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45704</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45704</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45704</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45704</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45704</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45704</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45704</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45704</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45704</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45704</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45704</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45704</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45704</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45704</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45704</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45704</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45704</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45704</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45704</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45704</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45704</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45704</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45704</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45704</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45704</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45704</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45704</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45704</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45704</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45704</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45704</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45704</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45704</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45704</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45704</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45704</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45704</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45704</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45704</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45704</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45704</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45704</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45704</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45704</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45704</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45704</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45704</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45704</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45704</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45704</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45704</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45704</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45704</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45704</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45704</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45704</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45704</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45704</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45704</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45704</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45704</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45704</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45704</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45704</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45704</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45704</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45704</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45704</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45704</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45704</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45704</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45704</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45704</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45704</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45704</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45704</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45704</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45704</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45704</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45704</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45704</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45704</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45704</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45704</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45704</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45704</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45704</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45704</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45704</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45704</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45704</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45704</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45704</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45704</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45704</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45704</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45704</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45704</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45704</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45704</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45704</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45704</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45704</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45704</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45704</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45704</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45704</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45704</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45704</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45704</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45704</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45704</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45704</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45704</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45704</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45704</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45704</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45704</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45704</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45704</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45704</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45704</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45704</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45704</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45704</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45704</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45704</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45704</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45704</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45704</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45704</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45704</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45704</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45704</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45704</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45704</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45704</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45704</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45704</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45704</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45704</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45704</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45704</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45704</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45704</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45704</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45704</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45704</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45704</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45704</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45704</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45704</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45704</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45704</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45704</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45704</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45704</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45704</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45704</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45704</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45704</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45704</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45704</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45704</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45704</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45704</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45704</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45704</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45704</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45704</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45704</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45704</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45704</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45704</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45704</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45704</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45704</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45704</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45704</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45704</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45704</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45704</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45704</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45704</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45704</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45704</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45704</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45704</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45704</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45704</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45704</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45704</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45704</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45704</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45704</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45704</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45704</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45704</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45704</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45704</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45704</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45704</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45704</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45704</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45704</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45704</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45704</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45704</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45704</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45704</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45704</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45704</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45704</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45704</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45704</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45704</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45704</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45704</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45704</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45704</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45704</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45704</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45704</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45704</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45704</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45704</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45704</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45704</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45704</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45704</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45704</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45704</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45704</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45704</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45704</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45704</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45704</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45704</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45704</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45704</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45704</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45704</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45704</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45704</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45704</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45704</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45704</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45704</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45704</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45704</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45704</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45704</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45704</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45704</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45704</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45704</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45704</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45704</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45704</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45704</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45704</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45704</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45704</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45704</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45704</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45704</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45704</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45704</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45704</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45704</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45704</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45704</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45704</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45704</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45704</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45704</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45704</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45704</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45704</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45704</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45704</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45704</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45704</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45704</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45704</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45704</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45704</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45704</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45704</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45704</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45704</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45704</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45704</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45704</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45704</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45704</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45704</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45704</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45704</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45704</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45704</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45704</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45704</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45704</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45704</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45704</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45704</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45704</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45704</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45704</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45704</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45704</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45704</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45704</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45704</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45704</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45704</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45704</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45704</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45704</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45704</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45704</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45704</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45704</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45704</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45704</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45704</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45704</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45704</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45704</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45704</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45704</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45704</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45704</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45704</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45704</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45704</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45704</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45704</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45704</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45704</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45704</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45704</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45704</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45704</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45704</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45704</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45704</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45704</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45704</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45704</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45704</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45704</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45704</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45704</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45704</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45704</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45704</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45704</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45704</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45704</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45704</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45704</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45704</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45704</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45704</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45704</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45704</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45704</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45704</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45704</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45704</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45704</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45704</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45704</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45704</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45704</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45704</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45704</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45704</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45704</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45704</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45704</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45704</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45704</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45704</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45704</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45704</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45704</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45704</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45704</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45704</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45704</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45704</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45704</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45704</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45704</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45704</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45704</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45704</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45704</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45704</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45704</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45704</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45704</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45704</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45704</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45704</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45704</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45704</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45704</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45704</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45704</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45704</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45704</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45704</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45704</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45704</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45704</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45704</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45704</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45704</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45704</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45704</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45704</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45704</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45704</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45704</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45704</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45704</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45704</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45704</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45704</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45704</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45704</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45704</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45704</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45704</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45704</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45704</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45704</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45704</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45704</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45704</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45704</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45704</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45704</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45704</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45704</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45704</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45704</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45704</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45704</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45704</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45704</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45704</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45704</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45704</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45704</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45704</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45704</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45704</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45704</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45704</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45704</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45704</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45704</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45704</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45704</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45704</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45704</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45704</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45704</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45704</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45704</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45704</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45704</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45704</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45704</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45704</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45704</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45704</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45704</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45704</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45704</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45704</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45704</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45704</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45704</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45704</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45704</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45704</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45704</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45704</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45704</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45704</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45704</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45704</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45704</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45704</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45704</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45704</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45704</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45704</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45704</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45704</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45704</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45704</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45704</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45704</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45704</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45704</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45704</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45704</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45704</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45704</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45704</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45704</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45704</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45704</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45704</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45704</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45704</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45704</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45704</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45704</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45704</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45704</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45704</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45704</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45704</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45704</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45704</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45704</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45704</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45704</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45704</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45704</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45704</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45704</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45704</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45704</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45704</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45704</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45704</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45704</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45704</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45704</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45704</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45704</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45704</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45704</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45704</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45704</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45704</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45704</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45704</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45704</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45704</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45704</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45704</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45704</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45704</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45704</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45704</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45704</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45704</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45704</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45704</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45704</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45704</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45704</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45704</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45704</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45704</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45704</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45704</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45704</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45704</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45704</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45704</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45704</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45704</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45704</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45704</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45704</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45704</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45704</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45704</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45704</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45704</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45704</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45704</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45704</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45704</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45704</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45704</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45704</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45704</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45704</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45704</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45704</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45704</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45704</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45704</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45704</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45704</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45704</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45704</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45704</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45704</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45704</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45704</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45704</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45704</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45704</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45704</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45704</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45704</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45704</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45704</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45704</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45704</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45704</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45704</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45704</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45704</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45704</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45704</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45704</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45704</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45704</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45704</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45704</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45704</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45704</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45704</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45704</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45704</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45704</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45704</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45704</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45704</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45704</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45704</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45704</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45704</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45704</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45704</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45704</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45704</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45704</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45704</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45704</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45704</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45704</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45704</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45704</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45704</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45704</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45704</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45704</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45704</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45704</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45704</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45704</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45704</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45704</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45704</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45704</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45704</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45704</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45704</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45704</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45704</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45704</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45704</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45704</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45704</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45704</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45704</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45704</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45704</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45704</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45704</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45704</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45704</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45704</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45704</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45704</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45704</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45704</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45704</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45704</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45704</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45704</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45704</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45704</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45704</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45704</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45704</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45704</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45704</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45704</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45704</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45704</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45704</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45704</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45704</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45704</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45704</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45704</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45704</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45704</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45704</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45704</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45704</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45704</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45704</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45704</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45704</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45704</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45704</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45704</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45704</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45704</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45704</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45704</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45704</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45704</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45704</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45704</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45704</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45704</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45704</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45704</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45704</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45704</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45704</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45704</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45704</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45704</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45704</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45704</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45704</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45704</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45704</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45704</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45704</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45704</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45704</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45704</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45704</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45704</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45704</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45704</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45704</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45704</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45704</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45704</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45704</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45704</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45704</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45704</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45704</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45704</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45704</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45704</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45704</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45704</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45704</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45704</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45704</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45704</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45704</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45704</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45704</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45704</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45704</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45704</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45704</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45704</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45704</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45704</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45704</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45704</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45704</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45704</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45704</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45704</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45704</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45704</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45704</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45704</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45704</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45704</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45704</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45704</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45704</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45704</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45704</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45704</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45704</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45704</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45704</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45704</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45704</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45704</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45704</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45704</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45704</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45704</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45704</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45704</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45704</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45704</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45704</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45704</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45704</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45704</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45704</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45704</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45704</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45704</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45704</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45704</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45704</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45704</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45704</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45704</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45704</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45704</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45704</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45704</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45704</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45704</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45704</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45704</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45704</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45704</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45704</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45704</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45704</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45704</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45704</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45704</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45704</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45704</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45704</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45704</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45704</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45704</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45704</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45704</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45704</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45704</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45704</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45704</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45704</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45704</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45704</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45704</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45704</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45704</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45704</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45704</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45704</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45704</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45704</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45704</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45704</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45704</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45704</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45704</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45704</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45704</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45704</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45704</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45704</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45704</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45704</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45704</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45704</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45704</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45704</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45704</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45704</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45704</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45704</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45704</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45704</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45704</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45704</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45704</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45704</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45704</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45704</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45704</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45704</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45704</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45704</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45704</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45704</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45704</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45704</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45704</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45704</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45704</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45704</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45704</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45704</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45704</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45704</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45704</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45704</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45704</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45704</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45704</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45704</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45704</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45704</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45704</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45704</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45704</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45704</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45704</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45704</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45704</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45704</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45704</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45704</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45704</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45704</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45704</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45704</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45704</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45704</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45704</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45704</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45704</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45704</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45704</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45704</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45704</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45704</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45704</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45704</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45704</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45704</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45704</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45704</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45704</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45704</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45704</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45704</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45704</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45704</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45704</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45704</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45704</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45704</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45704</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45704</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45704</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45704</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45704</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45704</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45704</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45704</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45704</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45704</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45704</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45704</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45704</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45704</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45704</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45704</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45704</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45704</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45704</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45704</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45704</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45704</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45704</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45704</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45704</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45704</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45704</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45704</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45704</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45704</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45704</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45704</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45704</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45704</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45704</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45704</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45704</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45704</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45704</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45704</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45704</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45704</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45704</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45704</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45704</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45704</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45704</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45704</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45704</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45704</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45704</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45704</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45704</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45704</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45704</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45704</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45704</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45704</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45704</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45704</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45704</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45704</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45704</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45704</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45704</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45704</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45704</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45704</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45704</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45704</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45704</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45704</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45704</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45704</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45704</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45704</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45704</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45704</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45704</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45704</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45704</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45704</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45704</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45704</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45704</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45704</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45704</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45704</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45704</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45704</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45704</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45704</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45704</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45704</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45704</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45704</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45704</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45704</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45704</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45704</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45704</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45704</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45704</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45704</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45704</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45704</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45704</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45704</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45704</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45704</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45704</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45704</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45704</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45704</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45704</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45704</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45704</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45704</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45704</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45704</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45704</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45704</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45704</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45704</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45704</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45704</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45704</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45704</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45704</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45704</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45704</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45704</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45704</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45704</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45704</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45704</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45704</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45704</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45704</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45704</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45704</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45704</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45704</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45704</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45704</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45704</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45704</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45704</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45704</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45704</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45704</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45704</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45704</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45704</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45704</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45704</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45704</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45704</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45704</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45704</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45704</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45704</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45704</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45704</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45704</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45704</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45704</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45704</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45704</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45704</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45704</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45704</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45704</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45704</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45704</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45704</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45704</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45704</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45704</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45704</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45704</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45704</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45704</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45704</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45704</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45704</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45704</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45704</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45704</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45704</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45704</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45704</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45704</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45704</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45704</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45704</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45704</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45704</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45704</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45704</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45704</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45704</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45704</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45704</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45704</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45704</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45704</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45704</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45704</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45704</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45704</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45704</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45704</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45704</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45704</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45704</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45704</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45704</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45704</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45704</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45704</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45704</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45704</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45704</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45704</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45704</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45704</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45704</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45704</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45704</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45704</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45704</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45704</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45704</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45704</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45704</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45704</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45704</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45704</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45704</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45704</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45704</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45704</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45704</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45704</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45704</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45704</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45704</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45704</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45704</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45704</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45704</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45704</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45704</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45704</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45704</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45704</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45704</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45704</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45704</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45704</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45704</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45704</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45704</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45704</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45704</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45704</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45704</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45704</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45704</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45704</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45704</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45704</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45704</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45704</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45704</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45704</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45704</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45704</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45704</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45704</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45704</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45704</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45704</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45704</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45704</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45704</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45704</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45704</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45704</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45704</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45704</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45704</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45704</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45704</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45704</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45704</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45704</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45704</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45704</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45704</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45704</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45704</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45704</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45704</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45704</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45704</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45704</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45704</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45704</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45704</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45704</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45704</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45704</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45704</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45704</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45704</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45704</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45704</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45704</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45704</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45704</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45704</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45704</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45704</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45704</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45704</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45704</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45704</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45704</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45704</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45704</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45704</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45704</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45704</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45704</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45704</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45704</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45704</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45704</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45704</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45704</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45704</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45704</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45704</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45704</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45704</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45704</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45704</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45704</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45704</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45704</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45704</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45704</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45704</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45704</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45704</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45704</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45704</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45704</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45704</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45704</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45704</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45704</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45704</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45704</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45704</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45704</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45704</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45704</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45704</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45704</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45704</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45704</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45704</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45704</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45704</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45704</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45704</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45704</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45704</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45704</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45704</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45704</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45704</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45704</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45704</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45704</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45704</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45704</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45704</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45704</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45704</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45704</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45704</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45704</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45704</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45704</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45704</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45704</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45704</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45704</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45704</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45704</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45704</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45704</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45704</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45704</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45704</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45704</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45704</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45704</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45704</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45704</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45704</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45704</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45704</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45704</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45704</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45704</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45704</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45704</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45704</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45704</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45704</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45704</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45704</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45704</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45704</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45704</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45704</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45704</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45704</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45704</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45704</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45704</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45704</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45704</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45704</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45704</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45704</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45704</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45704</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45704</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45704</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45704</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45704</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45704</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45704</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45704</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45704</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45704</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45704</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45704</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45704</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45704</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45704</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45704</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45704</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45704</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45704</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45704</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45704</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45704</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45704</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45704</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45704</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45704</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45704</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45704</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45704</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45704</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45704</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45704</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45704</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45704</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45704</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45704</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45704</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45704</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45704</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45704</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45704</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45704</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45704</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45704</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45704</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45704</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45704</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45704</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45704</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45704</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45704</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45704</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45704</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45704</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45704</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45704</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45704</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45704</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45704</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45704</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45704</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45704</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45704</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45704</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45704</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45704</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45704</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45704</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45704</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45704</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45704</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45704</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45704</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45704</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45704</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45704</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45704</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45704</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45704</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45704</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45704</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45704</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45704</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45704</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45704</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45704</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45704</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45704</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45704</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45704</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45704</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45704</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45704</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45704</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45704</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45704</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45704</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45704</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45704</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45704</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45704</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45704</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45704</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45704</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45704</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45704</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45704</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45704</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45704</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45704</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45704</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45704</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45704</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45704</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45704</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45704</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45704</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45704</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45704</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45704</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45704</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45704</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45704</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45704</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45704</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45704</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45704</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45704</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45704</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45704</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45704</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45704</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45704</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45704</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45704</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45704</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45704</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45704</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45704</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45704</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45704</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45704</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45704</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45704</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45704</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45704</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45704</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45704</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45704</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45704</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45704</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45704</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45704</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45704</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45704</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45704</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45704</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45704</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45704</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45704</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45704</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45704</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45704</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45704</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45704</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45704</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45704</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45704</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45704</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45704</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45704</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45704</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45704</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45704</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45704</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45704</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45704</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45704</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45704</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45704</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45704</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45704</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45704</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45704</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45704</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45704</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45704</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45704</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45704</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45704</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45704</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45704</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45704</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45704</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45704</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45704</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45704</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45704</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45704</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45704</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45704</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45704</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45704</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45704</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45704</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45704</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45704</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45704</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45704</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45704</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45704</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45704</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45704</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45704</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45704</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45704</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45704</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45704</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45704</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45704</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45704</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45704</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45704</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45704</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45704</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45704</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45704</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45704</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45704</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45704</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45704</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45704</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45704</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45704</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45704</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45704</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45704</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45704</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45704</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45704</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45704</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45704</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45704</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45704</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45704</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45704</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45704</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45704</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45704</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45704</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45704</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45704</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45704</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45704</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45704</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45704</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45704</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45704</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45704</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45704</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45704</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45704</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45704</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45704</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45704</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45704</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45704</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45704</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45704</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45704</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45704</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45704</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45704</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45704</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45704</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45704</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45704</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45704</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45704</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45704</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45704</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45704</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45704</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45704</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45704</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45704</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45704</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45704</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45704</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45704</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45704</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45704</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45704</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45704</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45704</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45704</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45704</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45704</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45704</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45704</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45704</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45704</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45704</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45704</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45704</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45704</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45704</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45704</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45704</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45704</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45704</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45704</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45704</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45704</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45704</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45704</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45704</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45704</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45704</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45704</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45704</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45704</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45704</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45704</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45704</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45704</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45704</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45704</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45704</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45704</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45704</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45704</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45704</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45704</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45704</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45704</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45704</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45704</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45704</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45704</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45704</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45704</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45704</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45704</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45704</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45704</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45704</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45704</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45704</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45704</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45704</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45704</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45704</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45704</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45704</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45704</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45704</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45704</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45704</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45704</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45704</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45704</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45704</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45704</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45704</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45704</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45704</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45704</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45704</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45704</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45704</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45704</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45704</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45704</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45704</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45704</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45704</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45704</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45704</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45704</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45704</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45704</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45704</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45704</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45704</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45704</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45704</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45704</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45704</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45704</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45704</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45704</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45704</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45704</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45704</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45704</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45704</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45704</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45704</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45704</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45704</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45704</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45704</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45704</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45704</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45704</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45704</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45704</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45704</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45704</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45704</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45704</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45704</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45704</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45704</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45704</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45704</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45704</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45704</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45704</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45704</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45704</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45704</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45704</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45704</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45704</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45704</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45704</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45704</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45704</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45704</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45704</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45704</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45704</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45704</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45704</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45704</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45704</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45704</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45704</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45704</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45704</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45704</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45704</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45704</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45704</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45704</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45704</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45704</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45704</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45704</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45704</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45704</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45704</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45704</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45704</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45704</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45704</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45704</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45704</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45704</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45704</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45704</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45704</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45704</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45704</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45704</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45704</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45704</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45704</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45704</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45704</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45704</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45704</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45704</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45704</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45704</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45704</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45704</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45704</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45704</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45704</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45704</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45704</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45704</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45704</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45704</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45704</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45704</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45704</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45704</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45704</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45704</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45704</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45704</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45704</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45704</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45704</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45704</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45704</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45704</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45704</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45704</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45704</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45704</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45704</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45704</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45704</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45704</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45704</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45704</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45704</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45704</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45704</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45704</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45704</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45704</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45704</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45704</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45704</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45704</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45704</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45704</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45704</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45704</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45704</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45704</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45704</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45704</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45704</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45704</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45704</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45704</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45704</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45704</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45704</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45704</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45704</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45704</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45704</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45704</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45704</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45704</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45704</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45704</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45704</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45704</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45704</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45704</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45704</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45704</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45704</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45704</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45704</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45704</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45704</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45704</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45704</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45704</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45704</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45704</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45704</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45704</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45704</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45704</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45704</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45704</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45704</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45704</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45704</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45704</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45704</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45704</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45704</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45704</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45704</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45704</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45704</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45704</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45704</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45704</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45704</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45704</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45704</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45704</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45704</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45704</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45704</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45704</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45704</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45704</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45704</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45704</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45704</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45704</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45704</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45704</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45704</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45704</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45704</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45704</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45704</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45704</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45704</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45704</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45704</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45704</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45704</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45704</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45704</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45704</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45704</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45704</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45704</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45704</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45704</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45704</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45704</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45704</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45704</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45704</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45704</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45704</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45704</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45704</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45704</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45704</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45704</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45704</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45704</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45704</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45704</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45704</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45704</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45704</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45704</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45704</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45704</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45704</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45704</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45704</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45704</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45704</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45704</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45704</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45704</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45704</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45704</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45704</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45704</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45704</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45704</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45704</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45704</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45704</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45704</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45704</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45704</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45704</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45704</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45704</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45704</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45704</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45704</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45704</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45704</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45704</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45704</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45704</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45704</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45704</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45704</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45704</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45704</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45704</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45704</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45704</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45704</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45704</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45704</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45704</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45704</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45704</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45704</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45704</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45704</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45704</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45704</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45704</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45704</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45704</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45704</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45704</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45704</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45704</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45704</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45704</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45704</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45704</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45704</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45704</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45704</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45704</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45704</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45704</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45704</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45704</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45704</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45704</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45704</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45704</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45704</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45704</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45704</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45704</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45704</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45704</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45704</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45704</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45704</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45704</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45704</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45704</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45704</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45704</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45704</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45704</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45704</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45704</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45704</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45704</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45704</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45704</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45704</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45704</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45704</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45704</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45704</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45704</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45704</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45704</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45704</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45704</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45704</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45704</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45704</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45704</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45704</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45704</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45704</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45704</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45704</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45704</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45704</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45704</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45704</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45704</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45704</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45704</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45704</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45704</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45704</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45704</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45704</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45704</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45704</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45704</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45704</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45704</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45704</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45704</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45704</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45704</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45704</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45704</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45704</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45704</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45704</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45704</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45704</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45704</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45704</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45704</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45704</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45704</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45704</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45704</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45704</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45704</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45704</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45704</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45704</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45704</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45704</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45704</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45704</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45704</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45704</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45704</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45704</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45704</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45704</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45704</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45704</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45704</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45704</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45704</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45704</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45704</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45704</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45704</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45704</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45704</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45704</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45704</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45704</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45704</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45704</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45704</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45704</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45704</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45704</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45704</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45704</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45704</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45704</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45704</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45704</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45704</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45704</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45704</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45704</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45704</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45704</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45704</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45704</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45704</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45704</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45704</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45704</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45704</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45704</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45704</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45704</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45704</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45704</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45704</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45704</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45704</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45704</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45704</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45704</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45704</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45704</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45704</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45704</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45704</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45704</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45704</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45704</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45704</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45704</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45704</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45704</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45704</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45704</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45704</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45704</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45704</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45704</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45704</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45704</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45704</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45704</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45704</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45704</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45704</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45704</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45704</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45704</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45704</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45704</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45704</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45704</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45704</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45704</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45704</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45704</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45704</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45704</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45704</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45704</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45704</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45704</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45704</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45704</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45704</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45704</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45704</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45704</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45704</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45704</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45704</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45704</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45704</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45704</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45704</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45704</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45704</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45704</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45704</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45704</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45704</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45704</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45704</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45704</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45704</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45704</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45704</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45704</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45704</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45704</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45704</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45704</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45704</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533-2025</t>
        </is>
      </c>
      <c r="B7221" s="1" t="n">
        <v>45664</v>
      </c>
      <c r="C7221" s="1" t="n">
        <v>45704</v>
      </c>
      <c r="D7221" t="inlineStr">
        <is>
          <t>SKÅNE LÄN</t>
        </is>
      </c>
      <c r="E7221" t="inlineStr">
        <is>
          <t>KRISTIANSTAD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530-2025</t>
        </is>
      </c>
      <c r="B7222" s="1" t="n">
        <v>45664</v>
      </c>
      <c r="C7222" s="1" t="n">
        <v>45704</v>
      </c>
      <c r="D7222" t="inlineStr">
        <is>
          <t>SKÅNE LÄN</t>
        </is>
      </c>
      <c r="E7222" t="inlineStr">
        <is>
          <t>HÖÖR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584-2025</t>
        </is>
      </c>
      <c r="B7223" s="1" t="n">
        <v>45664</v>
      </c>
      <c r="C7223" s="1" t="n">
        <v>45704</v>
      </c>
      <c r="D7223" t="inlineStr">
        <is>
          <t>SKÅNE LÄN</t>
        </is>
      </c>
      <c r="E7223" t="inlineStr">
        <is>
          <t>ÄNGELHOLM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680-2025</t>
        </is>
      </c>
      <c r="B7224" s="1" t="n">
        <v>45664</v>
      </c>
      <c r="C7224" s="1" t="n">
        <v>45704</v>
      </c>
      <c r="D7224" t="inlineStr">
        <is>
          <t>SKÅNE LÄN</t>
        </is>
      </c>
      <c r="E7224" t="inlineStr">
        <is>
          <t>HÄSSLEHOLM</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653-2025</t>
        </is>
      </c>
      <c r="B7225" s="1" t="n">
        <v>45664</v>
      </c>
      <c r="C7225" s="1" t="n">
        <v>45704</v>
      </c>
      <c r="D7225" t="inlineStr">
        <is>
          <t>SKÅNE LÄN</t>
        </is>
      </c>
      <c r="E7225" t="inlineStr">
        <is>
          <t>HÄSSLEHOLM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531-2025</t>
        </is>
      </c>
      <c r="B7226" s="1" t="n">
        <v>45664</v>
      </c>
      <c r="C7226" s="1" t="n">
        <v>45704</v>
      </c>
      <c r="D7226" t="inlineStr">
        <is>
          <t>SKÅNE LÄN</t>
        </is>
      </c>
      <c r="E7226" t="inlineStr">
        <is>
          <t>HÖÖR</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829-2025</t>
        </is>
      </c>
      <c r="B7227" s="1" t="n">
        <v>45665</v>
      </c>
      <c r="C7227" s="1" t="n">
        <v>45704</v>
      </c>
      <c r="D7227" t="inlineStr">
        <is>
          <t>SKÅNE LÄN</t>
        </is>
      </c>
      <c r="E7227" t="inlineStr">
        <is>
          <t>HÄSSLEHOLM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853-2025</t>
        </is>
      </c>
      <c r="B7228" s="1" t="n">
        <v>45665</v>
      </c>
      <c r="C7228" s="1" t="n">
        <v>45704</v>
      </c>
      <c r="D7228" t="inlineStr">
        <is>
          <t>SKÅNE LÄN</t>
        </is>
      </c>
      <c r="E7228" t="inlineStr">
        <is>
          <t>KLIPPAN</t>
        </is>
      </c>
      <c r="G7228" t="n">
        <v>8.9</v>
      </c>
      <c r="H7228" t="n">
        <v>0</v>
      </c>
      <c r="I7228" t="n">
        <v>0</v>
      </c>
      <c r="J7228" t="n">
        <v>0</v>
      </c>
      <c r="K7228" t="n">
        <v>0</v>
      </c>
      <c r="L7228" t="n">
        <v>0</v>
      </c>
      <c r="M7228" t="n">
        <v>0</v>
      </c>
      <c r="N7228" t="n">
        <v>0</v>
      </c>
      <c r="O7228" t="n">
        <v>0</v>
      </c>
      <c r="P7228" t="n">
        <v>0</v>
      </c>
      <c r="Q7228" t="n">
        <v>0</v>
      </c>
      <c r="R7228" s="2" t="inlineStr"/>
    </row>
    <row r="7229" ht="15" customHeight="1">
      <c r="A7229" t="inlineStr">
        <is>
          <t>A 720-2025</t>
        </is>
      </c>
      <c r="B7229" s="1" t="n">
        <v>45665</v>
      </c>
      <c r="C7229" s="1" t="n">
        <v>45704</v>
      </c>
      <c r="D7229" t="inlineStr">
        <is>
          <t>SKÅNE LÄN</t>
        </is>
      </c>
      <c r="E7229" t="inlineStr">
        <is>
          <t>HÄSSLEHOLM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863-2025</t>
        </is>
      </c>
      <c r="B7230" s="1" t="n">
        <v>45665</v>
      </c>
      <c r="C7230" s="1" t="n">
        <v>45704</v>
      </c>
      <c r="D7230" t="inlineStr">
        <is>
          <t>SKÅNE LÄN</t>
        </is>
      </c>
      <c r="E7230" t="inlineStr">
        <is>
          <t>OSBY</t>
        </is>
      </c>
      <c r="F7230" t="inlineStr">
        <is>
          <t>Sveaskog</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871-2025</t>
        </is>
      </c>
      <c r="B7231" s="1" t="n">
        <v>45665</v>
      </c>
      <c r="C7231" s="1" t="n">
        <v>45704</v>
      </c>
      <c r="D7231" t="inlineStr">
        <is>
          <t>SKÅNE LÄN</t>
        </is>
      </c>
      <c r="E7231" t="inlineStr">
        <is>
          <t>OSBY</t>
        </is>
      </c>
      <c r="F7231" t="inlineStr">
        <is>
          <t>Sveaskog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1064-2025</t>
        </is>
      </c>
      <c r="B7232" s="1" t="n">
        <v>45665</v>
      </c>
      <c r="C7232" s="1" t="n">
        <v>45704</v>
      </c>
      <c r="D7232" t="inlineStr">
        <is>
          <t>SKÅNE LÄN</t>
        </is>
      </c>
      <c r="E7232" t="inlineStr">
        <is>
          <t>KRISTIANSTAD</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866-2025</t>
        </is>
      </c>
      <c r="B7233" s="1" t="n">
        <v>45665</v>
      </c>
      <c r="C7233" s="1" t="n">
        <v>45704</v>
      </c>
      <c r="D7233" t="inlineStr">
        <is>
          <t>SKÅNE LÄN</t>
        </is>
      </c>
      <c r="E7233" t="inlineStr">
        <is>
          <t>PERSTORP</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758-2025</t>
        </is>
      </c>
      <c r="B7234" s="1" t="n">
        <v>45665</v>
      </c>
      <c r="C7234" s="1" t="n">
        <v>45704</v>
      </c>
      <c r="D7234" t="inlineStr">
        <is>
          <t>SKÅNE LÄN</t>
        </is>
      </c>
      <c r="E7234" t="inlineStr">
        <is>
          <t>KRISTIANSTAD</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751-2025</t>
        </is>
      </c>
      <c r="B7235" s="1" t="n">
        <v>45665</v>
      </c>
      <c r="C7235" s="1" t="n">
        <v>45704</v>
      </c>
      <c r="D7235" t="inlineStr">
        <is>
          <t>SKÅNE LÄN</t>
        </is>
      </c>
      <c r="E7235" t="inlineStr">
        <is>
          <t>KRISTIANSTAD</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755-2025</t>
        </is>
      </c>
      <c r="B7236" s="1" t="n">
        <v>45665</v>
      </c>
      <c r="C7236" s="1" t="n">
        <v>45704</v>
      </c>
      <c r="D7236" t="inlineStr">
        <is>
          <t>SKÅNE LÄN</t>
        </is>
      </c>
      <c r="E7236" t="inlineStr">
        <is>
          <t>KRISTIANSTAD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860-2025</t>
        </is>
      </c>
      <c r="B7237" s="1" t="n">
        <v>45665</v>
      </c>
      <c r="C7237" s="1" t="n">
        <v>45704</v>
      </c>
      <c r="D7237" t="inlineStr">
        <is>
          <t>SKÅNE LÄN</t>
        </is>
      </c>
      <c r="E7237" t="inlineStr">
        <is>
          <t>OSBY</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872-2025</t>
        </is>
      </c>
      <c r="B7238" s="1" t="n">
        <v>45665</v>
      </c>
      <c r="C7238" s="1" t="n">
        <v>45704</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1152-2025</t>
        </is>
      </c>
      <c r="B7239" s="1" t="n">
        <v>45666</v>
      </c>
      <c r="C7239" s="1" t="n">
        <v>45704</v>
      </c>
      <c r="D7239" t="inlineStr">
        <is>
          <t>SKÅNE LÄN</t>
        </is>
      </c>
      <c r="E7239" t="inlineStr">
        <is>
          <t>OSBY</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1098-2025</t>
        </is>
      </c>
      <c r="B7240" s="1" t="n">
        <v>45666</v>
      </c>
      <c r="C7240" s="1" t="n">
        <v>45704</v>
      </c>
      <c r="D7240" t="inlineStr">
        <is>
          <t>SKÅNE LÄN</t>
        </is>
      </c>
      <c r="E7240" t="inlineStr">
        <is>
          <t>SJÖBO</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1068-2025</t>
        </is>
      </c>
      <c r="B7241" s="1" t="n">
        <v>45666</v>
      </c>
      <c r="C7241" s="1" t="n">
        <v>45704</v>
      </c>
      <c r="D7241" t="inlineStr">
        <is>
          <t>SKÅNE LÄN</t>
        </is>
      </c>
      <c r="E7241" t="inlineStr">
        <is>
          <t>OSBY</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984-2025</t>
        </is>
      </c>
      <c r="B7242" s="1" t="n">
        <v>45666</v>
      </c>
      <c r="C7242" s="1" t="n">
        <v>45704</v>
      </c>
      <c r="D7242" t="inlineStr">
        <is>
          <t>SKÅNE LÄN</t>
        </is>
      </c>
      <c r="E7242" t="inlineStr">
        <is>
          <t>PERSTORP</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1159-2025</t>
        </is>
      </c>
      <c r="B7243" s="1" t="n">
        <v>45666</v>
      </c>
      <c r="C7243" s="1" t="n">
        <v>45704</v>
      </c>
      <c r="D7243" t="inlineStr">
        <is>
          <t>SKÅNE LÄN</t>
        </is>
      </c>
      <c r="E7243" t="inlineStr">
        <is>
          <t>ÖSTRA GÖINGE</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1077-2025</t>
        </is>
      </c>
      <c r="B7244" s="1" t="n">
        <v>45666</v>
      </c>
      <c r="C7244" s="1" t="n">
        <v>45704</v>
      </c>
      <c r="D7244" t="inlineStr">
        <is>
          <t>SKÅNE LÄN</t>
        </is>
      </c>
      <c r="E7244" t="inlineStr">
        <is>
          <t>OSBY</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995-2025</t>
        </is>
      </c>
      <c r="B7245" s="1" t="n">
        <v>45666</v>
      </c>
      <c r="C7245" s="1" t="n">
        <v>45704</v>
      </c>
      <c r="D7245" t="inlineStr">
        <is>
          <t>SKÅNE LÄN</t>
        </is>
      </c>
      <c r="E7245" t="inlineStr">
        <is>
          <t>TOMELILLA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982-2025</t>
        </is>
      </c>
      <c r="B7246" s="1" t="n">
        <v>45666</v>
      </c>
      <c r="C7246" s="1" t="n">
        <v>45704</v>
      </c>
      <c r="D7246" t="inlineStr">
        <is>
          <t>SKÅNE LÄN</t>
        </is>
      </c>
      <c r="E7246" t="inlineStr">
        <is>
          <t>PERSTORP</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962-2025</t>
        </is>
      </c>
      <c r="B7247" s="1" t="n">
        <v>45666</v>
      </c>
      <c r="C7247" s="1" t="n">
        <v>45704</v>
      </c>
      <c r="D7247" t="inlineStr">
        <is>
          <t>SKÅNE LÄN</t>
        </is>
      </c>
      <c r="E7247" t="inlineStr">
        <is>
          <t>HÖÖR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1153-2025</t>
        </is>
      </c>
      <c r="B7248" s="1" t="n">
        <v>45666</v>
      </c>
      <c r="C7248" s="1" t="n">
        <v>45704</v>
      </c>
      <c r="D7248" t="inlineStr">
        <is>
          <t>SKÅNE LÄN</t>
        </is>
      </c>
      <c r="E7248" t="inlineStr">
        <is>
          <t>OSBY</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1107-2025</t>
        </is>
      </c>
      <c r="B7249" s="1" t="n">
        <v>45666</v>
      </c>
      <c r="C7249" s="1" t="n">
        <v>45704</v>
      </c>
      <c r="D7249" t="inlineStr">
        <is>
          <t>SKÅNE LÄN</t>
        </is>
      </c>
      <c r="E7249" t="inlineStr">
        <is>
          <t>OSBY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1031-2025</t>
        </is>
      </c>
      <c r="B7250" s="1" t="n">
        <v>45666</v>
      </c>
      <c r="C7250" s="1" t="n">
        <v>45704</v>
      </c>
      <c r="D7250" t="inlineStr">
        <is>
          <t>SKÅNE LÄN</t>
        </is>
      </c>
      <c r="E7250" t="inlineStr">
        <is>
          <t>SJÖBO</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1170-2025</t>
        </is>
      </c>
      <c r="B7251" s="1" t="n">
        <v>45667</v>
      </c>
      <c r="C7251" s="1" t="n">
        <v>45704</v>
      </c>
      <c r="D7251" t="inlineStr">
        <is>
          <t>SKÅNE LÄN</t>
        </is>
      </c>
      <c r="E7251" t="inlineStr">
        <is>
          <t>HÄSSLEHOLM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1225-2025</t>
        </is>
      </c>
      <c r="B7252" s="1" t="n">
        <v>45667</v>
      </c>
      <c r="C7252" s="1" t="n">
        <v>45704</v>
      </c>
      <c r="D7252" t="inlineStr">
        <is>
          <t>SKÅNE LÄN</t>
        </is>
      </c>
      <c r="E7252" t="inlineStr">
        <is>
          <t>ÖSTRA GÖINGE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1408-2025</t>
        </is>
      </c>
      <c r="B7253" s="1" t="n">
        <v>45667</v>
      </c>
      <c r="C7253" s="1" t="n">
        <v>45704</v>
      </c>
      <c r="D7253" t="inlineStr">
        <is>
          <t>SKÅNE LÄN</t>
        </is>
      </c>
      <c r="E7253" t="inlineStr">
        <is>
          <t>BROMÖLLA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1271-2025</t>
        </is>
      </c>
      <c r="B7254" s="1" t="n">
        <v>45667</v>
      </c>
      <c r="C7254" s="1" t="n">
        <v>45704</v>
      </c>
      <c r="D7254" t="inlineStr">
        <is>
          <t>SKÅNE LÄN</t>
        </is>
      </c>
      <c r="E7254" t="inlineStr">
        <is>
          <t>KRISTIANSTAD</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1427-2025</t>
        </is>
      </c>
      <c r="B7255" s="1" t="n">
        <v>45668</v>
      </c>
      <c r="C7255" s="1" t="n">
        <v>45704</v>
      </c>
      <c r="D7255" t="inlineStr">
        <is>
          <t>SKÅNE LÄN</t>
        </is>
      </c>
      <c r="E7255" t="inlineStr">
        <is>
          <t>KRISTIANSTAD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1424-2025</t>
        </is>
      </c>
      <c r="B7256" s="1" t="n">
        <v>45668</v>
      </c>
      <c r="C7256" s="1" t="n">
        <v>45704</v>
      </c>
      <c r="D7256" t="inlineStr">
        <is>
          <t>SKÅNE LÄN</t>
        </is>
      </c>
      <c r="E7256" t="inlineStr">
        <is>
          <t>KRISTIANSTAD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1426-2025</t>
        </is>
      </c>
      <c r="B7257" s="1" t="n">
        <v>45668</v>
      </c>
      <c r="C7257" s="1" t="n">
        <v>45704</v>
      </c>
      <c r="D7257" t="inlineStr">
        <is>
          <t>SKÅNE LÄN</t>
        </is>
      </c>
      <c r="E7257" t="inlineStr">
        <is>
          <t>KRISTIANSTAD</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45704</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1660-2025</t>
        </is>
      </c>
      <c r="B7259" s="1" t="n">
        <v>45670</v>
      </c>
      <c r="C7259" s="1" t="n">
        <v>45704</v>
      </c>
      <c r="D7259" t="inlineStr">
        <is>
          <t>SKÅNE LÄN</t>
        </is>
      </c>
      <c r="E7259" t="inlineStr">
        <is>
          <t>KRISTIANSTAD</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1616-2025</t>
        </is>
      </c>
      <c r="B7260" s="1" t="n">
        <v>45670</v>
      </c>
      <c r="C7260" s="1" t="n">
        <v>45704</v>
      </c>
      <c r="D7260" t="inlineStr">
        <is>
          <t>SKÅNE LÄN</t>
        </is>
      </c>
      <c r="E7260" t="inlineStr">
        <is>
          <t>HÄSSLEHOLM</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1644-2025</t>
        </is>
      </c>
      <c r="B7261" s="1" t="n">
        <v>45670</v>
      </c>
      <c r="C7261" s="1" t="n">
        <v>45704</v>
      </c>
      <c r="D7261" t="inlineStr">
        <is>
          <t>SKÅNE LÄN</t>
        </is>
      </c>
      <c r="E7261" t="inlineStr">
        <is>
          <t>ÄNGELHOLM</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1621-2025</t>
        </is>
      </c>
      <c r="B7262" s="1" t="n">
        <v>45670</v>
      </c>
      <c r="C7262" s="1" t="n">
        <v>45704</v>
      </c>
      <c r="D7262" t="inlineStr">
        <is>
          <t>SKÅNE LÄN</t>
        </is>
      </c>
      <c r="E7262" t="inlineStr">
        <is>
          <t>OSBY</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1639-2025</t>
        </is>
      </c>
      <c r="B7263" s="1" t="n">
        <v>45670</v>
      </c>
      <c r="C7263" s="1" t="n">
        <v>45704</v>
      </c>
      <c r="D7263" t="inlineStr">
        <is>
          <t>SKÅNE LÄN</t>
        </is>
      </c>
      <c r="E7263" t="inlineStr">
        <is>
          <t>ÄNGELHOLM</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1692-2025</t>
        </is>
      </c>
      <c r="B7264" s="1" t="n">
        <v>45670</v>
      </c>
      <c r="C7264" s="1" t="n">
        <v>45704</v>
      </c>
      <c r="D7264" t="inlineStr">
        <is>
          <t>SKÅNE LÄN</t>
        </is>
      </c>
      <c r="E7264" t="inlineStr">
        <is>
          <t>HÄSSLEHOLM</t>
        </is>
      </c>
      <c r="F7264" t="inlineStr">
        <is>
          <t>Övriga Aktiebolag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1706-2025</t>
        </is>
      </c>
      <c r="B7265" s="1" t="n">
        <v>45670</v>
      </c>
      <c r="C7265" s="1" t="n">
        <v>45704</v>
      </c>
      <c r="D7265" t="inlineStr">
        <is>
          <t>SKÅNE LÄN</t>
        </is>
      </c>
      <c r="E7265" t="inlineStr">
        <is>
          <t>HÄSSLEHOLM</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1604-2025</t>
        </is>
      </c>
      <c r="B7266" s="1" t="n">
        <v>45670</v>
      </c>
      <c r="C7266" s="1" t="n">
        <v>45704</v>
      </c>
      <c r="D7266" t="inlineStr">
        <is>
          <t>SKÅNE LÄN</t>
        </is>
      </c>
      <c r="E7266" t="inlineStr">
        <is>
          <t>ÖRKELLJUNGA</t>
        </is>
      </c>
      <c r="F7266" t="inlineStr">
        <is>
          <t>Kommuner</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1703-2025</t>
        </is>
      </c>
      <c r="B7267" s="1" t="n">
        <v>45670</v>
      </c>
      <c r="C7267" s="1" t="n">
        <v>45704</v>
      </c>
      <c r="D7267" t="inlineStr">
        <is>
          <t>SKÅNE LÄN</t>
        </is>
      </c>
      <c r="E7267" t="inlineStr">
        <is>
          <t>HÄSSLEHOLM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1816-2025</t>
        </is>
      </c>
      <c r="B7268" s="1" t="n">
        <v>45671</v>
      </c>
      <c r="C7268" s="1" t="n">
        <v>45704</v>
      </c>
      <c r="D7268" t="inlineStr">
        <is>
          <t>SKÅNE LÄN</t>
        </is>
      </c>
      <c r="E7268" t="inlineStr">
        <is>
          <t>PERSTORP</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1846-2025</t>
        </is>
      </c>
      <c r="B7269" s="1" t="n">
        <v>45671</v>
      </c>
      <c r="C7269" s="1" t="n">
        <v>45704</v>
      </c>
      <c r="D7269" t="inlineStr">
        <is>
          <t>SKÅNE LÄN</t>
        </is>
      </c>
      <c r="E7269" t="inlineStr">
        <is>
          <t>SJÖBO</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1858-2025</t>
        </is>
      </c>
      <c r="B7270" s="1" t="n">
        <v>45671</v>
      </c>
      <c r="C7270" s="1" t="n">
        <v>45704</v>
      </c>
      <c r="D7270" t="inlineStr">
        <is>
          <t>SKÅNE LÄN</t>
        </is>
      </c>
      <c r="E7270" t="inlineStr">
        <is>
          <t>SJÖBO</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1783-2025</t>
        </is>
      </c>
      <c r="B7271" s="1" t="n">
        <v>45671</v>
      </c>
      <c r="C7271" s="1" t="n">
        <v>45704</v>
      </c>
      <c r="D7271" t="inlineStr">
        <is>
          <t>SKÅNE LÄN</t>
        </is>
      </c>
      <c r="E7271" t="inlineStr">
        <is>
          <t>ÖRKELLJUNGA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1886-2025</t>
        </is>
      </c>
      <c r="B7272" s="1" t="n">
        <v>45671</v>
      </c>
      <c r="C7272" s="1" t="n">
        <v>45704</v>
      </c>
      <c r="D7272" t="inlineStr">
        <is>
          <t>SKÅNE LÄN</t>
        </is>
      </c>
      <c r="E7272" t="inlineStr">
        <is>
          <t>HÄSSLEHOLM</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1772-2025</t>
        </is>
      </c>
      <c r="B7273" s="1" t="n">
        <v>45671</v>
      </c>
      <c r="C7273" s="1" t="n">
        <v>45704</v>
      </c>
      <c r="D7273" t="inlineStr">
        <is>
          <t>SKÅNE LÄN</t>
        </is>
      </c>
      <c r="E7273" t="inlineStr">
        <is>
          <t>KRISTIANSTAD</t>
        </is>
      </c>
      <c r="G7273" t="n">
        <v>9.6</v>
      </c>
      <c r="H7273" t="n">
        <v>0</v>
      </c>
      <c r="I7273" t="n">
        <v>0</v>
      </c>
      <c r="J7273" t="n">
        <v>0</v>
      </c>
      <c r="K7273" t="n">
        <v>0</v>
      </c>
      <c r="L7273" t="n">
        <v>0</v>
      </c>
      <c r="M7273" t="n">
        <v>0</v>
      </c>
      <c r="N7273" t="n">
        <v>0</v>
      </c>
      <c r="O7273" t="n">
        <v>0</v>
      </c>
      <c r="P7273" t="n">
        <v>0</v>
      </c>
      <c r="Q7273" t="n">
        <v>0</v>
      </c>
      <c r="R7273" s="2" t="inlineStr"/>
    </row>
    <row r="7274" ht="15" customHeight="1">
      <c r="A7274" t="inlineStr">
        <is>
          <t>A 1865-2025</t>
        </is>
      </c>
      <c r="B7274" s="1" t="n">
        <v>45671</v>
      </c>
      <c r="C7274" s="1" t="n">
        <v>45704</v>
      </c>
      <c r="D7274" t="inlineStr">
        <is>
          <t>SKÅNE LÄN</t>
        </is>
      </c>
      <c r="E7274" t="inlineStr">
        <is>
          <t>SJÖBO</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1901-2025</t>
        </is>
      </c>
      <c r="B7275" s="1" t="n">
        <v>45671</v>
      </c>
      <c r="C7275" s="1" t="n">
        <v>45704</v>
      </c>
      <c r="D7275" t="inlineStr">
        <is>
          <t>SKÅNE LÄN</t>
        </is>
      </c>
      <c r="E7275" t="inlineStr">
        <is>
          <t>SVALÖV</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1863-2025</t>
        </is>
      </c>
      <c r="B7276" s="1" t="n">
        <v>45671</v>
      </c>
      <c r="C7276" s="1" t="n">
        <v>45704</v>
      </c>
      <c r="D7276" t="inlineStr">
        <is>
          <t>SKÅNE LÄN</t>
        </is>
      </c>
      <c r="E7276" t="inlineStr">
        <is>
          <t>HÖRBY</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1879-2025</t>
        </is>
      </c>
      <c r="B7277" s="1" t="n">
        <v>45671</v>
      </c>
      <c r="C7277" s="1" t="n">
        <v>45704</v>
      </c>
      <c r="D7277" t="inlineStr">
        <is>
          <t>SKÅNE LÄN</t>
        </is>
      </c>
      <c r="E7277" t="inlineStr">
        <is>
          <t>SJÖBO</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1920-2025</t>
        </is>
      </c>
      <c r="B7278" s="1" t="n">
        <v>45671</v>
      </c>
      <c r="C7278" s="1" t="n">
        <v>45704</v>
      </c>
      <c r="D7278" t="inlineStr">
        <is>
          <t>SKÅNE LÄN</t>
        </is>
      </c>
      <c r="E7278" t="inlineStr">
        <is>
          <t>SVALÖV</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2114-2025</t>
        </is>
      </c>
      <c r="B7279" s="1" t="n">
        <v>45672</v>
      </c>
      <c r="C7279" s="1" t="n">
        <v>45704</v>
      </c>
      <c r="D7279" t="inlineStr">
        <is>
          <t>SKÅNE LÄN</t>
        </is>
      </c>
      <c r="E7279" t="inlineStr">
        <is>
          <t>HÖÖR</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1952-2025</t>
        </is>
      </c>
      <c r="B7280" s="1" t="n">
        <v>45672</v>
      </c>
      <c r="C7280" s="1" t="n">
        <v>45704</v>
      </c>
      <c r="D7280" t="inlineStr">
        <is>
          <t>SKÅNE LÄN</t>
        </is>
      </c>
      <c r="E7280" t="inlineStr">
        <is>
          <t>TOMELILLA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1943-2025</t>
        </is>
      </c>
      <c r="B7281" s="1" t="n">
        <v>45672</v>
      </c>
      <c r="C7281" s="1" t="n">
        <v>45704</v>
      </c>
      <c r="D7281" t="inlineStr">
        <is>
          <t>SKÅNE LÄN</t>
        </is>
      </c>
      <c r="E7281" t="inlineStr">
        <is>
          <t>KRISTIANSTAD</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2399-2025</t>
        </is>
      </c>
      <c r="B7282" s="1" t="n">
        <v>45672</v>
      </c>
      <c r="C7282" s="1" t="n">
        <v>45704</v>
      </c>
      <c r="D7282" t="inlineStr">
        <is>
          <t>SKÅNE LÄN</t>
        </is>
      </c>
      <c r="E7282" t="inlineStr">
        <is>
          <t>ÖRKELLJUNGA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2108-2025</t>
        </is>
      </c>
      <c r="B7283" s="1" t="n">
        <v>45672</v>
      </c>
      <c r="C7283" s="1" t="n">
        <v>45704</v>
      </c>
      <c r="D7283" t="inlineStr">
        <is>
          <t>SKÅNE LÄN</t>
        </is>
      </c>
      <c r="E7283" t="inlineStr">
        <is>
          <t>HÖÖR</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2083-2025</t>
        </is>
      </c>
      <c r="B7284" s="1" t="n">
        <v>45672</v>
      </c>
      <c r="C7284" s="1" t="n">
        <v>45704</v>
      </c>
      <c r="D7284" t="inlineStr">
        <is>
          <t>SKÅNE LÄN</t>
        </is>
      </c>
      <c r="E7284" t="inlineStr">
        <is>
          <t>KLIPPAN</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2079-2025</t>
        </is>
      </c>
      <c r="B7285" s="1" t="n">
        <v>45672</v>
      </c>
      <c r="C7285" s="1" t="n">
        <v>45704</v>
      </c>
      <c r="D7285" t="inlineStr">
        <is>
          <t>SKÅNE LÄN</t>
        </is>
      </c>
      <c r="E7285" t="inlineStr">
        <is>
          <t>BÅSTAD</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1940-2025</t>
        </is>
      </c>
      <c r="B7286" s="1" t="n">
        <v>45672</v>
      </c>
      <c r="C7286" s="1" t="n">
        <v>45704</v>
      </c>
      <c r="D7286" t="inlineStr">
        <is>
          <t>SKÅNE LÄN</t>
        </is>
      </c>
      <c r="E7286" t="inlineStr">
        <is>
          <t>KRISTIANSTAD</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2170-2025</t>
        </is>
      </c>
      <c r="B7287" s="1" t="n">
        <v>45673</v>
      </c>
      <c r="C7287" s="1" t="n">
        <v>45704</v>
      </c>
      <c r="D7287" t="inlineStr">
        <is>
          <t>SKÅNE LÄN</t>
        </is>
      </c>
      <c r="E7287" t="inlineStr">
        <is>
          <t>HÖRBY</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2202-2025</t>
        </is>
      </c>
      <c r="B7288" s="1" t="n">
        <v>45673</v>
      </c>
      <c r="C7288" s="1" t="n">
        <v>45704</v>
      </c>
      <c r="D7288" t="inlineStr">
        <is>
          <t>SKÅNE LÄN</t>
        </is>
      </c>
      <c r="E7288" t="inlineStr">
        <is>
          <t>ÄNGELHOLM</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2267-2025</t>
        </is>
      </c>
      <c r="B7289" s="1" t="n">
        <v>45673</v>
      </c>
      <c r="C7289" s="1" t="n">
        <v>45704</v>
      </c>
      <c r="D7289" t="inlineStr">
        <is>
          <t>SKÅNE LÄN</t>
        </is>
      </c>
      <c r="E7289" t="inlineStr">
        <is>
          <t>HÄSSLEHOLM</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2248-2025</t>
        </is>
      </c>
      <c r="B7290" s="1" t="n">
        <v>45673</v>
      </c>
      <c r="C7290" s="1" t="n">
        <v>45704</v>
      </c>
      <c r="D7290" t="inlineStr">
        <is>
          <t>SKÅNE LÄN</t>
        </is>
      </c>
      <c r="E7290" t="inlineStr">
        <is>
          <t>LUND</t>
        </is>
      </c>
      <c r="G7290" t="n">
        <v>11.7</v>
      </c>
      <c r="H7290" t="n">
        <v>0</v>
      </c>
      <c r="I7290" t="n">
        <v>0</v>
      </c>
      <c r="J7290" t="n">
        <v>0</v>
      </c>
      <c r="K7290" t="n">
        <v>0</v>
      </c>
      <c r="L7290" t="n">
        <v>0</v>
      </c>
      <c r="M7290" t="n">
        <v>0</v>
      </c>
      <c r="N7290" t="n">
        <v>0</v>
      </c>
      <c r="O7290" t="n">
        <v>0</v>
      </c>
      <c r="P7290" t="n">
        <v>0</v>
      </c>
      <c r="Q7290" t="n">
        <v>0</v>
      </c>
      <c r="R7290" s="2" t="inlineStr"/>
    </row>
    <row r="7291" ht="15" customHeight="1">
      <c r="A7291" t="inlineStr">
        <is>
          <t>A 2242-2025</t>
        </is>
      </c>
      <c r="B7291" s="1" t="n">
        <v>45673</v>
      </c>
      <c r="C7291" s="1" t="n">
        <v>45704</v>
      </c>
      <c r="D7291" t="inlineStr">
        <is>
          <t>SKÅNE LÄN</t>
        </is>
      </c>
      <c r="E7291" t="inlineStr">
        <is>
          <t>KLIPPAN</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2262-2025</t>
        </is>
      </c>
      <c r="B7292" s="1" t="n">
        <v>45673</v>
      </c>
      <c r="C7292" s="1" t="n">
        <v>45704</v>
      </c>
      <c r="D7292" t="inlineStr">
        <is>
          <t>SKÅNE LÄN</t>
        </is>
      </c>
      <c r="E7292" t="inlineStr">
        <is>
          <t>KLIPPAN</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2252-2025</t>
        </is>
      </c>
      <c r="B7293" s="1" t="n">
        <v>45673</v>
      </c>
      <c r="C7293" s="1" t="n">
        <v>45704</v>
      </c>
      <c r="D7293" t="inlineStr">
        <is>
          <t>SKÅNE LÄN</t>
        </is>
      </c>
      <c r="E7293" t="inlineStr">
        <is>
          <t>KLIPPAN</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2408-2025</t>
        </is>
      </c>
      <c r="B7294" s="1" t="n">
        <v>45674</v>
      </c>
      <c r="C7294" s="1" t="n">
        <v>45704</v>
      </c>
      <c r="D7294" t="inlineStr">
        <is>
          <t>SKÅNE LÄN</t>
        </is>
      </c>
      <c r="E7294" t="inlineStr">
        <is>
          <t>SVEDALA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2588-2025</t>
        </is>
      </c>
      <c r="B7295" s="1" t="n">
        <v>45674</v>
      </c>
      <c r="C7295" s="1" t="n">
        <v>45704</v>
      </c>
      <c r="D7295" t="inlineStr">
        <is>
          <t>SKÅNE LÄN</t>
        </is>
      </c>
      <c r="E7295" t="inlineStr">
        <is>
          <t>ÖSTRA GÖINGE</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2587-2025</t>
        </is>
      </c>
      <c r="B7296" s="1" t="n">
        <v>45674</v>
      </c>
      <c r="C7296" s="1" t="n">
        <v>45704</v>
      </c>
      <c r="D7296" t="inlineStr">
        <is>
          <t>SKÅNE LÄN</t>
        </is>
      </c>
      <c r="E7296" t="inlineStr">
        <is>
          <t>ÖSTRA GÖINGE</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2453-2025</t>
        </is>
      </c>
      <c r="B7297" s="1" t="n">
        <v>45674</v>
      </c>
      <c r="C7297" s="1" t="n">
        <v>45704</v>
      </c>
      <c r="D7297" t="inlineStr">
        <is>
          <t>SKÅNE LÄN</t>
        </is>
      </c>
      <c r="E7297" t="inlineStr">
        <is>
          <t>BROMÖLLA</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2550-2025</t>
        </is>
      </c>
      <c r="B7298" s="1" t="n">
        <v>45674</v>
      </c>
      <c r="C7298" s="1" t="n">
        <v>45704</v>
      </c>
      <c r="D7298" t="inlineStr">
        <is>
          <t>SKÅNE LÄN</t>
        </is>
      </c>
      <c r="E7298" t="inlineStr">
        <is>
          <t>ÖRKELLJUNGA</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2415-2025</t>
        </is>
      </c>
      <c r="B7299" s="1" t="n">
        <v>45674</v>
      </c>
      <c r="C7299" s="1" t="n">
        <v>45704</v>
      </c>
      <c r="D7299" t="inlineStr">
        <is>
          <t>SKÅNE LÄN</t>
        </is>
      </c>
      <c r="E7299" t="inlineStr">
        <is>
          <t>SVEDALA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2448-2025</t>
        </is>
      </c>
      <c r="B7300" s="1" t="n">
        <v>45674</v>
      </c>
      <c r="C7300" s="1" t="n">
        <v>45704</v>
      </c>
      <c r="D7300" t="inlineStr">
        <is>
          <t>SKÅNE LÄN</t>
        </is>
      </c>
      <c r="E7300" t="inlineStr">
        <is>
          <t>BROMÖLLA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2405-2025</t>
        </is>
      </c>
      <c r="B7301" s="1" t="n">
        <v>45674</v>
      </c>
      <c r="C7301" s="1" t="n">
        <v>45704</v>
      </c>
      <c r="D7301" t="inlineStr">
        <is>
          <t>SKÅNE LÄN</t>
        </is>
      </c>
      <c r="E7301" t="inlineStr">
        <is>
          <t>ÖRKELLJUNGA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2395-2025</t>
        </is>
      </c>
      <c r="B7302" s="1" t="n">
        <v>45674</v>
      </c>
      <c r="C7302" s="1" t="n">
        <v>45704</v>
      </c>
      <c r="D7302" t="inlineStr">
        <is>
          <t>SKÅNE LÄN</t>
        </is>
      </c>
      <c r="E7302" t="inlineStr">
        <is>
          <t>ÖRKELLJUNGA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2543-2025</t>
        </is>
      </c>
      <c r="B7303" s="1" t="n">
        <v>45674</v>
      </c>
      <c r="C7303" s="1" t="n">
        <v>45704</v>
      </c>
      <c r="D7303" t="inlineStr">
        <is>
          <t>SKÅNE LÄN</t>
        </is>
      </c>
      <c r="E7303" t="inlineStr">
        <is>
          <t>ÖSTRA GÖINGE</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45704</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2816-2025</t>
        </is>
      </c>
      <c r="B7305" s="1" t="n">
        <v>45677</v>
      </c>
      <c r="C7305" s="1" t="n">
        <v>45704</v>
      </c>
      <c r="D7305" t="inlineStr">
        <is>
          <t>SKÅNE LÄN</t>
        </is>
      </c>
      <c r="E7305" t="inlineStr">
        <is>
          <t>HÖRBY</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2780-2025</t>
        </is>
      </c>
      <c r="B7306" s="1" t="n">
        <v>45677</v>
      </c>
      <c r="C7306" s="1" t="n">
        <v>45704</v>
      </c>
      <c r="D7306" t="inlineStr">
        <is>
          <t>SKÅNE LÄN</t>
        </is>
      </c>
      <c r="E7306" t="inlineStr">
        <is>
          <t>HÖRBY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2863-2025</t>
        </is>
      </c>
      <c r="B7307" s="1" t="n">
        <v>45677</v>
      </c>
      <c r="C7307" s="1" t="n">
        <v>45704</v>
      </c>
      <c r="D7307" t="inlineStr">
        <is>
          <t>SKÅNE LÄN</t>
        </is>
      </c>
      <c r="E7307" t="inlineStr">
        <is>
          <t>HÄSSLEHOLM</t>
        </is>
      </c>
      <c r="F7307" t="inlineStr">
        <is>
          <t>Övriga Aktiebolag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45704</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3125-2025</t>
        </is>
      </c>
      <c r="B7309" s="1" t="n">
        <v>45678</v>
      </c>
      <c r="C7309" s="1" t="n">
        <v>45704</v>
      </c>
      <c r="D7309" t="inlineStr">
        <is>
          <t>SKÅNE LÄN</t>
        </is>
      </c>
      <c r="E7309" t="inlineStr">
        <is>
          <t>OSBY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3137-2025</t>
        </is>
      </c>
      <c r="B7310" s="1" t="n">
        <v>45678</v>
      </c>
      <c r="C7310" s="1" t="n">
        <v>45704</v>
      </c>
      <c r="D7310" t="inlineStr">
        <is>
          <t>SKÅNE LÄN</t>
        </is>
      </c>
      <c r="E7310" t="inlineStr">
        <is>
          <t>KRISTIANSTAD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3317-2025</t>
        </is>
      </c>
      <c r="B7311" s="1" t="n">
        <v>45679</v>
      </c>
      <c r="C7311" s="1" t="n">
        <v>45704</v>
      </c>
      <c r="D7311" t="inlineStr">
        <is>
          <t>SKÅNE LÄN</t>
        </is>
      </c>
      <c r="E7311" t="inlineStr">
        <is>
          <t>HÄSSLEHOLM</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3294-2025</t>
        </is>
      </c>
      <c r="B7312" s="1" t="n">
        <v>45679</v>
      </c>
      <c r="C7312" s="1" t="n">
        <v>45704</v>
      </c>
      <c r="D7312" t="inlineStr">
        <is>
          <t>SKÅNE LÄN</t>
        </is>
      </c>
      <c r="E7312" t="inlineStr">
        <is>
          <t>HÄSSLEHOLM</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3297-2025</t>
        </is>
      </c>
      <c r="B7313" s="1" t="n">
        <v>45679</v>
      </c>
      <c r="C7313" s="1" t="n">
        <v>45704</v>
      </c>
      <c r="D7313" t="inlineStr">
        <is>
          <t>SKÅNE LÄN</t>
        </is>
      </c>
      <c r="E7313" t="inlineStr">
        <is>
          <t>HÄSSLEHOLM</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3291-2025</t>
        </is>
      </c>
      <c r="B7314" s="1" t="n">
        <v>45679</v>
      </c>
      <c r="C7314" s="1" t="n">
        <v>45704</v>
      </c>
      <c r="D7314" t="inlineStr">
        <is>
          <t>SKÅNE LÄN</t>
        </is>
      </c>
      <c r="E7314" t="inlineStr">
        <is>
          <t>TOMELILLA</t>
        </is>
      </c>
      <c r="F7314" t="inlineStr">
        <is>
          <t>Övriga Aktiebolag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3205-2025</t>
        </is>
      </c>
      <c r="B7315" s="1" t="n">
        <v>45679</v>
      </c>
      <c r="C7315" s="1" t="n">
        <v>45704</v>
      </c>
      <c r="D7315" t="inlineStr">
        <is>
          <t>SKÅNE LÄN</t>
        </is>
      </c>
      <c r="E7315" t="inlineStr">
        <is>
          <t>ÖRKELLJUNGA</t>
        </is>
      </c>
      <c r="F7315" t="inlineStr">
        <is>
          <t>Kyrkan</t>
        </is>
      </c>
      <c r="G7315" t="n">
        <v>6.7</v>
      </c>
      <c r="H7315" t="n">
        <v>0</v>
      </c>
      <c r="I7315" t="n">
        <v>0</v>
      </c>
      <c r="J7315" t="n">
        <v>0</v>
      </c>
      <c r="K7315" t="n">
        <v>0</v>
      </c>
      <c r="L7315" t="n">
        <v>0</v>
      </c>
      <c r="M7315" t="n">
        <v>0</v>
      </c>
      <c r="N7315" t="n">
        <v>0</v>
      </c>
      <c r="O7315" t="n">
        <v>0</v>
      </c>
      <c r="P7315" t="n">
        <v>0</v>
      </c>
      <c r="Q7315" t="n">
        <v>0</v>
      </c>
      <c r="R7315" s="2" t="inlineStr"/>
    </row>
    <row r="7316" ht="15" customHeight="1">
      <c r="A7316" t="inlineStr">
        <is>
          <t>A 3534-2025</t>
        </is>
      </c>
      <c r="B7316" s="1" t="n">
        <v>45680</v>
      </c>
      <c r="C7316" s="1" t="n">
        <v>45704</v>
      </c>
      <c r="D7316" t="inlineStr">
        <is>
          <t>SKÅNE LÄN</t>
        </is>
      </c>
      <c r="E7316" t="inlineStr">
        <is>
          <t>HÖRBY</t>
        </is>
      </c>
      <c r="F7316" t="inlineStr">
        <is>
          <t>Kyrkan</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3542-2025</t>
        </is>
      </c>
      <c r="B7317" s="1" t="n">
        <v>45680</v>
      </c>
      <c r="C7317" s="1" t="n">
        <v>45704</v>
      </c>
      <c r="D7317" t="inlineStr">
        <is>
          <t>SKÅNE LÄN</t>
        </is>
      </c>
      <c r="E7317" t="inlineStr">
        <is>
          <t>HÖRBY</t>
        </is>
      </c>
      <c r="F7317" t="inlineStr">
        <is>
          <t>Kyrkan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3406-2025</t>
        </is>
      </c>
      <c r="B7318" s="1" t="n">
        <v>45680</v>
      </c>
      <c r="C7318" s="1" t="n">
        <v>45704</v>
      </c>
      <c r="D7318" t="inlineStr">
        <is>
          <t>SKÅNE LÄN</t>
        </is>
      </c>
      <c r="E7318" t="inlineStr">
        <is>
          <t>ÖSTRA GÖINGE</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3471-2025</t>
        </is>
      </c>
      <c r="B7319" s="1" t="n">
        <v>45680</v>
      </c>
      <c r="C7319" s="1" t="n">
        <v>45704</v>
      </c>
      <c r="D7319" t="inlineStr">
        <is>
          <t>SKÅNE LÄN</t>
        </is>
      </c>
      <c r="E7319" t="inlineStr">
        <is>
          <t>HÖRBY</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3524-2025</t>
        </is>
      </c>
      <c r="B7320" s="1" t="n">
        <v>45680</v>
      </c>
      <c r="C7320" s="1" t="n">
        <v>45704</v>
      </c>
      <c r="D7320" t="inlineStr">
        <is>
          <t>SKÅNE LÄN</t>
        </is>
      </c>
      <c r="E7320" t="inlineStr">
        <is>
          <t>ESLÖV</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3565-2025</t>
        </is>
      </c>
      <c r="B7321" s="1" t="n">
        <v>45680</v>
      </c>
      <c r="C7321" s="1" t="n">
        <v>45704</v>
      </c>
      <c r="D7321" t="inlineStr">
        <is>
          <t>SKÅNE LÄN</t>
        </is>
      </c>
      <c r="E7321" t="inlineStr">
        <is>
          <t>ÄNGELHOLM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3612-2025</t>
        </is>
      </c>
      <c r="B7322" s="1" t="n">
        <v>45681</v>
      </c>
      <c r="C7322" s="1" t="n">
        <v>45704</v>
      </c>
      <c r="D7322" t="inlineStr">
        <is>
          <t>SKÅNE LÄN</t>
        </is>
      </c>
      <c r="E7322" t="inlineStr">
        <is>
          <t>HÖÖR</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3705-2025</t>
        </is>
      </c>
      <c r="B7323" s="1" t="n">
        <v>45681</v>
      </c>
      <c r="C7323" s="1" t="n">
        <v>45704</v>
      </c>
      <c r="D7323" t="inlineStr">
        <is>
          <t>SKÅNE LÄN</t>
        </is>
      </c>
      <c r="E7323" t="inlineStr">
        <is>
          <t>OSBY</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3591-2025</t>
        </is>
      </c>
      <c r="B7324" s="1" t="n">
        <v>45681</v>
      </c>
      <c r="C7324" s="1" t="n">
        <v>45704</v>
      </c>
      <c r="D7324" t="inlineStr">
        <is>
          <t>SKÅNE LÄN</t>
        </is>
      </c>
      <c r="E7324" t="inlineStr">
        <is>
          <t>HÖRBY</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3776-2025</t>
        </is>
      </c>
      <c r="B7325" s="1" t="n">
        <v>45681</v>
      </c>
      <c r="C7325" s="1" t="n">
        <v>45704</v>
      </c>
      <c r="D7325" t="inlineStr">
        <is>
          <t>SKÅNE LÄN</t>
        </is>
      </c>
      <c r="E7325" t="inlineStr">
        <is>
          <t>HÄSSLEHOLM</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45704</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3888-2025</t>
        </is>
      </c>
      <c r="B7327" s="1" t="n">
        <v>45684</v>
      </c>
      <c r="C7327" s="1" t="n">
        <v>45704</v>
      </c>
      <c r="D7327" t="inlineStr">
        <is>
          <t>SKÅNE LÄN</t>
        </is>
      </c>
      <c r="E7327" t="inlineStr">
        <is>
          <t>OSBY</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3915-2025</t>
        </is>
      </c>
      <c r="B7328" s="1" t="n">
        <v>45684</v>
      </c>
      <c r="C7328" s="1" t="n">
        <v>45704</v>
      </c>
      <c r="D7328" t="inlineStr">
        <is>
          <t>SKÅNE LÄN</t>
        </is>
      </c>
      <c r="E7328" t="inlineStr">
        <is>
          <t>HÖÖR</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4040-2025</t>
        </is>
      </c>
      <c r="B7329" s="1" t="n">
        <v>45684</v>
      </c>
      <c r="C7329" s="1" t="n">
        <v>45704</v>
      </c>
      <c r="D7329" t="inlineStr">
        <is>
          <t>SKÅNE LÄN</t>
        </is>
      </c>
      <c r="E7329" t="inlineStr">
        <is>
          <t>HÄSSLEHOLM</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3941-2025</t>
        </is>
      </c>
      <c r="B7330" s="1" t="n">
        <v>45684</v>
      </c>
      <c r="C7330" s="1" t="n">
        <v>45704</v>
      </c>
      <c r="D7330" t="inlineStr">
        <is>
          <t>SKÅNE LÄN</t>
        </is>
      </c>
      <c r="E7330" t="inlineStr">
        <is>
          <t>ÖRKELLJUNGA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4104-2025</t>
        </is>
      </c>
      <c r="B7331" s="1" t="n">
        <v>45684</v>
      </c>
      <c r="C7331" s="1" t="n">
        <v>45704</v>
      </c>
      <c r="D7331" t="inlineStr">
        <is>
          <t>SKÅNE LÄN</t>
        </is>
      </c>
      <c r="E7331" t="inlineStr">
        <is>
          <t>HÄSSLEHOLM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4117-2025</t>
        </is>
      </c>
      <c r="B7332" s="1" t="n">
        <v>45684</v>
      </c>
      <c r="C7332" s="1" t="n">
        <v>45704</v>
      </c>
      <c r="D7332" t="inlineStr">
        <is>
          <t>SKÅNE LÄN</t>
        </is>
      </c>
      <c r="E7332" t="inlineStr">
        <is>
          <t>ÄNGELHOLM</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4177-2025</t>
        </is>
      </c>
      <c r="B7333" s="1" t="n">
        <v>45685</v>
      </c>
      <c r="C7333" s="1" t="n">
        <v>45704</v>
      </c>
      <c r="D7333" t="inlineStr">
        <is>
          <t>SKÅNE LÄN</t>
        </is>
      </c>
      <c r="E7333" t="inlineStr">
        <is>
          <t>ÖSTRA GÖINGE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4209-2025</t>
        </is>
      </c>
      <c r="B7334" s="1" t="n">
        <v>45685</v>
      </c>
      <c r="C7334" s="1" t="n">
        <v>45704</v>
      </c>
      <c r="D7334" t="inlineStr">
        <is>
          <t>SKÅNE LÄN</t>
        </is>
      </c>
      <c r="E7334" t="inlineStr">
        <is>
          <t>OSBY</t>
        </is>
      </c>
      <c r="G7334" t="n">
        <v>7.8</v>
      </c>
      <c r="H7334" t="n">
        <v>0</v>
      </c>
      <c r="I7334" t="n">
        <v>0</v>
      </c>
      <c r="J7334" t="n">
        <v>0</v>
      </c>
      <c r="K7334" t="n">
        <v>0</v>
      </c>
      <c r="L7334" t="n">
        <v>0</v>
      </c>
      <c r="M7334" t="n">
        <v>0</v>
      </c>
      <c r="N7334" t="n">
        <v>0</v>
      </c>
      <c r="O7334" t="n">
        <v>0</v>
      </c>
      <c r="P7334" t="n">
        <v>0</v>
      </c>
      <c r="Q7334" t="n">
        <v>0</v>
      </c>
      <c r="R7334" s="2" t="inlineStr"/>
    </row>
    <row r="7335" ht="15" customHeight="1">
      <c r="A7335" t="inlineStr">
        <is>
          <t>A 4185-2025</t>
        </is>
      </c>
      <c r="B7335" s="1" t="n">
        <v>45685</v>
      </c>
      <c r="C7335" s="1" t="n">
        <v>45704</v>
      </c>
      <c r="D7335" t="inlineStr">
        <is>
          <t>SKÅNE LÄN</t>
        </is>
      </c>
      <c r="E7335" t="inlineStr">
        <is>
          <t>ÖSTRA GÖINGE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4198-2025</t>
        </is>
      </c>
      <c r="B7336" s="1" t="n">
        <v>45685</v>
      </c>
      <c r="C7336" s="1" t="n">
        <v>45704</v>
      </c>
      <c r="D7336" t="inlineStr">
        <is>
          <t>SKÅNE LÄN</t>
        </is>
      </c>
      <c r="E7336" t="inlineStr">
        <is>
          <t>SIMRISHAMN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4247-2025</t>
        </is>
      </c>
      <c r="B7337" s="1" t="n">
        <v>45685</v>
      </c>
      <c r="C7337" s="1" t="n">
        <v>45704</v>
      </c>
      <c r="D7337" t="inlineStr">
        <is>
          <t>SKÅNE LÄN</t>
        </is>
      </c>
      <c r="E7337" t="inlineStr">
        <is>
          <t>HÖÖR</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4229-2025</t>
        </is>
      </c>
      <c r="B7338" s="1" t="n">
        <v>45685</v>
      </c>
      <c r="C7338" s="1" t="n">
        <v>45704</v>
      </c>
      <c r="D7338" t="inlineStr">
        <is>
          <t>SKÅNE LÄN</t>
        </is>
      </c>
      <c r="E7338" t="inlineStr">
        <is>
          <t>OSBY</t>
        </is>
      </c>
      <c r="F7338" t="inlineStr">
        <is>
          <t>Sveaskog</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4256-2025</t>
        </is>
      </c>
      <c r="B7339" s="1" t="n">
        <v>45685</v>
      </c>
      <c r="C7339" s="1" t="n">
        <v>45704</v>
      </c>
      <c r="D7339" t="inlineStr">
        <is>
          <t>SKÅNE LÄN</t>
        </is>
      </c>
      <c r="E7339" t="inlineStr">
        <is>
          <t>BÅSTAD</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4196-2025</t>
        </is>
      </c>
      <c r="B7340" s="1" t="n">
        <v>45685</v>
      </c>
      <c r="C7340" s="1" t="n">
        <v>45704</v>
      </c>
      <c r="D7340" t="inlineStr">
        <is>
          <t>SKÅNE LÄN</t>
        </is>
      </c>
      <c r="E7340" t="inlineStr">
        <is>
          <t>ÖSTRA GÖINGE</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4231-2025</t>
        </is>
      </c>
      <c r="B7341" s="1" t="n">
        <v>45685</v>
      </c>
      <c r="C7341" s="1" t="n">
        <v>45704</v>
      </c>
      <c r="D7341" t="inlineStr">
        <is>
          <t>SKÅNE LÄN</t>
        </is>
      </c>
      <c r="E7341" t="inlineStr">
        <is>
          <t>OSBY</t>
        </is>
      </c>
      <c r="F7341" t="inlineStr">
        <is>
          <t>Sveaskog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4248-2025</t>
        </is>
      </c>
      <c r="B7342" s="1" t="n">
        <v>45685</v>
      </c>
      <c r="C7342" s="1" t="n">
        <v>45704</v>
      </c>
      <c r="D7342" t="inlineStr">
        <is>
          <t>SKÅNE LÄN</t>
        </is>
      </c>
      <c r="E7342" t="inlineStr">
        <is>
          <t>KRISTIANSTAD</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4232-2025</t>
        </is>
      </c>
      <c r="B7343" s="1" t="n">
        <v>45685</v>
      </c>
      <c r="C7343" s="1" t="n">
        <v>45704</v>
      </c>
      <c r="D7343" t="inlineStr">
        <is>
          <t>SKÅNE LÄN</t>
        </is>
      </c>
      <c r="E7343" t="inlineStr">
        <is>
          <t>OSBY</t>
        </is>
      </c>
      <c r="F7343" t="inlineStr">
        <is>
          <t>Sveaskog</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4245-2025</t>
        </is>
      </c>
      <c r="B7344" s="1" t="n">
        <v>45685</v>
      </c>
      <c r="C7344" s="1" t="n">
        <v>45704</v>
      </c>
      <c r="D7344" t="inlineStr">
        <is>
          <t>SKÅNE LÄN</t>
        </is>
      </c>
      <c r="E7344" t="inlineStr">
        <is>
          <t>HÖÖR</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4363-2025</t>
        </is>
      </c>
      <c r="B7345" s="1" t="n">
        <v>45686</v>
      </c>
      <c r="C7345" s="1" t="n">
        <v>45704</v>
      </c>
      <c r="D7345" t="inlineStr">
        <is>
          <t>SKÅNE LÄN</t>
        </is>
      </c>
      <c r="E7345" t="inlineStr">
        <is>
          <t>OSBY</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4431-2025</t>
        </is>
      </c>
      <c r="B7346" s="1" t="n">
        <v>45686</v>
      </c>
      <c r="C7346" s="1" t="n">
        <v>45704</v>
      </c>
      <c r="D7346" t="inlineStr">
        <is>
          <t>SKÅNE LÄN</t>
        </is>
      </c>
      <c r="E7346" t="inlineStr">
        <is>
          <t>ÖSTRA GÖINGE</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4435-2025</t>
        </is>
      </c>
      <c r="B7347" s="1" t="n">
        <v>45686</v>
      </c>
      <c r="C7347" s="1" t="n">
        <v>45704</v>
      </c>
      <c r="D7347" t="inlineStr">
        <is>
          <t>SKÅNE LÄN</t>
        </is>
      </c>
      <c r="E7347" t="inlineStr">
        <is>
          <t>ÖSTRA GÖINGE</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4460-2025</t>
        </is>
      </c>
      <c r="B7348" s="1" t="n">
        <v>45686</v>
      </c>
      <c r="C7348" s="1" t="n">
        <v>45704</v>
      </c>
      <c r="D7348" t="inlineStr">
        <is>
          <t>SKÅNE LÄN</t>
        </is>
      </c>
      <c r="E7348" t="inlineStr">
        <is>
          <t>ÖSTRA GÖINGE</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4496-2025</t>
        </is>
      </c>
      <c r="B7349" s="1" t="n">
        <v>45686</v>
      </c>
      <c r="C7349" s="1" t="n">
        <v>45704</v>
      </c>
      <c r="D7349" t="inlineStr">
        <is>
          <t>SKÅNE LÄN</t>
        </is>
      </c>
      <c r="E7349" t="inlineStr">
        <is>
          <t>OSBY</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4411-2025</t>
        </is>
      </c>
      <c r="B7350" s="1" t="n">
        <v>45686</v>
      </c>
      <c r="C7350" s="1" t="n">
        <v>45704</v>
      </c>
      <c r="D7350" t="inlineStr">
        <is>
          <t>SKÅNE LÄN</t>
        </is>
      </c>
      <c r="E7350" t="inlineStr">
        <is>
          <t>OSBY</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4421-2025</t>
        </is>
      </c>
      <c r="B7351" s="1" t="n">
        <v>45686</v>
      </c>
      <c r="C7351" s="1" t="n">
        <v>45704</v>
      </c>
      <c r="D7351" t="inlineStr">
        <is>
          <t>SKÅNE LÄN</t>
        </is>
      </c>
      <c r="E7351" t="inlineStr">
        <is>
          <t>KRISTIANSTAD</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4425-2025</t>
        </is>
      </c>
      <c r="B7352" s="1" t="n">
        <v>45686</v>
      </c>
      <c r="C7352" s="1" t="n">
        <v>45704</v>
      </c>
      <c r="D7352" t="inlineStr">
        <is>
          <t>SKÅNE LÄN</t>
        </is>
      </c>
      <c r="E7352" t="inlineStr">
        <is>
          <t>ÖSTRA GÖINGE</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4458-2025</t>
        </is>
      </c>
      <c r="B7353" s="1" t="n">
        <v>45686</v>
      </c>
      <c r="C7353" s="1" t="n">
        <v>45704</v>
      </c>
      <c r="D7353" t="inlineStr">
        <is>
          <t>SKÅNE LÄN</t>
        </is>
      </c>
      <c r="E7353" t="inlineStr">
        <is>
          <t>ÖSTRA GÖINGE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4579-2025</t>
        </is>
      </c>
      <c r="B7354" s="1" t="n">
        <v>45687</v>
      </c>
      <c r="C7354" s="1" t="n">
        <v>45704</v>
      </c>
      <c r="D7354" t="inlineStr">
        <is>
          <t>SKÅNE LÄN</t>
        </is>
      </c>
      <c r="E7354" t="inlineStr">
        <is>
          <t>HÄSSLEHOLM</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4595-2025</t>
        </is>
      </c>
      <c r="B7355" s="1" t="n">
        <v>45687</v>
      </c>
      <c r="C7355" s="1" t="n">
        <v>45704</v>
      </c>
      <c r="D7355" t="inlineStr">
        <is>
          <t>SKÅNE LÄN</t>
        </is>
      </c>
      <c r="E7355" t="inlineStr">
        <is>
          <t>HÄSSLEHOLM</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4615-2025</t>
        </is>
      </c>
      <c r="B7356" s="1" t="n">
        <v>45687</v>
      </c>
      <c r="C7356" s="1" t="n">
        <v>45704</v>
      </c>
      <c r="D7356" t="inlineStr">
        <is>
          <t>SKÅNE LÄN</t>
        </is>
      </c>
      <c r="E7356" t="inlineStr">
        <is>
          <t>HÄSSLEHOLM</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4598-2025</t>
        </is>
      </c>
      <c r="B7357" s="1" t="n">
        <v>45687</v>
      </c>
      <c r="C7357" s="1" t="n">
        <v>45704</v>
      </c>
      <c r="D7357" t="inlineStr">
        <is>
          <t>SKÅNE LÄN</t>
        </is>
      </c>
      <c r="E7357" t="inlineStr">
        <is>
          <t>HÄSSLEHOLM</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4574-2025</t>
        </is>
      </c>
      <c r="B7358" s="1" t="n">
        <v>45687</v>
      </c>
      <c r="C7358" s="1" t="n">
        <v>45704</v>
      </c>
      <c r="D7358" t="inlineStr">
        <is>
          <t>SKÅNE LÄN</t>
        </is>
      </c>
      <c r="E7358" t="inlineStr">
        <is>
          <t>BJUV</t>
        </is>
      </c>
      <c r="F7358" t="inlineStr">
        <is>
          <t>Kyrkan</t>
        </is>
      </c>
      <c r="G7358" t="n">
        <v>6.2</v>
      </c>
      <c r="H7358" t="n">
        <v>0</v>
      </c>
      <c r="I7358" t="n">
        <v>0</v>
      </c>
      <c r="J7358" t="n">
        <v>0</v>
      </c>
      <c r="K7358" t="n">
        <v>0</v>
      </c>
      <c r="L7358" t="n">
        <v>0</v>
      </c>
      <c r="M7358" t="n">
        <v>0</v>
      </c>
      <c r="N7358" t="n">
        <v>0</v>
      </c>
      <c r="O7358" t="n">
        <v>0</v>
      </c>
      <c r="P7358" t="n">
        <v>0</v>
      </c>
      <c r="Q7358" t="n">
        <v>0</v>
      </c>
      <c r="R7358" s="2" t="inlineStr"/>
    </row>
    <row r="7359" ht="15" customHeight="1">
      <c r="A7359" t="inlineStr">
        <is>
          <t>A 4555-2025</t>
        </is>
      </c>
      <c r="B7359" s="1" t="n">
        <v>45687</v>
      </c>
      <c r="C7359" s="1" t="n">
        <v>45704</v>
      </c>
      <c r="D7359" t="inlineStr">
        <is>
          <t>SKÅNE LÄN</t>
        </is>
      </c>
      <c r="E7359" t="inlineStr">
        <is>
          <t>HÖRBY</t>
        </is>
      </c>
      <c r="F7359" t="inlineStr">
        <is>
          <t>Sveaskog</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4589-2025</t>
        </is>
      </c>
      <c r="B7360" s="1" t="n">
        <v>45687</v>
      </c>
      <c r="C7360" s="1" t="n">
        <v>45704</v>
      </c>
      <c r="D7360" t="inlineStr">
        <is>
          <t>SKÅNE LÄN</t>
        </is>
      </c>
      <c r="E7360" t="inlineStr">
        <is>
          <t>HÄSSLEHOLM</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4605-2025</t>
        </is>
      </c>
      <c r="B7361" s="1" t="n">
        <v>45687</v>
      </c>
      <c r="C7361" s="1" t="n">
        <v>45704</v>
      </c>
      <c r="D7361" t="inlineStr">
        <is>
          <t>SKÅNE LÄN</t>
        </is>
      </c>
      <c r="E7361" t="inlineStr">
        <is>
          <t>ÄNGELHOLM</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4708-2025</t>
        </is>
      </c>
      <c r="B7362" s="1" t="n">
        <v>45688</v>
      </c>
      <c r="C7362" s="1" t="n">
        <v>45704</v>
      </c>
      <c r="D7362" t="inlineStr">
        <is>
          <t>SKÅNE LÄN</t>
        </is>
      </c>
      <c r="E7362" t="inlineStr">
        <is>
          <t>OSBY</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4805-2025</t>
        </is>
      </c>
      <c r="B7363" s="1" t="n">
        <v>45688</v>
      </c>
      <c r="C7363" s="1" t="n">
        <v>45704</v>
      </c>
      <c r="D7363" t="inlineStr">
        <is>
          <t>SKÅNE LÄN</t>
        </is>
      </c>
      <c r="E7363" t="inlineStr">
        <is>
          <t>OSBY</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4809-2025</t>
        </is>
      </c>
      <c r="B7364" s="1" t="n">
        <v>45688</v>
      </c>
      <c r="C7364" s="1" t="n">
        <v>45704</v>
      </c>
      <c r="D7364" t="inlineStr">
        <is>
          <t>SKÅNE LÄN</t>
        </is>
      </c>
      <c r="E7364" t="inlineStr">
        <is>
          <t>HÄSSLEHOLM</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4833-2025</t>
        </is>
      </c>
      <c r="B7365" s="1" t="n">
        <v>45688</v>
      </c>
      <c r="C7365" s="1" t="n">
        <v>45704</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4710-2025</t>
        </is>
      </c>
      <c r="B7366" s="1" t="n">
        <v>45688</v>
      </c>
      <c r="C7366" s="1" t="n">
        <v>45704</v>
      </c>
      <c r="D7366" t="inlineStr">
        <is>
          <t>SKÅNE LÄN</t>
        </is>
      </c>
      <c r="E7366" t="inlineStr">
        <is>
          <t>OSBY</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4734-2025</t>
        </is>
      </c>
      <c r="B7367" s="1" t="n">
        <v>45688</v>
      </c>
      <c r="C7367" s="1" t="n">
        <v>45704</v>
      </c>
      <c r="D7367" t="inlineStr">
        <is>
          <t>SKÅNE LÄN</t>
        </is>
      </c>
      <c r="E7367" t="inlineStr">
        <is>
          <t>HÄSSLEHOLM</t>
        </is>
      </c>
      <c r="G7367" t="n">
        <v>19.6</v>
      </c>
      <c r="H7367" t="n">
        <v>0</v>
      </c>
      <c r="I7367" t="n">
        <v>0</v>
      </c>
      <c r="J7367" t="n">
        <v>0</v>
      </c>
      <c r="K7367" t="n">
        <v>0</v>
      </c>
      <c r="L7367" t="n">
        <v>0</v>
      </c>
      <c r="M7367" t="n">
        <v>0</v>
      </c>
      <c r="N7367" t="n">
        <v>0</v>
      </c>
      <c r="O7367" t="n">
        <v>0</v>
      </c>
      <c r="P7367" t="n">
        <v>0</v>
      </c>
      <c r="Q7367" t="n">
        <v>0</v>
      </c>
      <c r="R7367" s="2" t="inlineStr"/>
    </row>
    <row r="7368" ht="15" customHeight="1">
      <c r="A7368" t="inlineStr">
        <is>
          <t>A 4755-2025</t>
        </is>
      </c>
      <c r="B7368" s="1" t="n">
        <v>45688</v>
      </c>
      <c r="C7368" s="1" t="n">
        <v>45704</v>
      </c>
      <c r="D7368" t="inlineStr">
        <is>
          <t>SKÅNE LÄN</t>
        </is>
      </c>
      <c r="E7368" t="inlineStr">
        <is>
          <t>LUND</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4787-2025</t>
        </is>
      </c>
      <c r="B7369" s="1" t="n">
        <v>45688</v>
      </c>
      <c r="C7369" s="1" t="n">
        <v>45704</v>
      </c>
      <c r="D7369" t="inlineStr">
        <is>
          <t>SKÅNE LÄN</t>
        </is>
      </c>
      <c r="E7369" t="inlineStr">
        <is>
          <t>ÖSTRA GÖINGE</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4803-2025</t>
        </is>
      </c>
      <c r="B7370" s="1" t="n">
        <v>45688</v>
      </c>
      <c r="C7370" s="1" t="n">
        <v>45704</v>
      </c>
      <c r="D7370" t="inlineStr">
        <is>
          <t>SKÅNE LÄN</t>
        </is>
      </c>
      <c r="E7370" t="inlineStr">
        <is>
          <t>LUND</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4807-2025</t>
        </is>
      </c>
      <c r="B7371" s="1" t="n">
        <v>45688</v>
      </c>
      <c r="C7371" s="1" t="n">
        <v>45704</v>
      </c>
      <c r="D7371" t="inlineStr">
        <is>
          <t>SKÅNE LÄN</t>
        </is>
      </c>
      <c r="E7371" t="inlineStr">
        <is>
          <t>OSBY</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4811-2025</t>
        </is>
      </c>
      <c r="B7372" s="1" t="n">
        <v>45688</v>
      </c>
      <c r="C7372" s="1" t="n">
        <v>45704</v>
      </c>
      <c r="D7372" t="inlineStr">
        <is>
          <t>SKÅNE LÄN</t>
        </is>
      </c>
      <c r="E7372" t="inlineStr">
        <is>
          <t>LUND</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4806-2025</t>
        </is>
      </c>
      <c r="B7373" s="1" t="n">
        <v>45688</v>
      </c>
      <c r="C7373" s="1" t="n">
        <v>45704</v>
      </c>
      <c r="D7373" t="inlineStr">
        <is>
          <t>SKÅNE LÄN</t>
        </is>
      </c>
      <c r="E7373" t="inlineStr">
        <is>
          <t>HÄSSLEHOLM</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4761-2025</t>
        </is>
      </c>
      <c r="B7374" s="1" t="n">
        <v>45688</v>
      </c>
      <c r="C7374" s="1" t="n">
        <v>45704</v>
      </c>
      <c r="D7374" t="inlineStr">
        <is>
          <t>SKÅNE LÄN</t>
        </is>
      </c>
      <c r="E7374" t="inlineStr">
        <is>
          <t>LUND</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4756-2025</t>
        </is>
      </c>
      <c r="B7375" s="1" t="n">
        <v>45688</v>
      </c>
      <c r="C7375" s="1" t="n">
        <v>45704</v>
      </c>
      <c r="D7375" t="inlineStr">
        <is>
          <t>SKÅNE LÄN</t>
        </is>
      </c>
      <c r="E7375" t="inlineStr">
        <is>
          <t>HÖRBY</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4788-2025</t>
        </is>
      </c>
      <c r="B7376" s="1" t="n">
        <v>45688</v>
      </c>
      <c r="C7376" s="1" t="n">
        <v>45704</v>
      </c>
      <c r="D7376" t="inlineStr">
        <is>
          <t>SKÅNE LÄN</t>
        </is>
      </c>
      <c r="E7376" t="inlineStr">
        <is>
          <t>LUND</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4820-2025</t>
        </is>
      </c>
      <c r="B7377" s="1" t="n">
        <v>45688</v>
      </c>
      <c r="C7377" s="1" t="n">
        <v>45704</v>
      </c>
      <c r="D7377" t="inlineStr">
        <is>
          <t>SKÅNE LÄN</t>
        </is>
      </c>
      <c r="E7377" t="inlineStr">
        <is>
          <t>KLIPPAN</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5226-2025</t>
        </is>
      </c>
      <c r="B7378" s="1" t="n">
        <v>45691</v>
      </c>
      <c r="C7378" s="1" t="n">
        <v>45704</v>
      </c>
      <c r="D7378" t="inlineStr">
        <is>
          <t>SKÅNE LÄN</t>
        </is>
      </c>
      <c r="E7378" t="inlineStr">
        <is>
          <t>ÖSTRA GÖINGE</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5059-2025</t>
        </is>
      </c>
      <c r="B7379" s="1" t="n">
        <v>45691</v>
      </c>
      <c r="C7379" s="1" t="n">
        <v>45704</v>
      </c>
      <c r="D7379" t="inlineStr">
        <is>
          <t>SKÅNE LÄN</t>
        </is>
      </c>
      <c r="E7379" t="inlineStr">
        <is>
          <t>LUND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5252-2025</t>
        </is>
      </c>
      <c r="B7380" s="1" t="n">
        <v>45692</v>
      </c>
      <c r="C7380" s="1" t="n">
        <v>45704</v>
      </c>
      <c r="D7380" t="inlineStr">
        <is>
          <t>SKÅNE LÄN</t>
        </is>
      </c>
      <c r="E7380" t="inlineStr">
        <is>
          <t>HÄSSLEHOLM</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5242-2025</t>
        </is>
      </c>
      <c r="B7381" s="1" t="n">
        <v>45692</v>
      </c>
      <c r="C7381" s="1" t="n">
        <v>45704</v>
      </c>
      <c r="D7381" t="inlineStr">
        <is>
          <t>SKÅNE LÄN</t>
        </is>
      </c>
      <c r="E7381" t="inlineStr">
        <is>
          <t>HÄSSLEHOLM</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5354-2025</t>
        </is>
      </c>
      <c r="B7382" s="1" t="n">
        <v>45692</v>
      </c>
      <c r="C7382" s="1" t="n">
        <v>45704</v>
      </c>
      <c r="D7382" t="inlineStr">
        <is>
          <t>SKÅNE LÄN</t>
        </is>
      </c>
      <c r="E7382" t="inlineStr">
        <is>
          <t>KRISTIANSTAD</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5444-2025</t>
        </is>
      </c>
      <c r="B7383" s="1" t="n">
        <v>45692</v>
      </c>
      <c r="C7383" s="1" t="n">
        <v>45704</v>
      </c>
      <c r="D7383" t="inlineStr">
        <is>
          <t>SKÅNE LÄN</t>
        </is>
      </c>
      <c r="E7383" t="inlineStr">
        <is>
          <t>SJÖBO</t>
        </is>
      </c>
      <c r="F7383" t="inlineStr">
        <is>
          <t>Övriga Aktiebolag</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5391-2025</t>
        </is>
      </c>
      <c r="B7384" s="1" t="n">
        <v>45692</v>
      </c>
      <c r="C7384" s="1" t="n">
        <v>45704</v>
      </c>
      <c r="D7384" t="inlineStr">
        <is>
          <t>SKÅNE LÄN</t>
        </is>
      </c>
      <c r="E7384" t="inlineStr">
        <is>
          <t>OSBY</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5532-2025</t>
        </is>
      </c>
      <c r="B7385" s="1" t="n">
        <v>45693</v>
      </c>
      <c r="C7385" s="1" t="n">
        <v>45704</v>
      </c>
      <c r="D7385" t="inlineStr">
        <is>
          <t>SKÅNE LÄN</t>
        </is>
      </c>
      <c r="E7385" t="inlineStr">
        <is>
          <t>HÄSSLEHOLM</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5531-2025</t>
        </is>
      </c>
      <c r="B7386" s="1" t="n">
        <v>45693</v>
      </c>
      <c r="C7386" s="1" t="n">
        <v>45704</v>
      </c>
      <c r="D7386" t="inlineStr">
        <is>
          <t>SKÅNE LÄN</t>
        </is>
      </c>
      <c r="E7386" t="inlineStr">
        <is>
          <t>HÄSSLEHOLM</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5658-2025</t>
        </is>
      </c>
      <c r="B7387" s="1" t="n">
        <v>45693</v>
      </c>
      <c r="C7387" s="1" t="n">
        <v>45704</v>
      </c>
      <c r="D7387" t="inlineStr">
        <is>
          <t>SKÅNE LÄN</t>
        </is>
      </c>
      <c r="E7387" t="inlineStr">
        <is>
          <t>BROMÖLLA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5659-2025</t>
        </is>
      </c>
      <c r="B7388" s="1" t="n">
        <v>45693</v>
      </c>
      <c r="C7388" s="1" t="n">
        <v>45704</v>
      </c>
      <c r="D7388" t="inlineStr">
        <is>
          <t>SKÅNE LÄN</t>
        </is>
      </c>
      <c r="E7388" t="inlineStr">
        <is>
          <t>BROMÖLLA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5594-2025</t>
        </is>
      </c>
      <c r="B7389" s="1" t="n">
        <v>45693</v>
      </c>
      <c r="C7389" s="1" t="n">
        <v>45704</v>
      </c>
      <c r="D7389" t="inlineStr">
        <is>
          <t>SKÅNE LÄN</t>
        </is>
      </c>
      <c r="E7389" t="inlineStr">
        <is>
          <t>KRISTIANSTAD</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5675-2025</t>
        </is>
      </c>
      <c r="B7390" s="1" t="n">
        <v>45694</v>
      </c>
      <c r="C7390" s="1" t="n">
        <v>45704</v>
      </c>
      <c r="D7390" t="inlineStr">
        <is>
          <t>SKÅNE LÄN</t>
        </is>
      </c>
      <c r="E7390" t="inlineStr">
        <is>
          <t>HÄSSLEHOLM</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5810-2025</t>
        </is>
      </c>
      <c r="B7391" s="1" t="n">
        <v>45694</v>
      </c>
      <c r="C7391" s="1" t="n">
        <v>45704</v>
      </c>
      <c r="D7391" t="inlineStr">
        <is>
          <t>SKÅNE LÄN</t>
        </is>
      </c>
      <c r="E7391" t="inlineStr">
        <is>
          <t>ÖSTRA GÖINGE</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5814-2025</t>
        </is>
      </c>
      <c r="B7392" s="1" t="n">
        <v>45694</v>
      </c>
      <c r="C7392" s="1" t="n">
        <v>45704</v>
      </c>
      <c r="D7392" t="inlineStr">
        <is>
          <t>SKÅNE LÄN</t>
        </is>
      </c>
      <c r="E7392" t="inlineStr">
        <is>
          <t>OSBY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5817-2025</t>
        </is>
      </c>
      <c r="B7393" s="1" t="n">
        <v>45694</v>
      </c>
      <c r="C7393" s="1" t="n">
        <v>45704</v>
      </c>
      <c r="D7393" t="inlineStr">
        <is>
          <t>SKÅNE LÄN</t>
        </is>
      </c>
      <c r="E7393" t="inlineStr">
        <is>
          <t>BÅSTAD</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5816-2025</t>
        </is>
      </c>
      <c r="B7394" s="1" t="n">
        <v>45694</v>
      </c>
      <c r="C7394" s="1" t="n">
        <v>45704</v>
      </c>
      <c r="D7394" t="inlineStr">
        <is>
          <t>SKÅNE LÄN</t>
        </is>
      </c>
      <c r="E7394" t="inlineStr">
        <is>
          <t>KRISTIANSTAD</t>
        </is>
      </c>
      <c r="F7394" t="inlineStr">
        <is>
          <t>Övriga Aktiebolag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5941-2025</t>
        </is>
      </c>
      <c r="B7395" s="1" t="n">
        <v>45695</v>
      </c>
      <c r="C7395" s="1" t="n">
        <v>45704</v>
      </c>
      <c r="D7395" t="inlineStr">
        <is>
          <t>SKÅNE LÄN</t>
        </is>
      </c>
      <c r="E7395" t="inlineStr">
        <is>
          <t>ÖRKELLJUNGA</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5961-2025</t>
        </is>
      </c>
      <c r="B7396" s="1" t="n">
        <v>45695</v>
      </c>
      <c r="C7396" s="1" t="n">
        <v>45704</v>
      </c>
      <c r="D7396" t="inlineStr">
        <is>
          <t>SKÅNE LÄN</t>
        </is>
      </c>
      <c r="E7396" t="inlineStr">
        <is>
          <t>BROMÖLLA</t>
        </is>
      </c>
      <c r="G7396" t="n">
        <v>12.9</v>
      </c>
      <c r="H7396" t="n">
        <v>0</v>
      </c>
      <c r="I7396" t="n">
        <v>0</v>
      </c>
      <c r="J7396" t="n">
        <v>0</v>
      </c>
      <c r="K7396" t="n">
        <v>0</v>
      </c>
      <c r="L7396" t="n">
        <v>0</v>
      </c>
      <c r="M7396" t="n">
        <v>0</v>
      </c>
      <c r="N7396" t="n">
        <v>0</v>
      </c>
      <c r="O7396" t="n">
        <v>0</v>
      </c>
      <c r="P7396" t="n">
        <v>0</v>
      </c>
      <c r="Q7396" t="n">
        <v>0</v>
      </c>
      <c r="R7396" s="2" t="inlineStr"/>
    </row>
    <row r="7397" ht="15" customHeight="1">
      <c r="A7397" t="inlineStr">
        <is>
          <t>A 5990-2025</t>
        </is>
      </c>
      <c r="B7397" s="1" t="n">
        <v>45695</v>
      </c>
      <c r="C7397" s="1" t="n">
        <v>45704</v>
      </c>
      <c r="D7397" t="inlineStr">
        <is>
          <t>SKÅNE LÄN</t>
        </is>
      </c>
      <c r="E7397" t="inlineStr">
        <is>
          <t>OSBY</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5954-2025</t>
        </is>
      </c>
      <c r="B7398" s="1" t="n">
        <v>45695</v>
      </c>
      <c r="C7398" s="1" t="n">
        <v>45704</v>
      </c>
      <c r="D7398" t="inlineStr">
        <is>
          <t>SKÅNE LÄN</t>
        </is>
      </c>
      <c r="E7398" t="inlineStr">
        <is>
          <t>ÖRKELLJUNGA</t>
        </is>
      </c>
      <c r="G7398" t="n">
        <v>0</v>
      </c>
      <c r="H7398" t="n">
        <v>0</v>
      </c>
      <c r="I7398" t="n">
        <v>0</v>
      </c>
      <c r="J7398" t="n">
        <v>0</v>
      </c>
      <c r="K7398" t="n">
        <v>0</v>
      </c>
      <c r="L7398" t="n">
        <v>0</v>
      </c>
      <c r="M7398" t="n">
        <v>0</v>
      </c>
      <c r="N7398" t="n">
        <v>0</v>
      </c>
      <c r="O7398" t="n">
        <v>0</v>
      </c>
      <c r="P7398" t="n">
        <v>0</v>
      </c>
      <c r="Q7398" t="n">
        <v>0</v>
      </c>
      <c r="R7398" s="2" t="inlineStr"/>
    </row>
    <row r="7399" ht="15" customHeight="1">
      <c r="A7399" t="inlineStr">
        <is>
          <t>A 6011-2025</t>
        </is>
      </c>
      <c r="B7399" s="1" t="n">
        <v>45695</v>
      </c>
      <c r="C7399" s="1" t="n">
        <v>45704</v>
      </c>
      <c r="D7399" t="inlineStr">
        <is>
          <t>SKÅNE LÄN</t>
        </is>
      </c>
      <c r="E7399" t="inlineStr">
        <is>
          <t>KLIPPAN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5887-2025</t>
        </is>
      </c>
      <c r="B7400" s="1" t="n">
        <v>45695</v>
      </c>
      <c r="C7400" s="1" t="n">
        <v>45704</v>
      </c>
      <c r="D7400" t="inlineStr">
        <is>
          <t>SKÅNE LÄN</t>
        </is>
      </c>
      <c r="E7400" t="inlineStr">
        <is>
          <t>HÄSSLEHOLM</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6034-2025</t>
        </is>
      </c>
      <c r="B7401" s="1" t="n">
        <v>45695</v>
      </c>
      <c r="C7401" s="1" t="n">
        <v>45704</v>
      </c>
      <c r="D7401" t="inlineStr">
        <is>
          <t>SKÅNE LÄN</t>
        </is>
      </c>
      <c r="E7401" t="inlineStr">
        <is>
          <t>LUND</t>
        </is>
      </c>
      <c r="G7401" t="n">
        <v>10.2</v>
      </c>
      <c r="H7401" t="n">
        <v>0</v>
      </c>
      <c r="I7401" t="n">
        <v>0</v>
      </c>
      <c r="J7401" t="n">
        <v>0</v>
      </c>
      <c r="K7401" t="n">
        <v>0</v>
      </c>
      <c r="L7401" t="n">
        <v>0</v>
      </c>
      <c r="M7401" t="n">
        <v>0</v>
      </c>
      <c r="N7401" t="n">
        <v>0</v>
      </c>
      <c r="O7401" t="n">
        <v>0</v>
      </c>
      <c r="P7401" t="n">
        <v>0</v>
      </c>
      <c r="Q7401" t="n">
        <v>0</v>
      </c>
      <c r="R7401" s="2" t="inlineStr"/>
    </row>
    <row r="7402" ht="15" customHeight="1">
      <c r="A7402" t="inlineStr">
        <is>
          <t>A 6087-2025</t>
        </is>
      </c>
      <c r="B7402" s="1" t="n">
        <v>45697</v>
      </c>
      <c r="C7402" s="1" t="n">
        <v>45704</v>
      </c>
      <c r="D7402" t="inlineStr">
        <is>
          <t>SKÅNE LÄN</t>
        </is>
      </c>
      <c r="E7402" t="inlineStr">
        <is>
          <t>HÄSSLEHOLM</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6264-2025</t>
        </is>
      </c>
      <c r="B7403" s="1" t="n">
        <v>45698</v>
      </c>
      <c r="C7403" s="1" t="n">
        <v>45704</v>
      </c>
      <c r="D7403" t="inlineStr">
        <is>
          <t>SKÅNE LÄN</t>
        </is>
      </c>
      <c r="E7403" t="inlineStr">
        <is>
          <t>HÄSSLEHOLM</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6273-2025</t>
        </is>
      </c>
      <c r="B7404" s="1" t="n">
        <v>45698</v>
      </c>
      <c r="C7404" s="1" t="n">
        <v>45704</v>
      </c>
      <c r="D7404" t="inlineStr">
        <is>
          <t>SKÅNE LÄN</t>
        </is>
      </c>
      <c r="E7404" t="inlineStr">
        <is>
          <t>HÄSSLEHOLM</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6295-2025</t>
        </is>
      </c>
      <c r="B7405" s="1" t="n">
        <v>45698</v>
      </c>
      <c r="C7405" s="1" t="n">
        <v>45704</v>
      </c>
      <c r="D7405" t="inlineStr">
        <is>
          <t>SKÅNE LÄN</t>
        </is>
      </c>
      <c r="E7405" t="inlineStr">
        <is>
          <t>ÖSTRA GÖINGE</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6149-2025</t>
        </is>
      </c>
      <c r="B7406" s="1" t="n">
        <v>45698</v>
      </c>
      <c r="C7406" s="1" t="n">
        <v>45704</v>
      </c>
      <c r="D7406" t="inlineStr">
        <is>
          <t>SKÅNE LÄN</t>
        </is>
      </c>
      <c r="E7406" t="inlineStr">
        <is>
          <t>HÄSSLEHOLM</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6174-2025</t>
        </is>
      </c>
      <c r="B7407" s="1" t="n">
        <v>45698</v>
      </c>
      <c r="C7407" s="1" t="n">
        <v>45704</v>
      </c>
      <c r="D7407" t="inlineStr">
        <is>
          <t>SKÅNE LÄN</t>
        </is>
      </c>
      <c r="E7407" t="inlineStr">
        <is>
          <t>HÖÖR</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6310-2025</t>
        </is>
      </c>
      <c r="B7408" s="1" t="n">
        <v>45698</v>
      </c>
      <c r="C7408" s="1" t="n">
        <v>45704</v>
      </c>
      <c r="D7408" t="inlineStr">
        <is>
          <t>SKÅNE LÄN</t>
        </is>
      </c>
      <c r="E7408" t="inlineStr">
        <is>
          <t>HÄSSLEHOLM</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6309-2025</t>
        </is>
      </c>
      <c r="B7409" s="1" t="n">
        <v>45698</v>
      </c>
      <c r="C7409" s="1" t="n">
        <v>45704</v>
      </c>
      <c r="D7409" t="inlineStr">
        <is>
          <t>SKÅNE LÄN</t>
        </is>
      </c>
      <c r="E7409" t="inlineStr">
        <is>
          <t>HÄSSLEHOLM</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6356-2025</t>
        </is>
      </c>
      <c r="B7410" s="1" t="n">
        <v>45699</v>
      </c>
      <c r="C7410" s="1" t="n">
        <v>45704</v>
      </c>
      <c r="D7410" t="inlineStr">
        <is>
          <t>SKÅNE LÄN</t>
        </is>
      </c>
      <c r="E7410" t="inlineStr">
        <is>
          <t>ÖSTRA GÖINGE</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6426-2025</t>
        </is>
      </c>
      <c r="B7411" s="1" t="n">
        <v>45699</v>
      </c>
      <c r="C7411" s="1" t="n">
        <v>45704</v>
      </c>
      <c r="D7411" t="inlineStr">
        <is>
          <t>SKÅNE LÄN</t>
        </is>
      </c>
      <c r="E7411" t="inlineStr">
        <is>
          <t>ÖRKELLJUNGA</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6473-2025</t>
        </is>
      </c>
      <c r="B7412" s="1" t="n">
        <v>45699</v>
      </c>
      <c r="C7412" s="1" t="n">
        <v>45704</v>
      </c>
      <c r="D7412" t="inlineStr">
        <is>
          <t>SKÅNE LÄN</t>
        </is>
      </c>
      <c r="E7412" t="inlineStr">
        <is>
          <t>HÖÖR</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6521-2025</t>
        </is>
      </c>
      <c r="B7413" s="1" t="n">
        <v>45699</v>
      </c>
      <c r="C7413" s="1" t="n">
        <v>45704</v>
      </c>
      <c r="D7413" t="inlineStr">
        <is>
          <t>SKÅNE LÄN</t>
        </is>
      </c>
      <c r="E7413" t="inlineStr">
        <is>
          <t>ÖSTRA GÖINGE</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6558-2025</t>
        </is>
      </c>
      <c r="B7414" s="1" t="n">
        <v>45699</v>
      </c>
      <c r="C7414" s="1" t="n">
        <v>45704</v>
      </c>
      <c r="D7414" t="inlineStr">
        <is>
          <t>SKÅNE LÄN</t>
        </is>
      </c>
      <c r="E7414" t="inlineStr">
        <is>
          <t>HÖRBY</t>
        </is>
      </c>
      <c r="F7414" t="inlineStr">
        <is>
          <t>Kommuner</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6562-2025</t>
        </is>
      </c>
      <c r="B7415" s="1" t="n">
        <v>45699</v>
      </c>
      <c r="C7415" s="1" t="n">
        <v>45704</v>
      </c>
      <c r="D7415" t="inlineStr">
        <is>
          <t>SKÅNE LÄN</t>
        </is>
      </c>
      <c r="E7415" t="inlineStr">
        <is>
          <t>HÖRBY</t>
        </is>
      </c>
      <c r="F7415" t="inlineStr">
        <is>
          <t>Kommuner</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6597-2025</t>
        </is>
      </c>
      <c r="B7416" s="1" t="n">
        <v>45700</v>
      </c>
      <c r="C7416" s="1" t="n">
        <v>45704</v>
      </c>
      <c r="D7416" t="inlineStr">
        <is>
          <t>SKÅNE LÄN</t>
        </is>
      </c>
      <c r="E7416" t="inlineStr">
        <is>
          <t>KRISTIANSTAD</t>
        </is>
      </c>
      <c r="G7416" t="n">
        <v>6</v>
      </c>
      <c r="H7416" t="n">
        <v>0</v>
      </c>
      <c r="I7416" t="n">
        <v>0</v>
      </c>
      <c r="J7416" t="n">
        <v>0</v>
      </c>
      <c r="K7416" t="n">
        <v>0</v>
      </c>
      <c r="L7416" t="n">
        <v>0</v>
      </c>
      <c r="M7416" t="n">
        <v>0</v>
      </c>
      <c r="N7416" t="n">
        <v>0</v>
      </c>
      <c r="O7416" t="n">
        <v>0</v>
      </c>
      <c r="P7416" t="n">
        <v>0</v>
      </c>
      <c r="Q7416" t="n">
        <v>0</v>
      </c>
      <c r="R7416" s="2" t="inlineStr"/>
    </row>
    <row r="7417" ht="15" customHeight="1">
      <c r="A7417" t="inlineStr">
        <is>
          <t>A 6667-2025</t>
        </is>
      </c>
      <c r="B7417" s="1" t="n">
        <v>45700</v>
      </c>
      <c r="C7417" s="1" t="n">
        <v>45704</v>
      </c>
      <c r="D7417" t="inlineStr">
        <is>
          <t>SKÅNE LÄN</t>
        </is>
      </c>
      <c r="E7417" t="inlineStr">
        <is>
          <t>ÄNGELHOLM</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6775-2025</t>
        </is>
      </c>
      <c r="B7418" s="1" t="n">
        <v>45700</v>
      </c>
      <c r="C7418" s="1" t="n">
        <v>45704</v>
      </c>
      <c r="D7418" t="inlineStr">
        <is>
          <t>SKÅNE LÄN</t>
        </is>
      </c>
      <c r="E7418" t="inlineStr">
        <is>
          <t>ÖSTRA GÖINGE</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6858-2025</t>
        </is>
      </c>
      <c r="B7419" s="1" t="n">
        <v>45700</v>
      </c>
      <c r="C7419" s="1" t="n">
        <v>45704</v>
      </c>
      <c r="D7419" t="inlineStr">
        <is>
          <t>SKÅNE LÄN</t>
        </is>
      </c>
      <c r="E7419" t="inlineStr">
        <is>
          <t>KRISTIANSTAD</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6591-2025</t>
        </is>
      </c>
      <c r="B7420" s="1" t="n">
        <v>45700</v>
      </c>
      <c r="C7420" s="1" t="n">
        <v>45704</v>
      </c>
      <c r="D7420" t="inlineStr">
        <is>
          <t>SKÅNE LÄN</t>
        </is>
      </c>
      <c r="E7420" t="inlineStr">
        <is>
          <t>HÖRBY</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6607-2025</t>
        </is>
      </c>
      <c r="B7421" s="1" t="n">
        <v>45700</v>
      </c>
      <c r="C7421" s="1" t="n">
        <v>45704</v>
      </c>
      <c r="D7421" t="inlineStr">
        <is>
          <t>SKÅNE LÄN</t>
        </is>
      </c>
      <c r="E7421" t="inlineStr">
        <is>
          <t>OSBY</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6602-2025</t>
        </is>
      </c>
      <c r="B7422" s="1" t="n">
        <v>45700</v>
      </c>
      <c r="C7422" s="1" t="n">
        <v>45704</v>
      </c>
      <c r="D7422" t="inlineStr">
        <is>
          <t>SKÅNE LÄN</t>
        </is>
      </c>
      <c r="E7422" t="inlineStr">
        <is>
          <t>KRISTIANSTAD</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6692-2025</t>
        </is>
      </c>
      <c r="B7423" s="1" t="n">
        <v>45700</v>
      </c>
      <c r="C7423" s="1" t="n">
        <v>45704</v>
      </c>
      <c r="D7423" t="inlineStr">
        <is>
          <t>SKÅNE LÄN</t>
        </is>
      </c>
      <c r="E7423" t="inlineStr">
        <is>
          <t>ÖRKELLJUNGA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6753-2025</t>
        </is>
      </c>
      <c r="B7424" s="1" t="n">
        <v>45700</v>
      </c>
      <c r="C7424" s="1" t="n">
        <v>45704</v>
      </c>
      <c r="D7424" t="inlineStr">
        <is>
          <t>SKÅNE LÄN</t>
        </is>
      </c>
      <c r="E7424" t="inlineStr">
        <is>
          <t>ÖSTRA GÖINGE</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6798-2025</t>
        </is>
      </c>
      <c r="B7425" s="1" t="n">
        <v>45700</v>
      </c>
      <c r="C7425" s="1" t="n">
        <v>45704</v>
      </c>
      <c r="D7425" t="inlineStr">
        <is>
          <t>SKÅNE LÄN</t>
        </is>
      </c>
      <c r="E7425" t="inlineStr">
        <is>
          <t>HÄSSLEHOLM</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6589-2025</t>
        </is>
      </c>
      <c r="B7426" s="1" t="n">
        <v>45700</v>
      </c>
      <c r="C7426" s="1" t="n">
        <v>45704</v>
      </c>
      <c r="D7426" t="inlineStr">
        <is>
          <t>SKÅNE LÄN</t>
        </is>
      </c>
      <c r="E7426" t="inlineStr">
        <is>
          <t>HÖÖR</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6830-2025</t>
        </is>
      </c>
      <c r="B7427" s="1" t="n">
        <v>45700</v>
      </c>
      <c r="C7427" s="1" t="n">
        <v>45704</v>
      </c>
      <c r="D7427" t="inlineStr">
        <is>
          <t>SKÅNE LÄN</t>
        </is>
      </c>
      <c r="E7427" t="inlineStr">
        <is>
          <t>SIMRISHAMN</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6911-2025</t>
        </is>
      </c>
      <c r="B7428" s="1" t="n">
        <v>45701</v>
      </c>
      <c r="C7428" s="1" t="n">
        <v>45704</v>
      </c>
      <c r="D7428" t="inlineStr">
        <is>
          <t>SKÅNE LÄN</t>
        </is>
      </c>
      <c r="E7428" t="inlineStr">
        <is>
          <t>HÖÖR</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6948-2025</t>
        </is>
      </c>
      <c r="B7429" s="1" t="n">
        <v>45701</v>
      </c>
      <c r="C7429" s="1" t="n">
        <v>45704</v>
      </c>
      <c r="D7429" t="inlineStr">
        <is>
          <t>SKÅNE LÄN</t>
        </is>
      </c>
      <c r="E7429" t="inlineStr">
        <is>
          <t>PERSTORP</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6961-2025</t>
        </is>
      </c>
      <c r="B7430" s="1" t="n">
        <v>45701</v>
      </c>
      <c r="C7430" s="1" t="n">
        <v>45704</v>
      </c>
      <c r="D7430" t="inlineStr">
        <is>
          <t>SKÅNE LÄN</t>
        </is>
      </c>
      <c r="E7430" t="inlineStr">
        <is>
          <t>TOMELILLA</t>
        </is>
      </c>
      <c r="G7430" t="n">
        <v>15.8</v>
      </c>
      <c r="H7430" t="n">
        <v>0</v>
      </c>
      <c r="I7430" t="n">
        <v>0</v>
      </c>
      <c r="J7430" t="n">
        <v>0</v>
      </c>
      <c r="K7430" t="n">
        <v>0</v>
      </c>
      <c r="L7430" t="n">
        <v>0</v>
      </c>
      <c r="M7430" t="n">
        <v>0</v>
      </c>
      <c r="N7430" t="n">
        <v>0</v>
      </c>
      <c r="O7430" t="n">
        <v>0</v>
      </c>
      <c r="P7430" t="n">
        <v>0</v>
      </c>
      <c r="Q7430" t="n">
        <v>0</v>
      </c>
      <c r="R7430" s="2" t="inlineStr"/>
    </row>
    <row r="7431" ht="15" customHeight="1">
      <c r="A7431" t="inlineStr">
        <is>
          <t>A 7016-2025</t>
        </is>
      </c>
      <c r="B7431" s="1" t="n">
        <v>45701</v>
      </c>
      <c r="C7431" s="1" t="n">
        <v>45704</v>
      </c>
      <c r="D7431" t="inlineStr">
        <is>
          <t>SKÅNE LÄN</t>
        </is>
      </c>
      <c r="E7431" t="inlineStr">
        <is>
          <t>ESLÖV</t>
        </is>
      </c>
      <c r="F7431" t="inlineStr">
        <is>
          <t>Sveaskog</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7077-2025</t>
        </is>
      </c>
      <c r="B7432" s="1" t="n">
        <v>45701</v>
      </c>
      <c r="C7432" s="1" t="n">
        <v>45704</v>
      </c>
      <c r="D7432" t="inlineStr">
        <is>
          <t>SKÅNE LÄN</t>
        </is>
      </c>
      <c r="E7432" t="inlineStr">
        <is>
          <t>ÖSTRA GÖINGE</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7043-2025</t>
        </is>
      </c>
      <c r="B7433" s="1" t="n">
        <v>45701</v>
      </c>
      <c r="C7433" s="1" t="n">
        <v>45704</v>
      </c>
      <c r="D7433" t="inlineStr">
        <is>
          <t>SKÅNE LÄN</t>
        </is>
      </c>
      <c r="E7433" t="inlineStr">
        <is>
          <t>PERSTORP</t>
        </is>
      </c>
      <c r="F7433" t="inlineStr">
        <is>
          <t>Övriga Aktiebolag</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7059-2025</t>
        </is>
      </c>
      <c r="B7434" s="1" t="n">
        <v>45701</v>
      </c>
      <c r="C7434" s="1" t="n">
        <v>45704</v>
      </c>
      <c r="D7434" t="inlineStr">
        <is>
          <t>SKÅNE LÄN</t>
        </is>
      </c>
      <c r="E7434" t="inlineStr">
        <is>
          <t>SJÖBO</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7221-2025</t>
        </is>
      </c>
      <c r="B7435" s="1" t="n">
        <v>45701</v>
      </c>
      <c r="C7435" s="1" t="n">
        <v>45704</v>
      </c>
      <c r="D7435" t="inlineStr">
        <is>
          <t>SKÅNE LÄN</t>
        </is>
      </c>
      <c r="E7435" t="inlineStr">
        <is>
          <t>HÄSSLEHOLM</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7153-2025</t>
        </is>
      </c>
      <c r="B7436" s="1" t="n">
        <v>45702</v>
      </c>
      <c r="C7436" s="1" t="n">
        <v>45704</v>
      </c>
      <c r="D7436" t="inlineStr">
        <is>
          <t>SKÅNE LÄN</t>
        </is>
      </c>
      <c r="E7436" t="inlineStr">
        <is>
          <t>HÄSSLEHOLM</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7152-2025</t>
        </is>
      </c>
      <c r="B7437" s="1" t="n">
        <v>45702</v>
      </c>
      <c r="C7437" s="1" t="n">
        <v>45704</v>
      </c>
      <c r="D7437" t="inlineStr">
        <is>
          <t>SKÅNE LÄN</t>
        </is>
      </c>
      <c r="E7437" t="inlineStr">
        <is>
          <t>HÄSSLEHOLM</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7160-2025</t>
        </is>
      </c>
      <c r="B7438" s="1" t="n">
        <v>45702</v>
      </c>
      <c r="C7438" s="1" t="n">
        <v>45704</v>
      </c>
      <c r="D7438" t="inlineStr">
        <is>
          <t>SKÅNE LÄN</t>
        </is>
      </c>
      <c r="E7438" t="inlineStr">
        <is>
          <t>HÄSSLEHOLM</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7192-2025</t>
        </is>
      </c>
      <c r="B7439" s="1" t="n">
        <v>45702</v>
      </c>
      <c r="C7439" s="1" t="n">
        <v>45704</v>
      </c>
      <c r="D7439" t="inlineStr">
        <is>
          <t>SKÅNE LÄN</t>
        </is>
      </c>
      <c r="E7439" t="inlineStr">
        <is>
          <t>HÄSSLEHOLM</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7306-2025</t>
        </is>
      </c>
      <c r="B7440" s="1" t="n">
        <v>45702</v>
      </c>
      <c r="C7440" s="1" t="n">
        <v>45704</v>
      </c>
      <c r="D7440" t="inlineStr">
        <is>
          <t>SKÅNE LÄN</t>
        </is>
      </c>
      <c r="E7440" t="inlineStr">
        <is>
          <t>HÄSSLEHOLM</t>
        </is>
      </c>
      <c r="F7440" t="inlineStr">
        <is>
          <t>Övriga Aktiebolag</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7305-2025</t>
        </is>
      </c>
      <c r="B7441" s="1" t="n">
        <v>45702</v>
      </c>
      <c r="C7441" s="1" t="n">
        <v>45704</v>
      </c>
      <c r="D7441" t="inlineStr">
        <is>
          <t>SKÅNE LÄN</t>
        </is>
      </c>
      <c r="E7441" t="inlineStr">
        <is>
          <t>HÄSSLEHOLM</t>
        </is>
      </c>
      <c r="F7441" t="inlineStr">
        <is>
          <t>Övriga Aktiebolag</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7309-2025</t>
        </is>
      </c>
      <c r="B7442" s="1" t="n">
        <v>45702</v>
      </c>
      <c r="C7442" s="1" t="n">
        <v>45704</v>
      </c>
      <c r="D7442" t="inlineStr">
        <is>
          <t>SKÅNE LÄN</t>
        </is>
      </c>
      <c r="E7442" t="inlineStr">
        <is>
          <t>HÄSSLEHOLM</t>
        </is>
      </c>
      <c r="F7442" t="inlineStr">
        <is>
          <t>Övriga Aktiebolag</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7211-2025</t>
        </is>
      </c>
      <c r="B7443" s="1" t="n">
        <v>45702</v>
      </c>
      <c r="C7443" s="1" t="n">
        <v>45704</v>
      </c>
      <c r="D7443" t="inlineStr">
        <is>
          <t>SKÅNE LÄN</t>
        </is>
      </c>
      <c r="E7443" t="inlineStr">
        <is>
          <t>OSBY</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7308-2025</t>
        </is>
      </c>
      <c r="B7444" s="1" t="n">
        <v>45702</v>
      </c>
      <c r="C7444" s="1" t="n">
        <v>45704</v>
      </c>
      <c r="D7444" t="inlineStr">
        <is>
          <t>SKÅNE LÄN</t>
        </is>
      </c>
      <c r="E7444" t="inlineStr">
        <is>
          <t>HÄSSLEHOLM</t>
        </is>
      </c>
      <c r="F7444" t="inlineStr">
        <is>
          <t>Övriga Aktiebolag</t>
        </is>
      </c>
      <c r="G7444" t="n">
        <v>4.8</v>
      </c>
      <c r="H7444" t="n">
        <v>0</v>
      </c>
      <c r="I7444" t="n">
        <v>0</v>
      </c>
      <c r="J7444" t="n">
        <v>0</v>
      </c>
      <c r="K7444" t="n">
        <v>0</v>
      </c>
      <c r="L7444" t="n">
        <v>0</v>
      </c>
      <c r="M7444" t="n">
        <v>0</v>
      </c>
      <c r="N7444" t="n">
        <v>0</v>
      </c>
      <c r="O7444" t="n">
        <v>0</v>
      </c>
      <c r="P7444" t="n">
        <v>0</v>
      </c>
      <c r="Q7444" t="n">
        <v>0</v>
      </c>
      <c r="R7444" s="2" t="inlineStr"/>
    </row>
    <row r="7445" ht="15" customHeight="1">
      <c r="A7445" t="inlineStr">
        <is>
          <t>A 7150-2025</t>
        </is>
      </c>
      <c r="B7445" s="1" t="n">
        <v>45702</v>
      </c>
      <c r="C7445" s="1" t="n">
        <v>45704</v>
      </c>
      <c r="D7445" t="inlineStr">
        <is>
          <t>SKÅNE LÄN</t>
        </is>
      </c>
      <c r="E7445" t="inlineStr">
        <is>
          <t>HÄSSLEHOLM</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7174-2025</t>
        </is>
      </c>
      <c r="B7446" s="1" t="n">
        <v>45702</v>
      </c>
      <c r="C7446" s="1" t="n">
        <v>45704</v>
      </c>
      <c r="D7446" t="inlineStr">
        <is>
          <t>SKÅNE LÄN</t>
        </is>
      </c>
      <c r="E7446" t="inlineStr">
        <is>
          <t>LUND</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7311-2025</t>
        </is>
      </c>
      <c r="B7447" s="1" t="n">
        <v>45702</v>
      </c>
      <c r="C7447" s="1" t="n">
        <v>45704</v>
      </c>
      <c r="D7447" t="inlineStr">
        <is>
          <t>SKÅNE LÄN</t>
        </is>
      </c>
      <c r="E7447" t="inlineStr">
        <is>
          <t>HÄSSLEHOLM</t>
        </is>
      </c>
      <c r="F7447" t="inlineStr">
        <is>
          <t>Övriga Aktiebolag</t>
        </is>
      </c>
      <c r="G7447" t="n">
        <v>3.1</v>
      </c>
      <c r="H7447" t="n">
        <v>0</v>
      </c>
      <c r="I7447" t="n">
        <v>0</v>
      </c>
      <c r="J7447" t="n">
        <v>0</v>
      </c>
      <c r="K7447" t="n">
        <v>0</v>
      </c>
      <c r="L7447" t="n">
        <v>0</v>
      </c>
      <c r="M7447" t="n">
        <v>0</v>
      </c>
      <c r="N7447" t="n">
        <v>0</v>
      </c>
      <c r="O7447" t="n">
        <v>0</v>
      </c>
      <c r="P7447" t="n">
        <v>0</v>
      </c>
      <c r="Q7447" t="n">
        <v>0</v>
      </c>
      <c r="R7447" s="2" t="inlineStr"/>
    </row>
    <row r="7448">
      <c r="A7448" t="inlineStr">
        <is>
          <t>A 7333-2025</t>
        </is>
      </c>
      <c r="B7448" s="1" t="n">
        <v>45703</v>
      </c>
      <c r="C7448" s="1" t="n">
        <v>45704</v>
      </c>
      <c r="D7448" t="inlineStr">
        <is>
          <t>SKÅNE LÄN</t>
        </is>
      </c>
      <c r="E7448" t="inlineStr">
        <is>
          <t>HELSINGBORG</t>
        </is>
      </c>
      <c r="G7448" t="n">
        <v>0.9</v>
      </c>
      <c r="H7448" t="n">
        <v>0</v>
      </c>
      <c r="I7448" t="n">
        <v>0</v>
      </c>
      <c r="J7448" t="n">
        <v>0</v>
      </c>
      <c r="K7448" t="n">
        <v>0</v>
      </c>
      <c r="L7448" t="n">
        <v>0</v>
      </c>
      <c r="M7448" t="n">
        <v>0</v>
      </c>
      <c r="N7448" t="n">
        <v>0</v>
      </c>
      <c r="O7448" t="n">
        <v>0</v>
      </c>
      <c r="P7448" t="n">
        <v>0</v>
      </c>
      <c r="Q7448" t="n">
        <v>0</v>
      </c>
      <c r="R7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2025-02-16T15:59:18Z</dcterms:created>
  <dcterms:modified xmlns:dcterms="http://purl.org/dc/terms/" xmlns:xsi="http://www.w3.org/2001/XMLSchema-instance" xsi:type="dcterms:W3CDTF">2025-02-16T15:59:26Z</dcterms:modified>
</cp:coreProperties>
</file>