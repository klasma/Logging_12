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45914</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45914</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45914</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45914</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45914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45914</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45914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45914</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45914</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45914</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45914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45914</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45914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45914</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45914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45914</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45914</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45914</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45914</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45914</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45914</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45914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45914</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39855-2022</t>
        </is>
      </c>
      <c r="B32" s="1" t="n">
        <v>44819</v>
      </c>
      <c r="C32" s="1" t="n">
        <v>45914</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4615-2025</t>
        </is>
      </c>
      <c r="B33" s="1" t="n">
        <v>45687</v>
      </c>
      <c r="C33" s="1" t="n">
        <v>45914</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13467-2023</t>
        </is>
      </c>
      <c r="B34" s="1" t="n">
        <v>45005</v>
      </c>
      <c r="C34" s="1" t="n">
        <v>45914</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45914</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45914</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45914</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2787-2024</t>
        </is>
      </c>
      <c r="B38" s="1" t="n">
        <v>45314</v>
      </c>
      <c r="C38" s="1" t="n">
        <v>45914</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42062-2024</t>
        </is>
      </c>
      <c r="B39" s="1" t="n">
        <v>45561</v>
      </c>
      <c r="C39" s="1" t="n">
        <v>45914</v>
      </c>
      <c r="D39" t="inlineStr">
        <is>
          <t>SKÅNE LÄN</t>
        </is>
      </c>
      <c r="E39" t="inlineStr">
        <is>
          <t>BROMÖLLA</t>
        </is>
      </c>
      <c r="G39" t="n">
        <v>12.2</v>
      </c>
      <c r="H39" t="n">
        <v>0</v>
      </c>
      <c r="I39" t="n">
        <v>4</v>
      </c>
      <c r="J39" t="n">
        <v>0</v>
      </c>
      <c r="K39" t="n">
        <v>0</v>
      </c>
      <c r="L39" t="n">
        <v>0</v>
      </c>
      <c r="M39" t="n">
        <v>0</v>
      </c>
      <c r="N39" t="n">
        <v>0</v>
      </c>
      <c r="O39" t="n">
        <v>0</v>
      </c>
      <c r="P39" t="n">
        <v>0</v>
      </c>
      <c r="Q39" t="n">
        <v>4</v>
      </c>
      <c r="R39" s="2" t="inlineStr">
        <is>
          <t>Ekskinn
Havstulpanlav
Rostfläck
Västlig hakmossa</t>
        </is>
      </c>
      <c r="S39">
        <f>HYPERLINK("https://klasma.github.io/Logging_1272/artfynd/A 42062-2024 artfynd.xlsx", "A 42062-2024")</f>
        <v/>
      </c>
      <c r="T39">
        <f>HYPERLINK("https://klasma.github.io/Logging_1272/kartor/A 42062-2024 karta.png", "A 42062-2024")</f>
        <v/>
      </c>
      <c r="V39">
        <f>HYPERLINK("https://klasma.github.io/Logging_1272/klagomål/A 42062-2024 FSC-klagomål.docx", "A 42062-2024")</f>
        <v/>
      </c>
      <c r="W39">
        <f>HYPERLINK("https://klasma.github.io/Logging_1272/klagomålsmail/A 42062-2024 FSC-klagomål mail.docx", "A 42062-2024")</f>
        <v/>
      </c>
      <c r="X39">
        <f>HYPERLINK("https://klasma.github.io/Logging_1272/tillsyn/A 42062-2024 tillsynsbegäran.docx", "A 42062-2024")</f>
        <v/>
      </c>
      <c r="Y39">
        <f>HYPERLINK("https://klasma.github.io/Logging_1272/tillsynsmail/A 42062-2024 tillsynsbegäran mail.docx", "A 42062-2024")</f>
        <v/>
      </c>
    </row>
    <row r="40" ht="15" customHeight="1">
      <c r="A40" t="inlineStr">
        <is>
          <t>A 31991-2025</t>
        </is>
      </c>
      <c r="B40" s="1" t="n">
        <v>45835</v>
      </c>
      <c r="C40" s="1" t="n">
        <v>45914</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22337-2024</t>
        </is>
      </c>
      <c r="B41" s="1" t="n">
        <v>45446</v>
      </c>
      <c r="C41" s="1" t="n">
        <v>45914</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24278-2023</t>
        </is>
      </c>
      <c r="B42" s="1" t="n">
        <v>45079</v>
      </c>
      <c r="C42" s="1" t="n">
        <v>45914</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60427-2022</t>
        </is>
      </c>
      <c r="B43" s="1" t="n">
        <v>44911</v>
      </c>
      <c r="C43" s="1" t="n">
        <v>45914</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45914</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4598-2025</t>
        </is>
      </c>
      <c r="B45" s="1" t="n">
        <v>45687</v>
      </c>
      <c r="C45" s="1" t="n">
        <v>45914</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60543-2023</t>
        </is>
      </c>
      <c r="B46" s="1" t="n">
        <v>45259</v>
      </c>
      <c r="C46" s="1" t="n">
        <v>45914</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45914</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45914</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45914</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45914</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45914</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45914</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45914</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45914</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45914</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45914</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45914</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45914</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45914</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45914</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45914</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18319-2025</t>
        </is>
      </c>
      <c r="B62" s="1" t="n">
        <v>45762</v>
      </c>
      <c r="C62" s="1" t="n">
        <v>45914</v>
      </c>
      <c r="D62" t="inlineStr">
        <is>
          <t>SKÅNE LÄN</t>
        </is>
      </c>
      <c r="E62" t="inlineStr">
        <is>
          <t>BÅSTAD</t>
        </is>
      </c>
      <c r="G62" t="n">
        <v>3.4</v>
      </c>
      <c r="H62" t="n">
        <v>1</v>
      </c>
      <c r="I62" t="n">
        <v>2</v>
      </c>
      <c r="J62" t="n">
        <v>1</v>
      </c>
      <c r="K62" t="n">
        <v>0</v>
      </c>
      <c r="L62" t="n">
        <v>0</v>
      </c>
      <c r="M62" t="n">
        <v>0</v>
      </c>
      <c r="N62" t="n">
        <v>0</v>
      </c>
      <c r="O62" t="n">
        <v>1</v>
      </c>
      <c r="P62" t="n">
        <v>0</v>
      </c>
      <c r="Q62" t="n">
        <v>3</v>
      </c>
      <c r="R62" s="2" t="inlineStr">
        <is>
          <t>Igelkott
Korallrot
Källpraktmossa</t>
        </is>
      </c>
      <c r="S62">
        <f>HYPERLINK("https://klasma.github.io/Logging_1278/artfynd/A 18319-2025 artfynd.xlsx", "A 18319-2025")</f>
        <v/>
      </c>
      <c r="T62">
        <f>HYPERLINK("https://klasma.github.io/Logging_1278/kartor/A 18319-2025 karta.png", "A 18319-2025")</f>
        <v/>
      </c>
      <c r="V62">
        <f>HYPERLINK("https://klasma.github.io/Logging_1278/klagomål/A 18319-2025 FSC-klagomål.docx", "A 18319-2025")</f>
        <v/>
      </c>
      <c r="W62">
        <f>HYPERLINK("https://klasma.github.io/Logging_1278/klagomålsmail/A 18319-2025 FSC-klagomål mail.docx", "A 18319-2025")</f>
        <v/>
      </c>
      <c r="X62">
        <f>HYPERLINK("https://klasma.github.io/Logging_1278/tillsyn/A 18319-2025 tillsynsbegäran.docx", "A 18319-2025")</f>
        <v/>
      </c>
      <c r="Y62">
        <f>HYPERLINK("https://klasma.github.io/Logging_1278/tillsynsmail/A 18319-2025 tillsynsbegäran mail.docx", "A 18319-2025")</f>
        <v/>
      </c>
    </row>
    <row r="63" ht="15" customHeight="1">
      <c r="A63" t="inlineStr">
        <is>
          <t>A 27902-2023</t>
        </is>
      </c>
      <c r="B63" s="1" t="n">
        <v>45098</v>
      </c>
      <c r="C63" s="1" t="n">
        <v>45914</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2943-2023</t>
        </is>
      </c>
      <c r="B64" s="1" t="n">
        <v>44945</v>
      </c>
      <c r="C64" s="1" t="n">
        <v>45914</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7435-2025</t>
        </is>
      </c>
      <c r="B65" s="1" t="n">
        <v>45702</v>
      </c>
      <c r="C65" s="1" t="n">
        <v>45914</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2888-2024</t>
        </is>
      </c>
      <c r="B66" s="1" t="n">
        <v>45315</v>
      </c>
      <c r="C66" s="1" t="n">
        <v>45914</v>
      </c>
      <c r="D66" t="inlineStr">
        <is>
          <t>SKÅNE LÄN</t>
        </is>
      </c>
      <c r="E66" t="inlineStr">
        <is>
          <t>KRISTIANSTAD</t>
        </is>
      </c>
      <c r="G66" t="n">
        <v>10</v>
      </c>
      <c r="H66" t="n">
        <v>0</v>
      </c>
      <c r="I66" t="n">
        <v>2</v>
      </c>
      <c r="J66" t="n">
        <v>0</v>
      </c>
      <c r="K66" t="n">
        <v>1</v>
      </c>
      <c r="L66" t="n">
        <v>0</v>
      </c>
      <c r="M66" t="n">
        <v>0</v>
      </c>
      <c r="N66" t="n">
        <v>0</v>
      </c>
      <c r="O66" t="n">
        <v>1</v>
      </c>
      <c r="P66" t="n">
        <v>1</v>
      </c>
      <c r="Q66" t="n">
        <v>3</v>
      </c>
      <c r="R66" s="2" t="inlineStr">
        <is>
          <t>Flenörtskapuschongfly
Kransrams
Stor häxört</t>
        </is>
      </c>
      <c r="S66">
        <f>HYPERLINK("https://klasma.github.io/Logging_1290/artfynd/A 2888-2024 artfynd.xlsx", "A 2888-2024")</f>
        <v/>
      </c>
      <c r="T66">
        <f>HYPERLINK("https://klasma.github.io/Logging_1290/kartor/A 2888-2024 karta.png", "A 2888-2024")</f>
        <v/>
      </c>
      <c r="V66">
        <f>HYPERLINK("https://klasma.github.io/Logging_1290/klagomål/A 2888-2024 FSC-klagomål.docx", "A 2888-2024")</f>
        <v/>
      </c>
      <c r="W66">
        <f>HYPERLINK("https://klasma.github.io/Logging_1290/klagomålsmail/A 2888-2024 FSC-klagomål mail.docx", "A 2888-2024")</f>
        <v/>
      </c>
      <c r="X66">
        <f>HYPERLINK("https://klasma.github.io/Logging_1290/tillsyn/A 2888-2024 tillsynsbegäran.docx", "A 2888-2024")</f>
        <v/>
      </c>
      <c r="Y66">
        <f>HYPERLINK("https://klasma.github.io/Logging_1290/tillsynsmail/A 2888-2024 tillsynsbegäran mail.docx", "A 2888-2024")</f>
        <v/>
      </c>
    </row>
    <row r="67" ht="15" customHeight="1">
      <c r="A67" t="inlineStr">
        <is>
          <t>A 57726-2024</t>
        </is>
      </c>
      <c r="B67" s="1" t="n">
        <v>45630.70673611111</v>
      </c>
      <c r="C67" s="1" t="n">
        <v>45914</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56742-2023</t>
        </is>
      </c>
      <c r="B68" s="1" t="n">
        <v>45238</v>
      </c>
      <c r="C68" s="1" t="n">
        <v>45914</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2018-2024</t>
        </is>
      </c>
      <c r="B69" s="1" t="n">
        <v>45308</v>
      </c>
      <c r="C69" s="1" t="n">
        <v>45914</v>
      </c>
      <c r="D69" t="inlineStr">
        <is>
          <t>SKÅNE LÄN</t>
        </is>
      </c>
      <c r="E69" t="inlineStr">
        <is>
          <t>TOMELILLA</t>
        </is>
      </c>
      <c r="G69" t="n">
        <v>17.2</v>
      </c>
      <c r="H69" t="n">
        <v>1</v>
      </c>
      <c r="I69" t="n">
        <v>1</v>
      </c>
      <c r="J69" t="n">
        <v>1</v>
      </c>
      <c r="K69" t="n">
        <v>0</v>
      </c>
      <c r="L69" t="n">
        <v>0</v>
      </c>
      <c r="M69" t="n">
        <v>0</v>
      </c>
      <c r="N69" t="n">
        <v>0</v>
      </c>
      <c r="O69" t="n">
        <v>1</v>
      </c>
      <c r="P69" t="n">
        <v>0</v>
      </c>
      <c r="Q69" t="n">
        <v>3</v>
      </c>
      <c r="R69" s="2" t="inlineStr">
        <is>
          <t>Åkerkulla
Västlig hakmossa
Röd glada</t>
        </is>
      </c>
      <c r="S69">
        <f>HYPERLINK("https://klasma.github.io/Logging_1270/artfynd/A 2018-2024 artfynd.xlsx", "A 2018-2024")</f>
        <v/>
      </c>
      <c r="T69">
        <f>HYPERLINK("https://klasma.github.io/Logging_1270/kartor/A 2018-2024 karta.png", "A 2018-2024")</f>
        <v/>
      </c>
      <c r="V69">
        <f>HYPERLINK("https://klasma.github.io/Logging_1270/klagomål/A 2018-2024 FSC-klagomål.docx", "A 2018-2024")</f>
        <v/>
      </c>
      <c r="W69">
        <f>HYPERLINK("https://klasma.github.io/Logging_1270/klagomålsmail/A 2018-2024 FSC-klagomål mail.docx", "A 2018-2024")</f>
        <v/>
      </c>
      <c r="X69">
        <f>HYPERLINK("https://klasma.github.io/Logging_1270/tillsyn/A 2018-2024 tillsynsbegäran.docx", "A 2018-2024")</f>
        <v/>
      </c>
      <c r="Y69">
        <f>HYPERLINK("https://klasma.github.io/Logging_1270/tillsynsmail/A 2018-2024 tillsynsbegäran mail.docx", "A 2018-2024")</f>
        <v/>
      </c>
      <c r="Z69">
        <f>HYPERLINK("https://klasma.github.io/Logging_1270/fåglar/A 2018-2024 prioriterade fågelarter.docx", "A 2018-2024")</f>
        <v/>
      </c>
    </row>
    <row r="70" ht="15" customHeight="1">
      <c r="A70" t="inlineStr">
        <is>
          <t>A 12576-2023</t>
        </is>
      </c>
      <c r="B70" s="1" t="n">
        <v>45000</v>
      </c>
      <c r="C70" s="1" t="n">
        <v>45914</v>
      </c>
      <c r="D70" t="inlineStr">
        <is>
          <t>SKÅNE LÄN</t>
        </is>
      </c>
      <c r="E70" t="inlineStr">
        <is>
          <t>KRISTIANSTAD</t>
        </is>
      </c>
      <c r="G70" t="n">
        <v>5.8</v>
      </c>
      <c r="H70" t="n">
        <v>0</v>
      </c>
      <c r="I70" t="n">
        <v>0</v>
      </c>
      <c r="J70" t="n">
        <v>2</v>
      </c>
      <c r="K70" t="n">
        <v>1</v>
      </c>
      <c r="L70" t="n">
        <v>0</v>
      </c>
      <c r="M70" t="n">
        <v>0</v>
      </c>
      <c r="N70" t="n">
        <v>0</v>
      </c>
      <c r="O70" t="n">
        <v>3</v>
      </c>
      <c r="P70" t="n">
        <v>1</v>
      </c>
      <c r="Q70" t="n">
        <v>3</v>
      </c>
      <c r="R70" s="2" t="inlineStr">
        <is>
          <t>Bukspolsnäcka
Lamellsnäcka
Tandsnäcka</t>
        </is>
      </c>
      <c r="S70">
        <f>HYPERLINK("https://klasma.github.io/Logging_1290/artfynd/A 12576-2023 artfynd.xlsx", "A 12576-2023")</f>
        <v/>
      </c>
      <c r="T70">
        <f>HYPERLINK("https://klasma.github.io/Logging_1290/kartor/A 12576-2023 karta.png", "A 12576-2023")</f>
        <v/>
      </c>
      <c r="V70">
        <f>HYPERLINK("https://klasma.github.io/Logging_1290/klagomål/A 12576-2023 FSC-klagomål.docx", "A 12576-2023")</f>
        <v/>
      </c>
      <c r="W70">
        <f>HYPERLINK("https://klasma.github.io/Logging_1290/klagomålsmail/A 12576-2023 FSC-klagomål mail.docx", "A 12576-2023")</f>
        <v/>
      </c>
      <c r="X70">
        <f>HYPERLINK("https://klasma.github.io/Logging_1290/tillsyn/A 12576-2023 tillsynsbegäran.docx", "A 12576-2023")</f>
        <v/>
      </c>
      <c r="Y70">
        <f>HYPERLINK("https://klasma.github.io/Logging_1290/tillsynsmail/A 12576-2023 tillsynsbegäran mail.docx", "A 12576-2023")</f>
        <v/>
      </c>
    </row>
    <row r="71" ht="15" customHeight="1">
      <c r="A71" t="inlineStr">
        <is>
          <t>A 27430-2024</t>
        </is>
      </c>
      <c r="B71" s="1" t="n">
        <v>45474</v>
      </c>
      <c r="C71" s="1" t="n">
        <v>45914</v>
      </c>
      <c r="D71" t="inlineStr">
        <is>
          <t>SKÅNE LÄN</t>
        </is>
      </c>
      <c r="E71" t="inlineStr">
        <is>
          <t>SIMRISHAMN</t>
        </is>
      </c>
      <c r="G71" t="n">
        <v>3.9</v>
      </c>
      <c r="H71" t="n">
        <v>1</v>
      </c>
      <c r="I71" t="n">
        <v>2</v>
      </c>
      <c r="J71" t="n">
        <v>1</v>
      </c>
      <c r="K71" t="n">
        <v>0</v>
      </c>
      <c r="L71" t="n">
        <v>0</v>
      </c>
      <c r="M71" t="n">
        <v>0</v>
      </c>
      <c r="N71" t="n">
        <v>0</v>
      </c>
      <c r="O71" t="n">
        <v>1</v>
      </c>
      <c r="P71" t="n">
        <v>0</v>
      </c>
      <c r="Q71" t="n">
        <v>3</v>
      </c>
      <c r="R71" s="2" t="inlineStr">
        <is>
          <t>Spillkråka
Bokoxe
Rostfläck</t>
        </is>
      </c>
      <c r="S71">
        <f>HYPERLINK("https://klasma.github.io/Logging_1291/artfynd/A 27430-2024 artfynd.xlsx", "A 27430-2024")</f>
        <v/>
      </c>
      <c r="T71">
        <f>HYPERLINK("https://klasma.github.io/Logging_1291/kartor/A 27430-2024 karta.png", "A 27430-2024")</f>
        <v/>
      </c>
      <c r="V71">
        <f>HYPERLINK("https://klasma.github.io/Logging_1291/klagomål/A 27430-2024 FSC-klagomål.docx", "A 27430-2024")</f>
        <v/>
      </c>
      <c r="W71">
        <f>HYPERLINK("https://klasma.github.io/Logging_1291/klagomålsmail/A 27430-2024 FSC-klagomål mail.docx", "A 27430-2024")</f>
        <v/>
      </c>
      <c r="X71">
        <f>HYPERLINK("https://klasma.github.io/Logging_1291/tillsyn/A 27430-2024 tillsynsbegäran.docx", "A 27430-2024")</f>
        <v/>
      </c>
      <c r="Y71">
        <f>HYPERLINK("https://klasma.github.io/Logging_1291/tillsynsmail/A 27430-2024 tillsynsbegäran mail.docx", "A 27430-2024")</f>
        <v/>
      </c>
      <c r="Z71">
        <f>HYPERLINK("https://klasma.github.io/Logging_1291/fåglar/A 27430-2024 prioriterade fågelarter.docx", "A 27430-2024")</f>
        <v/>
      </c>
    </row>
    <row r="72" ht="15" customHeight="1">
      <c r="A72" t="inlineStr">
        <is>
          <t>A 31351-2022</t>
        </is>
      </c>
      <c r="B72" s="1" t="n">
        <v>44774</v>
      </c>
      <c r="C72" s="1" t="n">
        <v>45914</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38101-2024</t>
        </is>
      </c>
      <c r="B73" s="1" t="n">
        <v>45545.36309027778</v>
      </c>
      <c r="C73" s="1" t="n">
        <v>45914</v>
      </c>
      <c r="D73" t="inlineStr">
        <is>
          <t>SKÅNE LÄN</t>
        </is>
      </c>
      <c r="E73" t="inlineStr">
        <is>
          <t>ÖRKELLJUNGA</t>
        </is>
      </c>
      <c r="G73" t="n">
        <v>4</v>
      </c>
      <c r="H73" t="n">
        <v>2</v>
      </c>
      <c r="I73" t="n">
        <v>0</v>
      </c>
      <c r="J73" t="n">
        <v>3</v>
      </c>
      <c r="K73" t="n">
        <v>0</v>
      </c>
      <c r="L73" t="n">
        <v>0</v>
      </c>
      <c r="M73" t="n">
        <v>0</v>
      </c>
      <c r="N73" t="n">
        <v>0</v>
      </c>
      <c r="O73" t="n">
        <v>3</v>
      </c>
      <c r="P73" t="n">
        <v>0</v>
      </c>
      <c r="Q73" t="n">
        <v>3</v>
      </c>
      <c r="R73" s="2" t="inlineStr">
        <is>
          <t>Skrattmås
Vedflikmossa
Ärtsångare</t>
        </is>
      </c>
      <c r="S73">
        <f>HYPERLINK("https://klasma.github.io/Logging_1257/artfynd/A 38101-2024 artfynd.xlsx", "A 38101-2024")</f>
        <v/>
      </c>
      <c r="T73">
        <f>HYPERLINK("https://klasma.github.io/Logging_1257/kartor/A 38101-2024 karta.png", "A 38101-2024")</f>
        <v/>
      </c>
      <c r="V73">
        <f>HYPERLINK("https://klasma.github.io/Logging_1257/klagomål/A 38101-2024 FSC-klagomål.docx", "A 38101-2024")</f>
        <v/>
      </c>
      <c r="W73">
        <f>HYPERLINK("https://klasma.github.io/Logging_1257/klagomålsmail/A 38101-2024 FSC-klagomål mail.docx", "A 38101-2024")</f>
        <v/>
      </c>
      <c r="X73">
        <f>HYPERLINK("https://klasma.github.io/Logging_1257/tillsyn/A 38101-2024 tillsynsbegäran.docx", "A 38101-2024")</f>
        <v/>
      </c>
      <c r="Y73">
        <f>HYPERLINK("https://klasma.github.io/Logging_1257/tillsynsmail/A 38101-2024 tillsynsbegäran mail.docx", "A 38101-2024")</f>
        <v/>
      </c>
      <c r="Z73">
        <f>HYPERLINK("https://klasma.github.io/Logging_1257/fåglar/A 38101-2024 prioriterade fågelarter.docx", "A 38101-2024")</f>
        <v/>
      </c>
    </row>
    <row r="74" ht="15" customHeight="1">
      <c r="A74" t="inlineStr">
        <is>
          <t>A 905-2024</t>
        </is>
      </c>
      <c r="B74" s="1" t="n">
        <v>45301</v>
      </c>
      <c r="C74" s="1" t="n">
        <v>45914</v>
      </c>
      <c r="D74" t="inlineStr">
        <is>
          <t>SKÅNE LÄN</t>
        </is>
      </c>
      <c r="E74" t="inlineStr">
        <is>
          <t>ÄNGELHOLM</t>
        </is>
      </c>
      <c r="G74" t="n">
        <v>4.9</v>
      </c>
      <c r="H74" t="n">
        <v>0</v>
      </c>
      <c r="I74" t="n">
        <v>1</v>
      </c>
      <c r="J74" t="n">
        <v>2</v>
      </c>
      <c r="K74" t="n">
        <v>0</v>
      </c>
      <c r="L74" t="n">
        <v>0</v>
      </c>
      <c r="M74" t="n">
        <v>0</v>
      </c>
      <c r="N74" t="n">
        <v>0</v>
      </c>
      <c r="O74" t="n">
        <v>2</v>
      </c>
      <c r="P74" t="n">
        <v>0</v>
      </c>
      <c r="Q74" t="n">
        <v>3</v>
      </c>
      <c r="R74" s="2" t="inlineStr">
        <is>
          <t>Boktigerfluga
Desmeknopp
Myskmadra</t>
        </is>
      </c>
      <c r="S74">
        <f>HYPERLINK("https://klasma.github.io/Logging_1292/artfynd/A 905-2024 artfynd.xlsx", "A 905-2024")</f>
        <v/>
      </c>
      <c r="T74">
        <f>HYPERLINK("https://klasma.github.io/Logging_1292/kartor/A 905-2024 karta.png", "A 905-2024")</f>
        <v/>
      </c>
      <c r="V74">
        <f>HYPERLINK("https://klasma.github.io/Logging_1292/klagomål/A 905-2024 FSC-klagomål.docx", "A 905-2024")</f>
        <v/>
      </c>
      <c r="W74">
        <f>HYPERLINK("https://klasma.github.io/Logging_1292/klagomålsmail/A 905-2024 FSC-klagomål mail.docx", "A 905-2024")</f>
        <v/>
      </c>
      <c r="X74">
        <f>HYPERLINK("https://klasma.github.io/Logging_1292/tillsyn/A 905-2024 tillsynsbegäran.docx", "A 905-2024")</f>
        <v/>
      </c>
      <c r="Y74">
        <f>HYPERLINK("https://klasma.github.io/Logging_1292/tillsynsmail/A 905-2024 tillsynsbegäran mail.docx", "A 905-2024")</f>
        <v/>
      </c>
    </row>
    <row r="75" ht="15" customHeight="1">
      <c r="A75" t="inlineStr">
        <is>
          <t>A 584-2025</t>
        </is>
      </c>
      <c r="B75" s="1" t="n">
        <v>45664.57672453704</v>
      </c>
      <c r="C75" s="1" t="n">
        <v>45914</v>
      </c>
      <c r="D75" t="inlineStr">
        <is>
          <t>SKÅNE LÄN</t>
        </is>
      </c>
      <c r="E75" t="inlineStr">
        <is>
          <t>ÄNGELHOLM</t>
        </is>
      </c>
      <c r="G75" t="n">
        <v>1.2</v>
      </c>
      <c r="H75" t="n">
        <v>3</v>
      </c>
      <c r="I75" t="n">
        <v>0</v>
      </c>
      <c r="J75" t="n">
        <v>2</v>
      </c>
      <c r="K75" t="n">
        <v>0</v>
      </c>
      <c r="L75" t="n">
        <v>0</v>
      </c>
      <c r="M75" t="n">
        <v>0</v>
      </c>
      <c r="N75" t="n">
        <v>0</v>
      </c>
      <c r="O75" t="n">
        <v>2</v>
      </c>
      <c r="P75" t="n">
        <v>0</v>
      </c>
      <c r="Q75" t="n">
        <v>3</v>
      </c>
      <c r="R75" s="2" t="inlineStr">
        <is>
          <t>Entita
Spillkråka
Kungsfågel</t>
        </is>
      </c>
      <c r="S75">
        <f>HYPERLINK("https://klasma.github.io/Logging_1292/artfynd/A 584-2025 artfynd.xlsx", "A 584-2025")</f>
        <v/>
      </c>
      <c r="T75">
        <f>HYPERLINK("https://klasma.github.io/Logging_1292/kartor/A 584-2025 karta.png", "A 584-2025")</f>
        <v/>
      </c>
      <c r="V75">
        <f>HYPERLINK("https://klasma.github.io/Logging_1292/klagomål/A 584-2025 FSC-klagomål.docx", "A 584-2025")</f>
        <v/>
      </c>
      <c r="W75">
        <f>HYPERLINK("https://klasma.github.io/Logging_1292/klagomålsmail/A 584-2025 FSC-klagomål mail.docx", "A 584-2025")</f>
        <v/>
      </c>
      <c r="X75">
        <f>HYPERLINK("https://klasma.github.io/Logging_1292/tillsyn/A 584-2025 tillsynsbegäran.docx", "A 584-2025")</f>
        <v/>
      </c>
      <c r="Y75">
        <f>HYPERLINK("https://klasma.github.io/Logging_1292/tillsynsmail/A 584-2025 tillsynsbegäran mail.docx", "A 584-2025")</f>
        <v/>
      </c>
      <c r="Z75">
        <f>HYPERLINK("https://klasma.github.io/Logging_1292/fåglar/A 584-2025 prioriterade fågelarter.docx", "A 584-2025")</f>
        <v/>
      </c>
    </row>
    <row r="76" ht="15" customHeight="1">
      <c r="A76" t="inlineStr">
        <is>
          <t>A 3253-2025</t>
        </is>
      </c>
      <c r="B76" s="1" t="n">
        <v>45679</v>
      </c>
      <c r="C76" s="1" t="n">
        <v>45914</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7554-2023</t>
        </is>
      </c>
      <c r="B77" s="1" t="n">
        <v>44967</v>
      </c>
      <c r="C77" s="1" t="n">
        <v>45914</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34210-2025</t>
        </is>
      </c>
      <c r="B78" s="1" t="n">
        <v>45844</v>
      </c>
      <c r="C78" s="1" t="n">
        <v>45914</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28874-2023</t>
        </is>
      </c>
      <c r="B79" s="1" t="n">
        <v>45104</v>
      </c>
      <c r="C79" s="1" t="n">
        <v>45914</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52039-2021</t>
        </is>
      </c>
      <c r="B80" s="1" t="n">
        <v>44463</v>
      </c>
      <c r="C80" s="1" t="n">
        <v>45914</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62060-2022</t>
        </is>
      </c>
      <c r="B81" s="1" t="n">
        <v>44918</v>
      </c>
      <c r="C81" s="1" t="n">
        <v>45914</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35245-2025</t>
        </is>
      </c>
      <c r="B82" s="1" t="n">
        <v>45853.6421875</v>
      </c>
      <c r="C82" s="1" t="n">
        <v>45914</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2823-2025</t>
        </is>
      </c>
      <c r="B83" s="1" t="n">
        <v>45677</v>
      </c>
      <c r="C83" s="1" t="n">
        <v>45914</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24801-2025</t>
        </is>
      </c>
      <c r="B84" s="1" t="n">
        <v>45799</v>
      </c>
      <c r="C84" s="1" t="n">
        <v>45914</v>
      </c>
      <c r="D84" t="inlineStr">
        <is>
          <t>SKÅNE LÄN</t>
        </is>
      </c>
      <c r="E84" t="inlineStr">
        <is>
          <t>HÖRBY</t>
        </is>
      </c>
      <c r="G84" t="n">
        <v>5.5</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31926-2024</t>
        </is>
      </c>
      <c r="B85" s="1" t="n">
        <v>45510</v>
      </c>
      <c r="C85" s="1" t="n">
        <v>45914</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27738-2025</t>
        </is>
      </c>
      <c r="B86" s="1" t="n">
        <v>45815</v>
      </c>
      <c r="C86" s="1" t="n">
        <v>45914</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46256-2024</t>
        </is>
      </c>
      <c r="B87" s="1" t="n">
        <v>45581</v>
      </c>
      <c r="C87" s="1" t="n">
        <v>45914</v>
      </c>
      <c r="D87" t="inlineStr">
        <is>
          <t>SKÅNE LÄN</t>
        </is>
      </c>
      <c r="E87" t="inlineStr">
        <is>
          <t>KLIPPAN</t>
        </is>
      </c>
      <c r="F87" t="inlineStr">
        <is>
          <t>Sveaskog</t>
        </is>
      </c>
      <c r="G87" t="n">
        <v>3.1</v>
      </c>
      <c r="H87" t="n">
        <v>1</v>
      </c>
      <c r="I87" t="n">
        <v>2</v>
      </c>
      <c r="J87" t="n">
        <v>1</v>
      </c>
      <c r="K87" t="n">
        <v>0</v>
      </c>
      <c r="L87" t="n">
        <v>0</v>
      </c>
      <c r="M87" t="n">
        <v>0</v>
      </c>
      <c r="N87" t="n">
        <v>0</v>
      </c>
      <c r="O87" t="n">
        <v>1</v>
      </c>
      <c r="P87" t="n">
        <v>0</v>
      </c>
      <c r="Q87" t="n">
        <v>3</v>
      </c>
      <c r="R87" s="2" t="inlineStr">
        <is>
          <t>Spillkråka
Rostfläck
Västlig hakmossa</t>
        </is>
      </c>
      <c r="S87">
        <f>HYPERLINK("https://klasma.github.io/Logging_1276/artfynd/A 46256-2024 artfynd.xlsx", "A 46256-2024")</f>
        <v/>
      </c>
      <c r="T87">
        <f>HYPERLINK("https://klasma.github.io/Logging_1276/kartor/A 46256-2024 karta.png", "A 46256-2024")</f>
        <v/>
      </c>
      <c r="V87">
        <f>HYPERLINK("https://klasma.github.io/Logging_1276/klagomål/A 46256-2024 FSC-klagomål.docx", "A 46256-2024")</f>
        <v/>
      </c>
      <c r="W87">
        <f>HYPERLINK("https://klasma.github.io/Logging_1276/klagomålsmail/A 46256-2024 FSC-klagomål mail.docx", "A 46256-2024")</f>
        <v/>
      </c>
      <c r="X87">
        <f>HYPERLINK("https://klasma.github.io/Logging_1276/tillsyn/A 46256-2024 tillsynsbegäran.docx", "A 46256-2024")</f>
        <v/>
      </c>
      <c r="Y87">
        <f>HYPERLINK("https://klasma.github.io/Logging_1276/tillsynsmail/A 46256-2024 tillsynsbegäran mail.docx", "A 46256-2024")</f>
        <v/>
      </c>
      <c r="Z87">
        <f>HYPERLINK("https://klasma.github.io/Logging_1276/fåglar/A 46256-2024 prioriterade fågelarter.docx", "A 46256-2024")</f>
        <v/>
      </c>
    </row>
    <row r="88" ht="15" customHeight="1">
      <c r="A88" t="inlineStr">
        <is>
          <t>A 53826-2024</t>
        </is>
      </c>
      <c r="B88" s="1" t="n">
        <v>45615</v>
      </c>
      <c r="C88" s="1" t="n">
        <v>45914</v>
      </c>
      <c r="D88" t="inlineStr">
        <is>
          <t>SKÅNE LÄN</t>
        </is>
      </c>
      <c r="E88" t="inlineStr">
        <is>
          <t>ESLÖV</t>
        </is>
      </c>
      <c r="G88" t="n">
        <v>1.2</v>
      </c>
      <c r="H88" t="n">
        <v>1</v>
      </c>
      <c r="I88" t="n">
        <v>1</v>
      </c>
      <c r="J88" t="n">
        <v>1</v>
      </c>
      <c r="K88" t="n">
        <v>0</v>
      </c>
      <c r="L88" t="n">
        <v>1</v>
      </c>
      <c r="M88" t="n">
        <v>0</v>
      </c>
      <c r="N88" t="n">
        <v>0</v>
      </c>
      <c r="O88" t="n">
        <v>2</v>
      </c>
      <c r="P88" t="n">
        <v>1</v>
      </c>
      <c r="Q88" t="n">
        <v>3</v>
      </c>
      <c r="R88" s="2" t="inlineStr">
        <is>
          <t>Ask
Desmeknopp
Skogsknipprot</t>
        </is>
      </c>
      <c r="S88">
        <f>HYPERLINK("https://klasma.github.io/Logging_1285/artfynd/A 53826-2024 artfynd.xlsx", "A 53826-2024")</f>
        <v/>
      </c>
      <c r="T88">
        <f>HYPERLINK("https://klasma.github.io/Logging_1285/kartor/A 53826-2024 karta.png", "A 53826-2024")</f>
        <v/>
      </c>
      <c r="V88">
        <f>HYPERLINK("https://klasma.github.io/Logging_1285/klagomål/A 53826-2024 FSC-klagomål.docx", "A 53826-2024")</f>
        <v/>
      </c>
      <c r="W88">
        <f>HYPERLINK("https://klasma.github.io/Logging_1285/klagomålsmail/A 53826-2024 FSC-klagomål mail.docx", "A 53826-2024")</f>
        <v/>
      </c>
      <c r="X88">
        <f>HYPERLINK("https://klasma.github.io/Logging_1285/tillsyn/A 53826-2024 tillsynsbegäran.docx", "A 53826-2024")</f>
        <v/>
      </c>
      <c r="Y88">
        <f>HYPERLINK("https://klasma.github.io/Logging_1285/tillsynsmail/A 53826-2024 tillsynsbegäran mail.docx", "A 53826-2024")</f>
        <v/>
      </c>
    </row>
    <row r="89" ht="15" customHeight="1">
      <c r="A89" t="inlineStr">
        <is>
          <t>A 29032-2023</t>
        </is>
      </c>
      <c r="B89" s="1" t="n">
        <v>45104</v>
      </c>
      <c r="C89" s="1" t="n">
        <v>45914</v>
      </c>
      <c r="D89" t="inlineStr">
        <is>
          <t>SKÅNE LÄN</t>
        </is>
      </c>
      <c r="E89" t="inlineStr">
        <is>
          <t>SVEDALA</t>
        </is>
      </c>
      <c r="G89" t="n">
        <v>2</v>
      </c>
      <c r="H89" t="n">
        <v>3</v>
      </c>
      <c r="I89" t="n">
        <v>0</v>
      </c>
      <c r="J89" t="n">
        <v>1</v>
      </c>
      <c r="K89" t="n">
        <v>0</v>
      </c>
      <c r="L89" t="n">
        <v>0</v>
      </c>
      <c r="M89" t="n">
        <v>0</v>
      </c>
      <c r="N89" t="n">
        <v>0</v>
      </c>
      <c r="O89" t="n">
        <v>1</v>
      </c>
      <c r="P89" t="n">
        <v>0</v>
      </c>
      <c r="Q89" t="n">
        <v>3</v>
      </c>
      <c r="R89" s="2" t="inlineStr">
        <is>
          <t>Grönsångare
Åkergroda
Vanlig groda</t>
        </is>
      </c>
      <c r="S89">
        <f>HYPERLINK("https://klasma.github.io/Logging_1263/artfynd/A 29032-2023 artfynd.xlsx", "A 29032-2023")</f>
        <v/>
      </c>
      <c r="T89">
        <f>HYPERLINK("https://klasma.github.io/Logging_1263/kartor/A 29032-2023 karta.png", "A 29032-2023")</f>
        <v/>
      </c>
      <c r="V89">
        <f>HYPERLINK("https://klasma.github.io/Logging_1263/klagomål/A 29032-2023 FSC-klagomål.docx", "A 29032-2023")</f>
        <v/>
      </c>
      <c r="W89">
        <f>HYPERLINK("https://klasma.github.io/Logging_1263/klagomålsmail/A 29032-2023 FSC-klagomål mail.docx", "A 29032-2023")</f>
        <v/>
      </c>
      <c r="X89">
        <f>HYPERLINK("https://klasma.github.io/Logging_1263/tillsyn/A 29032-2023 tillsynsbegäran.docx", "A 29032-2023")</f>
        <v/>
      </c>
      <c r="Y89">
        <f>HYPERLINK("https://klasma.github.io/Logging_1263/tillsynsmail/A 29032-2023 tillsynsbegäran mail.docx", "A 29032-2023")</f>
        <v/>
      </c>
      <c r="Z89">
        <f>HYPERLINK("https://klasma.github.io/Logging_1263/fåglar/A 29032-2023 prioriterade fågelarter.docx", "A 29032-2023")</f>
        <v/>
      </c>
    </row>
    <row r="90" ht="15" customHeight="1">
      <c r="A90" t="inlineStr">
        <is>
          <t>A 8253-2025</t>
        </is>
      </c>
      <c r="B90" s="1" t="n">
        <v>45708.49460648148</v>
      </c>
      <c r="C90" s="1" t="n">
        <v>45914</v>
      </c>
      <c r="D90" t="inlineStr">
        <is>
          <t>SKÅNE LÄN</t>
        </is>
      </c>
      <c r="E90" t="inlineStr">
        <is>
          <t>HÄSSLEHOLM</t>
        </is>
      </c>
      <c r="G90" t="n">
        <v>2</v>
      </c>
      <c r="H90" t="n">
        <v>3</v>
      </c>
      <c r="I90" t="n">
        <v>0</v>
      </c>
      <c r="J90" t="n">
        <v>1</v>
      </c>
      <c r="K90" t="n">
        <v>0</v>
      </c>
      <c r="L90" t="n">
        <v>1</v>
      </c>
      <c r="M90" t="n">
        <v>0</v>
      </c>
      <c r="N90" t="n">
        <v>0</v>
      </c>
      <c r="O90" t="n">
        <v>2</v>
      </c>
      <c r="P90" t="n">
        <v>1</v>
      </c>
      <c r="Q90" t="n">
        <v>3</v>
      </c>
      <c r="R90" s="2" t="inlineStr">
        <is>
          <t>Grönfink
Entita
Kungsfågel</t>
        </is>
      </c>
      <c r="S90">
        <f>HYPERLINK("https://klasma.github.io/Logging_1293/artfynd/A 8253-2025 artfynd.xlsx", "A 8253-2025")</f>
        <v/>
      </c>
      <c r="T90">
        <f>HYPERLINK("https://klasma.github.io/Logging_1293/kartor/A 8253-2025 karta.png", "A 8253-2025")</f>
        <v/>
      </c>
      <c r="V90">
        <f>HYPERLINK("https://klasma.github.io/Logging_1293/klagomål/A 8253-2025 FSC-klagomål.docx", "A 8253-2025")</f>
        <v/>
      </c>
      <c r="W90">
        <f>HYPERLINK("https://klasma.github.io/Logging_1293/klagomålsmail/A 8253-2025 FSC-klagomål mail.docx", "A 8253-2025")</f>
        <v/>
      </c>
      <c r="X90">
        <f>HYPERLINK("https://klasma.github.io/Logging_1293/tillsyn/A 8253-2025 tillsynsbegäran.docx", "A 8253-2025")</f>
        <v/>
      </c>
      <c r="Y90">
        <f>HYPERLINK("https://klasma.github.io/Logging_1293/tillsynsmail/A 8253-2025 tillsynsbegäran mail.docx", "A 8253-2025")</f>
        <v/>
      </c>
      <c r="Z90">
        <f>HYPERLINK("https://klasma.github.io/Logging_1293/fåglar/A 8253-2025 prioriterade fågelarter.docx", "A 8253-2025")</f>
        <v/>
      </c>
    </row>
    <row r="91" ht="15" customHeight="1">
      <c r="A91" t="inlineStr">
        <is>
          <t>A 51680-2024</t>
        </is>
      </c>
      <c r="B91" s="1" t="n">
        <v>45607</v>
      </c>
      <c r="C91" s="1" t="n">
        <v>45914</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5244-2021</t>
        </is>
      </c>
      <c r="B92" s="1" t="n">
        <v>44229</v>
      </c>
      <c r="C92" s="1" t="n">
        <v>45914</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45914</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45914</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45914</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45914</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45914</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45914</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45914</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45914</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66175-2020</t>
        </is>
      </c>
      <c r="B101" s="1" t="n">
        <v>44174</v>
      </c>
      <c r="C101" s="1" t="n">
        <v>45914</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45914</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54306-2021</t>
        </is>
      </c>
      <c r="B103" s="1" t="n">
        <v>44472</v>
      </c>
      <c r="C103" s="1" t="n">
        <v>45914</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26736-2023</t>
        </is>
      </c>
      <c r="B104" s="1" t="n">
        <v>45090</v>
      </c>
      <c r="C104" s="1" t="n">
        <v>45914</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45914</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30842-2022</t>
        </is>
      </c>
      <c r="B106" s="1" t="n">
        <v>44767</v>
      </c>
      <c r="C106" s="1" t="n">
        <v>45914</v>
      </c>
      <c r="D106" t="inlineStr">
        <is>
          <t>SKÅNE LÄN</t>
        </is>
      </c>
      <c r="E106" t="inlineStr">
        <is>
          <t>KRISTIANSTAD</t>
        </is>
      </c>
      <c r="G106" t="n">
        <v>2.6</v>
      </c>
      <c r="H106" t="n">
        <v>1</v>
      </c>
      <c r="I106" t="n">
        <v>0</v>
      </c>
      <c r="J106" t="n">
        <v>0</v>
      </c>
      <c r="K106" t="n">
        <v>1</v>
      </c>
      <c r="L106" t="n">
        <v>0</v>
      </c>
      <c r="M106" t="n">
        <v>0</v>
      </c>
      <c r="N106" t="n">
        <v>0</v>
      </c>
      <c r="O106" t="n">
        <v>1</v>
      </c>
      <c r="P106" t="n">
        <v>1</v>
      </c>
      <c r="Q106" t="n">
        <v>2</v>
      </c>
      <c r="R106" s="2" t="inlineStr">
        <is>
          <t>Småvänderot
Större vattensalamander</t>
        </is>
      </c>
      <c r="S106">
        <f>HYPERLINK("https://klasma.github.io/Logging_1290/artfynd/A 30842-2022 artfynd.xlsx", "A 30842-2022")</f>
        <v/>
      </c>
      <c r="T106">
        <f>HYPERLINK("https://klasma.github.io/Logging_1290/kartor/A 30842-2022 karta.png", "A 30842-2022")</f>
        <v/>
      </c>
      <c r="V106">
        <f>HYPERLINK("https://klasma.github.io/Logging_1290/klagomål/A 30842-2022 FSC-klagomål.docx", "A 30842-2022")</f>
        <v/>
      </c>
      <c r="W106">
        <f>HYPERLINK("https://klasma.github.io/Logging_1290/klagomålsmail/A 30842-2022 FSC-klagomål mail.docx", "A 30842-2022")</f>
        <v/>
      </c>
      <c r="X106">
        <f>HYPERLINK("https://klasma.github.io/Logging_1290/tillsyn/A 30842-2022 tillsynsbegäran.docx", "A 30842-2022")</f>
        <v/>
      </c>
      <c r="Y106">
        <f>HYPERLINK("https://klasma.github.io/Logging_1290/tillsynsmail/A 30842-2022 tillsynsbegäran mail.docx", "A 30842-2022")</f>
        <v/>
      </c>
    </row>
    <row r="107" ht="15" customHeight="1">
      <c r="A107" t="inlineStr">
        <is>
          <t>A 63560-2023</t>
        </is>
      </c>
      <c r="B107" s="1" t="n">
        <v>45274</v>
      </c>
      <c r="C107" s="1" t="n">
        <v>45914</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45914</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22177-2025</t>
        </is>
      </c>
      <c r="B109" s="1" t="n">
        <v>45785</v>
      </c>
      <c r="C109" s="1" t="n">
        <v>45914</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10017-2024</t>
        </is>
      </c>
      <c r="B110" s="1" t="n">
        <v>45363</v>
      </c>
      <c r="C110" s="1" t="n">
        <v>45914</v>
      </c>
      <c r="D110" t="inlineStr">
        <is>
          <t>SKÅNE LÄN</t>
        </is>
      </c>
      <c r="E110" t="inlineStr">
        <is>
          <t>KRISTIANSTAD</t>
        </is>
      </c>
      <c r="G110" t="n">
        <v>4.5</v>
      </c>
      <c r="H110" t="n">
        <v>0</v>
      </c>
      <c r="I110" t="n">
        <v>1</v>
      </c>
      <c r="J110" t="n">
        <v>0</v>
      </c>
      <c r="K110" t="n">
        <v>0</v>
      </c>
      <c r="L110" t="n">
        <v>1</v>
      </c>
      <c r="M110" t="n">
        <v>0</v>
      </c>
      <c r="N110" t="n">
        <v>0</v>
      </c>
      <c r="O110" t="n">
        <v>1</v>
      </c>
      <c r="P110" t="n">
        <v>1</v>
      </c>
      <c r="Q110" t="n">
        <v>2</v>
      </c>
      <c r="R110" s="2" t="inlineStr">
        <is>
          <t>Ryl
Ögonpyrola</t>
        </is>
      </c>
      <c r="S110">
        <f>HYPERLINK("https://klasma.github.io/Logging_1290/artfynd/A 10017-2024 artfynd.xlsx", "A 10017-2024")</f>
        <v/>
      </c>
      <c r="T110">
        <f>HYPERLINK("https://klasma.github.io/Logging_1290/kartor/A 10017-2024 karta.png", "A 10017-2024")</f>
        <v/>
      </c>
      <c r="V110">
        <f>HYPERLINK("https://klasma.github.io/Logging_1290/klagomål/A 10017-2024 FSC-klagomål.docx", "A 10017-2024")</f>
        <v/>
      </c>
      <c r="W110">
        <f>HYPERLINK("https://klasma.github.io/Logging_1290/klagomålsmail/A 10017-2024 FSC-klagomål mail.docx", "A 10017-2024")</f>
        <v/>
      </c>
      <c r="X110">
        <f>HYPERLINK("https://klasma.github.io/Logging_1290/tillsyn/A 10017-2024 tillsynsbegäran.docx", "A 10017-2024")</f>
        <v/>
      </c>
      <c r="Y110">
        <f>HYPERLINK("https://klasma.github.io/Logging_1290/tillsynsmail/A 10017-2024 tillsynsbegäran mail.docx", "A 10017-2024")</f>
        <v/>
      </c>
    </row>
    <row r="111" ht="15" customHeight="1">
      <c r="A111" t="inlineStr">
        <is>
          <t>A 16122-2024</t>
        </is>
      </c>
      <c r="B111" s="1" t="n">
        <v>45406.50112268519</v>
      </c>
      <c r="C111" s="1" t="n">
        <v>45914</v>
      </c>
      <c r="D111" t="inlineStr">
        <is>
          <t>SKÅNE LÄN</t>
        </is>
      </c>
      <c r="E111" t="inlineStr">
        <is>
          <t>SVEDALA</t>
        </is>
      </c>
      <c r="G111" t="n">
        <v>15.2</v>
      </c>
      <c r="H111" t="n">
        <v>0</v>
      </c>
      <c r="I111" t="n">
        <v>1</v>
      </c>
      <c r="J111" t="n">
        <v>1</v>
      </c>
      <c r="K111" t="n">
        <v>0</v>
      </c>
      <c r="L111" t="n">
        <v>0</v>
      </c>
      <c r="M111" t="n">
        <v>0</v>
      </c>
      <c r="N111" t="n">
        <v>0</v>
      </c>
      <c r="O111" t="n">
        <v>1</v>
      </c>
      <c r="P111" t="n">
        <v>0</v>
      </c>
      <c r="Q111" t="n">
        <v>2</v>
      </c>
      <c r="R111" s="2" t="inlineStr">
        <is>
          <t>Oxtungssvamp
Myskmadra</t>
        </is>
      </c>
      <c r="S111">
        <f>HYPERLINK("https://klasma.github.io/Logging_1263/artfynd/A 16122-2024 artfynd.xlsx", "A 16122-2024")</f>
        <v/>
      </c>
      <c r="T111">
        <f>HYPERLINK("https://klasma.github.io/Logging_1263/kartor/A 16122-2024 karta.png", "A 16122-2024")</f>
        <v/>
      </c>
      <c r="V111">
        <f>HYPERLINK("https://klasma.github.io/Logging_1263/klagomål/A 16122-2024 FSC-klagomål.docx", "A 16122-2024")</f>
        <v/>
      </c>
      <c r="W111">
        <f>HYPERLINK("https://klasma.github.io/Logging_1263/klagomålsmail/A 16122-2024 FSC-klagomål mail.docx", "A 16122-2024")</f>
        <v/>
      </c>
      <c r="X111">
        <f>HYPERLINK("https://klasma.github.io/Logging_1263/tillsyn/A 16122-2024 tillsynsbegäran.docx", "A 16122-2024")</f>
        <v/>
      </c>
      <c r="Y111">
        <f>HYPERLINK("https://klasma.github.io/Logging_1263/tillsynsmail/A 16122-2024 tillsynsbegäran mail.docx", "A 16122-2024")</f>
        <v/>
      </c>
    </row>
    <row r="112" ht="15" customHeight="1">
      <c r="A112" t="inlineStr">
        <is>
          <t>A 44586-2022</t>
        </is>
      </c>
      <c r="B112" s="1" t="n">
        <v>44840</v>
      </c>
      <c r="C112" s="1" t="n">
        <v>45914</v>
      </c>
      <c r="D112" t="inlineStr">
        <is>
          <t>SKÅNE LÄN</t>
        </is>
      </c>
      <c r="E112" t="inlineStr">
        <is>
          <t>KRISTIANSTAD</t>
        </is>
      </c>
      <c r="G112" t="n">
        <v>8.199999999999999</v>
      </c>
      <c r="H112" t="n">
        <v>0</v>
      </c>
      <c r="I112" t="n">
        <v>2</v>
      </c>
      <c r="J112" t="n">
        <v>0</v>
      </c>
      <c r="K112" t="n">
        <v>0</v>
      </c>
      <c r="L112" t="n">
        <v>0</v>
      </c>
      <c r="M112" t="n">
        <v>0</v>
      </c>
      <c r="N112" t="n">
        <v>0</v>
      </c>
      <c r="O112" t="n">
        <v>0</v>
      </c>
      <c r="P112" t="n">
        <v>0</v>
      </c>
      <c r="Q112" t="n">
        <v>2</v>
      </c>
      <c r="R112" s="2" t="inlineStr">
        <is>
          <t>Blåmossa
Västlig hakmossa</t>
        </is>
      </c>
      <c r="S112">
        <f>HYPERLINK("https://klasma.github.io/Logging_1290/artfynd/A 44586-2022 artfynd.xlsx", "A 44586-2022")</f>
        <v/>
      </c>
      <c r="T112">
        <f>HYPERLINK("https://klasma.github.io/Logging_1290/kartor/A 44586-2022 karta.png", "A 44586-2022")</f>
        <v/>
      </c>
      <c r="V112">
        <f>HYPERLINK("https://klasma.github.io/Logging_1290/klagomål/A 44586-2022 FSC-klagomål.docx", "A 44586-2022")</f>
        <v/>
      </c>
      <c r="W112">
        <f>HYPERLINK("https://klasma.github.io/Logging_1290/klagomålsmail/A 44586-2022 FSC-klagomål mail.docx", "A 44586-2022")</f>
        <v/>
      </c>
      <c r="X112">
        <f>HYPERLINK("https://klasma.github.io/Logging_1290/tillsyn/A 44586-2022 tillsynsbegäran.docx", "A 44586-2022")</f>
        <v/>
      </c>
      <c r="Y112">
        <f>HYPERLINK("https://klasma.github.io/Logging_1290/tillsynsmail/A 44586-2022 tillsynsbegäran mail.docx", "A 44586-2022")</f>
        <v/>
      </c>
    </row>
    <row r="113" ht="15" customHeight="1">
      <c r="A113" t="inlineStr">
        <is>
          <t>A 31697-2023</t>
        </is>
      </c>
      <c r="B113" s="1" t="n">
        <v>45117</v>
      </c>
      <c r="C113" s="1" t="n">
        <v>45914</v>
      </c>
      <c r="D113" t="inlineStr">
        <is>
          <t>SKÅNE LÄN</t>
        </is>
      </c>
      <c r="E113" t="inlineStr">
        <is>
          <t>SVEDALA</t>
        </is>
      </c>
      <c r="G113" t="n">
        <v>2.2</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HYPERLINK("https://klasma.github.io/Logging_1263/artfynd/A 31697-2023 artfynd.xlsx", "A 31697-2023")</f>
        <v/>
      </c>
      <c r="T113">
        <f>HYPERLINK("https://klasma.github.io/Logging_1263/kartor/A 31697-2023 karta.png", "A 31697-2023")</f>
        <v/>
      </c>
      <c r="V113">
        <f>HYPERLINK("https://klasma.github.io/Logging_1263/klagomål/A 31697-2023 FSC-klagomål.docx", "A 31697-2023")</f>
        <v/>
      </c>
      <c r="W113">
        <f>HYPERLINK("https://klasma.github.io/Logging_1263/klagomålsmail/A 31697-2023 FSC-klagomål mail.docx", "A 31697-2023")</f>
        <v/>
      </c>
      <c r="X113">
        <f>HYPERLINK("https://klasma.github.io/Logging_1263/tillsyn/A 31697-2023 tillsynsbegäran.docx", "A 31697-2023")</f>
        <v/>
      </c>
      <c r="Y113">
        <f>HYPERLINK("https://klasma.github.io/Logging_1263/tillsynsmail/A 31697-2023 tillsynsbegäran mail.docx", "A 31697-2023")</f>
        <v/>
      </c>
    </row>
    <row r="114" ht="15" customHeight="1">
      <c r="A114" t="inlineStr">
        <is>
          <t>A 2194-2025</t>
        </is>
      </c>
      <c r="B114" s="1" t="n">
        <v>45673.380625</v>
      </c>
      <c r="C114" s="1" t="n">
        <v>45914</v>
      </c>
      <c r="D114" t="inlineStr">
        <is>
          <t>SKÅNE LÄN</t>
        </is>
      </c>
      <c r="E114" t="inlineStr">
        <is>
          <t>HÄSSLEHOLM</t>
        </is>
      </c>
      <c r="G114" t="n">
        <v>3.4</v>
      </c>
      <c r="H114" t="n">
        <v>1</v>
      </c>
      <c r="I114" t="n">
        <v>0</v>
      </c>
      <c r="J114" t="n">
        <v>1</v>
      </c>
      <c r="K114" t="n">
        <v>0</v>
      </c>
      <c r="L114" t="n">
        <v>1</v>
      </c>
      <c r="M114" t="n">
        <v>0</v>
      </c>
      <c r="N114" t="n">
        <v>0</v>
      </c>
      <c r="O114" t="n">
        <v>2</v>
      </c>
      <c r="P114" t="n">
        <v>1</v>
      </c>
      <c r="Q114" t="n">
        <v>2</v>
      </c>
      <c r="R114" s="2" t="inlineStr">
        <is>
          <t>Flodpärlmussla
Utter</t>
        </is>
      </c>
      <c r="S114">
        <f>HYPERLINK("https://klasma.github.io/Logging_1293/artfynd/A 2194-2025 artfynd.xlsx", "A 2194-2025")</f>
        <v/>
      </c>
      <c r="T114">
        <f>HYPERLINK("https://klasma.github.io/Logging_1293/kartor/A 2194-2025 karta.png", "A 2194-2025")</f>
        <v/>
      </c>
      <c r="V114">
        <f>HYPERLINK("https://klasma.github.io/Logging_1293/klagomål/A 2194-2025 FSC-klagomål.docx", "A 2194-2025")</f>
        <v/>
      </c>
      <c r="W114">
        <f>HYPERLINK("https://klasma.github.io/Logging_1293/klagomålsmail/A 2194-2025 FSC-klagomål mail.docx", "A 2194-2025")</f>
        <v/>
      </c>
      <c r="X114">
        <f>HYPERLINK("https://klasma.github.io/Logging_1293/tillsyn/A 2194-2025 tillsynsbegäran.docx", "A 2194-2025")</f>
        <v/>
      </c>
      <c r="Y114">
        <f>HYPERLINK("https://klasma.github.io/Logging_1293/tillsynsmail/A 2194-2025 tillsynsbegäran mail.docx", "A 2194-2025")</f>
        <v/>
      </c>
    </row>
    <row r="115" ht="15" customHeight="1">
      <c r="A115" t="inlineStr">
        <is>
          <t>A 10617-2025</t>
        </is>
      </c>
      <c r="B115" s="1" t="n">
        <v>45721.61657407408</v>
      </c>
      <c r="C115" s="1" t="n">
        <v>45914</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45911-2024</t>
        </is>
      </c>
      <c r="B116" s="1" t="n">
        <v>45580</v>
      </c>
      <c r="C116" s="1" t="n">
        <v>45914</v>
      </c>
      <c r="D116" t="inlineStr">
        <is>
          <t>SKÅNE LÄN</t>
        </is>
      </c>
      <c r="E116" t="inlineStr">
        <is>
          <t>KRISTIANSTAD</t>
        </is>
      </c>
      <c r="G116" t="n">
        <v>2</v>
      </c>
      <c r="H116" t="n">
        <v>0</v>
      </c>
      <c r="I116" t="n">
        <v>2</v>
      </c>
      <c r="J116" t="n">
        <v>0</v>
      </c>
      <c r="K116" t="n">
        <v>0</v>
      </c>
      <c r="L116" t="n">
        <v>0</v>
      </c>
      <c r="M116" t="n">
        <v>0</v>
      </c>
      <c r="N116" t="n">
        <v>0</v>
      </c>
      <c r="O116" t="n">
        <v>0</v>
      </c>
      <c r="P116" t="n">
        <v>0</v>
      </c>
      <c r="Q116" t="n">
        <v>2</v>
      </c>
      <c r="R116" s="2" t="inlineStr">
        <is>
          <t>Lömsk flugsvamp
Svavelriska</t>
        </is>
      </c>
      <c r="S116">
        <f>HYPERLINK("https://klasma.github.io/Logging_1290/artfynd/A 45911-2024 artfynd.xlsx", "A 45911-2024")</f>
        <v/>
      </c>
      <c r="T116">
        <f>HYPERLINK("https://klasma.github.io/Logging_1290/kartor/A 45911-2024 karta.png", "A 45911-2024")</f>
        <v/>
      </c>
      <c r="V116">
        <f>HYPERLINK("https://klasma.github.io/Logging_1290/klagomål/A 45911-2024 FSC-klagomål.docx", "A 45911-2024")</f>
        <v/>
      </c>
      <c r="W116">
        <f>HYPERLINK("https://klasma.github.io/Logging_1290/klagomålsmail/A 45911-2024 FSC-klagomål mail.docx", "A 45911-2024")</f>
        <v/>
      </c>
      <c r="X116">
        <f>HYPERLINK("https://klasma.github.io/Logging_1290/tillsyn/A 45911-2024 tillsynsbegäran.docx", "A 45911-2024")</f>
        <v/>
      </c>
      <c r="Y116">
        <f>HYPERLINK("https://klasma.github.io/Logging_1290/tillsynsmail/A 45911-2024 tillsynsbegäran mail.docx", "A 45911-2024")</f>
        <v/>
      </c>
    </row>
    <row r="117" ht="15" customHeight="1">
      <c r="A117" t="inlineStr">
        <is>
          <t>A 11673-2022</t>
        </is>
      </c>
      <c r="B117" s="1" t="n">
        <v>44633</v>
      </c>
      <c r="C117" s="1" t="n">
        <v>45914</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Talltita
Vanlig groda</t>
        </is>
      </c>
      <c r="S117">
        <f>HYPERLINK("https://klasma.github.io/Logging_1276/artfynd/A 11673-2022 artfynd.xlsx", "A 11673-2022")</f>
        <v/>
      </c>
      <c r="T117">
        <f>HYPERLINK("https://klasma.github.io/Logging_1276/kartor/A 11673-2022 karta.png", "A 11673-2022")</f>
        <v/>
      </c>
      <c r="V117">
        <f>HYPERLINK("https://klasma.github.io/Logging_1276/klagomål/A 11673-2022 FSC-klagomål.docx", "A 11673-2022")</f>
        <v/>
      </c>
      <c r="W117">
        <f>HYPERLINK("https://klasma.github.io/Logging_1276/klagomålsmail/A 11673-2022 FSC-klagomål mail.docx", "A 11673-2022")</f>
        <v/>
      </c>
      <c r="X117">
        <f>HYPERLINK("https://klasma.github.io/Logging_1276/tillsyn/A 11673-2022 tillsynsbegäran.docx", "A 11673-2022")</f>
        <v/>
      </c>
      <c r="Y117">
        <f>HYPERLINK("https://klasma.github.io/Logging_1276/tillsynsmail/A 11673-2022 tillsynsbegäran mail.docx", "A 11673-2022")</f>
        <v/>
      </c>
      <c r="Z117">
        <f>HYPERLINK("https://klasma.github.io/Logging_1276/fåglar/A 11673-2022 prioriterade fågelarter.docx", "A 11673-2022")</f>
        <v/>
      </c>
    </row>
    <row r="118" ht="15" customHeight="1">
      <c r="A118" t="inlineStr">
        <is>
          <t>A 20987-2024</t>
        </is>
      </c>
      <c r="B118" s="1" t="n">
        <v>45439</v>
      </c>
      <c r="C118" s="1" t="n">
        <v>45914</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44585-2023</t>
        </is>
      </c>
      <c r="B119" s="1" t="n">
        <v>45189</v>
      </c>
      <c r="C119" s="1" t="n">
        <v>45914</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26855-2022</t>
        </is>
      </c>
      <c r="B120" s="1" t="n">
        <v>44740</v>
      </c>
      <c r="C120" s="1" t="n">
        <v>45914</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20702-2023</t>
        </is>
      </c>
      <c r="B121" s="1" t="n">
        <v>45058</v>
      </c>
      <c r="C121" s="1" t="n">
        <v>45914</v>
      </c>
      <c r="D121" t="inlineStr">
        <is>
          <t>SKÅNE LÄN</t>
        </is>
      </c>
      <c r="E121" t="inlineStr">
        <is>
          <t>KLIPPAN</t>
        </is>
      </c>
      <c r="G121" t="n">
        <v>5.9</v>
      </c>
      <c r="H121" t="n">
        <v>1</v>
      </c>
      <c r="I121" t="n">
        <v>0</v>
      </c>
      <c r="J121" t="n">
        <v>1</v>
      </c>
      <c r="K121" t="n">
        <v>0</v>
      </c>
      <c r="L121" t="n">
        <v>0</v>
      </c>
      <c r="M121" t="n">
        <v>0</v>
      </c>
      <c r="N121" t="n">
        <v>0</v>
      </c>
      <c r="O121" t="n">
        <v>1</v>
      </c>
      <c r="P121" t="n">
        <v>0</v>
      </c>
      <c r="Q121" t="n">
        <v>2</v>
      </c>
      <c r="R121" s="2" t="inlineStr">
        <is>
          <t>Svinrot
Grönvit nattviol</t>
        </is>
      </c>
      <c r="S121">
        <f>HYPERLINK("https://klasma.github.io/Logging_1276/artfynd/A 20702-2023 artfynd.xlsx", "A 20702-2023")</f>
        <v/>
      </c>
      <c r="T121">
        <f>HYPERLINK("https://klasma.github.io/Logging_1276/kartor/A 20702-2023 karta.png", "A 20702-2023")</f>
        <v/>
      </c>
      <c r="V121">
        <f>HYPERLINK("https://klasma.github.io/Logging_1276/klagomål/A 20702-2023 FSC-klagomål.docx", "A 20702-2023")</f>
        <v/>
      </c>
      <c r="W121">
        <f>HYPERLINK("https://klasma.github.io/Logging_1276/klagomålsmail/A 20702-2023 FSC-klagomål mail.docx", "A 20702-2023")</f>
        <v/>
      </c>
      <c r="X121">
        <f>HYPERLINK("https://klasma.github.io/Logging_1276/tillsyn/A 20702-2023 tillsynsbegäran.docx", "A 20702-2023")</f>
        <v/>
      </c>
      <c r="Y121">
        <f>HYPERLINK("https://klasma.github.io/Logging_1276/tillsynsmail/A 20702-2023 tillsynsbegäran mail.docx", "A 20702-2023")</f>
        <v/>
      </c>
    </row>
    <row r="122" ht="15" customHeight="1">
      <c r="A122" t="inlineStr">
        <is>
          <t>A 55499-2024</t>
        </is>
      </c>
      <c r="B122" s="1" t="n">
        <v>45622</v>
      </c>
      <c r="C122" s="1" t="n">
        <v>45914</v>
      </c>
      <c r="D122" t="inlineStr">
        <is>
          <t>SKÅNE LÄN</t>
        </is>
      </c>
      <c r="E122" t="inlineStr">
        <is>
          <t>KRISTIANSTAD</t>
        </is>
      </c>
      <c r="F122" t="inlineStr">
        <is>
          <t>Övriga Aktiebolag</t>
        </is>
      </c>
      <c r="G122" t="n">
        <v>2.1</v>
      </c>
      <c r="H122" t="n">
        <v>1</v>
      </c>
      <c r="I122" t="n">
        <v>0</v>
      </c>
      <c r="J122" t="n">
        <v>0</v>
      </c>
      <c r="K122" t="n">
        <v>1</v>
      </c>
      <c r="L122" t="n">
        <v>0</v>
      </c>
      <c r="M122" t="n">
        <v>0</v>
      </c>
      <c r="N122" t="n">
        <v>0</v>
      </c>
      <c r="O122" t="n">
        <v>1</v>
      </c>
      <c r="P122" t="n">
        <v>1</v>
      </c>
      <c r="Q122" t="n">
        <v>2</v>
      </c>
      <c r="R122" s="2" t="inlineStr">
        <is>
          <t>Hedpärlemorfjäril
Grönvit nattviol</t>
        </is>
      </c>
      <c r="S122">
        <f>HYPERLINK("https://klasma.github.io/Logging_1290/artfynd/A 55499-2024 artfynd.xlsx", "A 55499-2024")</f>
        <v/>
      </c>
      <c r="T122">
        <f>HYPERLINK("https://klasma.github.io/Logging_1290/kartor/A 55499-2024 karta.png", "A 55499-2024")</f>
        <v/>
      </c>
      <c r="V122">
        <f>HYPERLINK("https://klasma.github.io/Logging_1290/klagomål/A 55499-2024 FSC-klagomål.docx", "A 55499-2024")</f>
        <v/>
      </c>
      <c r="W122">
        <f>HYPERLINK("https://klasma.github.io/Logging_1290/klagomålsmail/A 55499-2024 FSC-klagomål mail.docx", "A 55499-2024")</f>
        <v/>
      </c>
      <c r="X122">
        <f>HYPERLINK("https://klasma.github.io/Logging_1290/tillsyn/A 55499-2024 tillsynsbegäran.docx", "A 55499-2024")</f>
        <v/>
      </c>
      <c r="Y122">
        <f>HYPERLINK("https://klasma.github.io/Logging_1290/tillsynsmail/A 55499-2024 tillsynsbegäran mail.docx", "A 55499-2024")</f>
        <v/>
      </c>
    </row>
    <row r="123" ht="15" customHeight="1">
      <c r="A123" t="inlineStr">
        <is>
          <t>A 419-2025</t>
        </is>
      </c>
      <c r="B123" s="1" t="n">
        <v>45663</v>
      </c>
      <c r="C123" s="1" t="n">
        <v>45914</v>
      </c>
      <c r="D123" t="inlineStr">
        <is>
          <t>SKÅNE LÄN</t>
        </is>
      </c>
      <c r="E123" t="inlineStr">
        <is>
          <t>KRISTIANSTAD</t>
        </is>
      </c>
      <c r="G123" t="n">
        <v>14.5</v>
      </c>
      <c r="H123" t="n">
        <v>1</v>
      </c>
      <c r="I123" t="n">
        <v>1</v>
      </c>
      <c r="J123" t="n">
        <v>0</v>
      </c>
      <c r="K123" t="n">
        <v>0</v>
      </c>
      <c r="L123" t="n">
        <v>0</v>
      </c>
      <c r="M123" t="n">
        <v>0</v>
      </c>
      <c r="N123" t="n">
        <v>0</v>
      </c>
      <c r="O123" t="n">
        <v>0</v>
      </c>
      <c r="P123" t="n">
        <v>0</v>
      </c>
      <c r="Q123" t="n">
        <v>2</v>
      </c>
      <c r="R123" s="2" t="inlineStr">
        <is>
          <t>Murgröna
Vanlig groda</t>
        </is>
      </c>
      <c r="S123">
        <f>HYPERLINK("https://klasma.github.io/Logging_1290/artfynd/A 419-2025 artfynd.xlsx", "A 419-2025")</f>
        <v/>
      </c>
      <c r="T123">
        <f>HYPERLINK("https://klasma.github.io/Logging_1290/kartor/A 419-2025 karta.png", "A 419-2025")</f>
        <v/>
      </c>
      <c r="V123">
        <f>HYPERLINK("https://klasma.github.io/Logging_1290/klagomål/A 419-2025 FSC-klagomål.docx", "A 419-2025")</f>
        <v/>
      </c>
      <c r="W123">
        <f>HYPERLINK("https://klasma.github.io/Logging_1290/klagomålsmail/A 419-2025 FSC-klagomål mail.docx", "A 419-2025")</f>
        <v/>
      </c>
      <c r="X123">
        <f>HYPERLINK("https://klasma.github.io/Logging_1290/tillsyn/A 419-2025 tillsynsbegäran.docx", "A 419-2025")</f>
        <v/>
      </c>
      <c r="Y123">
        <f>HYPERLINK("https://klasma.github.io/Logging_1290/tillsynsmail/A 419-2025 tillsynsbegäran mail.docx", "A 419-2025")</f>
        <v/>
      </c>
    </row>
    <row r="124" ht="15" customHeight="1">
      <c r="A124" t="inlineStr">
        <is>
          <t>A 37585-2024</t>
        </is>
      </c>
      <c r="B124" s="1" t="n">
        <v>45541.46270833333</v>
      </c>
      <c r="C124" s="1" t="n">
        <v>45914</v>
      </c>
      <c r="D124" t="inlineStr">
        <is>
          <t>SKÅNE LÄN</t>
        </is>
      </c>
      <c r="E124" t="inlineStr">
        <is>
          <t>ÖSTRA GÖINGE</t>
        </is>
      </c>
      <c r="G124" t="n">
        <v>22.7</v>
      </c>
      <c r="H124" t="n">
        <v>1</v>
      </c>
      <c r="I124" t="n">
        <v>0</v>
      </c>
      <c r="J124" t="n">
        <v>1</v>
      </c>
      <c r="K124" t="n">
        <v>0</v>
      </c>
      <c r="L124" t="n">
        <v>0</v>
      </c>
      <c r="M124" t="n">
        <v>0</v>
      </c>
      <c r="N124" t="n">
        <v>0</v>
      </c>
      <c r="O124" t="n">
        <v>1</v>
      </c>
      <c r="P124" t="n">
        <v>0</v>
      </c>
      <c r="Q124" t="n">
        <v>2</v>
      </c>
      <c r="R124" s="2" t="inlineStr">
        <is>
          <t>Gullklöver
Fläcknycklar</t>
        </is>
      </c>
      <c r="S124">
        <f>HYPERLINK("https://klasma.github.io/Logging_1256/artfynd/A 37585-2024 artfynd.xlsx", "A 37585-2024")</f>
        <v/>
      </c>
      <c r="T124">
        <f>HYPERLINK("https://klasma.github.io/Logging_1256/kartor/A 37585-2024 karta.png", "A 37585-2024")</f>
        <v/>
      </c>
      <c r="V124">
        <f>HYPERLINK("https://klasma.github.io/Logging_1256/klagomål/A 37585-2024 FSC-klagomål.docx", "A 37585-2024")</f>
        <v/>
      </c>
      <c r="W124">
        <f>HYPERLINK("https://klasma.github.io/Logging_1256/klagomålsmail/A 37585-2024 FSC-klagomål mail.docx", "A 37585-2024")</f>
        <v/>
      </c>
      <c r="X124">
        <f>HYPERLINK("https://klasma.github.io/Logging_1256/tillsyn/A 37585-2024 tillsynsbegäran.docx", "A 37585-2024")</f>
        <v/>
      </c>
      <c r="Y124">
        <f>HYPERLINK("https://klasma.github.io/Logging_1256/tillsynsmail/A 37585-2024 tillsynsbegäran mail.docx", "A 37585-2024")</f>
        <v/>
      </c>
    </row>
    <row r="125" ht="15" customHeight="1">
      <c r="A125" t="inlineStr">
        <is>
          <t>A 26984-2022</t>
        </is>
      </c>
      <c r="B125" s="1" t="n">
        <v>44740.72620370371</v>
      </c>
      <c r="C125" s="1" t="n">
        <v>45914</v>
      </c>
      <c r="D125" t="inlineStr">
        <is>
          <t>SKÅNE LÄN</t>
        </is>
      </c>
      <c r="E125" t="inlineStr">
        <is>
          <t>LUND</t>
        </is>
      </c>
      <c r="G125" t="n">
        <v>2.9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26984-2022 artfynd.xlsx", "A 26984-2022")</f>
        <v/>
      </c>
      <c r="T125">
        <f>HYPERLINK("https://klasma.github.io/Logging_1281/kartor/A 26984-2022 karta.png", "A 26984-2022")</f>
        <v/>
      </c>
      <c r="V125">
        <f>HYPERLINK("https://klasma.github.io/Logging_1281/klagomål/A 26984-2022 FSC-klagomål.docx", "A 26984-2022")</f>
        <v/>
      </c>
      <c r="W125">
        <f>HYPERLINK("https://klasma.github.io/Logging_1281/klagomålsmail/A 26984-2022 FSC-klagomål mail.docx", "A 26984-2022")</f>
        <v/>
      </c>
      <c r="X125">
        <f>HYPERLINK("https://klasma.github.io/Logging_1281/tillsyn/A 26984-2022 tillsynsbegäran.docx", "A 26984-2022")</f>
        <v/>
      </c>
      <c r="Y125">
        <f>HYPERLINK("https://klasma.github.io/Logging_1281/tillsynsmail/A 26984-2022 tillsynsbegäran mail.docx", "A 26984-2022")</f>
        <v/>
      </c>
    </row>
    <row r="126" ht="15" customHeight="1">
      <c r="A126" t="inlineStr">
        <is>
          <t>A 35524-2025</t>
        </is>
      </c>
      <c r="B126" s="1" t="n">
        <v>45856</v>
      </c>
      <c r="C126" s="1" t="n">
        <v>45914</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61064-2024</t>
        </is>
      </c>
      <c r="B127" s="1" t="n">
        <v>45645.49443287037</v>
      </c>
      <c r="C127" s="1" t="n">
        <v>45914</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28247-2025</t>
        </is>
      </c>
      <c r="B128" s="1" t="n">
        <v>45818</v>
      </c>
      <c r="C128" s="1" t="n">
        <v>45914</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45914</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40166-2024</t>
        </is>
      </c>
      <c r="B130" s="1" t="n">
        <v>45554.54538194444</v>
      </c>
      <c r="C130" s="1" t="n">
        <v>45914</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8257-2025</t>
        </is>
      </c>
      <c r="B131" s="1" t="n">
        <v>45708.49938657408</v>
      </c>
      <c r="C131" s="1" t="n">
        <v>45914</v>
      </c>
      <c r="D131" t="inlineStr">
        <is>
          <t>SKÅNE LÄN</t>
        </is>
      </c>
      <c r="E131" t="inlineStr">
        <is>
          <t>HÄSSLEHOLM</t>
        </is>
      </c>
      <c r="G131" t="n">
        <v>2.1</v>
      </c>
      <c r="H131" t="n">
        <v>2</v>
      </c>
      <c r="I131" t="n">
        <v>0</v>
      </c>
      <c r="J131" t="n">
        <v>1</v>
      </c>
      <c r="K131" t="n">
        <v>0</v>
      </c>
      <c r="L131" t="n">
        <v>0</v>
      </c>
      <c r="M131" t="n">
        <v>0</v>
      </c>
      <c r="N131" t="n">
        <v>0</v>
      </c>
      <c r="O131" t="n">
        <v>1</v>
      </c>
      <c r="P131" t="n">
        <v>0</v>
      </c>
      <c r="Q131" t="n">
        <v>2</v>
      </c>
      <c r="R131" s="2" t="inlineStr">
        <is>
          <t>Talltita
Grönsiska</t>
        </is>
      </c>
      <c r="S131">
        <f>HYPERLINK("https://klasma.github.io/Logging_1293/artfynd/A 8257-2025 artfynd.xlsx", "A 8257-2025")</f>
        <v/>
      </c>
      <c r="T131">
        <f>HYPERLINK("https://klasma.github.io/Logging_1293/kartor/A 8257-2025 karta.png", "A 8257-2025")</f>
        <v/>
      </c>
      <c r="V131">
        <f>HYPERLINK("https://klasma.github.io/Logging_1293/klagomål/A 8257-2025 FSC-klagomål.docx", "A 8257-2025")</f>
        <v/>
      </c>
      <c r="W131">
        <f>HYPERLINK("https://klasma.github.io/Logging_1293/klagomålsmail/A 8257-2025 FSC-klagomål mail.docx", "A 8257-2025")</f>
        <v/>
      </c>
      <c r="X131">
        <f>HYPERLINK("https://klasma.github.io/Logging_1293/tillsyn/A 8257-2025 tillsynsbegäran.docx", "A 8257-2025")</f>
        <v/>
      </c>
      <c r="Y131">
        <f>HYPERLINK("https://klasma.github.io/Logging_1293/tillsynsmail/A 8257-2025 tillsynsbegäran mail.docx", "A 8257-2025")</f>
        <v/>
      </c>
      <c r="Z131">
        <f>HYPERLINK("https://klasma.github.io/Logging_1293/fåglar/A 8257-2025 prioriterade fågelarter.docx", "A 8257-2025")</f>
        <v/>
      </c>
    </row>
    <row r="132" ht="15" customHeight="1">
      <c r="A132" t="inlineStr">
        <is>
          <t>A 31632-2025</t>
        </is>
      </c>
      <c r="B132" s="1" t="n">
        <v>45834.33671296296</v>
      </c>
      <c r="C132" s="1" t="n">
        <v>45914</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45914</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52010-2021</t>
        </is>
      </c>
      <c r="B134" s="1" t="n">
        <v>44463</v>
      </c>
      <c r="C134" s="1" t="n">
        <v>45914</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33082-2025</t>
        </is>
      </c>
      <c r="B135" s="1" t="n">
        <v>45840.46471064815</v>
      </c>
      <c r="C135" s="1" t="n">
        <v>45914</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8065-2025</t>
        </is>
      </c>
      <c r="B136" s="1" t="n">
        <v>45707</v>
      </c>
      <c r="C136" s="1" t="n">
        <v>45914</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15229-2023</t>
        </is>
      </c>
      <c r="B137" s="1" t="n">
        <v>45016</v>
      </c>
      <c r="C137" s="1" t="n">
        <v>45914</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45914</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45914</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45914</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45914</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38522-2025</t>
        </is>
      </c>
      <c r="B142" s="1" t="n">
        <v>45884</v>
      </c>
      <c r="C142" s="1" t="n">
        <v>45914</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34213-2025</t>
        </is>
      </c>
      <c r="B143" s="1" t="n">
        <v>45844</v>
      </c>
      <c r="C143" s="1" t="n">
        <v>45914</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56294-2022</t>
        </is>
      </c>
      <c r="B144" s="1" t="n">
        <v>44887</v>
      </c>
      <c r="C144" s="1" t="n">
        <v>45914</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45914</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39165-2024</t>
        </is>
      </c>
      <c r="B146" s="1" t="n">
        <v>45548</v>
      </c>
      <c r="C146" s="1" t="n">
        <v>45914</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37966-2024</t>
        </is>
      </c>
      <c r="B147" s="1" t="n">
        <v>45544</v>
      </c>
      <c r="C147" s="1" t="n">
        <v>45914</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36700-2025</t>
        </is>
      </c>
      <c r="B148" s="1" t="n">
        <v>45873</v>
      </c>
      <c r="C148" s="1" t="n">
        <v>45914</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4595-2025</t>
        </is>
      </c>
      <c r="B149" s="1" t="n">
        <v>45687</v>
      </c>
      <c r="C149" s="1" t="n">
        <v>45914</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34334-2025</t>
        </is>
      </c>
      <c r="B150" s="1" t="n">
        <v>45846</v>
      </c>
      <c r="C150" s="1" t="n">
        <v>45914</v>
      </c>
      <c r="D150" t="inlineStr">
        <is>
          <t>SKÅNE LÄN</t>
        </is>
      </c>
      <c r="E150" t="inlineStr">
        <is>
          <t>ÖSTRA GÖINGE</t>
        </is>
      </c>
      <c r="G150" t="n">
        <v>4.4</v>
      </c>
      <c r="H150" t="n">
        <v>1</v>
      </c>
      <c r="I150" t="n">
        <v>0</v>
      </c>
      <c r="J150" t="n">
        <v>1</v>
      </c>
      <c r="K150" t="n">
        <v>0</v>
      </c>
      <c r="L150" t="n">
        <v>1</v>
      </c>
      <c r="M150" t="n">
        <v>0</v>
      </c>
      <c r="N150" t="n">
        <v>0</v>
      </c>
      <c r="O150" t="n">
        <v>2</v>
      </c>
      <c r="P150" t="n">
        <v>1</v>
      </c>
      <c r="Q150" t="n">
        <v>2</v>
      </c>
      <c r="R150" s="2" t="inlineStr">
        <is>
          <t>Hieracium acriserratum
Svartvit flugsnappare</t>
        </is>
      </c>
      <c r="S150">
        <f>HYPERLINK("https://klasma.github.io/Logging_1256/artfynd/A 34334-2025 artfynd.xlsx", "A 34334-2025")</f>
        <v/>
      </c>
      <c r="T150">
        <f>HYPERLINK("https://klasma.github.io/Logging_1256/kartor/A 34334-2025 karta.png", "A 34334-2025")</f>
        <v/>
      </c>
      <c r="V150">
        <f>HYPERLINK("https://klasma.github.io/Logging_1256/klagomål/A 34334-2025 FSC-klagomål.docx", "A 34334-2025")</f>
        <v/>
      </c>
      <c r="W150">
        <f>HYPERLINK("https://klasma.github.io/Logging_1256/klagomålsmail/A 34334-2025 FSC-klagomål mail.docx", "A 34334-2025")</f>
        <v/>
      </c>
      <c r="X150">
        <f>HYPERLINK("https://klasma.github.io/Logging_1256/tillsyn/A 34334-2025 tillsynsbegäran.docx", "A 34334-2025")</f>
        <v/>
      </c>
      <c r="Y150">
        <f>HYPERLINK("https://klasma.github.io/Logging_1256/tillsynsmail/A 34334-2025 tillsynsbegäran mail.docx", "A 34334-2025")</f>
        <v/>
      </c>
      <c r="Z150">
        <f>HYPERLINK("https://klasma.github.io/Logging_1256/fåglar/A 34334-2025 prioriterade fågelarter.docx", "A 34334-2025")</f>
        <v/>
      </c>
    </row>
    <row r="151" ht="15" customHeight="1">
      <c r="A151" t="inlineStr">
        <is>
          <t>A 35525-2025</t>
        </is>
      </c>
      <c r="B151" s="1" t="n">
        <v>45856</v>
      </c>
      <c r="C151" s="1" t="n">
        <v>45914</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15571-2024</t>
        </is>
      </c>
      <c r="B152" s="1" t="n">
        <v>45401</v>
      </c>
      <c r="C152" s="1" t="n">
        <v>45914</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1415-2024</t>
        </is>
      </c>
      <c r="B153" s="1" t="n">
        <v>45303</v>
      </c>
      <c r="C153" s="1" t="n">
        <v>45914</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5797-2024</t>
        </is>
      </c>
      <c r="B154" s="1" t="n">
        <v>45335</v>
      </c>
      <c r="C154" s="1" t="n">
        <v>45914</v>
      </c>
      <c r="D154" t="inlineStr">
        <is>
          <t>SKÅNE LÄN</t>
        </is>
      </c>
      <c r="E154" t="inlineStr">
        <is>
          <t>KLIPPAN</t>
        </is>
      </c>
      <c r="G154" t="n">
        <v>1.8</v>
      </c>
      <c r="H154" t="n">
        <v>2</v>
      </c>
      <c r="I154" t="n">
        <v>0</v>
      </c>
      <c r="J154" t="n">
        <v>1</v>
      </c>
      <c r="K154" t="n">
        <v>0</v>
      </c>
      <c r="L154" t="n">
        <v>0</v>
      </c>
      <c r="M154" t="n">
        <v>0</v>
      </c>
      <c r="N154" t="n">
        <v>0</v>
      </c>
      <c r="O154" t="n">
        <v>1</v>
      </c>
      <c r="P154" t="n">
        <v>0</v>
      </c>
      <c r="Q154" t="n">
        <v>2</v>
      </c>
      <c r="R154" s="2" t="inlineStr">
        <is>
          <t>Entita
Gröngöling</t>
        </is>
      </c>
      <c r="S154">
        <f>HYPERLINK("https://klasma.github.io/Logging_1276/artfynd/A 5797-2024 artfynd.xlsx", "A 5797-2024")</f>
        <v/>
      </c>
      <c r="T154">
        <f>HYPERLINK("https://klasma.github.io/Logging_1276/kartor/A 5797-2024 karta.png", "A 5797-2024")</f>
        <v/>
      </c>
      <c r="V154">
        <f>HYPERLINK("https://klasma.github.io/Logging_1276/klagomål/A 5797-2024 FSC-klagomål.docx", "A 5797-2024")</f>
        <v/>
      </c>
      <c r="W154">
        <f>HYPERLINK("https://klasma.github.io/Logging_1276/klagomålsmail/A 5797-2024 FSC-klagomål mail.docx", "A 5797-2024")</f>
        <v/>
      </c>
      <c r="X154">
        <f>HYPERLINK("https://klasma.github.io/Logging_1276/tillsyn/A 5797-2024 tillsynsbegäran.docx", "A 5797-2024")</f>
        <v/>
      </c>
      <c r="Y154">
        <f>HYPERLINK("https://klasma.github.io/Logging_1276/tillsynsmail/A 5797-2024 tillsynsbegäran mail.docx", "A 5797-2024")</f>
        <v/>
      </c>
      <c r="Z154">
        <f>HYPERLINK("https://klasma.github.io/Logging_1276/fåglar/A 5797-2024 prioriterade fågelarter.docx", "A 5797-2024")</f>
        <v/>
      </c>
    </row>
    <row r="155" ht="15" customHeight="1">
      <c r="A155" t="inlineStr">
        <is>
          <t>A 11648-2024</t>
        </is>
      </c>
      <c r="B155" s="1" t="n">
        <v>45373</v>
      </c>
      <c r="C155" s="1" t="n">
        <v>45914</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22776-2024</t>
        </is>
      </c>
      <c r="B156" s="1" t="n">
        <v>45448.47032407407</v>
      </c>
      <c r="C156" s="1" t="n">
        <v>45914</v>
      </c>
      <c r="D156" t="inlineStr">
        <is>
          <t>SKÅNE LÄN</t>
        </is>
      </c>
      <c r="E156" t="inlineStr">
        <is>
          <t>LUND</t>
        </is>
      </c>
      <c r="G156" t="n">
        <v>5.6</v>
      </c>
      <c r="H156" t="n">
        <v>1</v>
      </c>
      <c r="I156" t="n">
        <v>0</v>
      </c>
      <c r="J156" t="n">
        <v>0</v>
      </c>
      <c r="K156" t="n">
        <v>1</v>
      </c>
      <c r="L156" t="n">
        <v>0</v>
      </c>
      <c r="M156" t="n">
        <v>0</v>
      </c>
      <c r="N156" t="n">
        <v>0</v>
      </c>
      <c r="O156" t="n">
        <v>1</v>
      </c>
      <c r="P156" t="n">
        <v>1</v>
      </c>
      <c r="Q156" t="n">
        <v>2</v>
      </c>
      <c r="R156" s="2" t="inlineStr">
        <is>
          <t>Slåttergubbe
Grönvit nattviol</t>
        </is>
      </c>
      <c r="S156">
        <f>HYPERLINK("https://klasma.github.io/Logging_1281/artfynd/A 22776-2024 artfynd.xlsx", "A 22776-2024")</f>
        <v/>
      </c>
      <c r="T156">
        <f>HYPERLINK("https://klasma.github.io/Logging_1281/kartor/A 22776-2024 karta.png", "A 22776-2024")</f>
        <v/>
      </c>
      <c r="V156">
        <f>HYPERLINK("https://klasma.github.io/Logging_1281/klagomål/A 22776-2024 FSC-klagomål.docx", "A 22776-2024")</f>
        <v/>
      </c>
      <c r="W156">
        <f>HYPERLINK("https://klasma.github.io/Logging_1281/klagomålsmail/A 22776-2024 FSC-klagomål mail.docx", "A 22776-2024")</f>
        <v/>
      </c>
      <c r="X156">
        <f>HYPERLINK("https://klasma.github.io/Logging_1281/tillsyn/A 22776-2024 tillsynsbegäran.docx", "A 22776-2024")</f>
        <v/>
      </c>
      <c r="Y156">
        <f>HYPERLINK("https://klasma.github.io/Logging_1281/tillsynsmail/A 22776-2024 tillsynsbegäran mail.docx", "A 22776-2024")</f>
        <v/>
      </c>
    </row>
    <row r="157" ht="15" customHeight="1">
      <c r="A157" t="inlineStr">
        <is>
          <t>A 64373-2020</t>
        </is>
      </c>
      <c r="B157" s="1" t="n">
        <v>44168</v>
      </c>
      <c r="C157" s="1" t="n">
        <v>45914</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45914</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45914</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45914</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45914</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45914</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45914</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45914</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45914</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45914</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45914</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45914</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45914</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45914</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45914</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45914</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45914</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45914</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45914</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13705-2022</t>
        </is>
      </c>
      <c r="B176" s="1" t="n">
        <v>44648</v>
      </c>
      <c r="C176" s="1" t="n">
        <v>45914</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23963-2022</t>
        </is>
      </c>
      <c r="B177" s="1" t="n">
        <v>44722</v>
      </c>
      <c r="C177" s="1" t="n">
        <v>45914</v>
      </c>
      <c r="D177" t="inlineStr">
        <is>
          <t>SKÅNE LÄN</t>
        </is>
      </c>
      <c r="E177" t="inlineStr">
        <is>
          <t>OSBY</t>
        </is>
      </c>
      <c r="F177" t="inlineStr">
        <is>
          <t>Kyrkan</t>
        </is>
      </c>
      <c r="G177" t="n">
        <v>4.5</v>
      </c>
      <c r="H177" t="n">
        <v>1</v>
      </c>
      <c r="I177" t="n">
        <v>0</v>
      </c>
      <c r="J177" t="n">
        <v>0</v>
      </c>
      <c r="K177" t="n">
        <v>0</v>
      </c>
      <c r="L177" t="n">
        <v>0</v>
      </c>
      <c r="M177" t="n">
        <v>0</v>
      </c>
      <c r="N177" t="n">
        <v>0</v>
      </c>
      <c r="O177" t="n">
        <v>0</v>
      </c>
      <c r="P177" t="n">
        <v>0</v>
      </c>
      <c r="Q177" t="n">
        <v>1</v>
      </c>
      <c r="R177" s="2" t="inlineStr">
        <is>
          <t>Kungsfågel</t>
        </is>
      </c>
      <c r="S177">
        <f>HYPERLINK("https://klasma.github.io/Logging_1273/artfynd/A 23963-2022 artfynd.xlsx", "A 23963-2022")</f>
        <v/>
      </c>
      <c r="T177">
        <f>HYPERLINK("https://klasma.github.io/Logging_1273/kartor/A 23963-2022 karta.png", "A 23963-2022")</f>
        <v/>
      </c>
      <c r="V177">
        <f>HYPERLINK("https://klasma.github.io/Logging_1273/klagomål/A 23963-2022 FSC-klagomål.docx", "A 23963-2022")</f>
        <v/>
      </c>
      <c r="W177">
        <f>HYPERLINK("https://klasma.github.io/Logging_1273/klagomålsmail/A 23963-2022 FSC-klagomål mail.docx", "A 23963-2022")</f>
        <v/>
      </c>
      <c r="X177">
        <f>HYPERLINK("https://klasma.github.io/Logging_1273/tillsyn/A 23963-2022 tillsynsbegäran.docx", "A 23963-2022")</f>
        <v/>
      </c>
      <c r="Y177">
        <f>HYPERLINK("https://klasma.github.io/Logging_1273/tillsynsmail/A 23963-2022 tillsynsbegäran mail.docx", "A 23963-2022")</f>
        <v/>
      </c>
      <c r="Z177">
        <f>HYPERLINK("https://klasma.github.io/Logging_1273/fåglar/A 23963-2022 prioriterade fågelarter.docx", "A 23963-2022")</f>
        <v/>
      </c>
    </row>
    <row r="178" ht="15" customHeight="1">
      <c r="A178" t="inlineStr">
        <is>
          <t>A 56454-2021</t>
        </is>
      </c>
      <c r="B178" s="1" t="n">
        <v>44480</v>
      </c>
      <c r="C178" s="1" t="n">
        <v>45914</v>
      </c>
      <c r="D178" t="inlineStr">
        <is>
          <t>SKÅNE LÄN</t>
        </is>
      </c>
      <c r="E178" t="inlineStr">
        <is>
          <t>KRISTIANSTAD</t>
        </is>
      </c>
      <c r="F178" t="inlineStr">
        <is>
          <t>Kyrkan</t>
        </is>
      </c>
      <c r="G178" t="n">
        <v>2.9</v>
      </c>
      <c r="H178" t="n">
        <v>1</v>
      </c>
      <c r="I178" t="n">
        <v>0</v>
      </c>
      <c r="J178" t="n">
        <v>1</v>
      </c>
      <c r="K178" t="n">
        <v>0</v>
      </c>
      <c r="L178" t="n">
        <v>0</v>
      </c>
      <c r="M178" t="n">
        <v>0</v>
      </c>
      <c r="N178" t="n">
        <v>0</v>
      </c>
      <c r="O178" t="n">
        <v>1</v>
      </c>
      <c r="P178" t="n">
        <v>0</v>
      </c>
      <c r="Q178" t="n">
        <v>1</v>
      </c>
      <c r="R178" s="2" t="inlineStr">
        <is>
          <t>Svartvit flugsnappare</t>
        </is>
      </c>
      <c r="S178">
        <f>HYPERLINK("https://klasma.github.io/Logging_1290/artfynd/A 56454-2021 artfynd.xlsx", "A 56454-2021")</f>
        <v/>
      </c>
      <c r="T178">
        <f>HYPERLINK("https://klasma.github.io/Logging_1290/kartor/A 56454-2021 karta.png", "A 56454-2021")</f>
        <v/>
      </c>
      <c r="V178">
        <f>HYPERLINK("https://klasma.github.io/Logging_1290/klagomål/A 56454-2021 FSC-klagomål.docx", "A 56454-2021")</f>
        <v/>
      </c>
      <c r="W178">
        <f>HYPERLINK("https://klasma.github.io/Logging_1290/klagomålsmail/A 56454-2021 FSC-klagomål mail.docx", "A 56454-2021")</f>
        <v/>
      </c>
      <c r="X178">
        <f>HYPERLINK("https://klasma.github.io/Logging_1290/tillsyn/A 56454-2021 tillsynsbegäran.docx", "A 56454-2021")</f>
        <v/>
      </c>
      <c r="Y178">
        <f>HYPERLINK("https://klasma.github.io/Logging_1290/tillsynsmail/A 56454-2021 tillsynsbegäran mail.docx", "A 56454-2021")</f>
        <v/>
      </c>
      <c r="Z178">
        <f>HYPERLINK("https://klasma.github.io/Logging_1290/fåglar/A 56454-2021 prioriterade fågelarter.docx", "A 56454-2021")</f>
        <v/>
      </c>
    </row>
    <row r="179" ht="15" customHeight="1">
      <c r="A179" t="inlineStr">
        <is>
          <t>A 5732-2022</t>
        </is>
      </c>
      <c r="B179" s="1" t="n">
        <v>44596</v>
      </c>
      <c r="C179" s="1" t="n">
        <v>45914</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46195-2022</t>
        </is>
      </c>
      <c r="B180" s="1" t="n">
        <v>44845</v>
      </c>
      <c r="C180" s="1" t="n">
        <v>45914</v>
      </c>
      <c r="D180" t="inlineStr">
        <is>
          <t>SKÅNE LÄN</t>
        </is>
      </c>
      <c r="E180" t="inlineStr">
        <is>
          <t>PERSTORP</t>
        </is>
      </c>
      <c r="G180" t="n">
        <v>0.7</v>
      </c>
      <c r="H180" t="n">
        <v>0</v>
      </c>
      <c r="I180" t="n">
        <v>1</v>
      </c>
      <c r="J180" t="n">
        <v>0</v>
      </c>
      <c r="K180" t="n">
        <v>0</v>
      </c>
      <c r="L180" t="n">
        <v>0</v>
      </c>
      <c r="M180" t="n">
        <v>0</v>
      </c>
      <c r="N180" t="n">
        <v>0</v>
      </c>
      <c r="O180" t="n">
        <v>0</v>
      </c>
      <c r="P180" t="n">
        <v>0</v>
      </c>
      <c r="Q180" t="n">
        <v>1</v>
      </c>
      <c r="R180" s="2" t="inlineStr">
        <is>
          <t>Brandticka</t>
        </is>
      </c>
      <c r="S180">
        <f>HYPERLINK("https://klasma.github.io/Logging_1275/artfynd/A 46195-2022 artfynd.xlsx", "A 46195-2022")</f>
        <v/>
      </c>
      <c r="T180">
        <f>HYPERLINK("https://klasma.github.io/Logging_1275/kartor/A 46195-2022 karta.png", "A 46195-2022")</f>
        <v/>
      </c>
      <c r="V180">
        <f>HYPERLINK("https://klasma.github.io/Logging_1275/klagomål/A 46195-2022 FSC-klagomål.docx", "A 46195-2022")</f>
        <v/>
      </c>
      <c r="W180">
        <f>HYPERLINK("https://klasma.github.io/Logging_1275/klagomålsmail/A 46195-2022 FSC-klagomål mail.docx", "A 46195-2022")</f>
        <v/>
      </c>
      <c r="X180">
        <f>HYPERLINK("https://klasma.github.io/Logging_1275/tillsyn/A 46195-2022 tillsynsbegäran.docx", "A 46195-2022")</f>
        <v/>
      </c>
      <c r="Y180">
        <f>HYPERLINK("https://klasma.github.io/Logging_1275/tillsynsmail/A 46195-2022 tillsynsbegäran mail.docx", "A 46195-2022")</f>
        <v/>
      </c>
    </row>
    <row r="181" ht="15" customHeight="1">
      <c r="A181" t="inlineStr">
        <is>
          <t>A 62434-2020</t>
        </is>
      </c>
      <c r="B181" s="1" t="n">
        <v>44159</v>
      </c>
      <c r="C181" s="1" t="n">
        <v>45914</v>
      </c>
      <c r="D181" t="inlineStr">
        <is>
          <t>SKÅNE LÄN</t>
        </is>
      </c>
      <c r="E181" t="inlineStr">
        <is>
          <t>HÄSSLEHOLM</t>
        </is>
      </c>
      <c r="G181" t="n">
        <v>2</v>
      </c>
      <c r="H181" t="n">
        <v>0</v>
      </c>
      <c r="I181" t="n">
        <v>0</v>
      </c>
      <c r="J181" t="n">
        <v>1</v>
      </c>
      <c r="K181" t="n">
        <v>0</v>
      </c>
      <c r="L181" t="n">
        <v>0</v>
      </c>
      <c r="M181" t="n">
        <v>0</v>
      </c>
      <c r="N181" t="n">
        <v>0</v>
      </c>
      <c r="O181" t="n">
        <v>1</v>
      </c>
      <c r="P181" t="n">
        <v>0</v>
      </c>
      <c r="Q181" t="n">
        <v>1</v>
      </c>
      <c r="R181" s="2" t="inlineStr">
        <is>
          <t>Borsttåg</t>
        </is>
      </c>
      <c r="S181">
        <f>HYPERLINK("https://klasma.github.io/Logging_1293/artfynd/A 62434-2020 artfynd.xlsx", "A 62434-2020")</f>
        <v/>
      </c>
      <c r="T181">
        <f>HYPERLINK("https://klasma.github.io/Logging_1293/kartor/A 62434-2020 karta.png", "A 62434-2020")</f>
        <v/>
      </c>
      <c r="V181">
        <f>HYPERLINK("https://klasma.github.io/Logging_1293/klagomål/A 62434-2020 FSC-klagomål.docx", "A 62434-2020")</f>
        <v/>
      </c>
      <c r="W181">
        <f>HYPERLINK("https://klasma.github.io/Logging_1293/klagomålsmail/A 62434-2020 FSC-klagomål mail.docx", "A 62434-2020")</f>
        <v/>
      </c>
      <c r="X181">
        <f>HYPERLINK("https://klasma.github.io/Logging_1293/tillsyn/A 62434-2020 tillsynsbegäran.docx", "A 62434-2020")</f>
        <v/>
      </c>
      <c r="Y181">
        <f>HYPERLINK("https://klasma.github.io/Logging_1293/tillsynsmail/A 62434-2020 tillsynsbegäran mail.docx", "A 62434-2020")</f>
        <v/>
      </c>
    </row>
    <row r="182" ht="15" customHeight="1">
      <c r="A182" t="inlineStr">
        <is>
          <t>A 50089-2023</t>
        </is>
      </c>
      <c r="B182" s="1" t="n">
        <v>45208</v>
      </c>
      <c r="C182" s="1" t="n">
        <v>45914</v>
      </c>
      <c r="D182" t="inlineStr">
        <is>
          <t>SKÅNE LÄN</t>
        </is>
      </c>
      <c r="E182" t="inlineStr">
        <is>
          <t>KLIPPAN</t>
        </is>
      </c>
      <c r="G182" t="n">
        <v>13.6</v>
      </c>
      <c r="H182" t="n">
        <v>1</v>
      </c>
      <c r="I182" t="n">
        <v>0</v>
      </c>
      <c r="J182" t="n">
        <v>1</v>
      </c>
      <c r="K182" t="n">
        <v>0</v>
      </c>
      <c r="L182" t="n">
        <v>0</v>
      </c>
      <c r="M182" t="n">
        <v>0</v>
      </c>
      <c r="N182" t="n">
        <v>0</v>
      </c>
      <c r="O182" t="n">
        <v>1</v>
      </c>
      <c r="P182" t="n">
        <v>0</v>
      </c>
      <c r="Q182" t="n">
        <v>1</v>
      </c>
      <c r="R182" s="2" t="inlineStr">
        <is>
          <t>Entita</t>
        </is>
      </c>
      <c r="S182">
        <f>HYPERLINK("https://klasma.github.io/Logging_1276/artfynd/A 50089-2023 artfynd.xlsx", "A 50089-2023")</f>
        <v/>
      </c>
      <c r="T182">
        <f>HYPERLINK("https://klasma.github.io/Logging_1276/kartor/A 50089-2023 karta.png", "A 50089-2023")</f>
        <v/>
      </c>
      <c r="V182">
        <f>HYPERLINK("https://klasma.github.io/Logging_1276/klagomål/A 50089-2023 FSC-klagomål.docx", "A 50089-2023")</f>
        <v/>
      </c>
      <c r="W182">
        <f>HYPERLINK("https://klasma.github.io/Logging_1276/klagomålsmail/A 50089-2023 FSC-klagomål mail.docx", "A 50089-2023")</f>
        <v/>
      </c>
      <c r="X182">
        <f>HYPERLINK("https://klasma.github.io/Logging_1276/tillsyn/A 50089-2023 tillsynsbegäran.docx", "A 50089-2023")</f>
        <v/>
      </c>
      <c r="Y182">
        <f>HYPERLINK("https://klasma.github.io/Logging_1276/tillsynsmail/A 50089-2023 tillsynsbegäran mail.docx", "A 50089-2023")</f>
        <v/>
      </c>
      <c r="Z182">
        <f>HYPERLINK("https://klasma.github.io/Logging_1276/fåglar/A 50089-2023 prioriterade fågelarter.docx", "A 50089-2023")</f>
        <v/>
      </c>
    </row>
    <row r="183" ht="15" customHeight="1">
      <c r="A183" t="inlineStr">
        <is>
          <t>A 6245-2024</t>
        </is>
      </c>
      <c r="B183" s="1" t="n">
        <v>45337</v>
      </c>
      <c r="C183" s="1" t="n">
        <v>45914</v>
      </c>
      <c r="D183" t="inlineStr">
        <is>
          <t>SKÅNE LÄN</t>
        </is>
      </c>
      <c r="E183" t="inlineStr">
        <is>
          <t>KRISTIANSTAD</t>
        </is>
      </c>
      <c r="F183" t="inlineStr">
        <is>
          <t>Övriga Aktiebolag</t>
        </is>
      </c>
      <c r="G183" t="n">
        <v>8.699999999999999</v>
      </c>
      <c r="H183" t="n">
        <v>0</v>
      </c>
      <c r="I183" t="n">
        <v>0</v>
      </c>
      <c r="J183" t="n">
        <v>0</v>
      </c>
      <c r="K183" t="n">
        <v>1</v>
      </c>
      <c r="L183" t="n">
        <v>0</v>
      </c>
      <c r="M183" t="n">
        <v>0</v>
      </c>
      <c r="N183" t="n">
        <v>0</v>
      </c>
      <c r="O183" t="n">
        <v>1</v>
      </c>
      <c r="P183" t="n">
        <v>1</v>
      </c>
      <c r="Q183" t="n">
        <v>1</v>
      </c>
      <c r="R183" s="2" t="inlineStr">
        <is>
          <t>Flenörtskapuschongfly</t>
        </is>
      </c>
      <c r="S183">
        <f>HYPERLINK("https://klasma.github.io/Logging_1290/artfynd/A 6245-2024 artfynd.xlsx", "A 6245-2024")</f>
        <v/>
      </c>
      <c r="T183">
        <f>HYPERLINK("https://klasma.github.io/Logging_1290/kartor/A 6245-2024 karta.png", "A 6245-2024")</f>
        <v/>
      </c>
      <c r="V183">
        <f>HYPERLINK("https://klasma.github.io/Logging_1290/klagomål/A 6245-2024 FSC-klagomål.docx", "A 6245-2024")</f>
        <v/>
      </c>
      <c r="W183">
        <f>HYPERLINK("https://klasma.github.io/Logging_1290/klagomålsmail/A 6245-2024 FSC-klagomål mail.docx", "A 6245-2024")</f>
        <v/>
      </c>
      <c r="X183">
        <f>HYPERLINK("https://klasma.github.io/Logging_1290/tillsyn/A 6245-2024 tillsynsbegäran.docx", "A 6245-2024")</f>
        <v/>
      </c>
      <c r="Y183">
        <f>HYPERLINK("https://klasma.github.io/Logging_1290/tillsynsmail/A 6245-2024 tillsynsbegäran mail.docx", "A 6245-2024")</f>
        <v/>
      </c>
    </row>
    <row r="184" ht="15" customHeight="1">
      <c r="A184" t="inlineStr">
        <is>
          <t>A 50118-2022</t>
        </is>
      </c>
      <c r="B184" s="1" t="n">
        <v>44860</v>
      </c>
      <c r="C184" s="1" t="n">
        <v>45914</v>
      </c>
      <c r="D184" t="inlineStr">
        <is>
          <t>SKÅNE LÄN</t>
        </is>
      </c>
      <c r="E184" t="inlineStr">
        <is>
          <t>BROMÖLLA</t>
        </is>
      </c>
      <c r="G184" t="n">
        <v>12.8</v>
      </c>
      <c r="H184" t="n">
        <v>0</v>
      </c>
      <c r="I184" t="n">
        <v>1</v>
      </c>
      <c r="J184" t="n">
        <v>0</v>
      </c>
      <c r="K184" t="n">
        <v>0</v>
      </c>
      <c r="L184" t="n">
        <v>0</v>
      </c>
      <c r="M184" t="n">
        <v>0</v>
      </c>
      <c r="N184" t="n">
        <v>0</v>
      </c>
      <c r="O184" t="n">
        <v>0</v>
      </c>
      <c r="P184" t="n">
        <v>0</v>
      </c>
      <c r="Q184" t="n">
        <v>1</v>
      </c>
      <c r="R184" s="2" t="inlineStr">
        <is>
          <t>Myskmadra</t>
        </is>
      </c>
      <c r="S184">
        <f>HYPERLINK("https://klasma.github.io/Logging_1272/artfynd/A 50118-2022 artfynd.xlsx", "A 50118-2022")</f>
        <v/>
      </c>
      <c r="T184">
        <f>HYPERLINK("https://klasma.github.io/Logging_1272/kartor/A 50118-2022 karta.png", "A 50118-2022")</f>
        <v/>
      </c>
      <c r="V184">
        <f>HYPERLINK("https://klasma.github.io/Logging_1272/klagomål/A 50118-2022 FSC-klagomål.docx", "A 50118-2022")</f>
        <v/>
      </c>
      <c r="W184">
        <f>HYPERLINK("https://klasma.github.io/Logging_1272/klagomålsmail/A 50118-2022 FSC-klagomål mail.docx", "A 50118-2022")</f>
        <v/>
      </c>
      <c r="X184">
        <f>HYPERLINK("https://klasma.github.io/Logging_1272/tillsyn/A 50118-2022 tillsynsbegäran.docx", "A 50118-2022")</f>
        <v/>
      </c>
      <c r="Y184">
        <f>HYPERLINK("https://klasma.github.io/Logging_1272/tillsynsmail/A 50118-2022 tillsynsbegäran mail.docx", "A 50118-2022")</f>
        <v/>
      </c>
    </row>
    <row r="185" ht="15" customHeight="1">
      <c r="A185" t="inlineStr">
        <is>
          <t>A 33491-2022</t>
        </is>
      </c>
      <c r="B185" s="1" t="n">
        <v>44788.85543981481</v>
      </c>
      <c r="C185" s="1" t="n">
        <v>45914</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45832-2023</t>
        </is>
      </c>
      <c r="B186" s="1" t="n">
        <v>45195</v>
      </c>
      <c r="C186" s="1" t="n">
        <v>45914</v>
      </c>
      <c r="D186" t="inlineStr">
        <is>
          <t>SKÅNE LÄN</t>
        </is>
      </c>
      <c r="E186" t="inlineStr">
        <is>
          <t>HELSINGBORG</t>
        </is>
      </c>
      <c r="G186" t="n">
        <v>2.3</v>
      </c>
      <c r="H186" t="n">
        <v>0</v>
      </c>
      <c r="I186" t="n">
        <v>0</v>
      </c>
      <c r="J186" t="n">
        <v>1</v>
      </c>
      <c r="K186" t="n">
        <v>0</v>
      </c>
      <c r="L186" t="n">
        <v>0</v>
      </c>
      <c r="M186" t="n">
        <v>0</v>
      </c>
      <c r="N186" t="n">
        <v>0</v>
      </c>
      <c r="O186" t="n">
        <v>1</v>
      </c>
      <c r="P186" t="n">
        <v>0</v>
      </c>
      <c r="Q186" t="n">
        <v>1</v>
      </c>
      <c r="R186" s="2" t="inlineStr">
        <is>
          <t>Skånebjörnbär</t>
        </is>
      </c>
      <c r="S186">
        <f>HYPERLINK("https://klasma.github.io/Logging_1283/artfynd/A 45832-2023 artfynd.xlsx", "A 45832-2023")</f>
        <v/>
      </c>
      <c r="T186">
        <f>HYPERLINK("https://klasma.github.io/Logging_1283/kartor/A 45832-2023 karta.png", "A 45832-2023")</f>
        <v/>
      </c>
      <c r="V186">
        <f>HYPERLINK("https://klasma.github.io/Logging_1283/klagomål/A 45832-2023 FSC-klagomål.docx", "A 45832-2023")</f>
        <v/>
      </c>
      <c r="W186">
        <f>HYPERLINK("https://klasma.github.io/Logging_1283/klagomålsmail/A 45832-2023 FSC-klagomål mail.docx", "A 45832-2023")</f>
        <v/>
      </c>
      <c r="X186">
        <f>HYPERLINK("https://klasma.github.io/Logging_1283/tillsyn/A 45832-2023 tillsynsbegäran.docx", "A 45832-2023")</f>
        <v/>
      </c>
      <c r="Y186">
        <f>HYPERLINK("https://klasma.github.io/Logging_1283/tillsynsmail/A 45832-2023 tillsynsbegäran mail.docx", "A 45832-2023")</f>
        <v/>
      </c>
    </row>
    <row r="187" ht="15" customHeight="1">
      <c r="A187" t="inlineStr">
        <is>
          <t>A 15456-2024</t>
        </is>
      </c>
      <c r="B187" s="1" t="n">
        <v>45401</v>
      </c>
      <c r="C187" s="1" t="n">
        <v>45914</v>
      </c>
      <c r="D187" t="inlineStr">
        <is>
          <t>SKÅNE LÄN</t>
        </is>
      </c>
      <c r="E187" t="inlineStr">
        <is>
          <t>SVALÖV</t>
        </is>
      </c>
      <c r="G187" t="n">
        <v>2.5</v>
      </c>
      <c r="H187" t="n">
        <v>0</v>
      </c>
      <c r="I187" t="n">
        <v>0</v>
      </c>
      <c r="J187" t="n">
        <v>0</v>
      </c>
      <c r="K187" t="n">
        <v>1</v>
      </c>
      <c r="L187" t="n">
        <v>0</v>
      </c>
      <c r="M187" t="n">
        <v>0</v>
      </c>
      <c r="N187" t="n">
        <v>0</v>
      </c>
      <c r="O187" t="n">
        <v>1</v>
      </c>
      <c r="P187" t="n">
        <v>1</v>
      </c>
      <c r="Q187" t="n">
        <v>1</v>
      </c>
      <c r="R187" s="2" t="inlineStr">
        <is>
          <t>Lundticka</t>
        </is>
      </c>
      <c r="S187">
        <f>HYPERLINK("https://klasma.github.io/Logging_1214/artfynd/A 15456-2024 artfynd.xlsx", "A 15456-2024")</f>
        <v/>
      </c>
      <c r="T187">
        <f>HYPERLINK("https://klasma.github.io/Logging_1214/kartor/A 15456-2024 karta.png", "A 15456-2024")</f>
        <v/>
      </c>
      <c r="V187">
        <f>HYPERLINK("https://klasma.github.io/Logging_1214/klagomål/A 15456-2024 FSC-klagomål.docx", "A 15456-2024")</f>
        <v/>
      </c>
      <c r="W187">
        <f>HYPERLINK("https://klasma.github.io/Logging_1214/klagomålsmail/A 15456-2024 FSC-klagomål mail.docx", "A 15456-2024")</f>
        <v/>
      </c>
      <c r="X187">
        <f>HYPERLINK("https://klasma.github.io/Logging_1214/tillsyn/A 15456-2024 tillsynsbegäran.docx", "A 15456-2024")</f>
        <v/>
      </c>
      <c r="Y187">
        <f>HYPERLINK("https://klasma.github.io/Logging_1214/tillsynsmail/A 15456-2024 tillsynsbegäran mail.docx", "A 15456-2024")</f>
        <v/>
      </c>
    </row>
    <row r="188" ht="15" customHeight="1">
      <c r="A188" t="inlineStr">
        <is>
          <t>A 15475-2024</t>
        </is>
      </c>
      <c r="B188" s="1" t="n">
        <v>45401</v>
      </c>
      <c r="C188" s="1" t="n">
        <v>45914</v>
      </c>
      <c r="D188" t="inlineStr">
        <is>
          <t>SKÅNE LÄN</t>
        </is>
      </c>
      <c r="E188" t="inlineStr">
        <is>
          <t>SVALÖV</t>
        </is>
      </c>
      <c r="G188" t="n">
        <v>4.7</v>
      </c>
      <c r="H188" t="n">
        <v>0</v>
      </c>
      <c r="I188" t="n">
        <v>1</v>
      </c>
      <c r="J188" t="n">
        <v>0</v>
      </c>
      <c r="K188" t="n">
        <v>0</v>
      </c>
      <c r="L188" t="n">
        <v>0</v>
      </c>
      <c r="M188" t="n">
        <v>0</v>
      </c>
      <c r="N188" t="n">
        <v>0</v>
      </c>
      <c r="O188" t="n">
        <v>0</v>
      </c>
      <c r="P188" t="n">
        <v>0</v>
      </c>
      <c r="Q188" t="n">
        <v>1</v>
      </c>
      <c r="R188" s="2" t="inlineStr">
        <is>
          <t>Strutbräken</t>
        </is>
      </c>
      <c r="S188">
        <f>HYPERLINK("https://klasma.github.io/Logging_1214/artfynd/A 15475-2024 artfynd.xlsx", "A 15475-2024")</f>
        <v/>
      </c>
      <c r="T188">
        <f>HYPERLINK("https://klasma.github.io/Logging_1214/kartor/A 15475-2024 karta.png", "A 15475-2024")</f>
        <v/>
      </c>
      <c r="V188">
        <f>HYPERLINK("https://klasma.github.io/Logging_1214/klagomål/A 15475-2024 FSC-klagomål.docx", "A 15475-2024")</f>
        <v/>
      </c>
      <c r="W188">
        <f>HYPERLINK("https://klasma.github.io/Logging_1214/klagomålsmail/A 15475-2024 FSC-klagomål mail.docx", "A 15475-2024")</f>
        <v/>
      </c>
      <c r="X188">
        <f>HYPERLINK("https://klasma.github.io/Logging_1214/tillsyn/A 15475-2024 tillsynsbegäran.docx", "A 15475-2024")</f>
        <v/>
      </c>
      <c r="Y188">
        <f>HYPERLINK("https://klasma.github.io/Logging_1214/tillsynsmail/A 15475-2024 tillsynsbegäran mail.docx", "A 15475-2024")</f>
        <v/>
      </c>
    </row>
    <row r="189" ht="15" customHeight="1">
      <c r="A189" t="inlineStr">
        <is>
          <t>A 52355-2021</t>
        </is>
      </c>
      <c r="B189" s="1" t="n">
        <v>44464</v>
      </c>
      <c r="C189" s="1" t="n">
        <v>45914</v>
      </c>
      <c r="D189" t="inlineStr">
        <is>
          <t>SKÅNE LÄN</t>
        </is>
      </c>
      <c r="E189" t="inlineStr">
        <is>
          <t>LUND</t>
        </is>
      </c>
      <c r="G189" t="n">
        <v>2.5</v>
      </c>
      <c r="H189" t="n">
        <v>0</v>
      </c>
      <c r="I189" t="n">
        <v>0</v>
      </c>
      <c r="J189" t="n">
        <v>0</v>
      </c>
      <c r="K189" t="n">
        <v>0</v>
      </c>
      <c r="L189" t="n">
        <v>0</v>
      </c>
      <c r="M189" t="n">
        <v>1</v>
      </c>
      <c r="N189" t="n">
        <v>0</v>
      </c>
      <c r="O189" t="n">
        <v>1</v>
      </c>
      <c r="P189" t="n">
        <v>1</v>
      </c>
      <c r="Q189" t="n">
        <v>1</v>
      </c>
      <c r="R189" s="2" t="inlineStr">
        <is>
          <t>Skogsalm</t>
        </is>
      </c>
      <c r="S189">
        <f>HYPERLINK("https://klasma.github.io/Logging_1281/artfynd/A 52355-2021 artfynd.xlsx", "A 52355-2021")</f>
        <v/>
      </c>
      <c r="T189">
        <f>HYPERLINK("https://klasma.github.io/Logging_1281/kartor/A 52355-2021 karta.png", "A 52355-2021")</f>
        <v/>
      </c>
      <c r="V189">
        <f>HYPERLINK("https://klasma.github.io/Logging_1281/klagomål/A 52355-2021 FSC-klagomål.docx", "A 52355-2021")</f>
        <v/>
      </c>
      <c r="W189">
        <f>HYPERLINK("https://klasma.github.io/Logging_1281/klagomålsmail/A 52355-2021 FSC-klagomål mail.docx", "A 52355-2021")</f>
        <v/>
      </c>
      <c r="X189">
        <f>HYPERLINK("https://klasma.github.io/Logging_1281/tillsyn/A 52355-2021 tillsynsbegäran.docx", "A 52355-2021")</f>
        <v/>
      </c>
      <c r="Y189">
        <f>HYPERLINK("https://klasma.github.io/Logging_1281/tillsynsmail/A 52355-2021 tillsynsbegäran mail.docx", "A 52355-2021")</f>
        <v/>
      </c>
    </row>
    <row r="190" ht="15" customHeight="1">
      <c r="A190" t="inlineStr">
        <is>
          <t>A 46602-2023</t>
        </is>
      </c>
      <c r="B190" s="1" t="n">
        <v>45194</v>
      </c>
      <c r="C190" s="1" t="n">
        <v>45914</v>
      </c>
      <c r="D190" t="inlineStr">
        <is>
          <t>SKÅNE LÄN</t>
        </is>
      </c>
      <c r="E190" t="inlineStr">
        <is>
          <t>HÄSSLEHOLM</t>
        </is>
      </c>
      <c r="G190" t="n">
        <v>7.3</v>
      </c>
      <c r="H190" t="n">
        <v>0</v>
      </c>
      <c r="I190" t="n">
        <v>0</v>
      </c>
      <c r="J190" t="n">
        <v>0</v>
      </c>
      <c r="K190" t="n">
        <v>1</v>
      </c>
      <c r="L190" t="n">
        <v>0</v>
      </c>
      <c r="M190" t="n">
        <v>0</v>
      </c>
      <c r="N190" t="n">
        <v>0</v>
      </c>
      <c r="O190" t="n">
        <v>1</v>
      </c>
      <c r="P190" t="n">
        <v>1</v>
      </c>
      <c r="Q190" t="n">
        <v>1</v>
      </c>
      <c r="R190" s="2" t="inlineStr">
        <is>
          <t>Lungrot</t>
        </is>
      </c>
      <c r="S190">
        <f>HYPERLINK("https://klasma.github.io/Logging_1293/artfynd/A 46602-2023 artfynd.xlsx", "A 46602-2023")</f>
        <v/>
      </c>
      <c r="T190">
        <f>HYPERLINK("https://klasma.github.io/Logging_1293/kartor/A 46602-2023 karta.png", "A 46602-2023")</f>
        <v/>
      </c>
      <c r="V190">
        <f>HYPERLINK("https://klasma.github.io/Logging_1293/klagomål/A 46602-2023 FSC-klagomål.docx", "A 46602-2023")</f>
        <v/>
      </c>
      <c r="W190">
        <f>HYPERLINK("https://klasma.github.io/Logging_1293/klagomålsmail/A 46602-2023 FSC-klagomål mail.docx", "A 46602-2023")</f>
        <v/>
      </c>
      <c r="X190">
        <f>HYPERLINK("https://klasma.github.io/Logging_1293/tillsyn/A 46602-2023 tillsynsbegäran.docx", "A 46602-2023")</f>
        <v/>
      </c>
      <c r="Y190">
        <f>HYPERLINK("https://klasma.github.io/Logging_1293/tillsynsmail/A 46602-2023 tillsynsbegäran mail.docx", "A 46602-2023")</f>
        <v/>
      </c>
    </row>
    <row r="191" ht="15" customHeight="1">
      <c r="A191" t="inlineStr">
        <is>
          <t>A 10056-2024</t>
        </is>
      </c>
      <c r="B191" s="1" t="n">
        <v>45364</v>
      </c>
      <c r="C191" s="1" t="n">
        <v>45914</v>
      </c>
      <c r="D191" t="inlineStr">
        <is>
          <t>SKÅNE LÄN</t>
        </is>
      </c>
      <c r="E191" t="inlineStr">
        <is>
          <t>OSBY</t>
        </is>
      </c>
      <c r="G191" t="n">
        <v>6</v>
      </c>
      <c r="H191" t="n">
        <v>1</v>
      </c>
      <c r="I191" t="n">
        <v>0</v>
      </c>
      <c r="J191" t="n">
        <v>0</v>
      </c>
      <c r="K191" t="n">
        <v>0</v>
      </c>
      <c r="L191" t="n">
        <v>0</v>
      </c>
      <c r="M191" t="n">
        <v>0</v>
      </c>
      <c r="N191" t="n">
        <v>0</v>
      </c>
      <c r="O191" t="n">
        <v>0</v>
      </c>
      <c r="P191" t="n">
        <v>0</v>
      </c>
      <c r="Q191" t="n">
        <v>1</v>
      </c>
      <c r="R191" s="2" t="inlineStr">
        <is>
          <t>Grönvit nattviol</t>
        </is>
      </c>
      <c r="S191">
        <f>HYPERLINK("https://klasma.github.io/Logging_1273/artfynd/A 10056-2024 artfynd.xlsx", "A 10056-2024")</f>
        <v/>
      </c>
      <c r="T191">
        <f>HYPERLINK("https://klasma.github.io/Logging_1273/kartor/A 10056-2024 karta.png", "A 10056-2024")</f>
        <v/>
      </c>
      <c r="V191">
        <f>HYPERLINK("https://klasma.github.io/Logging_1273/klagomål/A 10056-2024 FSC-klagomål.docx", "A 10056-2024")</f>
        <v/>
      </c>
      <c r="W191">
        <f>HYPERLINK("https://klasma.github.io/Logging_1273/klagomålsmail/A 10056-2024 FSC-klagomål mail.docx", "A 10056-2024")</f>
        <v/>
      </c>
      <c r="X191">
        <f>HYPERLINK("https://klasma.github.io/Logging_1273/tillsyn/A 10056-2024 tillsynsbegäran.docx", "A 10056-2024")</f>
        <v/>
      </c>
      <c r="Y191">
        <f>HYPERLINK("https://klasma.github.io/Logging_1273/tillsynsmail/A 10056-2024 tillsynsbegäran mail.docx", "A 10056-2024")</f>
        <v/>
      </c>
    </row>
    <row r="192" ht="15" customHeight="1">
      <c r="A192" t="inlineStr">
        <is>
          <t>A 40135-2022</t>
        </is>
      </c>
      <c r="B192" s="1" t="n">
        <v>44820</v>
      </c>
      <c r="C192" s="1" t="n">
        <v>45914</v>
      </c>
      <c r="D192" t="inlineStr">
        <is>
          <t>SKÅNE LÄN</t>
        </is>
      </c>
      <c r="E192" t="inlineStr">
        <is>
          <t>ÖSTRA GÖINGE</t>
        </is>
      </c>
      <c r="G192" t="n">
        <v>3.7</v>
      </c>
      <c r="H192" t="n">
        <v>0</v>
      </c>
      <c r="I192" t="n">
        <v>1</v>
      </c>
      <c r="J192" t="n">
        <v>0</v>
      </c>
      <c r="K192" t="n">
        <v>0</v>
      </c>
      <c r="L192" t="n">
        <v>0</v>
      </c>
      <c r="M192" t="n">
        <v>0</v>
      </c>
      <c r="N192" t="n">
        <v>0</v>
      </c>
      <c r="O192" t="n">
        <v>0</v>
      </c>
      <c r="P192" t="n">
        <v>0</v>
      </c>
      <c r="Q192" t="n">
        <v>1</v>
      </c>
      <c r="R192" s="2" t="inlineStr">
        <is>
          <t>Fällmossa</t>
        </is>
      </c>
      <c r="S192">
        <f>HYPERLINK("https://klasma.github.io/Logging_1256/artfynd/A 40135-2022 artfynd.xlsx", "A 40135-2022")</f>
        <v/>
      </c>
      <c r="T192">
        <f>HYPERLINK("https://klasma.github.io/Logging_1256/kartor/A 40135-2022 karta.png", "A 40135-2022")</f>
        <v/>
      </c>
      <c r="V192">
        <f>HYPERLINK("https://klasma.github.io/Logging_1256/klagomål/A 40135-2022 FSC-klagomål.docx", "A 40135-2022")</f>
        <v/>
      </c>
      <c r="W192">
        <f>HYPERLINK("https://klasma.github.io/Logging_1256/klagomålsmail/A 40135-2022 FSC-klagomål mail.docx", "A 40135-2022")</f>
        <v/>
      </c>
      <c r="X192">
        <f>HYPERLINK("https://klasma.github.io/Logging_1256/tillsyn/A 40135-2022 tillsynsbegäran.docx", "A 40135-2022")</f>
        <v/>
      </c>
      <c r="Y192">
        <f>HYPERLINK("https://klasma.github.io/Logging_1256/tillsynsmail/A 40135-2022 tillsynsbegäran mail.docx", "A 40135-2022")</f>
        <v/>
      </c>
    </row>
    <row r="193" ht="15" customHeight="1">
      <c r="A193" t="inlineStr">
        <is>
          <t>A 62349-2023</t>
        </is>
      </c>
      <c r="B193" s="1" t="n">
        <v>45267</v>
      </c>
      <c r="C193" s="1" t="n">
        <v>45914</v>
      </c>
      <c r="D193" t="inlineStr">
        <is>
          <t>SKÅNE LÄN</t>
        </is>
      </c>
      <c r="E193" t="inlineStr">
        <is>
          <t>KRISTIANSTAD</t>
        </is>
      </c>
      <c r="F193" t="inlineStr">
        <is>
          <t>Sveaskog</t>
        </is>
      </c>
      <c r="G193" t="n">
        <v>5.3</v>
      </c>
      <c r="H193" t="n">
        <v>1</v>
      </c>
      <c r="I193" t="n">
        <v>0</v>
      </c>
      <c r="J193" t="n">
        <v>0</v>
      </c>
      <c r="K193" t="n">
        <v>0</v>
      </c>
      <c r="L193" t="n">
        <v>0</v>
      </c>
      <c r="M193" t="n">
        <v>0</v>
      </c>
      <c r="N193" t="n">
        <v>0</v>
      </c>
      <c r="O193" t="n">
        <v>0</v>
      </c>
      <c r="P193" t="n">
        <v>0</v>
      </c>
      <c r="Q193" t="n">
        <v>1</v>
      </c>
      <c r="R193" s="2" t="inlineStr">
        <is>
          <t>Nattskärra</t>
        </is>
      </c>
      <c r="S193">
        <f>HYPERLINK("https://klasma.github.io/Logging_1290/artfynd/A 62349-2023 artfynd.xlsx", "A 62349-2023")</f>
        <v/>
      </c>
      <c r="T193">
        <f>HYPERLINK("https://klasma.github.io/Logging_1290/kartor/A 62349-2023 karta.png", "A 62349-2023")</f>
        <v/>
      </c>
      <c r="V193">
        <f>HYPERLINK("https://klasma.github.io/Logging_1290/klagomål/A 62349-2023 FSC-klagomål.docx", "A 62349-2023")</f>
        <v/>
      </c>
      <c r="W193">
        <f>HYPERLINK("https://klasma.github.io/Logging_1290/klagomålsmail/A 62349-2023 FSC-klagomål mail.docx", "A 62349-2023")</f>
        <v/>
      </c>
      <c r="X193">
        <f>HYPERLINK("https://klasma.github.io/Logging_1290/tillsyn/A 62349-2023 tillsynsbegäran.docx", "A 62349-2023")</f>
        <v/>
      </c>
      <c r="Y193">
        <f>HYPERLINK("https://klasma.github.io/Logging_1290/tillsynsmail/A 62349-2023 tillsynsbegäran mail.docx", "A 62349-2023")</f>
        <v/>
      </c>
      <c r="Z193">
        <f>HYPERLINK("https://klasma.github.io/Logging_1290/fåglar/A 62349-2023 prioriterade fågelarter.docx", "A 62349-2023")</f>
        <v/>
      </c>
    </row>
    <row r="194" ht="15" customHeight="1">
      <c r="A194" t="inlineStr">
        <is>
          <t>A 17396-2024</t>
        </is>
      </c>
      <c r="B194" s="1" t="n">
        <v>45414.69196759259</v>
      </c>
      <c r="C194" s="1" t="n">
        <v>45914</v>
      </c>
      <c r="D194" t="inlineStr">
        <is>
          <t>SKÅNE LÄN</t>
        </is>
      </c>
      <c r="E194" t="inlineStr">
        <is>
          <t>BROMÖLLA</t>
        </is>
      </c>
      <c r="G194" t="n">
        <v>1.8</v>
      </c>
      <c r="H194" t="n">
        <v>0</v>
      </c>
      <c r="I194" t="n">
        <v>1</v>
      </c>
      <c r="J194" t="n">
        <v>0</v>
      </c>
      <c r="K194" t="n">
        <v>0</v>
      </c>
      <c r="L194" t="n">
        <v>0</v>
      </c>
      <c r="M194" t="n">
        <v>0</v>
      </c>
      <c r="N194" t="n">
        <v>0</v>
      </c>
      <c r="O194" t="n">
        <v>0</v>
      </c>
      <c r="P194" t="n">
        <v>0</v>
      </c>
      <c r="Q194" t="n">
        <v>1</v>
      </c>
      <c r="R194" s="2" t="inlineStr">
        <is>
          <t>Safsa</t>
        </is>
      </c>
      <c r="S194">
        <f>HYPERLINK("https://klasma.github.io/Logging_1272/artfynd/A 17396-2024 artfynd.xlsx", "A 17396-2024")</f>
        <v/>
      </c>
      <c r="T194">
        <f>HYPERLINK("https://klasma.github.io/Logging_1272/kartor/A 17396-2024 karta.png", "A 17396-2024")</f>
        <v/>
      </c>
      <c r="V194">
        <f>HYPERLINK("https://klasma.github.io/Logging_1272/klagomål/A 17396-2024 FSC-klagomål.docx", "A 17396-2024")</f>
        <v/>
      </c>
      <c r="W194">
        <f>HYPERLINK("https://klasma.github.io/Logging_1272/klagomålsmail/A 17396-2024 FSC-klagomål mail.docx", "A 17396-2024")</f>
        <v/>
      </c>
      <c r="X194">
        <f>HYPERLINK("https://klasma.github.io/Logging_1272/tillsyn/A 17396-2024 tillsynsbegäran.docx", "A 17396-2024")</f>
        <v/>
      </c>
      <c r="Y194">
        <f>HYPERLINK("https://klasma.github.io/Logging_1272/tillsynsmail/A 17396-2024 tillsynsbegäran mail.docx", "A 17396-2024")</f>
        <v/>
      </c>
    </row>
    <row r="195" ht="15" customHeight="1">
      <c r="A195" t="inlineStr">
        <is>
          <t>A 20179-2024</t>
        </is>
      </c>
      <c r="B195" s="1" t="n">
        <v>45434</v>
      </c>
      <c r="C195" s="1" t="n">
        <v>45914</v>
      </c>
      <c r="D195" t="inlineStr">
        <is>
          <t>SKÅNE LÄN</t>
        </is>
      </c>
      <c r="E195" t="inlineStr">
        <is>
          <t>ESLÖV</t>
        </is>
      </c>
      <c r="G195" t="n">
        <v>1.8</v>
      </c>
      <c r="H195" t="n">
        <v>0</v>
      </c>
      <c r="I195" t="n">
        <v>0</v>
      </c>
      <c r="J195" t="n">
        <v>1</v>
      </c>
      <c r="K195" t="n">
        <v>0</v>
      </c>
      <c r="L195" t="n">
        <v>0</v>
      </c>
      <c r="M195" t="n">
        <v>0</v>
      </c>
      <c r="N195" t="n">
        <v>0</v>
      </c>
      <c r="O195" t="n">
        <v>1</v>
      </c>
      <c r="P195" t="n">
        <v>0</v>
      </c>
      <c r="Q195" t="n">
        <v>1</v>
      </c>
      <c r="R195" s="2" t="inlineStr">
        <is>
          <t>Stiftklotterlav</t>
        </is>
      </c>
      <c r="S195">
        <f>HYPERLINK("https://klasma.github.io/Logging_1285/artfynd/A 20179-2024 artfynd.xlsx", "A 20179-2024")</f>
        <v/>
      </c>
      <c r="T195">
        <f>HYPERLINK("https://klasma.github.io/Logging_1285/kartor/A 20179-2024 karta.png", "A 20179-2024")</f>
        <v/>
      </c>
      <c r="V195">
        <f>HYPERLINK("https://klasma.github.io/Logging_1285/klagomål/A 20179-2024 FSC-klagomål.docx", "A 20179-2024")</f>
        <v/>
      </c>
      <c r="W195">
        <f>HYPERLINK("https://klasma.github.io/Logging_1285/klagomålsmail/A 20179-2024 FSC-klagomål mail.docx", "A 20179-2024")</f>
        <v/>
      </c>
      <c r="X195">
        <f>HYPERLINK("https://klasma.github.io/Logging_1285/tillsyn/A 20179-2024 tillsynsbegäran.docx", "A 20179-2024")</f>
        <v/>
      </c>
      <c r="Y195">
        <f>HYPERLINK("https://klasma.github.io/Logging_1285/tillsynsmail/A 20179-2024 tillsynsbegäran mail.docx", "A 20179-2024")</f>
        <v/>
      </c>
    </row>
    <row r="196" ht="15" customHeight="1">
      <c r="A196" t="inlineStr">
        <is>
          <t>A 7862-2024</t>
        </is>
      </c>
      <c r="B196" s="1" t="n">
        <v>45348</v>
      </c>
      <c r="C196" s="1" t="n">
        <v>45914</v>
      </c>
      <c r="D196" t="inlineStr">
        <is>
          <t>SKÅNE LÄN</t>
        </is>
      </c>
      <c r="E196" t="inlineStr">
        <is>
          <t>HÄSSLEHOLM</t>
        </is>
      </c>
      <c r="G196" t="n">
        <v>5</v>
      </c>
      <c r="H196" t="n">
        <v>0</v>
      </c>
      <c r="I196" t="n">
        <v>1</v>
      </c>
      <c r="J196" t="n">
        <v>0</v>
      </c>
      <c r="K196" t="n">
        <v>0</v>
      </c>
      <c r="L196" t="n">
        <v>0</v>
      </c>
      <c r="M196" t="n">
        <v>0</v>
      </c>
      <c r="N196" t="n">
        <v>0</v>
      </c>
      <c r="O196" t="n">
        <v>0</v>
      </c>
      <c r="P196" t="n">
        <v>0</v>
      </c>
      <c r="Q196" t="n">
        <v>1</v>
      </c>
      <c r="R196" s="2" t="inlineStr">
        <is>
          <t>Stor revmossa</t>
        </is>
      </c>
      <c r="S196">
        <f>HYPERLINK("https://klasma.github.io/Logging_1293/artfynd/A 7862-2024 artfynd.xlsx", "A 7862-2024")</f>
        <v/>
      </c>
      <c r="T196">
        <f>HYPERLINK("https://klasma.github.io/Logging_1293/kartor/A 7862-2024 karta.png", "A 7862-2024")</f>
        <v/>
      </c>
      <c r="V196">
        <f>HYPERLINK("https://klasma.github.io/Logging_1293/klagomål/A 7862-2024 FSC-klagomål.docx", "A 7862-2024")</f>
        <v/>
      </c>
      <c r="W196">
        <f>HYPERLINK("https://klasma.github.io/Logging_1293/klagomålsmail/A 7862-2024 FSC-klagomål mail.docx", "A 7862-2024")</f>
        <v/>
      </c>
      <c r="X196">
        <f>HYPERLINK("https://klasma.github.io/Logging_1293/tillsyn/A 7862-2024 tillsynsbegäran.docx", "A 7862-2024")</f>
        <v/>
      </c>
      <c r="Y196">
        <f>HYPERLINK("https://klasma.github.io/Logging_1293/tillsynsmail/A 7862-2024 tillsynsbegäran mail.docx", "A 7862-2024")</f>
        <v/>
      </c>
    </row>
    <row r="197" ht="15" customHeight="1">
      <c r="A197" t="inlineStr">
        <is>
          <t>A 11720-2025</t>
        </is>
      </c>
      <c r="B197" s="1" t="n">
        <v>45727</v>
      </c>
      <c r="C197" s="1" t="n">
        <v>45914</v>
      </c>
      <c r="D197" t="inlineStr">
        <is>
          <t>SKÅNE LÄN</t>
        </is>
      </c>
      <c r="E197" t="inlineStr">
        <is>
          <t>KRISTIANSTAD</t>
        </is>
      </c>
      <c r="G197" t="n">
        <v>3.1</v>
      </c>
      <c r="H197" t="n">
        <v>0</v>
      </c>
      <c r="I197" t="n">
        <v>1</v>
      </c>
      <c r="J197" t="n">
        <v>0</v>
      </c>
      <c r="K197" t="n">
        <v>0</v>
      </c>
      <c r="L197" t="n">
        <v>0</v>
      </c>
      <c r="M197" t="n">
        <v>0</v>
      </c>
      <c r="N197" t="n">
        <v>0</v>
      </c>
      <c r="O197" t="n">
        <v>0</v>
      </c>
      <c r="P197" t="n">
        <v>0</v>
      </c>
      <c r="Q197" t="n">
        <v>1</v>
      </c>
      <c r="R197" s="2" t="inlineStr">
        <is>
          <t>Igelkottsröksvamp</t>
        </is>
      </c>
      <c r="S197">
        <f>HYPERLINK("https://klasma.github.io/Logging_1290/artfynd/A 11720-2025 artfynd.xlsx", "A 11720-2025")</f>
        <v/>
      </c>
      <c r="T197">
        <f>HYPERLINK("https://klasma.github.io/Logging_1290/kartor/A 11720-2025 karta.png", "A 11720-2025")</f>
        <v/>
      </c>
      <c r="V197">
        <f>HYPERLINK("https://klasma.github.io/Logging_1290/klagomål/A 11720-2025 FSC-klagomål.docx", "A 11720-2025")</f>
        <v/>
      </c>
      <c r="W197">
        <f>HYPERLINK("https://klasma.github.io/Logging_1290/klagomålsmail/A 11720-2025 FSC-klagomål mail.docx", "A 11720-2025")</f>
        <v/>
      </c>
      <c r="X197">
        <f>HYPERLINK("https://klasma.github.io/Logging_1290/tillsyn/A 11720-2025 tillsynsbegäran.docx", "A 11720-2025")</f>
        <v/>
      </c>
      <c r="Y197">
        <f>HYPERLINK("https://klasma.github.io/Logging_1290/tillsynsmail/A 11720-2025 tillsynsbegäran mail.docx", "A 11720-2025")</f>
        <v/>
      </c>
    </row>
    <row r="198" ht="15" customHeight="1">
      <c r="A198" t="inlineStr">
        <is>
          <t>A 20280-2025</t>
        </is>
      </c>
      <c r="B198" s="1" t="n">
        <v>45774.38790509259</v>
      </c>
      <c r="C198" s="1" t="n">
        <v>45914</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45914</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45914</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26965-2023</t>
        </is>
      </c>
      <c r="B201" s="1" t="n">
        <v>45093</v>
      </c>
      <c r="C201" s="1" t="n">
        <v>45914</v>
      </c>
      <c r="D201" t="inlineStr">
        <is>
          <t>SKÅNE LÄN</t>
        </is>
      </c>
      <c r="E201" t="inlineStr">
        <is>
          <t>KRISTIANSTAD</t>
        </is>
      </c>
      <c r="F201" t="inlineStr">
        <is>
          <t>Sveaskog</t>
        </is>
      </c>
      <c r="G201" t="n">
        <v>9.9</v>
      </c>
      <c r="H201" t="n">
        <v>0</v>
      </c>
      <c r="I201" t="n">
        <v>0</v>
      </c>
      <c r="J201" t="n">
        <v>0</v>
      </c>
      <c r="K201" t="n">
        <v>1</v>
      </c>
      <c r="L201" t="n">
        <v>0</v>
      </c>
      <c r="M201" t="n">
        <v>0</v>
      </c>
      <c r="N201" t="n">
        <v>0</v>
      </c>
      <c r="O201" t="n">
        <v>1</v>
      </c>
      <c r="P201" t="n">
        <v>1</v>
      </c>
      <c r="Q201" t="n">
        <v>1</v>
      </c>
      <c r="R201" s="2" t="inlineStr">
        <is>
          <t>Sjötåtel</t>
        </is>
      </c>
      <c r="S201">
        <f>HYPERLINK("https://klasma.github.io/Logging_1290/artfynd/A 26965-2023 artfynd.xlsx", "A 26965-2023")</f>
        <v/>
      </c>
      <c r="T201">
        <f>HYPERLINK("https://klasma.github.io/Logging_1290/kartor/A 26965-2023 karta.png", "A 26965-2023")</f>
        <v/>
      </c>
      <c r="V201">
        <f>HYPERLINK("https://klasma.github.io/Logging_1290/klagomål/A 26965-2023 FSC-klagomål.docx", "A 26965-2023")</f>
        <v/>
      </c>
      <c r="W201">
        <f>HYPERLINK("https://klasma.github.io/Logging_1290/klagomålsmail/A 26965-2023 FSC-klagomål mail.docx", "A 26965-2023")</f>
        <v/>
      </c>
      <c r="X201">
        <f>HYPERLINK("https://klasma.github.io/Logging_1290/tillsyn/A 26965-2023 tillsynsbegäran.docx", "A 26965-2023")</f>
        <v/>
      </c>
      <c r="Y201">
        <f>HYPERLINK("https://klasma.github.io/Logging_1290/tillsynsmail/A 26965-2023 tillsynsbegäran mail.docx", "A 26965-2023")</f>
        <v/>
      </c>
    </row>
    <row r="202" ht="15" customHeight="1">
      <c r="A202" t="inlineStr">
        <is>
          <t>A 61707-2024</t>
        </is>
      </c>
      <c r="B202" s="1" t="n">
        <v>45648.61747685185</v>
      </c>
      <c r="C202" s="1" t="n">
        <v>45914</v>
      </c>
      <c r="D202" t="inlineStr">
        <is>
          <t>SKÅNE LÄN</t>
        </is>
      </c>
      <c r="E202" t="inlineStr">
        <is>
          <t>HÄSSLEHOLM</t>
        </is>
      </c>
      <c r="G202" t="n">
        <v>3.2</v>
      </c>
      <c r="H202" t="n">
        <v>0</v>
      </c>
      <c r="I202" t="n">
        <v>0</v>
      </c>
      <c r="J202" t="n">
        <v>1</v>
      </c>
      <c r="K202" t="n">
        <v>0</v>
      </c>
      <c r="L202" t="n">
        <v>0</v>
      </c>
      <c r="M202" t="n">
        <v>0</v>
      </c>
      <c r="N202" t="n">
        <v>0</v>
      </c>
      <c r="O202" t="n">
        <v>1</v>
      </c>
      <c r="P202" t="n">
        <v>0</v>
      </c>
      <c r="Q202" t="n">
        <v>1</v>
      </c>
      <c r="R202" s="2" t="inlineStr">
        <is>
          <t>Rödlånke</t>
        </is>
      </c>
      <c r="S202">
        <f>HYPERLINK("https://klasma.github.io/Logging_1293/artfynd/A 61707-2024 artfynd.xlsx", "A 61707-2024")</f>
        <v/>
      </c>
      <c r="T202">
        <f>HYPERLINK("https://klasma.github.io/Logging_1293/kartor/A 61707-2024 karta.png", "A 61707-2024")</f>
        <v/>
      </c>
      <c r="V202">
        <f>HYPERLINK("https://klasma.github.io/Logging_1293/klagomål/A 61707-2024 FSC-klagomål.docx", "A 61707-2024")</f>
        <v/>
      </c>
      <c r="W202">
        <f>HYPERLINK("https://klasma.github.io/Logging_1293/klagomålsmail/A 61707-2024 FSC-klagomål mail.docx", "A 61707-2024")</f>
        <v/>
      </c>
      <c r="X202">
        <f>HYPERLINK("https://klasma.github.io/Logging_1293/tillsyn/A 61707-2024 tillsynsbegäran.docx", "A 61707-2024")</f>
        <v/>
      </c>
      <c r="Y202">
        <f>HYPERLINK("https://klasma.github.io/Logging_1293/tillsynsmail/A 61707-2024 tillsynsbegäran mail.docx", "A 61707-2024")</f>
        <v/>
      </c>
    </row>
    <row r="203" ht="15" customHeight="1">
      <c r="A203" t="inlineStr">
        <is>
          <t>A 3954-2024</t>
        </is>
      </c>
      <c r="B203" s="1" t="n">
        <v>45322</v>
      </c>
      <c r="C203" s="1" t="n">
        <v>45914</v>
      </c>
      <c r="D203" t="inlineStr">
        <is>
          <t>SKÅNE LÄN</t>
        </is>
      </c>
      <c r="E203" t="inlineStr">
        <is>
          <t>KRISTIANSTAD</t>
        </is>
      </c>
      <c r="G203" t="n">
        <v>1.2</v>
      </c>
      <c r="H203" t="n">
        <v>0</v>
      </c>
      <c r="I203" t="n">
        <v>0</v>
      </c>
      <c r="J203" t="n">
        <v>0</v>
      </c>
      <c r="K203" t="n">
        <v>1</v>
      </c>
      <c r="L203" t="n">
        <v>0</v>
      </c>
      <c r="M203" t="n">
        <v>0</v>
      </c>
      <c r="N203" t="n">
        <v>0</v>
      </c>
      <c r="O203" t="n">
        <v>1</v>
      </c>
      <c r="P203" t="n">
        <v>1</v>
      </c>
      <c r="Q203" t="n">
        <v>1</v>
      </c>
      <c r="R203" s="2" t="inlineStr">
        <is>
          <t>Slåttergubbe</t>
        </is>
      </c>
      <c r="S203">
        <f>HYPERLINK("https://klasma.github.io/Logging_1290/artfynd/A 3954-2024 artfynd.xlsx", "A 3954-2024")</f>
        <v/>
      </c>
      <c r="T203">
        <f>HYPERLINK("https://klasma.github.io/Logging_1290/kartor/A 3954-2024 karta.png", "A 3954-2024")</f>
        <v/>
      </c>
      <c r="V203">
        <f>HYPERLINK("https://klasma.github.io/Logging_1290/klagomål/A 3954-2024 FSC-klagomål.docx", "A 3954-2024")</f>
        <v/>
      </c>
      <c r="W203">
        <f>HYPERLINK("https://klasma.github.io/Logging_1290/klagomålsmail/A 3954-2024 FSC-klagomål mail.docx", "A 3954-2024")</f>
        <v/>
      </c>
      <c r="X203">
        <f>HYPERLINK("https://klasma.github.io/Logging_1290/tillsyn/A 3954-2024 tillsynsbegäran.docx", "A 3954-2024")</f>
        <v/>
      </c>
      <c r="Y203">
        <f>HYPERLINK("https://klasma.github.io/Logging_1290/tillsynsmail/A 3954-2024 tillsynsbegäran mail.docx", "A 3954-2024")</f>
        <v/>
      </c>
    </row>
    <row r="204" ht="15" customHeight="1">
      <c r="A204" t="inlineStr">
        <is>
          <t>A 2695-2022</t>
        </is>
      </c>
      <c r="B204" s="1" t="n">
        <v>44580</v>
      </c>
      <c r="C204" s="1" t="n">
        <v>45914</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45914</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45914</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45914</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28342-2024</t>
        </is>
      </c>
      <c r="B208" s="1" t="n">
        <v>45477</v>
      </c>
      <c r="C208" s="1" t="n">
        <v>45914</v>
      </c>
      <c r="D208" t="inlineStr">
        <is>
          <t>SKÅNE LÄN</t>
        </is>
      </c>
      <c r="E208" t="inlineStr">
        <is>
          <t>KRISTIANSTAD</t>
        </is>
      </c>
      <c r="G208" t="n">
        <v>3.2</v>
      </c>
      <c r="H208" t="n">
        <v>0</v>
      </c>
      <c r="I208" t="n">
        <v>0</v>
      </c>
      <c r="J208" t="n">
        <v>1</v>
      </c>
      <c r="K208" t="n">
        <v>0</v>
      </c>
      <c r="L208" t="n">
        <v>0</v>
      </c>
      <c r="M208" t="n">
        <v>0</v>
      </c>
      <c r="N208" t="n">
        <v>0</v>
      </c>
      <c r="O208" t="n">
        <v>1</v>
      </c>
      <c r="P208" t="n">
        <v>0</v>
      </c>
      <c r="Q208" t="n">
        <v>1</v>
      </c>
      <c r="R208" s="2" t="inlineStr">
        <is>
          <t>Knölspindel</t>
        </is>
      </c>
      <c r="S208">
        <f>HYPERLINK("https://klasma.github.io/Logging_1290/artfynd/A 28342-2024 artfynd.xlsx", "A 28342-2024")</f>
        <v/>
      </c>
      <c r="T208">
        <f>HYPERLINK("https://klasma.github.io/Logging_1290/kartor/A 28342-2024 karta.png", "A 28342-2024")</f>
        <v/>
      </c>
      <c r="V208">
        <f>HYPERLINK("https://klasma.github.io/Logging_1290/klagomål/A 28342-2024 FSC-klagomål.docx", "A 28342-2024")</f>
        <v/>
      </c>
      <c r="W208">
        <f>HYPERLINK("https://klasma.github.io/Logging_1290/klagomålsmail/A 28342-2024 FSC-klagomål mail.docx", "A 28342-2024")</f>
        <v/>
      </c>
      <c r="X208">
        <f>HYPERLINK("https://klasma.github.io/Logging_1290/tillsyn/A 28342-2024 tillsynsbegäran.docx", "A 28342-2024")</f>
        <v/>
      </c>
      <c r="Y208">
        <f>HYPERLINK("https://klasma.github.io/Logging_1290/tillsynsmail/A 28342-2024 tillsynsbegäran mail.docx", "A 28342-2024")</f>
        <v/>
      </c>
    </row>
    <row r="209" ht="15" customHeight="1">
      <c r="A209" t="inlineStr">
        <is>
          <t>A 32367-2024</t>
        </is>
      </c>
      <c r="B209" s="1" t="n">
        <v>45512.58193287037</v>
      </c>
      <c r="C209" s="1" t="n">
        <v>45914</v>
      </c>
      <c r="D209" t="inlineStr">
        <is>
          <t>SKÅNE LÄN</t>
        </is>
      </c>
      <c r="E209" t="inlineStr">
        <is>
          <t>ÖSTRA GÖINGE</t>
        </is>
      </c>
      <c r="G209" t="n">
        <v>5.4</v>
      </c>
      <c r="H209" t="n">
        <v>0</v>
      </c>
      <c r="I209" t="n">
        <v>1</v>
      </c>
      <c r="J209" t="n">
        <v>0</v>
      </c>
      <c r="K209" t="n">
        <v>0</v>
      </c>
      <c r="L209" t="n">
        <v>0</v>
      </c>
      <c r="M209" t="n">
        <v>0</v>
      </c>
      <c r="N209" t="n">
        <v>0</v>
      </c>
      <c r="O209" t="n">
        <v>0</v>
      </c>
      <c r="P209" t="n">
        <v>0</v>
      </c>
      <c r="Q209" t="n">
        <v>1</v>
      </c>
      <c r="R209" s="2" t="inlineStr">
        <is>
          <t>Blomkålssvamp</t>
        </is>
      </c>
      <c r="S209">
        <f>HYPERLINK("https://klasma.github.io/Logging_1256/artfynd/A 32367-2024 artfynd.xlsx", "A 32367-2024")</f>
        <v/>
      </c>
      <c r="T209">
        <f>HYPERLINK("https://klasma.github.io/Logging_1256/kartor/A 32367-2024 karta.png", "A 32367-2024")</f>
        <v/>
      </c>
      <c r="V209">
        <f>HYPERLINK("https://klasma.github.io/Logging_1256/klagomål/A 32367-2024 FSC-klagomål.docx", "A 32367-2024")</f>
        <v/>
      </c>
      <c r="W209">
        <f>HYPERLINK("https://klasma.github.io/Logging_1256/klagomålsmail/A 32367-2024 FSC-klagomål mail.docx", "A 32367-2024")</f>
        <v/>
      </c>
      <c r="X209">
        <f>HYPERLINK("https://klasma.github.io/Logging_1256/tillsyn/A 32367-2024 tillsynsbegäran.docx", "A 32367-2024")</f>
        <v/>
      </c>
      <c r="Y209">
        <f>HYPERLINK("https://klasma.github.io/Logging_1256/tillsynsmail/A 32367-2024 tillsynsbegäran mail.docx", "A 32367-2024")</f>
        <v/>
      </c>
    </row>
    <row r="210" ht="15" customHeight="1">
      <c r="A210" t="inlineStr">
        <is>
          <t>A 12026-2023</t>
        </is>
      </c>
      <c r="B210" s="1" t="n">
        <v>44995</v>
      </c>
      <c r="C210" s="1" t="n">
        <v>45914</v>
      </c>
      <c r="D210" t="inlineStr">
        <is>
          <t>SKÅNE LÄN</t>
        </is>
      </c>
      <c r="E210" t="inlineStr">
        <is>
          <t>LOMMA</t>
        </is>
      </c>
      <c r="G210" t="n">
        <v>0.5</v>
      </c>
      <c r="H210" t="n">
        <v>1</v>
      </c>
      <c r="I210" t="n">
        <v>0</v>
      </c>
      <c r="J210" t="n">
        <v>0</v>
      </c>
      <c r="K210" t="n">
        <v>1</v>
      </c>
      <c r="L210" t="n">
        <v>0</v>
      </c>
      <c r="M210" t="n">
        <v>0</v>
      </c>
      <c r="N210" t="n">
        <v>0</v>
      </c>
      <c r="O210" t="n">
        <v>1</v>
      </c>
      <c r="P210" t="n">
        <v>1</v>
      </c>
      <c r="Q210" t="n">
        <v>1</v>
      </c>
      <c r="R210" s="2" t="inlineStr">
        <is>
          <t>Hedblomster</t>
        </is>
      </c>
      <c r="S210">
        <f>HYPERLINK("https://klasma.github.io/Logging_1262/artfynd/A 12026-2023 artfynd.xlsx", "A 12026-2023")</f>
        <v/>
      </c>
      <c r="T210">
        <f>HYPERLINK("https://klasma.github.io/Logging_1262/kartor/A 12026-2023 karta.png", "A 12026-2023")</f>
        <v/>
      </c>
      <c r="V210">
        <f>HYPERLINK("https://klasma.github.io/Logging_1262/klagomål/A 12026-2023 FSC-klagomål.docx", "A 12026-2023")</f>
        <v/>
      </c>
      <c r="W210">
        <f>HYPERLINK("https://klasma.github.io/Logging_1262/klagomålsmail/A 12026-2023 FSC-klagomål mail.docx", "A 12026-2023")</f>
        <v/>
      </c>
      <c r="X210">
        <f>HYPERLINK("https://klasma.github.io/Logging_1262/tillsyn/A 12026-2023 tillsynsbegäran.docx", "A 12026-2023")</f>
        <v/>
      </c>
      <c r="Y210">
        <f>HYPERLINK("https://klasma.github.io/Logging_1262/tillsynsmail/A 12026-2023 tillsynsbegäran mail.docx", "A 12026-2023")</f>
        <v/>
      </c>
    </row>
    <row r="211" ht="15" customHeight="1">
      <c r="A211" t="inlineStr">
        <is>
          <t>A 1577-2024</t>
        </is>
      </c>
      <c r="B211" s="1" t="n">
        <v>45306</v>
      </c>
      <c r="C211" s="1" t="n">
        <v>45914</v>
      </c>
      <c r="D211" t="inlineStr">
        <is>
          <t>SKÅNE LÄN</t>
        </is>
      </c>
      <c r="E211" t="inlineStr">
        <is>
          <t>SVALÖV</t>
        </is>
      </c>
      <c r="G211" t="n">
        <v>21.2</v>
      </c>
      <c r="H211" t="n">
        <v>1</v>
      </c>
      <c r="I211" t="n">
        <v>0</v>
      </c>
      <c r="J211" t="n">
        <v>0</v>
      </c>
      <c r="K211" t="n">
        <v>0</v>
      </c>
      <c r="L211" t="n">
        <v>0</v>
      </c>
      <c r="M211" t="n">
        <v>0</v>
      </c>
      <c r="N211" t="n">
        <v>0</v>
      </c>
      <c r="O211" t="n">
        <v>0</v>
      </c>
      <c r="P211" t="n">
        <v>0</v>
      </c>
      <c r="Q211" t="n">
        <v>1</v>
      </c>
      <c r="R211" s="2" t="inlineStr">
        <is>
          <t>Större vattensalamander</t>
        </is>
      </c>
      <c r="S211">
        <f>HYPERLINK("https://klasma.github.io/Logging_1214/artfynd/A 1577-2024 artfynd.xlsx", "A 1577-2024")</f>
        <v/>
      </c>
      <c r="T211">
        <f>HYPERLINK("https://klasma.github.io/Logging_1214/kartor/A 1577-2024 karta.png", "A 1577-2024")</f>
        <v/>
      </c>
      <c r="V211">
        <f>HYPERLINK("https://klasma.github.io/Logging_1214/klagomål/A 1577-2024 FSC-klagomål.docx", "A 1577-2024")</f>
        <v/>
      </c>
      <c r="W211">
        <f>HYPERLINK("https://klasma.github.io/Logging_1214/klagomålsmail/A 1577-2024 FSC-klagomål mail.docx", "A 1577-2024")</f>
        <v/>
      </c>
      <c r="X211">
        <f>HYPERLINK("https://klasma.github.io/Logging_1214/tillsyn/A 1577-2024 tillsynsbegäran.docx", "A 1577-2024")</f>
        <v/>
      </c>
      <c r="Y211">
        <f>HYPERLINK("https://klasma.github.io/Logging_1214/tillsynsmail/A 1577-2024 tillsynsbegäran mail.docx", "A 1577-2024")</f>
        <v/>
      </c>
    </row>
    <row r="212" ht="15" customHeight="1">
      <c r="A212" t="inlineStr">
        <is>
          <t>A 13766-2023</t>
        </is>
      </c>
      <c r="B212" s="1" t="n">
        <v>45007</v>
      </c>
      <c r="C212" s="1" t="n">
        <v>45914</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34360-2023</t>
        </is>
      </c>
      <c r="B213" s="1" t="n">
        <v>45139</v>
      </c>
      <c r="C213" s="1" t="n">
        <v>45914</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20090-2024</t>
        </is>
      </c>
      <c r="B214" s="1" t="n">
        <v>45434</v>
      </c>
      <c r="C214" s="1" t="n">
        <v>45914</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12159-2025</t>
        </is>
      </c>
      <c r="B215" s="1" t="n">
        <v>45729</v>
      </c>
      <c r="C215" s="1" t="n">
        <v>45914</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45914</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60925-2024</t>
        </is>
      </c>
      <c r="B217" s="1" t="n">
        <v>45645.3550462963</v>
      </c>
      <c r="C217" s="1" t="n">
        <v>45914</v>
      </c>
      <c r="D217" t="inlineStr">
        <is>
          <t>SKÅNE LÄN</t>
        </is>
      </c>
      <c r="E217" t="inlineStr">
        <is>
          <t>HÄSSLEHOLM</t>
        </is>
      </c>
      <c r="G217" t="n">
        <v>1.8</v>
      </c>
      <c r="H217" t="n">
        <v>0</v>
      </c>
      <c r="I217" t="n">
        <v>0</v>
      </c>
      <c r="J217" t="n">
        <v>0</v>
      </c>
      <c r="K217" t="n">
        <v>0</v>
      </c>
      <c r="L217" t="n">
        <v>1</v>
      </c>
      <c r="M217" t="n">
        <v>0</v>
      </c>
      <c r="N217" t="n">
        <v>0</v>
      </c>
      <c r="O217" t="n">
        <v>1</v>
      </c>
      <c r="P217" t="n">
        <v>1</v>
      </c>
      <c r="Q217" t="n">
        <v>1</v>
      </c>
      <c r="R217" s="2" t="inlineStr">
        <is>
          <t>Ask</t>
        </is>
      </c>
      <c r="S217">
        <f>HYPERLINK("https://klasma.github.io/Logging_1293/artfynd/A 60925-2024 artfynd.xlsx", "A 60925-2024")</f>
        <v/>
      </c>
      <c r="T217">
        <f>HYPERLINK("https://klasma.github.io/Logging_1293/kartor/A 60925-2024 karta.png", "A 60925-2024")</f>
        <v/>
      </c>
      <c r="V217">
        <f>HYPERLINK("https://klasma.github.io/Logging_1293/klagomål/A 60925-2024 FSC-klagomål.docx", "A 60925-2024")</f>
        <v/>
      </c>
      <c r="W217">
        <f>HYPERLINK("https://klasma.github.io/Logging_1293/klagomålsmail/A 60925-2024 FSC-klagomål mail.docx", "A 60925-2024")</f>
        <v/>
      </c>
      <c r="X217">
        <f>HYPERLINK("https://klasma.github.io/Logging_1293/tillsyn/A 60925-2024 tillsynsbegäran.docx", "A 60925-2024")</f>
        <v/>
      </c>
      <c r="Y217">
        <f>HYPERLINK("https://klasma.github.io/Logging_1293/tillsynsmail/A 60925-2024 tillsynsbegäran mail.docx", "A 60925-2024")</f>
        <v/>
      </c>
    </row>
    <row r="218" ht="15" customHeight="1">
      <c r="A218" t="inlineStr">
        <is>
          <t>A 61019-2024</t>
        </is>
      </c>
      <c r="B218" s="1" t="n">
        <v>45645</v>
      </c>
      <c r="C218" s="1" t="n">
        <v>45914</v>
      </c>
      <c r="D218" t="inlineStr">
        <is>
          <t>SKÅNE LÄN</t>
        </is>
      </c>
      <c r="E218" t="inlineStr">
        <is>
          <t>HÖÖR</t>
        </is>
      </c>
      <c r="F218" t="inlineStr">
        <is>
          <t>Kommuner</t>
        </is>
      </c>
      <c r="G218" t="n">
        <v>2.2</v>
      </c>
      <c r="H218" t="n">
        <v>0</v>
      </c>
      <c r="I218" t="n">
        <v>0</v>
      </c>
      <c r="J218" t="n">
        <v>1</v>
      </c>
      <c r="K218" t="n">
        <v>0</v>
      </c>
      <c r="L218" t="n">
        <v>0</v>
      </c>
      <c r="M218" t="n">
        <v>0</v>
      </c>
      <c r="N218" t="n">
        <v>0</v>
      </c>
      <c r="O218" t="n">
        <v>1</v>
      </c>
      <c r="P218" t="n">
        <v>0</v>
      </c>
      <c r="Q218" t="n">
        <v>1</v>
      </c>
      <c r="R218" s="2" t="inlineStr">
        <is>
          <t>Brokigt ängsfly</t>
        </is>
      </c>
      <c r="S218">
        <f>HYPERLINK("https://klasma.github.io/Logging_1267/artfynd/A 61019-2024 artfynd.xlsx", "A 61019-2024")</f>
        <v/>
      </c>
      <c r="T218">
        <f>HYPERLINK("https://klasma.github.io/Logging_1267/kartor/A 61019-2024 karta.png", "A 61019-2024")</f>
        <v/>
      </c>
      <c r="V218">
        <f>HYPERLINK("https://klasma.github.io/Logging_1267/klagomål/A 61019-2024 FSC-klagomål.docx", "A 61019-2024")</f>
        <v/>
      </c>
      <c r="W218">
        <f>HYPERLINK("https://klasma.github.io/Logging_1267/klagomålsmail/A 61019-2024 FSC-klagomål mail.docx", "A 61019-2024")</f>
        <v/>
      </c>
      <c r="X218">
        <f>HYPERLINK("https://klasma.github.io/Logging_1267/tillsyn/A 61019-2024 tillsynsbegäran.docx", "A 61019-2024")</f>
        <v/>
      </c>
      <c r="Y218">
        <f>HYPERLINK("https://klasma.github.io/Logging_1267/tillsynsmail/A 61019-2024 tillsynsbegäran mail.docx", "A 61019-2024")</f>
        <v/>
      </c>
    </row>
    <row r="219" ht="15" customHeight="1">
      <c r="A219" t="inlineStr">
        <is>
          <t>A 8169-2024</t>
        </is>
      </c>
      <c r="B219" s="1" t="n">
        <v>45351</v>
      </c>
      <c r="C219" s="1" t="n">
        <v>45914</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61558-2023</t>
        </is>
      </c>
      <c r="B220" s="1" t="n">
        <v>45265</v>
      </c>
      <c r="C220" s="1" t="n">
        <v>45914</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60891-2024</t>
        </is>
      </c>
      <c r="B221" s="1" t="n">
        <v>45644</v>
      </c>
      <c r="C221" s="1" t="n">
        <v>45914</v>
      </c>
      <c r="D221" t="inlineStr">
        <is>
          <t>SKÅNE LÄN</t>
        </is>
      </c>
      <c r="E221" t="inlineStr">
        <is>
          <t>YSTAD</t>
        </is>
      </c>
      <c r="G221" t="n">
        <v>16.1</v>
      </c>
      <c r="H221" t="n">
        <v>1</v>
      </c>
      <c r="I221" t="n">
        <v>0</v>
      </c>
      <c r="J221" t="n">
        <v>0</v>
      </c>
      <c r="K221" t="n">
        <v>0</v>
      </c>
      <c r="L221" t="n">
        <v>0</v>
      </c>
      <c r="M221" t="n">
        <v>0</v>
      </c>
      <c r="N221" t="n">
        <v>0</v>
      </c>
      <c r="O221" t="n">
        <v>0</v>
      </c>
      <c r="P221" t="n">
        <v>0</v>
      </c>
      <c r="Q221" t="n">
        <v>1</v>
      </c>
      <c r="R221" s="2" t="inlineStr">
        <is>
          <t>Lövgroda</t>
        </is>
      </c>
      <c r="S221">
        <f>HYPERLINK("https://klasma.github.io/Logging_1286/artfynd/A 60891-2024 artfynd.xlsx", "A 60891-2024")</f>
        <v/>
      </c>
      <c r="T221">
        <f>HYPERLINK("https://klasma.github.io/Logging_1286/kartor/A 60891-2024 karta.png", "A 60891-2024")</f>
        <v/>
      </c>
      <c r="V221">
        <f>HYPERLINK("https://klasma.github.io/Logging_1286/klagomål/A 60891-2024 FSC-klagomål.docx", "A 60891-2024")</f>
        <v/>
      </c>
      <c r="W221">
        <f>HYPERLINK("https://klasma.github.io/Logging_1286/klagomålsmail/A 60891-2024 FSC-klagomål mail.docx", "A 60891-2024")</f>
        <v/>
      </c>
      <c r="X221">
        <f>HYPERLINK("https://klasma.github.io/Logging_1286/tillsyn/A 60891-2024 tillsynsbegäran.docx", "A 60891-2024")</f>
        <v/>
      </c>
      <c r="Y221">
        <f>HYPERLINK("https://klasma.github.io/Logging_1286/tillsynsmail/A 60891-2024 tillsynsbegäran mail.docx", "A 60891-2024")</f>
        <v/>
      </c>
    </row>
    <row r="222" ht="15" customHeight="1">
      <c r="A222" t="inlineStr">
        <is>
          <t>A 71055-2021</t>
        </is>
      </c>
      <c r="B222" s="1" t="n">
        <v>44538</v>
      </c>
      <c r="C222" s="1" t="n">
        <v>45914</v>
      </c>
      <c r="D222" t="inlineStr">
        <is>
          <t>SKÅNE LÄN</t>
        </is>
      </c>
      <c r="E222" t="inlineStr">
        <is>
          <t>SJÖBO</t>
        </is>
      </c>
      <c r="G222" t="n">
        <v>7.2</v>
      </c>
      <c r="H222" t="n">
        <v>0</v>
      </c>
      <c r="I222" t="n">
        <v>0</v>
      </c>
      <c r="J222" t="n">
        <v>0</v>
      </c>
      <c r="K222" t="n">
        <v>0</v>
      </c>
      <c r="L222" t="n">
        <v>0</v>
      </c>
      <c r="M222" t="n">
        <v>1</v>
      </c>
      <c r="N222" t="n">
        <v>0</v>
      </c>
      <c r="O222" t="n">
        <v>1</v>
      </c>
      <c r="P222" t="n">
        <v>1</v>
      </c>
      <c r="Q222" t="n">
        <v>1</v>
      </c>
      <c r="R222" s="2" t="inlineStr">
        <is>
          <t>Skogsalm</t>
        </is>
      </c>
      <c r="S222">
        <f>HYPERLINK("https://klasma.github.io/Logging_1265/artfynd/A 71055-2021 artfynd.xlsx", "A 71055-2021")</f>
        <v/>
      </c>
      <c r="T222">
        <f>HYPERLINK("https://klasma.github.io/Logging_1265/kartor/A 71055-2021 karta.png", "A 71055-2021")</f>
        <v/>
      </c>
      <c r="V222">
        <f>HYPERLINK("https://klasma.github.io/Logging_1265/klagomål/A 71055-2021 FSC-klagomål.docx", "A 71055-2021")</f>
        <v/>
      </c>
      <c r="W222">
        <f>HYPERLINK("https://klasma.github.io/Logging_1265/klagomålsmail/A 71055-2021 FSC-klagomål mail.docx", "A 71055-2021")</f>
        <v/>
      </c>
      <c r="X222">
        <f>HYPERLINK("https://klasma.github.io/Logging_1265/tillsyn/A 71055-2021 tillsynsbegäran.docx", "A 71055-2021")</f>
        <v/>
      </c>
      <c r="Y222">
        <f>HYPERLINK("https://klasma.github.io/Logging_1265/tillsynsmail/A 71055-2021 tillsynsbegäran mail.docx", "A 71055-2021")</f>
        <v/>
      </c>
    </row>
    <row r="223" ht="15" customHeight="1">
      <c r="A223" t="inlineStr">
        <is>
          <t>A 40376-2023</t>
        </is>
      </c>
      <c r="B223" s="1" t="n">
        <v>45169</v>
      </c>
      <c r="C223" s="1" t="n">
        <v>45914</v>
      </c>
      <c r="D223" t="inlineStr">
        <is>
          <t>SKÅNE LÄN</t>
        </is>
      </c>
      <c r="E223" t="inlineStr">
        <is>
          <t>HÖRBY</t>
        </is>
      </c>
      <c r="G223" t="n">
        <v>2.7</v>
      </c>
      <c r="H223" t="n">
        <v>1</v>
      </c>
      <c r="I223" t="n">
        <v>0</v>
      </c>
      <c r="J223" t="n">
        <v>1</v>
      </c>
      <c r="K223" t="n">
        <v>0</v>
      </c>
      <c r="L223" t="n">
        <v>0</v>
      </c>
      <c r="M223" t="n">
        <v>0</v>
      </c>
      <c r="N223" t="n">
        <v>0</v>
      </c>
      <c r="O223" t="n">
        <v>1</v>
      </c>
      <c r="P223" t="n">
        <v>0</v>
      </c>
      <c r="Q223" t="n">
        <v>1</v>
      </c>
      <c r="R223" s="2" t="inlineStr">
        <is>
          <t>Talltita</t>
        </is>
      </c>
      <c r="S223">
        <f>HYPERLINK("https://klasma.github.io/Logging_1266/artfynd/A 40376-2023 artfynd.xlsx", "A 40376-2023")</f>
        <v/>
      </c>
      <c r="T223">
        <f>HYPERLINK("https://klasma.github.io/Logging_1266/kartor/A 40376-2023 karta.png", "A 40376-2023")</f>
        <v/>
      </c>
      <c r="V223">
        <f>HYPERLINK("https://klasma.github.io/Logging_1266/klagomål/A 40376-2023 FSC-klagomål.docx", "A 40376-2023")</f>
        <v/>
      </c>
      <c r="W223">
        <f>HYPERLINK("https://klasma.github.io/Logging_1266/klagomålsmail/A 40376-2023 FSC-klagomål mail.docx", "A 40376-2023")</f>
        <v/>
      </c>
      <c r="X223">
        <f>HYPERLINK("https://klasma.github.io/Logging_1266/tillsyn/A 40376-2023 tillsynsbegäran.docx", "A 40376-2023")</f>
        <v/>
      </c>
      <c r="Y223">
        <f>HYPERLINK("https://klasma.github.io/Logging_1266/tillsynsmail/A 40376-2023 tillsynsbegäran mail.docx", "A 40376-2023")</f>
        <v/>
      </c>
      <c r="Z223">
        <f>HYPERLINK("https://klasma.github.io/Logging_1266/fåglar/A 40376-2023 prioriterade fågelarter.docx", "A 40376-2023")</f>
        <v/>
      </c>
    </row>
    <row r="224" ht="15" customHeight="1">
      <c r="A224" t="inlineStr">
        <is>
          <t>A 48926-2024</t>
        </is>
      </c>
      <c r="B224" s="1" t="n">
        <v>45594</v>
      </c>
      <c r="C224" s="1" t="n">
        <v>45914</v>
      </c>
      <c r="D224" t="inlineStr">
        <is>
          <t>SKÅNE LÄN</t>
        </is>
      </c>
      <c r="E224" t="inlineStr">
        <is>
          <t>HÖÖR</t>
        </is>
      </c>
      <c r="G224" t="n">
        <v>10.8</v>
      </c>
      <c r="H224" t="n">
        <v>0</v>
      </c>
      <c r="I224" t="n">
        <v>0</v>
      </c>
      <c r="J224" t="n">
        <v>0</v>
      </c>
      <c r="K224" t="n">
        <v>1</v>
      </c>
      <c r="L224" t="n">
        <v>0</v>
      </c>
      <c r="M224" t="n">
        <v>0</v>
      </c>
      <c r="N224" t="n">
        <v>0</v>
      </c>
      <c r="O224" t="n">
        <v>1</v>
      </c>
      <c r="P224" t="n">
        <v>1</v>
      </c>
      <c r="Q224" t="n">
        <v>1</v>
      </c>
      <c r="R224" s="2" t="inlineStr">
        <is>
          <t>Småvänderot</t>
        </is>
      </c>
      <c r="S224">
        <f>HYPERLINK("https://klasma.github.io/Logging_1267/artfynd/A 48926-2024 artfynd.xlsx", "A 48926-2024")</f>
        <v/>
      </c>
      <c r="T224">
        <f>HYPERLINK("https://klasma.github.io/Logging_1267/kartor/A 48926-2024 karta.png", "A 48926-2024")</f>
        <v/>
      </c>
      <c r="V224">
        <f>HYPERLINK("https://klasma.github.io/Logging_1267/klagomål/A 48926-2024 FSC-klagomål.docx", "A 48926-2024")</f>
        <v/>
      </c>
      <c r="W224">
        <f>HYPERLINK("https://klasma.github.io/Logging_1267/klagomålsmail/A 48926-2024 FSC-klagomål mail.docx", "A 48926-2024")</f>
        <v/>
      </c>
      <c r="X224">
        <f>HYPERLINK("https://klasma.github.io/Logging_1267/tillsyn/A 48926-2024 tillsynsbegäran.docx", "A 48926-2024")</f>
        <v/>
      </c>
      <c r="Y224">
        <f>HYPERLINK("https://klasma.github.io/Logging_1267/tillsynsmail/A 48926-2024 tillsynsbegäran mail.docx", "A 48926-2024")</f>
        <v/>
      </c>
    </row>
    <row r="225" ht="15" customHeight="1">
      <c r="A225" t="inlineStr">
        <is>
          <t>A 32842-2024</t>
        </is>
      </c>
      <c r="B225" s="1" t="n">
        <v>45516.61791666667</v>
      </c>
      <c r="C225" s="1" t="n">
        <v>45914</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58641-2022</t>
        </is>
      </c>
      <c r="B226" s="1" t="n">
        <v>44902</v>
      </c>
      <c r="C226" s="1" t="n">
        <v>45914</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24802-2025</t>
        </is>
      </c>
      <c r="B227" s="1" t="n">
        <v>45799</v>
      </c>
      <c r="C227" s="1" t="n">
        <v>45914</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45914</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18539-2022</t>
        </is>
      </c>
      <c r="B229" s="1" t="n">
        <v>44686</v>
      </c>
      <c r="C229" s="1" t="n">
        <v>45914</v>
      </c>
      <c r="D229" t="inlineStr">
        <is>
          <t>SKÅNE LÄN</t>
        </is>
      </c>
      <c r="E229" t="inlineStr">
        <is>
          <t>KRISTIANSTAD</t>
        </is>
      </c>
      <c r="G229" t="n">
        <v>4.3</v>
      </c>
      <c r="H229" t="n">
        <v>0</v>
      </c>
      <c r="I229" t="n">
        <v>0</v>
      </c>
      <c r="J229" t="n">
        <v>1</v>
      </c>
      <c r="K229" t="n">
        <v>0</v>
      </c>
      <c r="L229" t="n">
        <v>0</v>
      </c>
      <c r="M229" t="n">
        <v>0</v>
      </c>
      <c r="N229" t="n">
        <v>0</v>
      </c>
      <c r="O229" t="n">
        <v>1</v>
      </c>
      <c r="P229" t="n">
        <v>0</v>
      </c>
      <c r="Q229" t="n">
        <v>1</v>
      </c>
      <c r="R229" s="2" t="inlineStr">
        <is>
          <t>Skogslysing</t>
        </is>
      </c>
      <c r="S229">
        <f>HYPERLINK("https://klasma.github.io/Logging_1290/artfynd/A 18539-2022 artfynd.xlsx", "A 18539-2022")</f>
        <v/>
      </c>
      <c r="T229">
        <f>HYPERLINK("https://klasma.github.io/Logging_1290/kartor/A 18539-2022 karta.png", "A 18539-2022")</f>
        <v/>
      </c>
      <c r="V229">
        <f>HYPERLINK("https://klasma.github.io/Logging_1290/klagomål/A 18539-2022 FSC-klagomål.docx", "A 18539-2022")</f>
        <v/>
      </c>
      <c r="W229">
        <f>HYPERLINK("https://klasma.github.io/Logging_1290/klagomålsmail/A 18539-2022 FSC-klagomål mail.docx", "A 18539-2022")</f>
        <v/>
      </c>
      <c r="X229">
        <f>HYPERLINK("https://klasma.github.io/Logging_1290/tillsyn/A 18539-2022 tillsynsbegäran.docx", "A 18539-2022")</f>
        <v/>
      </c>
      <c r="Y229">
        <f>HYPERLINK("https://klasma.github.io/Logging_1290/tillsynsmail/A 18539-2022 tillsynsbegäran mail.docx", "A 18539-2022")</f>
        <v/>
      </c>
    </row>
    <row r="230" ht="15" customHeight="1">
      <c r="A230" t="inlineStr">
        <is>
          <t>A 50779-2024</t>
        </is>
      </c>
      <c r="B230" s="1" t="n">
        <v>45602</v>
      </c>
      <c r="C230" s="1" t="n">
        <v>45914</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45914</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45914</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50684-2023</t>
        </is>
      </c>
      <c r="B233" s="1" t="n">
        <v>45210</v>
      </c>
      <c r="C233" s="1" t="n">
        <v>45914</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57811-2022</t>
        </is>
      </c>
      <c r="B234" s="1" t="n">
        <v>44897</v>
      </c>
      <c r="C234" s="1" t="n">
        <v>45914</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42027-2023</t>
        </is>
      </c>
      <c r="B235" s="1" t="n">
        <v>45177</v>
      </c>
      <c r="C235" s="1" t="n">
        <v>45914</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54523-2024</t>
        </is>
      </c>
      <c r="B236" s="1" t="n">
        <v>45617</v>
      </c>
      <c r="C236" s="1" t="n">
        <v>45914</v>
      </c>
      <c r="D236" t="inlineStr">
        <is>
          <t>SKÅNE LÄN</t>
        </is>
      </c>
      <c r="E236" t="inlineStr">
        <is>
          <t>HÄSSLEHOLM</t>
        </is>
      </c>
      <c r="G236" t="n">
        <v>4.5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54523-2024 artfynd.xlsx", "A 54523-2024")</f>
        <v/>
      </c>
      <c r="T236">
        <f>HYPERLINK("https://klasma.github.io/Logging_1293/kartor/A 54523-2024 karta.png", "A 54523-2024")</f>
        <v/>
      </c>
      <c r="V236">
        <f>HYPERLINK("https://klasma.github.io/Logging_1293/klagomål/A 54523-2024 FSC-klagomål.docx", "A 54523-2024")</f>
        <v/>
      </c>
      <c r="W236">
        <f>HYPERLINK("https://klasma.github.io/Logging_1293/klagomålsmail/A 54523-2024 FSC-klagomål mail.docx", "A 54523-2024")</f>
        <v/>
      </c>
      <c r="X236">
        <f>HYPERLINK("https://klasma.github.io/Logging_1293/tillsyn/A 54523-2024 tillsynsbegäran.docx", "A 54523-2024")</f>
        <v/>
      </c>
      <c r="Y236">
        <f>HYPERLINK("https://klasma.github.io/Logging_1293/tillsynsmail/A 54523-2024 tillsynsbegäran mail.docx", "A 54523-2024")</f>
        <v/>
      </c>
    </row>
    <row r="237" ht="15" customHeight="1">
      <c r="A237" t="inlineStr">
        <is>
          <t>A 62067-2022</t>
        </is>
      </c>
      <c r="B237" s="1" t="n">
        <v>44918</v>
      </c>
      <c r="C237" s="1" t="n">
        <v>45914</v>
      </c>
      <c r="D237" t="inlineStr">
        <is>
          <t>SKÅNE LÄN</t>
        </is>
      </c>
      <c r="E237" t="inlineStr">
        <is>
          <t>KRISTIANSTAD</t>
        </is>
      </c>
      <c r="G237" t="n">
        <v>3</v>
      </c>
      <c r="H237" t="n">
        <v>0</v>
      </c>
      <c r="I237" t="n">
        <v>1</v>
      </c>
      <c r="J237" t="n">
        <v>0</v>
      </c>
      <c r="K237" t="n">
        <v>0</v>
      </c>
      <c r="L237" t="n">
        <v>0</v>
      </c>
      <c r="M237" t="n">
        <v>0</v>
      </c>
      <c r="N237" t="n">
        <v>0</v>
      </c>
      <c r="O237" t="n">
        <v>0</v>
      </c>
      <c r="P237" t="n">
        <v>0</v>
      </c>
      <c r="Q237" t="n">
        <v>1</v>
      </c>
      <c r="R237" s="2" t="inlineStr">
        <is>
          <t>Plattad jordtunga</t>
        </is>
      </c>
      <c r="S237">
        <f>HYPERLINK("https://klasma.github.io/Logging_1290/artfynd/A 62067-2022 artfynd.xlsx", "A 62067-2022")</f>
        <v/>
      </c>
      <c r="T237">
        <f>HYPERLINK("https://klasma.github.io/Logging_1290/kartor/A 62067-2022 karta.png", "A 62067-2022")</f>
        <v/>
      </c>
      <c r="V237">
        <f>HYPERLINK("https://klasma.github.io/Logging_1290/klagomål/A 62067-2022 FSC-klagomål.docx", "A 62067-2022")</f>
        <v/>
      </c>
      <c r="W237">
        <f>HYPERLINK("https://klasma.github.io/Logging_1290/klagomålsmail/A 62067-2022 FSC-klagomål mail.docx", "A 62067-2022")</f>
        <v/>
      </c>
      <c r="X237">
        <f>HYPERLINK("https://klasma.github.io/Logging_1290/tillsyn/A 62067-2022 tillsynsbegäran.docx", "A 62067-2022")</f>
        <v/>
      </c>
      <c r="Y237">
        <f>HYPERLINK("https://klasma.github.io/Logging_1290/tillsynsmail/A 62067-2022 tillsynsbegäran mail.docx", "A 62067-2022")</f>
        <v/>
      </c>
    </row>
    <row r="238" ht="15" customHeight="1">
      <c r="A238" t="inlineStr">
        <is>
          <t>A 31722-2023</t>
        </is>
      </c>
      <c r="B238" s="1" t="n">
        <v>45117.91172453704</v>
      </c>
      <c r="C238" s="1" t="n">
        <v>45914</v>
      </c>
      <c r="D238" t="inlineStr">
        <is>
          <t>SKÅNE LÄN</t>
        </is>
      </c>
      <c r="E238" t="inlineStr">
        <is>
          <t>OSBY</t>
        </is>
      </c>
      <c r="G238" t="n">
        <v>0.6</v>
      </c>
      <c r="H238" t="n">
        <v>1</v>
      </c>
      <c r="I238" t="n">
        <v>0</v>
      </c>
      <c r="J238" t="n">
        <v>0</v>
      </c>
      <c r="K238" t="n">
        <v>0</v>
      </c>
      <c r="L238" t="n">
        <v>1</v>
      </c>
      <c r="M238" t="n">
        <v>0</v>
      </c>
      <c r="N238" t="n">
        <v>0</v>
      </c>
      <c r="O238" t="n">
        <v>1</v>
      </c>
      <c r="P238" t="n">
        <v>1</v>
      </c>
      <c r="Q238" t="n">
        <v>1</v>
      </c>
      <c r="R238" s="2" t="inlineStr">
        <is>
          <t>Klockgentiana</t>
        </is>
      </c>
      <c r="S238">
        <f>HYPERLINK("https://klasma.github.io/Logging_1273/artfynd/A 31722-2023 artfynd.xlsx", "A 31722-2023")</f>
        <v/>
      </c>
      <c r="T238">
        <f>HYPERLINK("https://klasma.github.io/Logging_1273/kartor/A 31722-2023 karta.png", "A 31722-2023")</f>
        <v/>
      </c>
      <c r="V238">
        <f>HYPERLINK("https://klasma.github.io/Logging_1273/klagomål/A 31722-2023 FSC-klagomål.docx", "A 31722-2023")</f>
        <v/>
      </c>
      <c r="W238">
        <f>HYPERLINK("https://klasma.github.io/Logging_1273/klagomålsmail/A 31722-2023 FSC-klagomål mail.docx", "A 31722-2023")</f>
        <v/>
      </c>
      <c r="X238">
        <f>HYPERLINK("https://klasma.github.io/Logging_1273/tillsyn/A 31722-2023 tillsynsbegäran.docx", "A 31722-2023")</f>
        <v/>
      </c>
      <c r="Y238">
        <f>HYPERLINK("https://klasma.github.io/Logging_1273/tillsynsmail/A 31722-2023 tillsynsbegäran mail.docx", "A 31722-2023")</f>
        <v/>
      </c>
    </row>
    <row r="239" ht="15" customHeight="1">
      <c r="A239" t="inlineStr">
        <is>
          <t>A 30526-2024</t>
        </is>
      </c>
      <c r="B239" s="1" t="n">
        <v>45492</v>
      </c>
      <c r="C239" s="1" t="n">
        <v>45914</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27390-2025</t>
        </is>
      </c>
      <c r="B240" s="1" t="n">
        <v>45812.67840277778</v>
      </c>
      <c r="C240" s="1" t="n">
        <v>45914</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27234-2025</t>
        </is>
      </c>
      <c r="B241" s="1" t="n">
        <v>45812.44396990741</v>
      </c>
      <c r="C241" s="1" t="n">
        <v>45914</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4619-2025</t>
        </is>
      </c>
      <c r="B242" s="1" t="n">
        <v>45687</v>
      </c>
      <c r="C242" s="1" t="n">
        <v>45914</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50642-2023</t>
        </is>
      </c>
      <c r="B243" s="1" t="n">
        <v>45210</v>
      </c>
      <c r="C243" s="1" t="n">
        <v>45914</v>
      </c>
      <c r="D243" t="inlineStr">
        <is>
          <t>SKÅNE LÄN</t>
        </is>
      </c>
      <c r="E243" t="inlineStr">
        <is>
          <t>ÄNGELHOLM</t>
        </is>
      </c>
      <c r="G243" t="n">
        <v>0.8</v>
      </c>
      <c r="H243" t="n">
        <v>1</v>
      </c>
      <c r="I243" t="n">
        <v>0</v>
      </c>
      <c r="J243" t="n">
        <v>0</v>
      </c>
      <c r="K243" t="n">
        <v>0</v>
      </c>
      <c r="L243" t="n">
        <v>0</v>
      </c>
      <c r="M243" t="n">
        <v>0</v>
      </c>
      <c r="N243" t="n">
        <v>0</v>
      </c>
      <c r="O243" t="n">
        <v>0</v>
      </c>
      <c r="P243" t="n">
        <v>0</v>
      </c>
      <c r="Q243" t="n">
        <v>1</v>
      </c>
      <c r="R243" s="2" t="inlineStr">
        <is>
          <t>Vanlig padda</t>
        </is>
      </c>
      <c r="S243">
        <f>HYPERLINK("https://klasma.github.io/Logging_1292/artfynd/A 50642-2023 artfynd.xlsx", "A 50642-2023")</f>
        <v/>
      </c>
      <c r="T243">
        <f>HYPERLINK("https://klasma.github.io/Logging_1292/kartor/A 50642-2023 karta.png", "A 50642-2023")</f>
        <v/>
      </c>
      <c r="V243">
        <f>HYPERLINK("https://klasma.github.io/Logging_1292/klagomål/A 50642-2023 FSC-klagomål.docx", "A 50642-2023")</f>
        <v/>
      </c>
      <c r="W243">
        <f>HYPERLINK("https://klasma.github.io/Logging_1292/klagomålsmail/A 50642-2023 FSC-klagomål mail.docx", "A 50642-2023")</f>
        <v/>
      </c>
      <c r="X243">
        <f>HYPERLINK("https://klasma.github.io/Logging_1292/tillsyn/A 50642-2023 tillsynsbegäran.docx", "A 50642-2023")</f>
        <v/>
      </c>
      <c r="Y243">
        <f>HYPERLINK("https://klasma.github.io/Logging_1292/tillsynsmail/A 50642-2023 tillsynsbegäran mail.docx", "A 50642-2023")</f>
        <v/>
      </c>
    </row>
    <row r="244" ht="15" customHeight="1">
      <c r="A244" t="inlineStr">
        <is>
          <t>A 4792-2025</t>
        </is>
      </c>
      <c r="B244" s="1" t="n">
        <v>45688.57549768518</v>
      </c>
      <c r="C244" s="1" t="n">
        <v>45914</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24528-2023</t>
        </is>
      </c>
      <c r="B245" s="1" t="n">
        <v>45082</v>
      </c>
      <c r="C245" s="1" t="n">
        <v>45914</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3401-2024</t>
        </is>
      </c>
      <c r="B246" s="1" t="n">
        <v>45318</v>
      </c>
      <c r="C246" s="1" t="n">
        <v>45914</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1782-2024</t>
        </is>
      </c>
      <c r="B247" s="1" t="n">
        <v>45307</v>
      </c>
      <c r="C247" s="1" t="n">
        <v>45914</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4725-2025</t>
        </is>
      </c>
      <c r="B248" s="1" t="n">
        <v>45688.42583333333</v>
      </c>
      <c r="C248" s="1" t="n">
        <v>45914</v>
      </c>
      <c r="D248" t="inlineStr">
        <is>
          <t>SKÅNE LÄN</t>
        </is>
      </c>
      <c r="E248" t="inlineStr">
        <is>
          <t>HÄSSLEHOLM</t>
        </is>
      </c>
      <c r="G248" t="n">
        <v>5.5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4725-2025 artfynd.xlsx", "A 4725-2025")</f>
        <v/>
      </c>
      <c r="T248">
        <f>HYPERLINK("https://klasma.github.io/Logging_1293/kartor/A 4725-2025 karta.png", "A 4725-2025")</f>
        <v/>
      </c>
      <c r="V248">
        <f>HYPERLINK("https://klasma.github.io/Logging_1293/klagomål/A 4725-2025 FSC-klagomål.docx", "A 4725-2025")</f>
        <v/>
      </c>
      <c r="W248">
        <f>HYPERLINK("https://klasma.github.io/Logging_1293/klagomålsmail/A 4725-2025 FSC-klagomål mail.docx", "A 4725-2025")</f>
        <v/>
      </c>
      <c r="X248">
        <f>HYPERLINK("https://klasma.github.io/Logging_1293/tillsyn/A 4725-2025 tillsynsbegäran.docx", "A 4725-2025")</f>
        <v/>
      </c>
      <c r="Y248">
        <f>HYPERLINK("https://klasma.github.io/Logging_1293/tillsynsmail/A 4725-2025 tillsynsbegäran mail.docx", "A 4725-2025")</f>
        <v/>
      </c>
    </row>
    <row r="249" ht="15" customHeight="1">
      <c r="A249" t="inlineStr">
        <is>
          <t>A 61517-2022</t>
        </is>
      </c>
      <c r="B249" s="1" t="n">
        <v>44910</v>
      </c>
      <c r="C249" s="1" t="n">
        <v>45914</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30452-2025</t>
        </is>
      </c>
      <c r="B250" s="1" t="n">
        <v>45827</v>
      </c>
      <c r="C250" s="1" t="n">
        <v>45914</v>
      </c>
      <c r="D250" t="inlineStr">
        <is>
          <t>SKÅNE LÄN</t>
        </is>
      </c>
      <c r="E250" t="inlineStr">
        <is>
          <t>SJÖBO</t>
        </is>
      </c>
      <c r="G250" t="n">
        <v>8.699999999999999</v>
      </c>
      <c r="H250" t="n">
        <v>0</v>
      </c>
      <c r="I250" t="n">
        <v>0</v>
      </c>
      <c r="J250" t="n">
        <v>1</v>
      </c>
      <c r="K250" t="n">
        <v>0</v>
      </c>
      <c r="L250" t="n">
        <v>0</v>
      </c>
      <c r="M250" t="n">
        <v>0</v>
      </c>
      <c r="N250" t="n">
        <v>0</v>
      </c>
      <c r="O250" t="n">
        <v>1</v>
      </c>
      <c r="P250" t="n">
        <v>0</v>
      </c>
      <c r="Q250" t="n">
        <v>1</v>
      </c>
      <c r="R250" s="2" t="inlineStr">
        <is>
          <t>Desmeknopp</t>
        </is>
      </c>
      <c r="S250">
        <f>HYPERLINK("https://klasma.github.io/Logging_1265/artfynd/A 30452-2025 artfynd.xlsx", "A 30452-2025")</f>
        <v/>
      </c>
      <c r="T250">
        <f>HYPERLINK("https://klasma.github.io/Logging_1265/kartor/A 30452-2025 karta.png", "A 30452-2025")</f>
        <v/>
      </c>
      <c r="V250">
        <f>HYPERLINK("https://klasma.github.io/Logging_1265/klagomål/A 30452-2025 FSC-klagomål.docx", "A 30452-2025")</f>
        <v/>
      </c>
      <c r="W250">
        <f>HYPERLINK("https://klasma.github.io/Logging_1265/klagomålsmail/A 30452-2025 FSC-klagomål mail.docx", "A 30452-2025")</f>
        <v/>
      </c>
      <c r="X250">
        <f>HYPERLINK("https://klasma.github.io/Logging_1265/tillsyn/A 30452-2025 tillsynsbegäran.docx", "A 30452-2025")</f>
        <v/>
      </c>
      <c r="Y250">
        <f>HYPERLINK("https://klasma.github.io/Logging_1265/tillsynsmail/A 30452-2025 tillsynsbegäran mail.docx", "A 30452-2025")</f>
        <v/>
      </c>
    </row>
    <row r="251" ht="15" customHeight="1">
      <c r="A251" t="inlineStr">
        <is>
          <t>A 16107-2025</t>
        </is>
      </c>
      <c r="B251" s="1" t="n">
        <v>45750.34537037037</v>
      </c>
      <c r="C251" s="1" t="n">
        <v>45914</v>
      </c>
      <c r="D251" t="inlineStr">
        <is>
          <t>SKÅNE LÄN</t>
        </is>
      </c>
      <c r="E251" t="inlineStr">
        <is>
          <t>HÄSSLEHOLM</t>
        </is>
      </c>
      <c r="G251" t="n">
        <v>1.4</v>
      </c>
      <c r="H251" t="n">
        <v>1</v>
      </c>
      <c r="I251" t="n">
        <v>0</v>
      </c>
      <c r="J251" t="n">
        <v>1</v>
      </c>
      <c r="K251" t="n">
        <v>0</v>
      </c>
      <c r="L251" t="n">
        <v>0</v>
      </c>
      <c r="M251" t="n">
        <v>0</v>
      </c>
      <c r="N251" t="n">
        <v>0</v>
      </c>
      <c r="O251" t="n">
        <v>1</v>
      </c>
      <c r="P251" t="n">
        <v>0</v>
      </c>
      <c r="Q251" t="n">
        <v>1</v>
      </c>
      <c r="R251" s="2" t="inlineStr">
        <is>
          <t>Spillkråka</t>
        </is>
      </c>
      <c r="S251">
        <f>HYPERLINK("https://klasma.github.io/Logging_1293/artfynd/A 16107-2025 artfynd.xlsx", "A 16107-2025")</f>
        <v/>
      </c>
      <c r="T251">
        <f>HYPERLINK("https://klasma.github.io/Logging_1293/kartor/A 16107-2025 karta.png", "A 16107-2025")</f>
        <v/>
      </c>
      <c r="V251">
        <f>HYPERLINK("https://klasma.github.io/Logging_1293/klagomål/A 16107-2025 FSC-klagomål.docx", "A 16107-2025")</f>
        <v/>
      </c>
      <c r="W251">
        <f>HYPERLINK("https://klasma.github.io/Logging_1293/klagomålsmail/A 16107-2025 FSC-klagomål mail.docx", "A 16107-2025")</f>
        <v/>
      </c>
      <c r="X251">
        <f>HYPERLINK("https://klasma.github.io/Logging_1293/tillsyn/A 16107-2025 tillsynsbegäran.docx", "A 16107-2025")</f>
        <v/>
      </c>
      <c r="Y251">
        <f>HYPERLINK("https://klasma.github.io/Logging_1293/tillsynsmail/A 16107-2025 tillsynsbegäran mail.docx", "A 16107-2025")</f>
        <v/>
      </c>
      <c r="Z251">
        <f>HYPERLINK("https://klasma.github.io/Logging_1293/fåglar/A 16107-2025 prioriterade fågelarter.docx", "A 16107-2025")</f>
        <v/>
      </c>
    </row>
    <row r="252" ht="15" customHeight="1">
      <c r="A252" t="inlineStr">
        <is>
          <t>A 36690-2025</t>
        </is>
      </c>
      <c r="B252" s="1" t="n">
        <v>45873.42915509259</v>
      </c>
      <c r="C252" s="1" t="n">
        <v>45914</v>
      </c>
      <c r="D252" t="inlineStr">
        <is>
          <t>SKÅNE LÄN</t>
        </is>
      </c>
      <c r="E252" t="inlineStr">
        <is>
          <t>HÄSSLEHOLM</t>
        </is>
      </c>
      <c r="G252" t="n">
        <v>3.6</v>
      </c>
      <c r="H252" t="n">
        <v>0</v>
      </c>
      <c r="I252" t="n">
        <v>0</v>
      </c>
      <c r="J252" t="n">
        <v>0</v>
      </c>
      <c r="K252" t="n">
        <v>0</v>
      </c>
      <c r="L252" t="n">
        <v>1</v>
      </c>
      <c r="M252" t="n">
        <v>0</v>
      </c>
      <c r="N252" t="n">
        <v>0</v>
      </c>
      <c r="O252" t="n">
        <v>1</v>
      </c>
      <c r="P252" t="n">
        <v>1</v>
      </c>
      <c r="Q252" t="n">
        <v>1</v>
      </c>
      <c r="R252" s="2" t="inlineStr">
        <is>
          <t>Ask</t>
        </is>
      </c>
      <c r="S252">
        <f>HYPERLINK("https://klasma.github.io/Logging_1293/artfynd/A 36690-2025 artfynd.xlsx", "A 36690-2025")</f>
        <v/>
      </c>
      <c r="T252">
        <f>HYPERLINK("https://klasma.github.io/Logging_1293/kartor/A 36690-2025 karta.png", "A 36690-2025")</f>
        <v/>
      </c>
      <c r="V252">
        <f>HYPERLINK("https://klasma.github.io/Logging_1293/klagomål/A 36690-2025 FSC-klagomål.docx", "A 36690-2025")</f>
        <v/>
      </c>
      <c r="W252">
        <f>HYPERLINK("https://klasma.github.io/Logging_1293/klagomålsmail/A 36690-2025 FSC-klagomål mail.docx", "A 36690-2025")</f>
        <v/>
      </c>
      <c r="X252">
        <f>HYPERLINK("https://klasma.github.io/Logging_1293/tillsyn/A 36690-2025 tillsynsbegäran.docx", "A 36690-2025")</f>
        <v/>
      </c>
      <c r="Y252">
        <f>HYPERLINK("https://klasma.github.io/Logging_1293/tillsynsmail/A 36690-2025 tillsynsbegäran mail.docx", "A 36690-2025")</f>
        <v/>
      </c>
    </row>
    <row r="253" ht="15" customHeight="1">
      <c r="A253" t="inlineStr">
        <is>
          <t>A 24158-2022</t>
        </is>
      </c>
      <c r="B253" s="1" t="n">
        <v>44725</v>
      </c>
      <c r="C253" s="1" t="n">
        <v>45914</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55145-2023</t>
        </is>
      </c>
      <c r="B254" s="1" t="n">
        <v>45237</v>
      </c>
      <c r="C254" s="1" t="n">
        <v>45914</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31678-2025</t>
        </is>
      </c>
      <c r="B255" s="1" t="n">
        <v>45834</v>
      </c>
      <c r="C255" s="1" t="n">
        <v>45914</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34341-2024</t>
        </is>
      </c>
      <c r="B256" s="1" t="n">
        <v>45525</v>
      </c>
      <c r="C256" s="1" t="n">
        <v>45914</v>
      </c>
      <c r="D256" t="inlineStr">
        <is>
          <t>SKÅNE LÄN</t>
        </is>
      </c>
      <c r="E256" t="inlineStr">
        <is>
          <t>YSTAD</t>
        </is>
      </c>
      <c r="F256" t="inlineStr">
        <is>
          <t>Övriga Aktiebolag</t>
        </is>
      </c>
      <c r="G256" t="n">
        <v>14.4</v>
      </c>
      <c r="H256" t="n">
        <v>0</v>
      </c>
      <c r="I256" t="n">
        <v>0</v>
      </c>
      <c r="J256" t="n">
        <v>1</v>
      </c>
      <c r="K256" t="n">
        <v>0</v>
      </c>
      <c r="L256" t="n">
        <v>0</v>
      </c>
      <c r="M256" t="n">
        <v>0</v>
      </c>
      <c r="N256" t="n">
        <v>0</v>
      </c>
      <c r="O256" t="n">
        <v>1</v>
      </c>
      <c r="P256" t="n">
        <v>0</v>
      </c>
      <c r="Q256" t="n">
        <v>1</v>
      </c>
      <c r="R256" s="2" t="inlineStr">
        <is>
          <t>Desmeknopp</t>
        </is>
      </c>
      <c r="S256">
        <f>HYPERLINK("https://klasma.github.io/Logging_1286/artfynd/A 34341-2024 artfynd.xlsx", "A 34341-2024")</f>
        <v/>
      </c>
      <c r="T256">
        <f>HYPERLINK("https://klasma.github.io/Logging_1286/kartor/A 34341-2024 karta.png", "A 34341-2024")</f>
        <v/>
      </c>
      <c r="V256">
        <f>HYPERLINK("https://klasma.github.io/Logging_1286/klagomål/A 34341-2024 FSC-klagomål.docx", "A 34341-2024")</f>
        <v/>
      </c>
      <c r="W256">
        <f>HYPERLINK("https://klasma.github.io/Logging_1286/klagomålsmail/A 34341-2024 FSC-klagomål mail.docx", "A 34341-2024")</f>
        <v/>
      </c>
      <c r="X256">
        <f>HYPERLINK("https://klasma.github.io/Logging_1286/tillsyn/A 34341-2024 tillsynsbegäran.docx", "A 34341-2024")</f>
        <v/>
      </c>
      <c r="Y256">
        <f>HYPERLINK("https://klasma.github.io/Logging_1286/tillsynsmail/A 34341-2024 tillsynsbegäran mail.docx", "A 34341-2024")</f>
        <v/>
      </c>
    </row>
    <row r="257" ht="15" customHeight="1">
      <c r="A257" t="inlineStr">
        <is>
          <t>A 10000-2025</t>
        </is>
      </c>
      <c r="B257" s="1" t="n">
        <v>45719.44871527778</v>
      </c>
      <c r="C257" s="1" t="n">
        <v>45914</v>
      </c>
      <c r="D257" t="inlineStr">
        <is>
          <t>SKÅNE LÄN</t>
        </is>
      </c>
      <c r="E257" t="inlineStr">
        <is>
          <t>KLIPPAN</t>
        </is>
      </c>
      <c r="G257" t="n">
        <v>2.6</v>
      </c>
      <c r="H257" t="n">
        <v>0</v>
      </c>
      <c r="I257" t="n">
        <v>1</v>
      </c>
      <c r="J257" t="n">
        <v>0</v>
      </c>
      <c r="K257" t="n">
        <v>0</v>
      </c>
      <c r="L257" t="n">
        <v>0</v>
      </c>
      <c r="M257" t="n">
        <v>0</v>
      </c>
      <c r="N257" t="n">
        <v>0</v>
      </c>
      <c r="O257" t="n">
        <v>0</v>
      </c>
      <c r="P257" t="n">
        <v>0</v>
      </c>
      <c r="Q257" t="n">
        <v>1</v>
      </c>
      <c r="R257" s="2" t="inlineStr">
        <is>
          <t>Dvärghäxört</t>
        </is>
      </c>
      <c r="S257">
        <f>HYPERLINK("https://klasma.github.io/Logging_1276/artfynd/A 10000-2025 artfynd.xlsx", "A 10000-2025")</f>
        <v/>
      </c>
      <c r="T257">
        <f>HYPERLINK("https://klasma.github.io/Logging_1276/kartor/A 10000-2025 karta.png", "A 10000-2025")</f>
        <v/>
      </c>
      <c r="V257">
        <f>HYPERLINK("https://klasma.github.io/Logging_1276/klagomål/A 10000-2025 FSC-klagomål.docx", "A 10000-2025")</f>
        <v/>
      </c>
      <c r="W257">
        <f>HYPERLINK("https://klasma.github.io/Logging_1276/klagomålsmail/A 10000-2025 FSC-klagomål mail.docx", "A 10000-2025")</f>
        <v/>
      </c>
      <c r="X257">
        <f>HYPERLINK("https://klasma.github.io/Logging_1276/tillsyn/A 10000-2025 tillsynsbegäran.docx", "A 10000-2025")</f>
        <v/>
      </c>
      <c r="Y257">
        <f>HYPERLINK("https://klasma.github.io/Logging_1276/tillsynsmail/A 10000-2025 tillsynsbegäran mail.docx", "A 10000-2025")</f>
        <v/>
      </c>
    </row>
    <row r="258" ht="15" customHeight="1">
      <c r="A258" t="inlineStr">
        <is>
          <t>A 4615-2024</t>
        </is>
      </c>
      <c r="B258" s="1" t="n">
        <v>45328</v>
      </c>
      <c r="C258" s="1" t="n">
        <v>45914</v>
      </c>
      <c r="D258" t="inlineStr">
        <is>
          <t>SKÅNE LÄN</t>
        </is>
      </c>
      <c r="E258" t="inlineStr">
        <is>
          <t>KRISTIANSTAD</t>
        </is>
      </c>
      <c r="G258" t="n">
        <v>6.6</v>
      </c>
      <c r="H258" t="n">
        <v>0</v>
      </c>
      <c r="I258" t="n">
        <v>0</v>
      </c>
      <c r="J258" t="n">
        <v>1</v>
      </c>
      <c r="K258" t="n">
        <v>0</v>
      </c>
      <c r="L258" t="n">
        <v>0</v>
      </c>
      <c r="M258" t="n">
        <v>0</v>
      </c>
      <c r="N258" t="n">
        <v>0</v>
      </c>
      <c r="O258" t="n">
        <v>1</v>
      </c>
      <c r="P258" t="n">
        <v>0</v>
      </c>
      <c r="Q258" t="n">
        <v>1</v>
      </c>
      <c r="R258" s="2" t="inlineStr">
        <is>
          <t>Skogslysing</t>
        </is>
      </c>
      <c r="S258">
        <f>HYPERLINK("https://klasma.github.io/Logging_1290/artfynd/A 4615-2024 artfynd.xlsx", "A 4615-2024")</f>
        <v/>
      </c>
      <c r="T258">
        <f>HYPERLINK("https://klasma.github.io/Logging_1290/kartor/A 4615-2024 karta.png", "A 4615-2024")</f>
        <v/>
      </c>
      <c r="V258">
        <f>HYPERLINK("https://klasma.github.io/Logging_1290/klagomål/A 4615-2024 FSC-klagomål.docx", "A 4615-2024")</f>
        <v/>
      </c>
      <c r="W258">
        <f>HYPERLINK("https://klasma.github.io/Logging_1290/klagomålsmail/A 4615-2024 FSC-klagomål mail.docx", "A 4615-2024")</f>
        <v/>
      </c>
      <c r="X258">
        <f>HYPERLINK("https://klasma.github.io/Logging_1290/tillsyn/A 4615-2024 tillsynsbegäran.docx", "A 4615-2024")</f>
        <v/>
      </c>
      <c r="Y258">
        <f>HYPERLINK("https://klasma.github.io/Logging_1290/tillsynsmail/A 4615-2024 tillsynsbegäran mail.docx", "A 4615-2024")</f>
        <v/>
      </c>
    </row>
    <row r="259" ht="15" customHeight="1">
      <c r="A259" t="inlineStr">
        <is>
          <t>A 1188-2024</t>
        </is>
      </c>
      <c r="B259" s="1" t="n">
        <v>45302</v>
      </c>
      <c r="C259" s="1" t="n">
        <v>45914</v>
      </c>
      <c r="D259" t="inlineStr">
        <is>
          <t>SKÅNE LÄN</t>
        </is>
      </c>
      <c r="E259" t="inlineStr">
        <is>
          <t>KRISTIANSTAD</t>
        </is>
      </c>
      <c r="G259" t="n">
        <v>6.1</v>
      </c>
      <c r="H259" t="n">
        <v>1</v>
      </c>
      <c r="I259" t="n">
        <v>0</v>
      </c>
      <c r="J259" t="n">
        <v>0</v>
      </c>
      <c r="K259" t="n">
        <v>1</v>
      </c>
      <c r="L259" t="n">
        <v>0</v>
      </c>
      <c r="M259" t="n">
        <v>0</v>
      </c>
      <c r="N259" t="n">
        <v>0</v>
      </c>
      <c r="O259" t="n">
        <v>1</v>
      </c>
      <c r="P259" t="n">
        <v>1</v>
      </c>
      <c r="Q259" t="n">
        <v>1</v>
      </c>
      <c r="R259" s="2" t="inlineStr">
        <is>
          <t>Backsippa</t>
        </is>
      </c>
      <c r="S259">
        <f>HYPERLINK("https://klasma.github.io/Logging_1290/artfynd/A 1188-2024 artfynd.xlsx", "A 1188-2024")</f>
        <v/>
      </c>
      <c r="T259">
        <f>HYPERLINK("https://klasma.github.io/Logging_1290/kartor/A 1188-2024 karta.png", "A 1188-2024")</f>
        <v/>
      </c>
      <c r="V259">
        <f>HYPERLINK("https://klasma.github.io/Logging_1290/klagomål/A 1188-2024 FSC-klagomål.docx", "A 1188-2024")</f>
        <v/>
      </c>
      <c r="W259">
        <f>HYPERLINK("https://klasma.github.io/Logging_1290/klagomålsmail/A 1188-2024 FSC-klagomål mail.docx", "A 1188-2024")</f>
        <v/>
      </c>
      <c r="X259">
        <f>HYPERLINK("https://klasma.github.io/Logging_1290/tillsyn/A 1188-2024 tillsynsbegäran.docx", "A 1188-2024")</f>
        <v/>
      </c>
      <c r="Y259">
        <f>HYPERLINK("https://klasma.github.io/Logging_1290/tillsynsmail/A 1188-2024 tillsynsbegäran mail.docx", "A 1188-2024")</f>
        <v/>
      </c>
    </row>
    <row r="260" ht="15" customHeight="1">
      <c r="A260" t="inlineStr">
        <is>
          <t>A 59610-2023</t>
        </is>
      </c>
      <c r="B260" s="1" t="n">
        <v>45253</v>
      </c>
      <c r="C260" s="1" t="n">
        <v>45914</v>
      </c>
      <c r="D260" t="inlineStr">
        <is>
          <t>SKÅNE LÄN</t>
        </is>
      </c>
      <c r="E260" t="inlineStr">
        <is>
          <t>SJÖBO</t>
        </is>
      </c>
      <c r="G260" t="n">
        <v>2.4</v>
      </c>
      <c r="H260" t="n">
        <v>1</v>
      </c>
      <c r="I260" t="n">
        <v>1</v>
      </c>
      <c r="J260" t="n">
        <v>0</v>
      </c>
      <c r="K260" t="n">
        <v>0</v>
      </c>
      <c r="L260" t="n">
        <v>0</v>
      </c>
      <c r="M260" t="n">
        <v>0</v>
      </c>
      <c r="N260" t="n">
        <v>0</v>
      </c>
      <c r="O260" t="n">
        <v>0</v>
      </c>
      <c r="P260" t="n">
        <v>0</v>
      </c>
      <c r="Q260" t="n">
        <v>1</v>
      </c>
      <c r="R260" s="2" t="inlineStr">
        <is>
          <t>Ekoxe</t>
        </is>
      </c>
      <c r="S260">
        <f>HYPERLINK("https://klasma.github.io/Logging_1265/artfynd/A 59610-2023 artfynd.xlsx", "A 59610-2023")</f>
        <v/>
      </c>
      <c r="T260">
        <f>HYPERLINK("https://klasma.github.io/Logging_1265/kartor/A 59610-2023 karta.png", "A 59610-2023")</f>
        <v/>
      </c>
      <c r="V260">
        <f>HYPERLINK("https://klasma.github.io/Logging_1265/klagomål/A 59610-2023 FSC-klagomål.docx", "A 59610-2023")</f>
        <v/>
      </c>
      <c r="W260">
        <f>HYPERLINK("https://klasma.github.io/Logging_1265/klagomålsmail/A 59610-2023 FSC-klagomål mail.docx", "A 59610-2023")</f>
        <v/>
      </c>
      <c r="X260">
        <f>HYPERLINK("https://klasma.github.io/Logging_1265/tillsyn/A 59610-2023 tillsynsbegäran.docx", "A 59610-2023")</f>
        <v/>
      </c>
      <c r="Y260">
        <f>HYPERLINK("https://klasma.github.io/Logging_1265/tillsynsmail/A 59610-2023 tillsynsbegäran mail.docx", "A 59610-2023")</f>
        <v/>
      </c>
    </row>
    <row r="261" ht="15" customHeight="1">
      <c r="A261" t="inlineStr">
        <is>
          <t>A 9289-2025</t>
        </is>
      </c>
      <c r="B261" s="1" t="n">
        <v>45714</v>
      </c>
      <c r="C261" s="1" t="n">
        <v>45914</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60820-2023</t>
        </is>
      </c>
      <c r="B262" s="1" t="n">
        <v>45260</v>
      </c>
      <c r="C262" s="1" t="n">
        <v>45914</v>
      </c>
      <c r="D262" t="inlineStr">
        <is>
          <t>SKÅNE LÄN</t>
        </is>
      </c>
      <c r="E262" t="inlineStr">
        <is>
          <t>TOMELILLA</t>
        </is>
      </c>
      <c r="G262" t="n">
        <v>4.6</v>
      </c>
      <c r="H262" t="n">
        <v>0</v>
      </c>
      <c r="I262" t="n">
        <v>1</v>
      </c>
      <c r="J262" t="n">
        <v>0</v>
      </c>
      <c r="K262" t="n">
        <v>0</v>
      </c>
      <c r="L262" t="n">
        <v>0</v>
      </c>
      <c r="M262" t="n">
        <v>0</v>
      </c>
      <c r="N262" t="n">
        <v>0</v>
      </c>
      <c r="O262" t="n">
        <v>0</v>
      </c>
      <c r="P262" t="n">
        <v>0</v>
      </c>
      <c r="Q262" t="n">
        <v>1</v>
      </c>
      <c r="R262" s="2" t="inlineStr">
        <is>
          <t>Guldlockmossa</t>
        </is>
      </c>
      <c r="S262">
        <f>HYPERLINK("https://klasma.github.io/Logging_1270/artfynd/A 60820-2023 artfynd.xlsx", "A 60820-2023")</f>
        <v/>
      </c>
      <c r="T262">
        <f>HYPERLINK("https://klasma.github.io/Logging_1270/kartor/A 60820-2023 karta.png", "A 60820-2023")</f>
        <v/>
      </c>
      <c r="V262">
        <f>HYPERLINK("https://klasma.github.io/Logging_1270/klagomål/A 60820-2023 FSC-klagomål.docx", "A 60820-2023")</f>
        <v/>
      </c>
      <c r="W262">
        <f>HYPERLINK("https://klasma.github.io/Logging_1270/klagomålsmail/A 60820-2023 FSC-klagomål mail.docx", "A 60820-2023")</f>
        <v/>
      </c>
      <c r="X262">
        <f>HYPERLINK("https://klasma.github.io/Logging_1270/tillsyn/A 60820-2023 tillsynsbegäran.docx", "A 60820-2023")</f>
        <v/>
      </c>
      <c r="Y262">
        <f>HYPERLINK("https://klasma.github.io/Logging_1270/tillsynsmail/A 60820-2023 tillsynsbegäran mail.docx", "A 60820-2023")</f>
        <v/>
      </c>
    </row>
    <row r="263" ht="15" customHeight="1">
      <c r="A263" t="inlineStr">
        <is>
          <t>A 31213-2023</t>
        </is>
      </c>
      <c r="B263" s="1" t="n">
        <v>45113</v>
      </c>
      <c r="C263" s="1" t="n">
        <v>45914</v>
      </c>
      <c r="D263" t="inlineStr">
        <is>
          <t>SKÅNE LÄN</t>
        </is>
      </c>
      <c r="E263" t="inlineStr">
        <is>
          <t>YSTAD</t>
        </is>
      </c>
      <c r="G263" t="n">
        <v>6.5</v>
      </c>
      <c r="H263" t="n">
        <v>0</v>
      </c>
      <c r="I263" t="n">
        <v>0</v>
      </c>
      <c r="J263" t="n">
        <v>1</v>
      </c>
      <c r="K263" t="n">
        <v>0</v>
      </c>
      <c r="L263" t="n">
        <v>0</v>
      </c>
      <c r="M263" t="n">
        <v>0</v>
      </c>
      <c r="N263" t="n">
        <v>0</v>
      </c>
      <c r="O263" t="n">
        <v>1</v>
      </c>
      <c r="P263" t="n">
        <v>0</v>
      </c>
      <c r="Q263" t="n">
        <v>1</v>
      </c>
      <c r="R263" s="2" t="inlineStr">
        <is>
          <t>Skogsveronika</t>
        </is>
      </c>
      <c r="S263">
        <f>HYPERLINK("https://klasma.github.io/Logging_1286/artfynd/A 31213-2023 artfynd.xlsx", "A 31213-2023")</f>
        <v/>
      </c>
      <c r="T263">
        <f>HYPERLINK("https://klasma.github.io/Logging_1286/kartor/A 31213-2023 karta.png", "A 31213-2023")</f>
        <v/>
      </c>
      <c r="V263">
        <f>HYPERLINK("https://klasma.github.io/Logging_1286/klagomål/A 31213-2023 FSC-klagomål.docx", "A 31213-2023")</f>
        <v/>
      </c>
      <c r="W263">
        <f>HYPERLINK("https://klasma.github.io/Logging_1286/klagomålsmail/A 31213-2023 FSC-klagomål mail.docx", "A 31213-2023")</f>
        <v/>
      </c>
      <c r="X263">
        <f>HYPERLINK("https://klasma.github.io/Logging_1286/tillsyn/A 31213-2023 tillsynsbegäran.docx", "A 31213-2023")</f>
        <v/>
      </c>
      <c r="Y263">
        <f>HYPERLINK("https://klasma.github.io/Logging_1286/tillsynsmail/A 31213-2023 tillsynsbegäran mail.docx", "A 31213-2023")</f>
        <v/>
      </c>
    </row>
    <row r="264" ht="15" customHeight="1">
      <c r="A264" t="inlineStr">
        <is>
          <t>A 41004-2022</t>
        </is>
      </c>
      <c r="B264" s="1" t="n">
        <v>44825</v>
      </c>
      <c r="C264" s="1" t="n">
        <v>45914</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27230-2024</t>
        </is>
      </c>
      <c r="B265" s="1" t="n">
        <v>45471</v>
      </c>
      <c r="C265" s="1" t="n">
        <v>45914</v>
      </c>
      <c r="D265" t="inlineStr">
        <is>
          <t>SKÅNE LÄN</t>
        </is>
      </c>
      <c r="E265" t="inlineStr">
        <is>
          <t>SJÖBO</t>
        </is>
      </c>
      <c r="G265" t="n">
        <v>1.5</v>
      </c>
      <c r="H265" t="n">
        <v>1</v>
      </c>
      <c r="I265" t="n">
        <v>0</v>
      </c>
      <c r="J265" t="n">
        <v>1</v>
      </c>
      <c r="K265" t="n">
        <v>0</v>
      </c>
      <c r="L265" t="n">
        <v>0</v>
      </c>
      <c r="M265" t="n">
        <v>0</v>
      </c>
      <c r="N265" t="n">
        <v>0</v>
      </c>
      <c r="O265" t="n">
        <v>1</v>
      </c>
      <c r="P265" t="n">
        <v>0</v>
      </c>
      <c r="Q265" t="n">
        <v>1</v>
      </c>
      <c r="R265" s="2" t="inlineStr">
        <is>
          <t>Havsörn</t>
        </is>
      </c>
      <c r="S265">
        <f>HYPERLINK("https://klasma.github.io/Logging_1265/artfynd/A 27230-2024 artfynd.xlsx", "A 27230-2024")</f>
        <v/>
      </c>
      <c r="T265">
        <f>HYPERLINK("https://klasma.github.io/Logging_1265/kartor/A 27230-2024 karta.png", "A 27230-2024")</f>
        <v/>
      </c>
      <c r="V265">
        <f>HYPERLINK("https://klasma.github.io/Logging_1265/klagomål/A 27230-2024 FSC-klagomål.docx", "A 27230-2024")</f>
        <v/>
      </c>
      <c r="W265">
        <f>HYPERLINK("https://klasma.github.io/Logging_1265/klagomålsmail/A 27230-2024 FSC-klagomål mail.docx", "A 27230-2024")</f>
        <v/>
      </c>
      <c r="X265">
        <f>HYPERLINK("https://klasma.github.io/Logging_1265/tillsyn/A 27230-2024 tillsynsbegäran.docx", "A 27230-2024")</f>
        <v/>
      </c>
      <c r="Y265">
        <f>HYPERLINK("https://klasma.github.io/Logging_1265/tillsynsmail/A 27230-2024 tillsynsbegäran mail.docx", "A 27230-2024")</f>
        <v/>
      </c>
      <c r="Z265">
        <f>HYPERLINK("https://klasma.github.io/Logging_1265/fåglar/A 27230-2024 prioriterade fågelarter.docx", "A 27230-2024")</f>
        <v/>
      </c>
    </row>
    <row r="266" ht="15" customHeight="1">
      <c r="A266" t="inlineStr">
        <is>
          <t>A 14892-2023</t>
        </is>
      </c>
      <c r="B266" s="1" t="n">
        <v>45015</v>
      </c>
      <c r="C266" s="1" t="n">
        <v>45914</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32705-2025</t>
        </is>
      </c>
      <c r="B267" s="1" t="n">
        <v>45839</v>
      </c>
      <c r="C267" s="1" t="n">
        <v>45914</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14933-2023</t>
        </is>
      </c>
      <c r="B268" s="1" t="n">
        <v>45014</v>
      </c>
      <c r="C268" s="1" t="n">
        <v>45914</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8223-2025</t>
        </is>
      </c>
      <c r="B269" s="1" t="n">
        <v>45708.46127314815</v>
      </c>
      <c r="C269" s="1" t="n">
        <v>45914</v>
      </c>
      <c r="D269" t="inlineStr">
        <is>
          <t>SKÅNE LÄN</t>
        </is>
      </c>
      <c r="E269" t="inlineStr">
        <is>
          <t>HÄSSLEHOLM</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HYPERLINK("https://klasma.github.io/Logging_1293/artfynd/A 8223-2025 artfynd.xlsx", "A 8223-2025")</f>
        <v/>
      </c>
      <c r="T269">
        <f>HYPERLINK("https://klasma.github.io/Logging_1293/kartor/A 8223-2025 karta.png", "A 8223-2025")</f>
        <v/>
      </c>
      <c r="V269">
        <f>HYPERLINK("https://klasma.github.io/Logging_1293/klagomål/A 8223-2025 FSC-klagomål.docx", "A 8223-2025")</f>
        <v/>
      </c>
      <c r="W269">
        <f>HYPERLINK("https://klasma.github.io/Logging_1293/klagomålsmail/A 8223-2025 FSC-klagomål mail.docx", "A 8223-2025")</f>
        <v/>
      </c>
      <c r="X269">
        <f>HYPERLINK("https://klasma.github.io/Logging_1293/tillsyn/A 8223-2025 tillsynsbegäran.docx", "A 8223-2025")</f>
        <v/>
      </c>
      <c r="Y269">
        <f>HYPERLINK("https://klasma.github.io/Logging_1293/tillsynsmail/A 8223-2025 tillsynsbegäran mail.docx", "A 8223-2025")</f>
        <v/>
      </c>
      <c r="Z269">
        <f>HYPERLINK("https://klasma.github.io/Logging_1293/fåglar/A 8223-2025 prioriterade fågelarter.docx", "A 8223-2025")</f>
        <v/>
      </c>
    </row>
    <row r="270" ht="15" customHeight="1">
      <c r="A270" t="inlineStr">
        <is>
          <t>A 31764-2023</t>
        </is>
      </c>
      <c r="B270" s="1" t="n">
        <v>45118</v>
      </c>
      <c r="C270" s="1" t="n">
        <v>45914</v>
      </c>
      <c r="D270" t="inlineStr">
        <is>
          <t>SKÅNE LÄN</t>
        </is>
      </c>
      <c r="E270" t="inlineStr">
        <is>
          <t>LUND</t>
        </is>
      </c>
      <c r="F270" t="inlineStr">
        <is>
          <t>Kommuner</t>
        </is>
      </c>
      <c r="G270" t="n">
        <v>1.2</v>
      </c>
      <c r="H270" t="n">
        <v>0</v>
      </c>
      <c r="I270" t="n">
        <v>0</v>
      </c>
      <c r="J270" t="n">
        <v>0</v>
      </c>
      <c r="K270" t="n">
        <v>0</v>
      </c>
      <c r="L270" t="n">
        <v>0</v>
      </c>
      <c r="M270" t="n">
        <v>0</v>
      </c>
      <c r="N270" t="n">
        <v>0</v>
      </c>
      <c r="O270" t="n">
        <v>1</v>
      </c>
      <c r="P270" t="n">
        <v>0</v>
      </c>
      <c r="Q270" t="n">
        <v>1</v>
      </c>
      <c r="R270" s="2" t="inlineStr">
        <is>
          <t>Skorpdyna</t>
        </is>
      </c>
      <c r="S270">
        <f>HYPERLINK("https://klasma.github.io/Logging_1281/artfynd/A 31764-2023 artfynd.xlsx", "A 31764-2023")</f>
        <v/>
      </c>
      <c r="T270">
        <f>HYPERLINK("https://klasma.github.io/Logging_1281/kartor/A 31764-2023 karta.png", "A 31764-2023")</f>
        <v/>
      </c>
      <c r="V270">
        <f>HYPERLINK("https://klasma.github.io/Logging_1281/klagomål/A 31764-2023 FSC-klagomål.docx", "A 31764-2023")</f>
        <v/>
      </c>
      <c r="W270">
        <f>HYPERLINK("https://klasma.github.io/Logging_1281/klagomålsmail/A 31764-2023 FSC-klagomål mail.docx", "A 31764-2023")</f>
        <v/>
      </c>
      <c r="X270">
        <f>HYPERLINK("https://klasma.github.io/Logging_1281/tillsyn/A 31764-2023 tillsynsbegäran.docx", "A 31764-2023")</f>
        <v/>
      </c>
      <c r="Y270">
        <f>HYPERLINK("https://klasma.github.io/Logging_1281/tillsynsmail/A 31764-2023 tillsynsbegäran mail.docx", "A 31764-2023")</f>
        <v/>
      </c>
    </row>
    <row r="271" ht="15" customHeight="1">
      <c r="A271" t="inlineStr">
        <is>
          <t>A 49572-2022</t>
        </is>
      </c>
      <c r="B271" s="1" t="n">
        <v>44862.335</v>
      </c>
      <c r="C271" s="1" t="n">
        <v>45914</v>
      </c>
      <c r="D271" t="inlineStr">
        <is>
          <t>SKÅNE LÄN</t>
        </is>
      </c>
      <c r="E271" t="inlineStr">
        <is>
          <t>HÄSSLEHOLM</t>
        </is>
      </c>
      <c r="G271" t="n">
        <v>1.4</v>
      </c>
      <c r="H271" t="n">
        <v>0</v>
      </c>
      <c r="I271" t="n">
        <v>1</v>
      </c>
      <c r="J271" t="n">
        <v>0</v>
      </c>
      <c r="K271" t="n">
        <v>0</v>
      </c>
      <c r="L271" t="n">
        <v>0</v>
      </c>
      <c r="M271" t="n">
        <v>0</v>
      </c>
      <c r="N271" t="n">
        <v>0</v>
      </c>
      <c r="O271" t="n">
        <v>0</v>
      </c>
      <c r="P271" t="n">
        <v>0</v>
      </c>
      <c r="Q271" t="n">
        <v>1</v>
      </c>
      <c r="R271" s="2" t="inlineStr">
        <is>
          <t>Blåmossa</t>
        </is>
      </c>
      <c r="S271">
        <f>HYPERLINK("https://klasma.github.io/Logging_1293/artfynd/A 49572-2022 artfynd.xlsx", "A 49572-2022")</f>
        <v/>
      </c>
      <c r="T271">
        <f>HYPERLINK("https://klasma.github.io/Logging_1293/kartor/A 49572-2022 karta.png", "A 49572-2022")</f>
        <v/>
      </c>
      <c r="V271">
        <f>HYPERLINK("https://klasma.github.io/Logging_1293/klagomål/A 49572-2022 FSC-klagomål.docx", "A 49572-2022")</f>
        <v/>
      </c>
      <c r="W271">
        <f>HYPERLINK("https://klasma.github.io/Logging_1293/klagomålsmail/A 49572-2022 FSC-klagomål mail.docx", "A 49572-2022")</f>
        <v/>
      </c>
      <c r="X271">
        <f>HYPERLINK("https://klasma.github.io/Logging_1293/tillsyn/A 49572-2022 tillsynsbegäran.docx", "A 49572-2022")</f>
        <v/>
      </c>
      <c r="Y271">
        <f>HYPERLINK("https://klasma.github.io/Logging_1293/tillsynsmail/A 49572-2022 tillsynsbegäran mail.docx", "A 49572-2022")</f>
        <v/>
      </c>
    </row>
    <row r="272" ht="15" customHeight="1">
      <c r="A272" t="inlineStr">
        <is>
          <t>A 7433-2025</t>
        </is>
      </c>
      <c r="B272" s="1" t="n">
        <v>45702</v>
      </c>
      <c r="C272" s="1" t="n">
        <v>45914</v>
      </c>
      <c r="D272" t="inlineStr">
        <is>
          <t>SKÅNE LÄN</t>
        </is>
      </c>
      <c r="E272" t="inlineStr">
        <is>
          <t>KRISTIANSTAD</t>
        </is>
      </c>
      <c r="F272" t="inlineStr">
        <is>
          <t>Kyrkan</t>
        </is>
      </c>
      <c r="G272" t="n">
        <v>15.6</v>
      </c>
      <c r="H272" t="n">
        <v>1</v>
      </c>
      <c r="I272" t="n">
        <v>0</v>
      </c>
      <c r="J272" t="n">
        <v>0</v>
      </c>
      <c r="K272" t="n">
        <v>1</v>
      </c>
      <c r="L272" t="n">
        <v>0</v>
      </c>
      <c r="M272" t="n">
        <v>0</v>
      </c>
      <c r="N272" t="n">
        <v>0</v>
      </c>
      <c r="O272" t="n">
        <v>1</v>
      </c>
      <c r="P272" t="n">
        <v>1</v>
      </c>
      <c r="Q272" t="n">
        <v>1</v>
      </c>
      <c r="R272" s="2" t="inlineStr">
        <is>
          <t>Hedblomster</t>
        </is>
      </c>
      <c r="S272">
        <f>HYPERLINK("https://klasma.github.io/Logging_1290/artfynd/A 7433-2025 artfynd.xlsx", "A 7433-2025")</f>
        <v/>
      </c>
      <c r="T272">
        <f>HYPERLINK("https://klasma.github.io/Logging_1290/kartor/A 7433-2025 karta.png", "A 7433-2025")</f>
        <v/>
      </c>
      <c r="V272">
        <f>HYPERLINK("https://klasma.github.io/Logging_1290/klagomål/A 7433-2025 FSC-klagomål.docx", "A 7433-2025")</f>
        <v/>
      </c>
      <c r="W272">
        <f>HYPERLINK("https://klasma.github.io/Logging_1290/klagomålsmail/A 7433-2025 FSC-klagomål mail.docx", "A 7433-2025")</f>
        <v/>
      </c>
      <c r="X272">
        <f>HYPERLINK("https://klasma.github.io/Logging_1290/tillsyn/A 7433-2025 tillsynsbegäran.docx", "A 7433-2025")</f>
        <v/>
      </c>
      <c r="Y272">
        <f>HYPERLINK("https://klasma.github.io/Logging_1290/tillsynsmail/A 7433-2025 tillsynsbegäran mail.docx", "A 7433-2025")</f>
        <v/>
      </c>
    </row>
    <row r="273" ht="15" customHeight="1">
      <c r="A273" t="inlineStr">
        <is>
          <t>A 28429-2024</t>
        </is>
      </c>
      <c r="B273" s="1" t="n">
        <v>45477</v>
      </c>
      <c r="C273" s="1" t="n">
        <v>45914</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33883-2025</t>
        </is>
      </c>
      <c r="B274" s="1" t="n">
        <v>45842.57001157408</v>
      </c>
      <c r="C274" s="1" t="n">
        <v>45914</v>
      </c>
      <c r="D274" t="inlineStr">
        <is>
          <t>SKÅNE LÄN</t>
        </is>
      </c>
      <c r="E274" t="inlineStr">
        <is>
          <t>KRISTIANSTAD</t>
        </is>
      </c>
      <c r="G274" t="n">
        <v>2.3</v>
      </c>
      <c r="H274" t="n">
        <v>0</v>
      </c>
      <c r="I274" t="n">
        <v>1</v>
      </c>
      <c r="J274" t="n">
        <v>0</v>
      </c>
      <c r="K274" t="n">
        <v>0</v>
      </c>
      <c r="L274" t="n">
        <v>0</v>
      </c>
      <c r="M274" t="n">
        <v>0</v>
      </c>
      <c r="N274" t="n">
        <v>0</v>
      </c>
      <c r="O274" t="n">
        <v>0</v>
      </c>
      <c r="P274" t="n">
        <v>0</v>
      </c>
      <c r="Q274" t="n">
        <v>1</v>
      </c>
      <c r="R274" s="2" t="inlineStr">
        <is>
          <t>Stor häxört</t>
        </is>
      </c>
      <c r="S274">
        <f>HYPERLINK("https://klasma.github.io/Logging_1290/artfynd/A 33883-2025 artfynd.xlsx", "A 33883-2025")</f>
        <v/>
      </c>
      <c r="T274">
        <f>HYPERLINK("https://klasma.github.io/Logging_1290/kartor/A 33883-2025 karta.png", "A 33883-2025")</f>
        <v/>
      </c>
      <c r="V274">
        <f>HYPERLINK("https://klasma.github.io/Logging_1290/klagomål/A 33883-2025 FSC-klagomål.docx", "A 33883-2025")</f>
        <v/>
      </c>
      <c r="W274">
        <f>HYPERLINK("https://klasma.github.io/Logging_1290/klagomålsmail/A 33883-2025 FSC-klagomål mail.docx", "A 33883-2025")</f>
        <v/>
      </c>
      <c r="X274">
        <f>HYPERLINK("https://klasma.github.io/Logging_1290/tillsyn/A 33883-2025 tillsynsbegäran.docx", "A 33883-2025")</f>
        <v/>
      </c>
      <c r="Y274">
        <f>HYPERLINK("https://klasma.github.io/Logging_1290/tillsynsmail/A 33883-2025 tillsynsbegäran mail.docx", "A 33883-2025")</f>
        <v/>
      </c>
    </row>
    <row r="275" ht="15" customHeight="1">
      <c r="A275" t="inlineStr">
        <is>
          <t>A 33520-2025</t>
        </is>
      </c>
      <c r="B275" s="1" t="n">
        <v>45841.54231481482</v>
      </c>
      <c r="C275" s="1" t="n">
        <v>45914</v>
      </c>
      <c r="D275" t="inlineStr">
        <is>
          <t>SKÅNE LÄN</t>
        </is>
      </c>
      <c r="E275" t="inlineStr">
        <is>
          <t>ÄNGELHOLM</t>
        </is>
      </c>
      <c r="G275" t="n">
        <v>2.4</v>
      </c>
      <c r="H275" t="n">
        <v>1</v>
      </c>
      <c r="I275" t="n">
        <v>0</v>
      </c>
      <c r="J275" t="n">
        <v>1</v>
      </c>
      <c r="K275" t="n">
        <v>0</v>
      </c>
      <c r="L275" t="n">
        <v>0</v>
      </c>
      <c r="M275" t="n">
        <v>0</v>
      </c>
      <c r="N275" t="n">
        <v>0</v>
      </c>
      <c r="O275" t="n">
        <v>1</v>
      </c>
      <c r="P275" t="n">
        <v>0</v>
      </c>
      <c r="Q275" t="n">
        <v>1</v>
      </c>
      <c r="R275" s="2" t="inlineStr">
        <is>
          <t>Entita</t>
        </is>
      </c>
      <c r="S275">
        <f>HYPERLINK("https://klasma.github.io/Logging_1292/artfynd/A 33520-2025 artfynd.xlsx", "A 33520-2025")</f>
        <v/>
      </c>
      <c r="T275">
        <f>HYPERLINK("https://klasma.github.io/Logging_1292/kartor/A 33520-2025 karta.png", "A 33520-2025")</f>
        <v/>
      </c>
      <c r="V275">
        <f>HYPERLINK("https://klasma.github.io/Logging_1292/klagomål/A 33520-2025 FSC-klagomål.docx", "A 33520-2025")</f>
        <v/>
      </c>
      <c r="W275">
        <f>HYPERLINK("https://klasma.github.io/Logging_1292/klagomålsmail/A 33520-2025 FSC-klagomål mail.docx", "A 33520-2025")</f>
        <v/>
      </c>
      <c r="X275">
        <f>HYPERLINK("https://klasma.github.io/Logging_1292/tillsyn/A 33520-2025 tillsynsbegäran.docx", "A 33520-2025")</f>
        <v/>
      </c>
      <c r="Y275">
        <f>HYPERLINK("https://klasma.github.io/Logging_1292/tillsynsmail/A 33520-2025 tillsynsbegäran mail.docx", "A 33520-2025")</f>
        <v/>
      </c>
      <c r="Z275">
        <f>HYPERLINK("https://klasma.github.io/Logging_1292/fåglar/A 33520-2025 prioriterade fågelarter.docx", "A 33520-2025")</f>
        <v/>
      </c>
    </row>
    <row r="276" ht="15" customHeight="1">
      <c r="A276" t="inlineStr">
        <is>
          <t>A 25456-2023</t>
        </is>
      </c>
      <c r="B276" s="1" t="n">
        <v>45089</v>
      </c>
      <c r="C276" s="1" t="n">
        <v>45914</v>
      </c>
      <c r="D276" t="inlineStr">
        <is>
          <t>SKÅNE LÄN</t>
        </is>
      </c>
      <c r="E276" t="inlineStr">
        <is>
          <t>KRISTIANSTAD</t>
        </is>
      </c>
      <c r="G276" t="n">
        <v>1</v>
      </c>
      <c r="H276" t="n">
        <v>0</v>
      </c>
      <c r="I276" t="n">
        <v>0</v>
      </c>
      <c r="J276" t="n">
        <v>1</v>
      </c>
      <c r="K276" t="n">
        <v>0</v>
      </c>
      <c r="L276" t="n">
        <v>0</v>
      </c>
      <c r="M276" t="n">
        <v>0</v>
      </c>
      <c r="N276" t="n">
        <v>0</v>
      </c>
      <c r="O276" t="n">
        <v>1</v>
      </c>
      <c r="P276" t="n">
        <v>0</v>
      </c>
      <c r="Q276" t="n">
        <v>1</v>
      </c>
      <c r="R276" s="2" t="inlineStr">
        <is>
          <t>Krattsnabbvinge</t>
        </is>
      </c>
      <c r="S276">
        <f>HYPERLINK("https://klasma.github.io/Logging_1290/artfynd/A 25456-2023 artfynd.xlsx", "A 25456-2023")</f>
        <v/>
      </c>
      <c r="T276">
        <f>HYPERLINK("https://klasma.github.io/Logging_1290/kartor/A 25456-2023 karta.png", "A 25456-2023")</f>
        <v/>
      </c>
      <c r="V276">
        <f>HYPERLINK("https://klasma.github.io/Logging_1290/klagomål/A 25456-2023 FSC-klagomål.docx", "A 25456-2023")</f>
        <v/>
      </c>
      <c r="W276">
        <f>HYPERLINK("https://klasma.github.io/Logging_1290/klagomålsmail/A 25456-2023 FSC-klagomål mail.docx", "A 25456-2023")</f>
        <v/>
      </c>
      <c r="X276">
        <f>HYPERLINK("https://klasma.github.io/Logging_1290/tillsyn/A 25456-2023 tillsynsbegäran.docx", "A 25456-2023")</f>
        <v/>
      </c>
      <c r="Y276">
        <f>HYPERLINK("https://klasma.github.io/Logging_1290/tillsynsmail/A 25456-2023 tillsynsbegäran mail.docx", "A 25456-2023")</f>
        <v/>
      </c>
    </row>
    <row r="277" ht="15" customHeight="1">
      <c r="A277" t="inlineStr">
        <is>
          <t>A 40178-2024</t>
        </is>
      </c>
      <c r="B277" s="1" t="n">
        <v>45554.55802083333</v>
      </c>
      <c r="C277" s="1" t="n">
        <v>45914</v>
      </c>
      <c r="D277" t="inlineStr">
        <is>
          <t>SKÅNE LÄN</t>
        </is>
      </c>
      <c r="E277" t="inlineStr">
        <is>
          <t>ÖSTRA GÖINGE</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HYPERLINK("https://klasma.github.io/Logging_1256/artfynd/A 40178-2024 artfynd.xlsx", "A 40178-2024")</f>
        <v/>
      </c>
      <c r="T277">
        <f>HYPERLINK("https://klasma.github.io/Logging_1256/kartor/A 40178-2024 karta.png", "A 40178-2024")</f>
        <v/>
      </c>
      <c r="V277">
        <f>HYPERLINK("https://klasma.github.io/Logging_1256/klagomål/A 40178-2024 FSC-klagomål.docx", "A 40178-2024")</f>
        <v/>
      </c>
      <c r="W277">
        <f>HYPERLINK("https://klasma.github.io/Logging_1256/klagomålsmail/A 40178-2024 FSC-klagomål mail.docx", "A 40178-2024")</f>
        <v/>
      </c>
      <c r="X277">
        <f>HYPERLINK("https://klasma.github.io/Logging_1256/tillsyn/A 40178-2024 tillsynsbegäran.docx", "A 40178-2024")</f>
        <v/>
      </c>
      <c r="Y277">
        <f>HYPERLINK("https://klasma.github.io/Logging_1256/tillsynsmail/A 40178-2024 tillsynsbegäran mail.docx", "A 40178-2024")</f>
        <v/>
      </c>
    </row>
    <row r="278" ht="15" customHeight="1">
      <c r="A278" t="inlineStr">
        <is>
          <t>A 2942-2024</t>
        </is>
      </c>
      <c r="B278" s="1" t="n">
        <v>45315</v>
      </c>
      <c r="C278" s="1" t="n">
        <v>45914</v>
      </c>
      <c r="D278" t="inlineStr">
        <is>
          <t>SKÅNE LÄN</t>
        </is>
      </c>
      <c r="E278" t="inlineStr">
        <is>
          <t>HÖÖR</t>
        </is>
      </c>
      <c r="G278" t="n">
        <v>11.2</v>
      </c>
      <c r="H278" t="n">
        <v>1</v>
      </c>
      <c r="I278" t="n">
        <v>0</v>
      </c>
      <c r="J278" t="n">
        <v>0</v>
      </c>
      <c r="K278" t="n">
        <v>0</v>
      </c>
      <c r="L278" t="n">
        <v>0</v>
      </c>
      <c r="M278" t="n">
        <v>0</v>
      </c>
      <c r="N278" t="n">
        <v>0</v>
      </c>
      <c r="O278" t="n">
        <v>0</v>
      </c>
      <c r="P278" t="n">
        <v>0</v>
      </c>
      <c r="Q278" t="n">
        <v>1</v>
      </c>
      <c r="R278" s="2" t="inlineStr">
        <is>
          <t>Revlummer</t>
        </is>
      </c>
      <c r="S278">
        <f>HYPERLINK("https://klasma.github.io/Logging_1267/artfynd/A 2942-2024 artfynd.xlsx", "A 2942-2024")</f>
        <v/>
      </c>
      <c r="T278">
        <f>HYPERLINK("https://klasma.github.io/Logging_1267/kartor/A 2942-2024 karta.png", "A 2942-2024")</f>
        <v/>
      </c>
      <c r="V278">
        <f>HYPERLINK("https://klasma.github.io/Logging_1267/klagomål/A 2942-2024 FSC-klagomål.docx", "A 2942-2024")</f>
        <v/>
      </c>
      <c r="W278">
        <f>HYPERLINK("https://klasma.github.io/Logging_1267/klagomålsmail/A 2942-2024 FSC-klagomål mail.docx", "A 2942-2024")</f>
        <v/>
      </c>
      <c r="X278">
        <f>HYPERLINK("https://klasma.github.io/Logging_1267/tillsyn/A 2942-2024 tillsynsbegäran.docx", "A 2942-2024")</f>
        <v/>
      </c>
      <c r="Y278">
        <f>HYPERLINK("https://klasma.github.io/Logging_1267/tillsynsmail/A 2942-2024 tillsynsbegäran mail.docx", "A 2942-2024")</f>
        <v/>
      </c>
    </row>
    <row r="279" ht="15" customHeight="1">
      <c r="A279" t="inlineStr">
        <is>
          <t>A 60809-2023</t>
        </is>
      </c>
      <c r="B279" s="1" t="n">
        <v>45260</v>
      </c>
      <c r="C279" s="1" t="n">
        <v>45914</v>
      </c>
      <c r="D279" t="inlineStr">
        <is>
          <t>SKÅNE LÄN</t>
        </is>
      </c>
      <c r="E279" t="inlineStr">
        <is>
          <t>TOMELILLA</t>
        </is>
      </c>
      <c r="G279" t="n">
        <v>3.6</v>
      </c>
      <c r="H279" t="n">
        <v>0</v>
      </c>
      <c r="I279" t="n">
        <v>1</v>
      </c>
      <c r="J279" t="n">
        <v>0</v>
      </c>
      <c r="K279" t="n">
        <v>0</v>
      </c>
      <c r="L279" t="n">
        <v>0</v>
      </c>
      <c r="M279" t="n">
        <v>0</v>
      </c>
      <c r="N279" t="n">
        <v>0</v>
      </c>
      <c r="O279" t="n">
        <v>0</v>
      </c>
      <c r="P279" t="n">
        <v>0</v>
      </c>
      <c r="Q279" t="n">
        <v>1</v>
      </c>
      <c r="R279" s="2" t="inlineStr">
        <is>
          <t>Grovticka</t>
        </is>
      </c>
      <c r="S279">
        <f>HYPERLINK("https://klasma.github.io/Logging_1270/artfynd/A 60809-2023 artfynd.xlsx", "A 60809-2023")</f>
        <v/>
      </c>
      <c r="T279">
        <f>HYPERLINK("https://klasma.github.io/Logging_1270/kartor/A 60809-2023 karta.png", "A 60809-2023")</f>
        <v/>
      </c>
      <c r="V279">
        <f>HYPERLINK("https://klasma.github.io/Logging_1270/klagomål/A 60809-2023 FSC-klagomål.docx", "A 60809-2023")</f>
        <v/>
      </c>
      <c r="W279">
        <f>HYPERLINK("https://klasma.github.io/Logging_1270/klagomålsmail/A 60809-2023 FSC-klagomål mail.docx", "A 60809-2023")</f>
        <v/>
      </c>
      <c r="X279">
        <f>HYPERLINK("https://klasma.github.io/Logging_1270/tillsyn/A 60809-2023 tillsynsbegäran.docx", "A 60809-2023")</f>
        <v/>
      </c>
      <c r="Y279">
        <f>HYPERLINK("https://klasma.github.io/Logging_1270/tillsynsmail/A 60809-2023 tillsynsbegäran mail.docx", "A 60809-2023")</f>
        <v/>
      </c>
    </row>
    <row r="280" ht="15" customHeight="1">
      <c r="A280" t="inlineStr">
        <is>
          <t>A 32766-2021</t>
        </is>
      </c>
      <c r="B280" s="1" t="n">
        <v>44375</v>
      </c>
      <c r="C280" s="1" t="n">
        <v>45914</v>
      </c>
      <c r="D280" t="inlineStr">
        <is>
          <t>SKÅNE LÄN</t>
        </is>
      </c>
      <c r="E280" t="inlineStr">
        <is>
          <t>OSBY</t>
        </is>
      </c>
      <c r="G280" t="n">
        <v>1.9</v>
      </c>
      <c r="H280" t="n">
        <v>0</v>
      </c>
      <c r="I280" t="n">
        <v>1</v>
      </c>
      <c r="J280" t="n">
        <v>0</v>
      </c>
      <c r="K280" t="n">
        <v>0</v>
      </c>
      <c r="L280" t="n">
        <v>0</v>
      </c>
      <c r="M280" t="n">
        <v>0</v>
      </c>
      <c r="N280" t="n">
        <v>0</v>
      </c>
      <c r="O280" t="n">
        <v>0</v>
      </c>
      <c r="P280" t="n">
        <v>0</v>
      </c>
      <c r="Q280" t="n">
        <v>1</v>
      </c>
      <c r="R280" s="2" t="inlineStr">
        <is>
          <t>Smal svampklubba</t>
        </is>
      </c>
      <c r="S280">
        <f>HYPERLINK("https://klasma.github.io/Logging_1273/artfynd/A 32766-2021 artfynd.xlsx", "A 32766-2021")</f>
        <v/>
      </c>
      <c r="T280">
        <f>HYPERLINK("https://klasma.github.io/Logging_1273/kartor/A 32766-2021 karta.png", "A 32766-2021")</f>
        <v/>
      </c>
      <c r="V280">
        <f>HYPERLINK("https://klasma.github.io/Logging_1273/klagomål/A 32766-2021 FSC-klagomål.docx", "A 32766-2021")</f>
        <v/>
      </c>
      <c r="W280">
        <f>HYPERLINK("https://klasma.github.io/Logging_1273/klagomålsmail/A 32766-2021 FSC-klagomål mail.docx", "A 32766-2021")</f>
        <v/>
      </c>
      <c r="X280">
        <f>HYPERLINK("https://klasma.github.io/Logging_1273/tillsyn/A 32766-2021 tillsynsbegäran.docx", "A 32766-2021")</f>
        <v/>
      </c>
      <c r="Y280">
        <f>HYPERLINK("https://klasma.github.io/Logging_1273/tillsynsmail/A 32766-2021 tillsynsbegäran mail.docx", "A 32766-2021")</f>
        <v/>
      </c>
    </row>
    <row r="281" ht="15" customHeight="1">
      <c r="A281" t="inlineStr">
        <is>
          <t>A 72269-2021</t>
        </is>
      </c>
      <c r="B281" s="1" t="n">
        <v>44543</v>
      </c>
      <c r="C281" s="1" t="n">
        <v>45914</v>
      </c>
      <c r="D281" t="inlineStr">
        <is>
          <t>SKÅNE LÄN</t>
        </is>
      </c>
      <c r="E281" t="inlineStr">
        <is>
          <t>LUND</t>
        </is>
      </c>
      <c r="G281" t="n">
        <v>3.2</v>
      </c>
      <c r="H281" t="n">
        <v>0</v>
      </c>
      <c r="I281" t="n">
        <v>1</v>
      </c>
      <c r="J281" t="n">
        <v>0</v>
      </c>
      <c r="K281" t="n">
        <v>0</v>
      </c>
      <c r="L281" t="n">
        <v>0</v>
      </c>
      <c r="M281" t="n">
        <v>0</v>
      </c>
      <c r="N281" t="n">
        <v>0</v>
      </c>
      <c r="O281" t="n">
        <v>0</v>
      </c>
      <c r="P281" t="n">
        <v>0</v>
      </c>
      <c r="Q281" t="n">
        <v>1</v>
      </c>
      <c r="R281" s="2" t="inlineStr">
        <is>
          <t>Stor häxört</t>
        </is>
      </c>
      <c r="S281">
        <f>HYPERLINK("https://klasma.github.io/Logging_1281/artfynd/A 72269-2021 artfynd.xlsx", "A 72269-2021")</f>
        <v/>
      </c>
      <c r="T281">
        <f>HYPERLINK("https://klasma.github.io/Logging_1281/kartor/A 72269-2021 karta.png", "A 72269-2021")</f>
        <v/>
      </c>
      <c r="V281">
        <f>HYPERLINK("https://klasma.github.io/Logging_1281/klagomål/A 72269-2021 FSC-klagomål.docx", "A 72269-2021")</f>
        <v/>
      </c>
      <c r="W281">
        <f>HYPERLINK("https://klasma.github.io/Logging_1281/klagomålsmail/A 72269-2021 FSC-klagomål mail.docx", "A 72269-2021")</f>
        <v/>
      </c>
      <c r="X281">
        <f>HYPERLINK("https://klasma.github.io/Logging_1281/tillsyn/A 72269-2021 tillsynsbegäran.docx", "A 72269-2021")</f>
        <v/>
      </c>
      <c r="Y281">
        <f>HYPERLINK("https://klasma.github.io/Logging_1281/tillsynsmail/A 72269-2021 tillsynsbegäran mail.docx", "A 72269-2021")</f>
        <v/>
      </c>
    </row>
    <row r="282" ht="15" customHeight="1">
      <c r="A282" t="inlineStr">
        <is>
          <t>A 24388-2023</t>
        </is>
      </c>
      <c r="B282" s="1" t="n">
        <v>45082</v>
      </c>
      <c r="C282" s="1" t="n">
        <v>45914</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54424-2023</t>
        </is>
      </c>
      <c r="B283" s="1" t="n">
        <v>45233</v>
      </c>
      <c r="C283" s="1" t="n">
        <v>45914</v>
      </c>
      <c r="D283" t="inlineStr">
        <is>
          <t>SKÅNE LÄN</t>
        </is>
      </c>
      <c r="E283" t="inlineStr">
        <is>
          <t>SVALÖV</t>
        </is>
      </c>
      <c r="G283" t="n">
        <v>5.7</v>
      </c>
      <c r="H283" t="n">
        <v>0</v>
      </c>
      <c r="I283" t="n">
        <v>1</v>
      </c>
      <c r="J283" t="n">
        <v>0</v>
      </c>
      <c r="K283" t="n">
        <v>0</v>
      </c>
      <c r="L283" t="n">
        <v>0</v>
      </c>
      <c r="M283" t="n">
        <v>0</v>
      </c>
      <c r="N283" t="n">
        <v>0</v>
      </c>
      <c r="O283" t="n">
        <v>0</v>
      </c>
      <c r="P283" t="n">
        <v>0</v>
      </c>
      <c r="Q283" t="n">
        <v>1</v>
      </c>
      <c r="R283" s="2" t="inlineStr">
        <is>
          <t>Myskmadra</t>
        </is>
      </c>
      <c r="S283">
        <f>HYPERLINK("https://klasma.github.io/Logging_1214/artfynd/A 54424-2023 artfynd.xlsx", "A 54424-2023")</f>
        <v/>
      </c>
      <c r="T283">
        <f>HYPERLINK("https://klasma.github.io/Logging_1214/kartor/A 54424-2023 karta.png", "A 54424-2023")</f>
        <v/>
      </c>
      <c r="V283">
        <f>HYPERLINK("https://klasma.github.io/Logging_1214/klagomål/A 54424-2023 FSC-klagomål.docx", "A 54424-2023")</f>
        <v/>
      </c>
      <c r="W283">
        <f>HYPERLINK("https://klasma.github.io/Logging_1214/klagomålsmail/A 54424-2023 FSC-klagomål mail.docx", "A 54424-2023")</f>
        <v/>
      </c>
      <c r="X283">
        <f>HYPERLINK("https://klasma.github.io/Logging_1214/tillsyn/A 54424-2023 tillsynsbegäran.docx", "A 54424-2023")</f>
        <v/>
      </c>
      <c r="Y283">
        <f>HYPERLINK("https://klasma.github.io/Logging_1214/tillsynsmail/A 54424-2023 tillsynsbegäran mail.docx", "A 54424-2023")</f>
        <v/>
      </c>
    </row>
    <row r="284" ht="15" customHeight="1">
      <c r="A284" t="inlineStr">
        <is>
          <t>A 756-2024</t>
        </is>
      </c>
      <c r="B284" s="1" t="n">
        <v>45300</v>
      </c>
      <c r="C284" s="1" t="n">
        <v>45914</v>
      </c>
      <c r="D284" t="inlineStr">
        <is>
          <t>SKÅNE LÄN</t>
        </is>
      </c>
      <c r="E284" t="inlineStr">
        <is>
          <t>TOMELILLA</t>
        </is>
      </c>
      <c r="F284" t="inlineStr">
        <is>
          <t>Övriga Aktiebolag</t>
        </is>
      </c>
      <c r="G284" t="n">
        <v>13.1</v>
      </c>
      <c r="H284" t="n">
        <v>0</v>
      </c>
      <c r="I284" t="n">
        <v>0</v>
      </c>
      <c r="J284" t="n">
        <v>1</v>
      </c>
      <c r="K284" t="n">
        <v>0</v>
      </c>
      <c r="L284" t="n">
        <v>0</v>
      </c>
      <c r="M284" t="n">
        <v>0</v>
      </c>
      <c r="N284" t="n">
        <v>0</v>
      </c>
      <c r="O284" t="n">
        <v>1</v>
      </c>
      <c r="P284" t="n">
        <v>0</v>
      </c>
      <c r="Q284" t="n">
        <v>1</v>
      </c>
      <c r="R284" s="2" t="inlineStr">
        <is>
          <t>Borsttåg</t>
        </is>
      </c>
      <c r="S284">
        <f>HYPERLINK("https://klasma.github.io/Logging_1270/artfynd/A 756-2024 artfynd.xlsx", "A 756-2024")</f>
        <v/>
      </c>
      <c r="T284">
        <f>HYPERLINK("https://klasma.github.io/Logging_1270/kartor/A 756-2024 karta.png", "A 756-2024")</f>
        <v/>
      </c>
      <c r="V284">
        <f>HYPERLINK("https://klasma.github.io/Logging_1270/klagomål/A 756-2024 FSC-klagomål.docx", "A 756-2024")</f>
        <v/>
      </c>
      <c r="W284">
        <f>HYPERLINK("https://klasma.github.io/Logging_1270/klagomålsmail/A 756-2024 FSC-klagomål mail.docx", "A 756-2024")</f>
        <v/>
      </c>
      <c r="X284">
        <f>HYPERLINK("https://klasma.github.io/Logging_1270/tillsyn/A 756-2024 tillsynsbegäran.docx", "A 756-2024")</f>
        <v/>
      </c>
      <c r="Y284">
        <f>HYPERLINK("https://klasma.github.io/Logging_1270/tillsynsmail/A 756-2024 tillsynsbegäran mail.docx", "A 756-2024")</f>
        <v/>
      </c>
    </row>
    <row r="285" ht="15" customHeight="1">
      <c r="A285" t="inlineStr">
        <is>
          <t>A 23403-2024</t>
        </is>
      </c>
      <c r="B285" s="1" t="n">
        <v>45453</v>
      </c>
      <c r="C285" s="1" t="n">
        <v>45914</v>
      </c>
      <c r="D285" t="inlineStr">
        <is>
          <t>SKÅNE LÄN</t>
        </is>
      </c>
      <c r="E285" t="inlineStr">
        <is>
          <t>KLIPPAN</t>
        </is>
      </c>
      <c r="G285" t="n">
        <v>9.1</v>
      </c>
      <c r="H285" t="n">
        <v>0</v>
      </c>
      <c r="I285" t="n">
        <v>0</v>
      </c>
      <c r="J285" t="n">
        <v>1</v>
      </c>
      <c r="K285" t="n">
        <v>0</v>
      </c>
      <c r="L285" t="n">
        <v>0</v>
      </c>
      <c r="M285" t="n">
        <v>0</v>
      </c>
      <c r="N285" t="n">
        <v>0</v>
      </c>
      <c r="O285" t="n">
        <v>1</v>
      </c>
      <c r="P285" t="n">
        <v>0</v>
      </c>
      <c r="Q285" t="n">
        <v>1</v>
      </c>
      <c r="R285" s="2" t="inlineStr">
        <is>
          <t>Vårstarr</t>
        </is>
      </c>
      <c r="S285">
        <f>HYPERLINK("https://klasma.github.io/Logging_1276/artfynd/A 23403-2024 artfynd.xlsx", "A 23403-2024")</f>
        <v/>
      </c>
      <c r="T285">
        <f>HYPERLINK("https://klasma.github.io/Logging_1276/kartor/A 23403-2024 karta.png", "A 23403-2024")</f>
        <v/>
      </c>
      <c r="V285">
        <f>HYPERLINK("https://klasma.github.io/Logging_1276/klagomål/A 23403-2024 FSC-klagomål.docx", "A 23403-2024")</f>
        <v/>
      </c>
      <c r="W285">
        <f>HYPERLINK("https://klasma.github.io/Logging_1276/klagomålsmail/A 23403-2024 FSC-klagomål mail.docx", "A 23403-2024")</f>
        <v/>
      </c>
      <c r="X285">
        <f>HYPERLINK("https://klasma.github.io/Logging_1276/tillsyn/A 23403-2024 tillsynsbegäran.docx", "A 23403-2024")</f>
        <v/>
      </c>
      <c r="Y285">
        <f>HYPERLINK("https://klasma.github.io/Logging_1276/tillsynsmail/A 23403-2024 tillsynsbegäran mail.docx", "A 23403-2024")</f>
        <v/>
      </c>
    </row>
    <row r="286" ht="15" customHeight="1">
      <c r="A286" t="inlineStr">
        <is>
          <t>A 38752-2025</t>
        </is>
      </c>
      <c r="B286" s="1" t="n">
        <v>45887.39311342593</v>
      </c>
      <c r="C286" s="1" t="n">
        <v>45914</v>
      </c>
      <c r="D286" t="inlineStr">
        <is>
          <t>SKÅNE LÄN</t>
        </is>
      </c>
      <c r="E286" t="inlineStr">
        <is>
          <t>ÄNGELHOLM</t>
        </is>
      </c>
      <c r="G286" t="n">
        <v>3.4</v>
      </c>
      <c r="H286" t="n">
        <v>0</v>
      </c>
      <c r="I286" t="n">
        <v>0</v>
      </c>
      <c r="J286" t="n">
        <v>1</v>
      </c>
      <c r="K286" t="n">
        <v>0</v>
      </c>
      <c r="L286" t="n">
        <v>0</v>
      </c>
      <c r="M286" t="n">
        <v>0</v>
      </c>
      <c r="N286" t="n">
        <v>0</v>
      </c>
      <c r="O286" t="n">
        <v>1</v>
      </c>
      <c r="P286" t="n">
        <v>0</v>
      </c>
      <c r="Q286" t="n">
        <v>1</v>
      </c>
      <c r="R286" s="2" t="inlineStr">
        <is>
          <t>Slåtterfibbla</t>
        </is>
      </c>
      <c r="S286">
        <f>HYPERLINK("https://klasma.github.io/Logging_1292/artfynd/A 38752-2025 artfynd.xlsx", "A 38752-2025")</f>
        <v/>
      </c>
      <c r="T286">
        <f>HYPERLINK("https://klasma.github.io/Logging_1292/kartor/A 38752-2025 karta.png", "A 38752-2025")</f>
        <v/>
      </c>
      <c r="V286">
        <f>HYPERLINK("https://klasma.github.io/Logging_1292/klagomål/A 38752-2025 FSC-klagomål.docx", "A 38752-2025")</f>
        <v/>
      </c>
      <c r="W286">
        <f>HYPERLINK("https://klasma.github.io/Logging_1292/klagomålsmail/A 38752-2025 FSC-klagomål mail.docx", "A 38752-2025")</f>
        <v/>
      </c>
      <c r="X286">
        <f>HYPERLINK("https://klasma.github.io/Logging_1292/tillsyn/A 38752-2025 tillsynsbegäran.docx", "A 38752-2025")</f>
        <v/>
      </c>
      <c r="Y286">
        <f>HYPERLINK("https://klasma.github.io/Logging_1292/tillsynsmail/A 38752-2025 tillsynsbegäran mail.docx", "A 38752-2025")</f>
        <v/>
      </c>
    </row>
    <row r="287" ht="15" customHeight="1">
      <c r="A287" t="inlineStr">
        <is>
          <t>A 32101-2024</t>
        </is>
      </c>
      <c r="B287" s="1" t="n">
        <v>45511.41752314815</v>
      </c>
      <c r="C287" s="1" t="n">
        <v>45914</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4746-2025</t>
        </is>
      </c>
      <c r="B288" s="1" t="n">
        <v>45688.46011574074</v>
      </c>
      <c r="C288" s="1" t="n">
        <v>45914</v>
      </c>
      <c r="D288" t="inlineStr">
        <is>
          <t>SKÅNE LÄN</t>
        </is>
      </c>
      <c r="E288" t="inlineStr">
        <is>
          <t>LUND</t>
        </is>
      </c>
      <c r="G288" t="n">
        <v>1.1</v>
      </c>
      <c r="H288" t="n">
        <v>1</v>
      </c>
      <c r="I288" t="n">
        <v>0</v>
      </c>
      <c r="J288" t="n">
        <v>1</v>
      </c>
      <c r="K288" t="n">
        <v>0</v>
      </c>
      <c r="L288" t="n">
        <v>0</v>
      </c>
      <c r="M288" t="n">
        <v>0</v>
      </c>
      <c r="N288" t="n">
        <v>0</v>
      </c>
      <c r="O288" t="n">
        <v>1</v>
      </c>
      <c r="P288" t="n">
        <v>0</v>
      </c>
      <c r="Q288" t="n">
        <v>1</v>
      </c>
      <c r="R288" s="2" t="inlineStr">
        <is>
          <t>Svartvit flugsnappare</t>
        </is>
      </c>
      <c r="S288">
        <f>HYPERLINK("https://klasma.github.io/Logging_1281/artfynd/A 4746-2025 artfynd.xlsx", "A 4746-2025")</f>
        <v/>
      </c>
      <c r="T288">
        <f>HYPERLINK("https://klasma.github.io/Logging_1281/kartor/A 4746-2025 karta.png", "A 4746-2025")</f>
        <v/>
      </c>
      <c r="V288">
        <f>HYPERLINK("https://klasma.github.io/Logging_1281/klagomål/A 4746-2025 FSC-klagomål.docx", "A 4746-2025")</f>
        <v/>
      </c>
      <c r="W288">
        <f>HYPERLINK("https://klasma.github.io/Logging_1281/klagomålsmail/A 4746-2025 FSC-klagomål mail.docx", "A 4746-2025")</f>
        <v/>
      </c>
      <c r="X288">
        <f>HYPERLINK("https://klasma.github.io/Logging_1281/tillsyn/A 4746-2025 tillsynsbegäran.docx", "A 4746-2025")</f>
        <v/>
      </c>
      <c r="Y288">
        <f>HYPERLINK("https://klasma.github.io/Logging_1281/tillsynsmail/A 4746-2025 tillsynsbegäran mail.docx", "A 4746-2025")</f>
        <v/>
      </c>
      <c r="Z288">
        <f>HYPERLINK("https://klasma.github.io/Logging_1281/fåglar/A 4746-2025 prioriterade fågelarter.docx", "A 4746-2025")</f>
        <v/>
      </c>
    </row>
    <row r="289" ht="15" customHeight="1">
      <c r="A289" t="inlineStr">
        <is>
          <t>A 4816-2025</t>
        </is>
      </c>
      <c r="B289" s="1" t="n">
        <v>45688.62052083333</v>
      </c>
      <c r="C289" s="1" t="n">
        <v>45914</v>
      </c>
      <c r="D289" t="inlineStr">
        <is>
          <t>SKÅNE LÄN</t>
        </is>
      </c>
      <c r="E289" t="inlineStr">
        <is>
          <t>LUND</t>
        </is>
      </c>
      <c r="G289" t="n">
        <v>7.7</v>
      </c>
      <c r="H289" t="n">
        <v>0</v>
      </c>
      <c r="I289" t="n">
        <v>1</v>
      </c>
      <c r="J289" t="n">
        <v>0</v>
      </c>
      <c r="K289" t="n">
        <v>0</v>
      </c>
      <c r="L289" t="n">
        <v>0</v>
      </c>
      <c r="M289" t="n">
        <v>0</v>
      </c>
      <c r="N289" t="n">
        <v>0</v>
      </c>
      <c r="O289" t="n">
        <v>0</v>
      </c>
      <c r="P289" t="n">
        <v>0</v>
      </c>
      <c r="Q289" t="n">
        <v>1</v>
      </c>
      <c r="R289" s="2" t="inlineStr">
        <is>
          <t>Strutbräken</t>
        </is>
      </c>
      <c r="S289">
        <f>HYPERLINK("https://klasma.github.io/Logging_1281/artfynd/A 4816-2025 artfynd.xlsx", "A 4816-2025")</f>
        <v/>
      </c>
      <c r="T289">
        <f>HYPERLINK("https://klasma.github.io/Logging_1281/kartor/A 4816-2025 karta.png", "A 4816-2025")</f>
        <v/>
      </c>
      <c r="V289">
        <f>HYPERLINK("https://klasma.github.io/Logging_1281/klagomål/A 4816-2025 FSC-klagomål.docx", "A 4816-2025")</f>
        <v/>
      </c>
      <c r="W289">
        <f>HYPERLINK("https://klasma.github.io/Logging_1281/klagomålsmail/A 4816-2025 FSC-klagomål mail.docx", "A 4816-2025")</f>
        <v/>
      </c>
      <c r="X289">
        <f>HYPERLINK("https://klasma.github.io/Logging_1281/tillsyn/A 4816-2025 tillsynsbegäran.docx", "A 4816-2025")</f>
        <v/>
      </c>
      <c r="Y289">
        <f>HYPERLINK("https://klasma.github.io/Logging_1281/tillsynsmail/A 4816-2025 tillsynsbegäran mail.docx", "A 4816-2025")</f>
        <v/>
      </c>
    </row>
    <row r="290" ht="15" customHeight="1">
      <c r="A290" t="inlineStr">
        <is>
          <t>A 113-2023</t>
        </is>
      </c>
      <c r="B290" s="1" t="n">
        <v>44928</v>
      </c>
      <c r="C290" s="1" t="n">
        <v>45914</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38965-2025</t>
        </is>
      </c>
      <c r="B291" s="1" t="n">
        <v>45887.69434027778</v>
      </c>
      <c r="C291" s="1" t="n">
        <v>45914</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7054-2024</t>
        </is>
      </c>
      <c r="B292" s="1" t="n">
        <v>45343</v>
      </c>
      <c r="C292" s="1" t="n">
        <v>45914</v>
      </c>
      <c r="D292" t="inlineStr">
        <is>
          <t>SKÅNE LÄN</t>
        </is>
      </c>
      <c r="E292" t="inlineStr">
        <is>
          <t>KRISTIANSTAD</t>
        </is>
      </c>
      <c r="F292" t="inlineStr">
        <is>
          <t>Sveaskog</t>
        </is>
      </c>
      <c r="G292" t="n">
        <v>0.4</v>
      </c>
      <c r="H292" t="n">
        <v>1</v>
      </c>
      <c r="I292" t="n">
        <v>0</v>
      </c>
      <c r="J292" t="n">
        <v>0</v>
      </c>
      <c r="K292" t="n">
        <v>0</v>
      </c>
      <c r="L292" t="n">
        <v>0</v>
      </c>
      <c r="M292" t="n">
        <v>0</v>
      </c>
      <c r="N292" t="n">
        <v>0</v>
      </c>
      <c r="O292" t="n">
        <v>0</v>
      </c>
      <c r="P292" t="n">
        <v>0</v>
      </c>
      <c r="Q292" t="n">
        <v>1</v>
      </c>
      <c r="R292" s="2" t="inlineStr">
        <is>
          <t>Törnskata</t>
        </is>
      </c>
      <c r="S292">
        <f>HYPERLINK("https://klasma.github.io/Logging_1290/artfynd/A 7054-2024 artfynd.xlsx", "A 7054-2024")</f>
        <v/>
      </c>
      <c r="T292">
        <f>HYPERLINK("https://klasma.github.io/Logging_1290/kartor/A 7054-2024 karta.png", "A 7054-2024")</f>
        <v/>
      </c>
      <c r="V292">
        <f>HYPERLINK("https://klasma.github.io/Logging_1290/klagomål/A 7054-2024 FSC-klagomål.docx", "A 7054-2024")</f>
        <v/>
      </c>
      <c r="W292">
        <f>HYPERLINK("https://klasma.github.io/Logging_1290/klagomålsmail/A 7054-2024 FSC-klagomål mail.docx", "A 7054-2024")</f>
        <v/>
      </c>
      <c r="X292">
        <f>HYPERLINK("https://klasma.github.io/Logging_1290/tillsyn/A 7054-2024 tillsynsbegäran.docx", "A 7054-2024")</f>
        <v/>
      </c>
      <c r="Y292">
        <f>HYPERLINK("https://klasma.github.io/Logging_1290/tillsynsmail/A 7054-2024 tillsynsbegäran mail.docx", "A 7054-2024")</f>
        <v/>
      </c>
      <c r="Z292">
        <f>HYPERLINK("https://klasma.github.io/Logging_1290/fåglar/A 7054-2024 prioriterade fågelarter.docx", "A 7054-2024")</f>
        <v/>
      </c>
    </row>
    <row r="293" ht="15" customHeight="1">
      <c r="A293" t="inlineStr">
        <is>
          <t>A 8833-2021</t>
        </is>
      </c>
      <c r="B293" s="1" t="n">
        <v>44245</v>
      </c>
      <c r="C293" s="1" t="n">
        <v>45914</v>
      </c>
      <c r="D293" t="inlineStr">
        <is>
          <t>SKÅNE LÄN</t>
        </is>
      </c>
      <c r="E293" t="inlineStr">
        <is>
          <t>HÖÖR</t>
        </is>
      </c>
      <c r="G293" t="n">
        <v>2</v>
      </c>
      <c r="H293" t="n">
        <v>1</v>
      </c>
      <c r="I293" t="n">
        <v>0</v>
      </c>
      <c r="J293" t="n">
        <v>0</v>
      </c>
      <c r="K293" t="n">
        <v>0</v>
      </c>
      <c r="L293" t="n">
        <v>0</v>
      </c>
      <c r="M293" t="n">
        <v>0</v>
      </c>
      <c r="N293" t="n">
        <v>0</v>
      </c>
      <c r="O293" t="n">
        <v>0</v>
      </c>
      <c r="P293" t="n">
        <v>0</v>
      </c>
      <c r="Q293" t="n">
        <v>1</v>
      </c>
      <c r="R293" s="2" t="inlineStr">
        <is>
          <t>Mattlummer</t>
        </is>
      </c>
      <c r="S293">
        <f>HYPERLINK("https://klasma.github.io/Logging_1267/artfynd/A 8833-2021 artfynd.xlsx", "A 8833-2021")</f>
        <v/>
      </c>
      <c r="T293">
        <f>HYPERLINK("https://klasma.github.io/Logging_1267/kartor/A 8833-2021 karta.png", "A 8833-2021")</f>
        <v/>
      </c>
      <c r="V293">
        <f>HYPERLINK("https://klasma.github.io/Logging_1267/klagomål/A 8833-2021 FSC-klagomål.docx", "A 8833-2021")</f>
        <v/>
      </c>
      <c r="W293">
        <f>HYPERLINK("https://klasma.github.io/Logging_1267/klagomålsmail/A 8833-2021 FSC-klagomål mail.docx", "A 8833-2021")</f>
        <v/>
      </c>
      <c r="X293">
        <f>HYPERLINK("https://klasma.github.io/Logging_1267/tillsyn/A 8833-2021 tillsynsbegäran.docx", "A 8833-2021")</f>
        <v/>
      </c>
      <c r="Y293">
        <f>HYPERLINK("https://klasma.github.io/Logging_1267/tillsynsmail/A 8833-2021 tillsynsbegäran mail.docx", "A 8833-2021")</f>
        <v/>
      </c>
    </row>
    <row r="294" ht="15" customHeight="1">
      <c r="A294" t="inlineStr">
        <is>
          <t>A 35258-2024</t>
        </is>
      </c>
      <c r="B294" s="1" t="n">
        <v>45530</v>
      </c>
      <c r="C294" s="1" t="n">
        <v>45914</v>
      </c>
      <c r="D294" t="inlineStr">
        <is>
          <t>SKÅNE LÄN</t>
        </is>
      </c>
      <c r="E294" t="inlineStr">
        <is>
          <t>SJÖBO</t>
        </is>
      </c>
      <c r="G294" t="n">
        <v>16.6</v>
      </c>
      <c r="H294" t="n">
        <v>0</v>
      </c>
      <c r="I294" t="n">
        <v>0</v>
      </c>
      <c r="J294" t="n">
        <v>0</v>
      </c>
      <c r="K294" t="n">
        <v>0</v>
      </c>
      <c r="L294" t="n">
        <v>1</v>
      </c>
      <c r="M294" t="n">
        <v>0</v>
      </c>
      <c r="N294" t="n">
        <v>0</v>
      </c>
      <c r="O294" t="n">
        <v>1</v>
      </c>
      <c r="P294" t="n">
        <v>1</v>
      </c>
      <c r="Q294" t="n">
        <v>1</v>
      </c>
      <c r="R294" s="2" t="inlineStr">
        <is>
          <t>Ask</t>
        </is>
      </c>
      <c r="S294">
        <f>HYPERLINK("https://klasma.github.io/Logging_1265/artfynd/A 35258-2024 artfynd.xlsx", "A 35258-2024")</f>
        <v/>
      </c>
      <c r="T294">
        <f>HYPERLINK("https://klasma.github.io/Logging_1265/kartor/A 35258-2024 karta.png", "A 35258-2024")</f>
        <v/>
      </c>
      <c r="V294">
        <f>HYPERLINK("https://klasma.github.io/Logging_1265/klagomål/A 35258-2024 FSC-klagomål.docx", "A 35258-2024")</f>
        <v/>
      </c>
      <c r="W294">
        <f>HYPERLINK("https://klasma.github.io/Logging_1265/klagomålsmail/A 35258-2024 FSC-klagomål mail.docx", "A 35258-2024")</f>
        <v/>
      </c>
      <c r="X294">
        <f>HYPERLINK("https://klasma.github.io/Logging_1265/tillsyn/A 35258-2024 tillsynsbegäran.docx", "A 35258-2024")</f>
        <v/>
      </c>
      <c r="Y294">
        <f>HYPERLINK("https://klasma.github.io/Logging_1265/tillsynsmail/A 35258-2024 tillsynsbegäran mail.docx", "A 35258-2024")</f>
        <v/>
      </c>
    </row>
    <row r="295" ht="15" customHeight="1">
      <c r="A295" t="inlineStr">
        <is>
          <t>A 53519-2023</t>
        </is>
      </c>
      <c r="B295" s="1" t="n">
        <v>45230</v>
      </c>
      <c r="C295" s="1" t="n">
        <v>45914</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30721-2021</t>
        </is>
      </c>
      <c r="B296" s="1" t="n">
        <v>44365</v>
      </c>
      <c r="C296" s="1" t="n">
        <v>45914</v>
      </c>
      <c r="D296" t="inlineStr">
        <is>
          <t>SKÅNE LÄN</t>
        </is>
      </c>
      <c r="E296" t="inlineStr">
        <is>
          <t>KLIPPAN</t>
        </is>
      </c>
      <c r="G296" t="n">
        <v>0.4</v>
      </c>
      <c r="H296" t="n">
        <v>0</v>
      </c>
      <c r="I296" t="n">
        <v>1</v>
      </c>
      <c r="J296" t="n">
        <v>0</v>
      </c>
      <c r="K296" t="n">
        <v>0</v>
      </c>
      <c r="L296" t="n">
        <v>0</v>
      </c>
      <c r="M296" t="n">
        <v>0</v>
      </c>
      <c r="N296" t="n">
        <v>0</v>
      </c>
      <c r="O296" t="n">
        <v>0</v>
      </c>
      <c r="P296" t="n">
        <v>0</v>
      </c>
      <c r="Q296" t="n">
        <v>1</v>
      </c>
      <c r="R296" s="2" t="inlineStr">
        <is>
          <t>Brandticka</t>
        </is>
      </c>
      <c r="S296">
        <f>HYPERLINK("https://klasma.github.io/Logging_1276/artfynd/A 30721-2021 artfynd.xlsx", "A 30721-2021")</f>
        <v/>
      </c>
      <c r="T296">
        <f>HYPERLINK("https://klasma.github.io/Logging_1276/kartor/A 30721-2021 karta.png", "A 30721-2021")</f>
        <v/>
      </c>
      <c r="V296">
        <f>HYPERLINK("https://klasma.github.io/Logging_1276/klagomål/A 30721-2021 FSC-klagomål.docx", "A 30721-2021")</f>
        <v/>
      </c>
      <c r="W296">
        <f>HYPERLINK("https://klasma.github.io/Logging_1276/klagomålsmail/A 30721-2021 FSC-klagomål mail.docx", "A 30721-2021")</f>
        <v/>
      </c>
      <c r="X296">
        <f>HYPERLINK("https://klasma.github.io/Logging_1276/tillsyn/A 30721-2021 tillsynsbegäran.docx", "A 30721-2021")</f>
        <v/>
      </c>
      <c r="Y296">
        <f>HYPERLINK("https://klasma.github.io/Logging_1276/tillsynsmail/A 30721-2021 tillsynsbegäran mail.docx", "A 30721-2021")</f>
        <v/>
      </c>
    </row>
    <row r="297" ht="15" customHeight="1">
      <c r="A297" t="inlineStr">
        <is>
          <t>A 4892-2023</t>
        </is>
      </c>
      <c r="B297" s="1" t="n">
        <v>44958</v>
      </c>
      <c r="C297" s="1" t="n">
        <v>45914</v>
      </c>
      <c r="D297" t="inlineStr">
        <is>
          <t>SKÅNE LÄN</t>
        </is>
      </c>
      <c r="E297" t="inlineStr">
        <is>
          <t>ÖSTRA GÖINGE</t>
        </is>
      </c>
      <c r="G297" t="n">
        <v>2</v>
      </c>
      <c r="H297" t="n">
        <v>1</v>
      </c>
      <c r="I297" t="n">
        <v>0</v>
      </c>
      <c r="J297" t="n">
        <v>1</v>
      </c>
      <c r="K297" t="n">
        <v>0</v>
      </c>
      <c r="L297" t="n">
        <v>0</v>
      </c>
      <c r="M297" t="n">
        <v>0</v>
      </c>
      <c r="N297" t="n">
        <v>0</v>
      </c>
      <c r="O297" t="n">
        <v>1</v>
      </c>
      <c r="P297" t="n">
        <v>0</v>
      </c>
      <c r="Q297" t="n">
        <v>1</v>
      </c>
      <c r="R297" s="2" t="inlineStr">
        <is>
          <t>Gulsparv</t>
        </is>
      </c>
      <c r="S297">
        <f>HYPERLINK("https://klasma.github.io/Logging_1256/artfynd/A 4892-2023 artfynd.xlsx", "A 4892-2023")</f>
        <v/>
      </c>
      <c r="T297">
        <f>HYPERLINK("https://klasma.github.io/Logging_1256/kartor/A 4892-2023 karta.png", "A 4892-2023")</f>
        <v/>
      </c>
      <c r="V297">
        <f>HYPERLINK("https://klasma.github.io/Logging_1256/klagomål/A 4892-2023 FSC-klagomål.docx", "A 4892-2023")</f>
        <v/>
      </c>
      <c r="W297">
        <f>HYPERLINK("https://klasma.github.io/Logging_1256/klagomålsmail/A 4892-2023 FSC-klagomål mail.docx", "A 4892-2023")</f>
        <v/>
      </c>
      <c r="X297">
        <f>HYPERLINK("https://klasma.github.io/Logging_1256/tillsyn/A 4892-2023 tillsynsbegäran.docx", "A 4892-2023")</f>
        <v/>
      </c>
      <c r="Y297">
        <f>HYPERLINK("https://klasma.github.io/Logging_1256/tillsynsmail/A 4892-2023 tillsynsbegäran mail.docx", "A 4892-2023")</f>
        <v/>
      </c>
      <c r="Z297">
        <f>HYPERLINK("https://klasma.github.io/Logging_1256/fåglar/A 4892-2023 prioriterade fågelarter.docx", "A 4892-2023")</f>
        <v/>
      </c>
    </row>
    <row r="298" ht="15" customHeight="1">
      <c r="A298" t="inlineStr">
        <is>
          <t>A 39260-2025</t>
        </is>
      </c>
      <c r="B298" s="1" t="n">
        <v>45889.37043981482</v>
      </c>
      <c r="C298" s="1" t="n">
        <v>45914</v>
      </c>
      <c r="D298" t="inlineStr">
        <is>
          <t>SKÅNE LÄN</t>
        </is>
      </c>
      <c r="E298" t="inlineStr">
        <is>
          <t>LUND</t>
        </is>
      </c>
      <c r="G298" t="n">
        <v>7.6</v>
      </c>
      <c r="H298" t="n">
        <v>1</v>
      </c>
      <c r="I298" t="n">
        <v>0</v>
      </c>
      <c r="J298" t="n">
        <v>0</v>
      </c>
      <c r="K298" t="n">
        <v>0</v>
      </c>
      <c r="L298" t="n">
        <v>0</v>
      </c>
      <c r="M298" t="n">
        <v>0</v>
      </c>
      <c r="N298" t="n">
        <v>0</v>
      </c>
      <c r="O298" t="n">
        <v>0</v>
      </c>
      <c r="P298" t="n">
        <v>0</v>
      </c>
      <c r="Q298" t="n">
        <v>1</v>
      </c>
      <c r="R298" s="2" t="inlineStr">
        <is>
          <t>Skogsödla</t>
        </is>
      </c>
      <c r="S298">
        <f>HYPERLINK("https://klasma.github.io/Logging_1281/artfynd/A 39260-2025 artfynd.xlsx", "A 39260-2025")</f>
        <v/>
      </c>
      <c r="T298">
        <f>HYPERLINK("https://klasma.github.io/Logging_1281/kartor/A 39260-2025 karta.png", "A 39260-2025")</f>
        <v/>
      </c>
      <c r="V298">
        <f>HYPERLINK("https://klasma.github.io/Logging_1281/klagomål/A 39260-2025 FSC-klagomål.docx", "A 39260-2025")</f>
        <v/>
      </c>
      <c r="W298">
        <f>HYPERLINK("https://klasma.github.io/Logging_1281/klagomålsmail/A 39260-2025 FSC-klagomål mail.docx", "A 39260-2025")</f>
        <v/>
      </c>
      <c r="X298">
        <f>HYPERLINK("https://klasma.github.io/Logging_1281/tillsyn/A 39260-2025 tillsynsbegäran.docx", "A 39260-2025")</f>
        <v/>
      </c>
      <c r="Y298">
        <f>HYPERLINK("https://klasma.github.io/Logging_1281/tillsynsmail/A 39260-2025 tillsynsbegäran mail.docx", "A 39260-2025")</f>
        <v/>
      </c>
    </row>
    <row r="299" ht="15" customHeight="1">
      <c r="A299" t="inlineStr">
        <is>
          <t>A 11170-2023</t>
        </is>
      </c>
      <c r="B299" s="1" t="n">
        <v>44987</v>
      </c>
      <c r="C299" s="1" t="n">
        <v>45914</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4251-2023</t>
        </is>
      </c>
      <c r="B300" s="1" t="n">
        <v>44953</v>
      </c>
      <c r="C300" s="1" t="n">
        <v>45914</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45802-2022</t>
        </is>
      </c>
      <c r="B301" s="1" t="n">
        <v>44844</v>
      </c>
      <c r="C301" s="1" t="n">
        <v>45914</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40613-2025</t>
        </is>
      </c>
      <c r="B302" s="1" t="n">
        <v>45896</v>
      </c>
      <c r="C302" s="1" t="n">
        <v>45914</v>
      </c>
      <c r="D302" t="inlineStr">
        <is>
          <t>SKÅNE LÄN</t>
        </is>
      </c>
      <c r="E302" t="inlineStr">
        <is>
          <t>HÄSSLEHOLM</t>
        </is>
      </c>
      <c r="F302" t="inlineStr">
        <is>
          <t>Kyrkan</t>
        </is>
      </c>
      <c r="G302" t="n">
        <v>3.4</v>
      </c>
      <c r="H302" t="n">
        <v>1</v>
      </c>
      <c r="I302" t="n">
        <v>0</v>
      </c>
      <c r="J302" t="n">
        <v>0</v>
      </c>
      <c r="K302" t="n">
        <v>0</v>
      </c>
      <c r="L302" t="n">
        <v>0</v>
      </c>
      <c r="M302" t="n">
        <v>0</v>
      </c>
      <c r="N302" t="n">
        <v>0</v>
      </c>
      <c r="O302" t="n">
        <v>0</v>
      </c>
      <c r="P302" t="n">
        <v>0</v>
      </c>
      <c r="Q302" t="n">
        <v>1</v>
      </c>
      <c r="R302" s="2" t="inlineStr">
        <is>
          <t>Revlummer</t>
        </is>
      </c>
      <c r="S302">
        <f>HYPERLINK("https://klasma.github.io/Logging_1293/artfynd/A 40613-2025 artfynd.xlsx", "A 40613-2025")</f>
        <v/>
      </c>
      <c r="T302">
        <f>HYPERLINK("https://klasma.github.io/Logging_1293/kartor/A 40613-2025 karta.png", "A 40613-2025")</f>
        <v/>
      </c>
      <c r="V302">
        <f>HYPERLINK("https://klasma.github.io/Logging_1293/klagomål/A 40613-2025 FSC-klagomål.docx", "A 40613-2025")</f>
        <v/>
      </c>
      <c r="W302">
        <f>HYPERLINK("https://klasma.github.io/Logging_1293/klagomålsmail/A 40613-2025 FSC-klagomål mail.docx", "A 40613-2025")</f>
        <v/>
      </c>
      <c r="X302">
        <f>HYPERLINK("https://klasma.github.io/Logging_1293/tillsyn/A 40613-2025 tillsynsbegäran.docx", "A 40613-2025")</f>
        <v/>
      </c>
      <c r="Y302">
        <f>HYPERLINK("https://klasma.github.io/Logging_1293/tillsynsmail/A 40613-2025 tillsynsbegäran mail.docx", "A 40613-2025")</f>
        <v/>
      </c>
    </row>
    <row r="303" ht="15" customHeight="1">
      <c r="A303" t="inlineStr">
        <is>
          <t>A 2482-2025</t>
        </is>
      </c>
      <c r="B303" s="1" t="n">
        <v>45674</v>
      </c>
      <c r="C303" s="1" t="n">
        <v>45914</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951-2024</t>
        </is>
      </c>
      <c r="B304" s="1" t="n">
        <v>45301</v>
      </c>
      <c r="C304" s="1" t="n">
        <v>45914</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29272-2023</t>
        </is>
      </c>
      <c r="B305" s="1" t="n">
        <v>45105</v>
      </c>
      <c r="C305" s="1" t="n">
        <v>45914</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38763-2025</t>
        </is>
      </c>
      <c r="B306" s="1" t="n">
        <v>45887</v>
      </c>
      <c r="C306" s="1" t="n">
        <v>45914</v>
      </c>
      <c r="D306" t="inlineStr">
        <is>
          <t>SKÅNE LÄN</t>
        </is>
      </c>
      <c r="E306" t="inlineStr">
        <is>
          <t>ÄNGELHOLM</t>
        </is>
      </c>
      <c r="G306" t="n">
        <v>0.6</v>
      </c>
      <c r="H306" t="n">
        <v>0</v>
      </c>
      <c r="I306" t="n">
        <v>1</v>
      </c>
      <c r="J306" t="n">
        <v>0</v>
      </c>
      <c r="K306" t="n">
        <v>0</v>
      </c>
      <c r="L306" t="n">
        <v>0</v>
      </c>
      <c r="M306" t="n">
        <v>0</v>
      </c>
      <c r="N306" t="n">
        <v>0</v>
      </c>
      <c r="O306" t="n">
        <v>0</v>
      </c>
      <c r="P306" t="n">
        <v>0</v>
      </c>
      <c r="Q306" t="n">
        <v>1</v>
      </c>
      <c r="R306" s="2" t="inlineStr">
        <is>
          <t>Lundvårlök</t>
        </is>
      </c>
      <c r="S306">
        <f>HYPERLINK("https://klasma.github.io/Logging_1292/artfynd/A 38763-2025 artfynd.xlsx", "A 38763-2025")</f>
        <v/>
      </c>
      <c r="T306">
        <f>HYPERLINK("https://klasma.github.io/Logging_1292/kartor/A 38763-2025 karta.png", "A 38763-2025")</f>
        <v/>
      </c>
      <c r="V306">
        <f>HYPERLINK("https://klasma.github.io/Logging_1292/klagomål/A 38763-2025 FSC-klagomål.docx", "A 38763-2025")</f>
        <v/>
      </c>
      <c r="W306">
        <f>HYPERLINK("https://klasma.github.io/Logging_1292/klagomålsmail/A 38763-2025 FSC-klagomål mail.docx", "A 38763-2025")</f>
        <v/>
      </c>
      <c r="X306">
        <f>HYPERLINK("https://klasma.github.io/Logging_1292/tillsyn/A 38763-2025 tillsynsbegäran.docx", "A 38763-2025")</f>
        <v/>
      </c>
      <c r="Y306">
        <f>HYPERLINK("https://klasma.github.io/Logging_1292/tillsynsmail/A 38763-2025 tillsynsbegäran mail.docx", "A 38763-2025")</f>
        <v/>
      </c>
    </row>
    <row r="307" ht="15" customHeight="1">
      <c r="A307" t="inlineStr">
        <is>
          <t>A 42330-2025</t>
        </is>
      </c>
      <c r="B307" s="1" t="n">
        <v>45903</v>
      </c>
      <c r="C307" s="1" t="n">
        <v>45914</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26958-2025</t>
        </is>
      </c>
      <c r="B308" s="1" t="n">
        <v>45811.4569212963</v>
      </c>
      <c r="C308" s="1" t="n">
        <v>45914</v>
      </c>
      <c r="D308" t="inlineStr">
        <is>
          <t>SKÅNE LÄN</t>
        </is>
      </c>
      <c r="E308" t="inlineStr">
        <is>
          <t>TOMELILLA</t>
        </is>
      </c>
      <c r="G308" t="n">
        <v>2.9</v>
      </c>
      <c r="H308" t="n">
        <v>0</v>
      </c>
      <c r="I308" t="n">
        <v>1</v>
      </c>
      <c r="J308" t="n">
        <v>0</v>
      </c>
      <c r="K308" t="n">
        <v>0</v>
      </c>
      <c r="L308" t="n">
        <v>0</v>
      </c>
      <c r="M308" t="n">
        <v>0</v>
      </c>
      <c r="N308" t="n">
        <v>0</v>
      </c>
      <c r="O308" t="n">
        <v>0</v>
      </c>
      <c r="P308" t="n">
        <v>0</v>
      </c>
      <c r="Q308" t="n">
        <v>1</v>
      </c>
      <c r="R308" s="2" t="inlineStr">
        <is>
          <t>Murgröna</t>
        </is>
      </c>
      <c r="S308">
        <f>HYPERLINK("https://klasma.github.io/Logging_1270/artfynd/A 26958-2025 artfynd.xlsx", "A 26958-2025")</f>
        <v/>
      </c>
      <c r="T308">
        <f>HYPERLINK("https://klasma.github.io/Logging_1270/kartor/A 26958-2025 karta.png", "A 26958-2025")</f>
        <v/>
      </c>
      <c r="V308">
        <f>HYPERLINK("https://klasma.github.io/Logging_1270/klagomål/A 26958-2025 FSC-klagomål.docx", "A 26958-2025")</f>
        <v/>
      </c>
      <c r="W308">
        <f>HYPERLINK("https://klasma.github.io/Logging_1270/klagomålsmail/A 26958-2025 FSC-klagomål mail.docx", "A 26958-2025")</f>
        <v/>
      </c>
      <c r="X308">
        <f>HYPERLINK("https://klasma.github.io/Logging_1270/tillsyn/A 26958-2025 tillsynsbegäran.docx", "A 26958-2025")</f>
        <v/>
      </c>
      <c r="Y308">
        <f>HYPERLINK("https://klasma.github.io/Logging_1270/tillsynsmail/A 26958-2025 tillsynsbegäran mail.docx", "A 26958-2025")</f>
        <v/>
      </c>
    </row>
    <row r="309" ht="15" customHeight="1">
      <c r="A309" t="inlineStr">
        <is>
          <t>A 35443-2021</t>
        </is>
      </c>
      <c r="B309" s="1" t="n">
        <v>44385</v>
      </c>
      <c r="C309" s="1" t="n">
        <v>45914</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45914</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36266-2025</t>
        </is>
      </c>
      <c r="B311" s="1" t="n">
        <v>45867.61590277778</v>
      </c>
      <c r="C311" s="1" t="n">
        <v>45914</v>
      </c>
      <c r="D311" t="inlineStr">
        <is>
          <t>SKÅNE LÄN</t>
        </is>
      </c>
      <c r="E311" t="inlineStr">
        <is>
          <t>OSBY</t>
        </is>
      </c>
      <c r="G311" t="n">
        <v>3.3</v>
      </c>
      <c r="H311" t="n">
        <v>1</v>
      </c>
      <c r="I311" t="n">
        <v>0</v>
      </c>
      <c r="J311" t="n">
        <v>1</v>
      </c>
      <c r="K311" t="n">
        <v>0</v>
      </c>
      <c r="L311" t="n">
        <v>0</v>
      </c>
      <c r="M311" t="n">
        <v>0</v>
      </c>
      <c r="N311" t="n">
        <v>0</v>
      </c>
      <c r="O311" t="n">
        <v>1</v>
      </c>
      <c r="P311" t="n">
        <v>0</v>
      </c>
      <c r="Q311" t="n">
        <v>1</v>
      </c>
      <c r="R311" s="2" t="inlineStr">
        <is>
          <t>Talltita</t>
        </is>
      </c>
      <c r="S311">
        <f>HYPERLINK("https://klasma.github.io/Logging_1273/artfynd/A 36266-2025 artfynd.xlsx", "A 36266-2025")</f>
        <v/>
      </c>
      <c r="T311">
        <f>HYPERLINK("https://klasma.github.io/Logging_1273/kartor/A 36266-2025 karta.png", "A 36266-2025")</f>
        <v/>
      </c>
      <c r="V311">
        <f>HYPERLINK("https://klasma.github.io/Logging_1273/klagomål/A 36266-2025 FSC-klagomål.docx", "A 36266-2025")</f>
        <v/>
      </c>
      <c r="W311">
        <f>HYPERLINK("https://klasma.github.io/Logging_1273/klagomålsmail/A 36266-2025 FSC-klagomål mail.docx", "A 36266-2025")</f>
        <v/>
      </c>
      <c r="X311">
        <f>HYPERLINK("https://klasma.github.io/Logging_1273/tillsyn/A 36266-2025 tillsynsbegäran.docx", "A 36266-2025")</f>
        <v/>
      </c>
      <c r="Y311">
        <f>HYPERLINK("https://klasma.github.io/Logging_1273/tillsynsmail/A 36266-2025 tillsynsbegäran mail.docx", "A 36266-2025")</f>
        <v/>
      </c>
      <c r="Z311">
        <f>HYPERLINK("https://klasma.github.io/Logging_1273/fåglar/A 36266-2025 prioriterade fågelarter.docx", "A 36266-2025")</f>
        <v/>
      </c>
    </row>
    <row r="312" ht="15" customHeight="1">
      <c r="A312" t="inlineStr">
        <is>
          <t>A 43095-2025</t>
        </is>
      </c>
      <c r="B312" s="1" t="n">
        <v>45909.62664351852</v>
      </c>
      <c r="C312" s="1" t="n">
        <v>45914</v>
      </c>
      <c r="D312" t="inlineStr">
        <is>
          <t>SKÅNE LÄN</t>
        </is>
      </c>
      <c r="E312" t="inlineStr">
        <is>
          <t>OSBY</t>
        </is>
      </c>
      <c r="G312" t="n">
        <v>0.3</v>
      </c>
      <c r="H312" t="n">
        <v>0</v>
      </c>
      <c r="I312" t="n">
        <v>1</v>
      </c>
      <c r="J312" t="n">
        <v>0</v>
      </c>
      <c r="K312" t="n">
        <v>0</v>
      </c>
      <c r="L312" t="n">
        <v>0</v>
      </c>
      <c r="M312" t="n">
        <v>0</v>
      </c>
      <c r="N312" t="n">
        <v>0</v>
      </c>
      <c r="O312" t="n">
        <v>0</v>
      </c>
      <c r="P312" t="n">
        <v>0</v>
      </c>
      <c r="Q312" t="n">
        <v>1</v>
      </c>
      <c r="R312" s="2" t="inlineStr">
        <is>
          <t>Tibast</t>
        </is>
      </c>
      <c r="S312">
        <f>HYPERLINK("https://klasma.github.io/Logging_1273/artfynd/A 43095-2025 artfynd.xlsx", "A 43095-2025")</f>
        <v/>
      </c>
      <c r="T312">
        <f>HYPERLINK("https://klasma.github.io/Logging_1273/kartor/A 43095-2025 karta.png", "A 43095-2025")</f>
        <v/>
      </c>
      <c r="V312">
        <f>HYPERLINK("https://klasma.github.io/Logging_1273/klagomål/A 43095-2025 FSC-klagomål.docx", "A 43095-2025")</f>
        <v/>
      </c>
      <c r="W312">
        <f>HYPERLINK("https://klasma.github.io/Logging_1273/klagomålsmail/A 43095-2025 FSC-klagomål mail.docx", "A 43095-2025")</f>
        <v/>
      </c>
      <c r="X312">
        <f>HYPERLINK("https://klasma.github.io/Logging_1273/tillsyn/A 43095-2025 tillsynsbegäran.docx", "A 43095-2025")</f>
        <v/>
      </c>
      <c r="Y312">
        <f>HYPERLINK("https://klasma.github.io/Logging_1273/tillsynsmail/A 43095-2025 tillsynsbegäran mail.docx", "A 43095-2025")</f>
        <v/>
      </c>
    </row>
    <row r="313" ht="15" customHeight="1">
      <c r="A313" t="inlineStr">
        <is>
          <t>A 43471-2025</t>
        </is>
      </c>
      <c r="B313" s="1" t="n">
        <v>45911</v>
      </c>
      <c r="C313" s="1" t="n">
        <v>45914</v>
      </c>
      <c r="D313" t="inlineStr">
        <is>
          <t>SKÅNE LÄN</t>
        </is>
      </c>
      <c r="E313" t="inlineStr">
        <is>
          <t>ÖRKELLJUNGA</t>
        </is>
      </c>
      <c r="G313" t="n">
        <v>2.2</v>
      </c>
      <c r="H313" t="n">
        <v>0</v>
      </c>
      <c r="I313" t="n">
        <v>0</v>
      </c>
      <c r="J313" t="n">
        <v>1</v>
      </c>
      <c r="K313" t="n">
        <v>0</v>
      </c>
      <c r="L313" t="n">
        <v>0</v>
      </c>
      <c r="M313" t="n">
        <v>0</v>
      </c>
      <c r="N313" t="n">
        <v>0</v>
      </c>
      <c r="O313" t="n">
        <v>1</v>
      </c>
      <c r="P313" t="n">
        <v>0</v>
      </c>
      <c r="Q313" t="n">
        <v>1</v>
      </c>
      <c r="R313" s="2" t="inlineStr">
        <is>
          <t>Granspira</t>
        </is>
      </c>
      <c r="S313">
        <f>HYPERLINK("https://klasma.github.io/Logging_1257/artfynd/A 43471-2025 artfynd.xlsx", "A 43471-2025")</f>
        <v/>
      </c>
      <c r="T313">
        <f>HYPERLINK("https://klasma.github.io/Logging_1257/kartor/A 43471-2025 karta.png", "A 43471-2025")</f>
        <v/>
      </c>
      <c r="V313">
        <f>HYPERLINK("https://klasma.github.io/Logging_1257/klagomål/A 43471-2025 FSC-klagomål.docx", "A 43471-2025")</f>
        <v/>
      </c>
      <c r="W313">
        <f>HYPERLINK("https://klasma.github.io/Logging_1257/klagomålsmail/A 43471-2025 FSC-klagomål mail.docx", "A 43471-2025")</f>
        <v/>
      </c>
      <c r="X313">
        <f>HYPERLINK("https://klasma.github.io/Logging_1257/tillsyn/A 43471-2025 tillsynsbegäran.docx", "A 43471-2025")</f>
        <v/>
      </c>
      <c r="Y313">
        <f>HYPERLINK("https://klasma.github.io/Logging_1257/tillsynsmail/A 43471-2025 tillsynsbegäran mail.docx", "A 43471-2025")</f>
        <v/>
      </c>
    </row>
    <row r="314" ht="15" customHeight="1">
      <c r="A314" t="inlineStr">
        <is>
          <t>A 16684-2023</t>
        </is>
      </c>
      <c r="B314" s="1" t="n">
        <v>45030</v>
      </c>
      <c r="C314" s="1" t="n">
        <v>45914</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31700-2023</t>
        </is>
      </c>
      <c r="B315" s="1" t="n">
        <v>45117</v>
      </c>
      <c r="C315" s="1" t="n">
        <v>45914</v>
      </c>
      <c r="D315" t="inlineStr">
        <is>
          <t>SKÅNE LÄN</t>
        </is>
      </c>
      <c r="E315" t="inlineStr">
        <is>
          <t>SVEDALA</t>
        </is>
      </c>
      <c r="G315" t="n">
        <v>1.1</v>
      </c>
      <c r="H315" t="n">
        <v>0</v>
      </c>
      <c r="I315" t="n">
        <v>0</v>
      </c>
      <c r="J315" t="n">
        <v>0</v>
      </c>
      <c r="K315" t="n">
        <v>1</v>
      </c>
      <c r="L315" t="n">
        <v>0</v>
      </c>
      <c r="M315" t="n">
        <v>0</v>
      </c>
      <c r="N315" t="n">
        <v>0</v>
      </c>
      <c r="O315" t="n">
        <v>1</v>
      </c>
      <c r="P315" t="n">
        <v>1</v>
      </c>
      <c r="Q315" t="n">
        <v>1</v>
      </c>
      <c r="R315" s="2" t="inlineStr">
        <is>
          <t>Revig blodrot</t>
        </is>
      </c>
      <c r="S315">
        <f>HYPERLINK("https://klasma.github.io/Logging_1263/artfynd/A 31700-2023 artfynd.xlsx", "A 31700-2023")</f>
        <v/>
      </c>
      <c r="T315">
        <f>HYPERLINK("https://klasma.github.io/Logging_1263/kartor/A 31700-2023 karta.png", "A 31700-2023")</f>
        <v/>
      </c>
      <c r="V315">
        <f>HYPERLINK("https://klasma.github.io/Logging_1263/klagomål/A 31700-2023 FSC-klagomål.docx", "A 31700-2023")</f>
        <v/>
      </c>
      <c r="W315">
        <f>HYPERLINK("https://klasma.github.io/Logging_1263/klagomålsmail/A 31700-2023 FSC-klagomål mail.docx", "A 31700-2023")</f>
        <v/>
      </c>
      <c r="X315">
        <f>HYPERLINK("https://klasma.github.io/Logging_1263/tillsyn/A 31700-2023 tillsynsbegäran.docx", "A 31700-2023")</f>
        <v/>
      </c>
      <c r="Y315">
        <f>HYPERLINK("https://klasma.github.io/Logging_1263/tillsynsmail/A 31700-2023 tillsynsbegäran mail.docx", "A 31700-2023")</f>
        <v/>
      </c>
    </row>
    <row r="316" ht="15" customHeight="1">
      <c r="A316" t="inlineStr">
        <is>
          <t>A 389-2023</t>
        </is>
      </c>
      <c r="B316" s="1" t="n">
        <v>44929</v>
      </c>
      <c r="C316" s="1" t="n">
        <v>45914</v>
      </c>
      <c r="D316" t="inlineStr">
        <is>
          <t>SKÅNE LÄN</t>
        </is>
      </c>
      <c r="E316" t="inlineStr">
        <is>
          <t>BÅSTAD</t>
        </is>
      </c>
      <c r="G316" t="n">
        <v>2.5</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389-2023 artfynd.xlsx", "A 389-2023")</f>
        <v/>
      </c>
      <c r="T316">
        <f>HYPERLINK("https://klasma.github.io/Logging_1278/kartor/A 389-2023 karta.png", "A 389-2023")</f>
        <v/>
      </c>
      <c r="V316">
        <f>HYPERLINK("https://klasma.github.io/Logging_1278/klagomål/A 389-2023 FSC-klagomål.docx", "A 389-2023")</f>
        <v/>
      </c>
      <c r="W316">
        <f>HYPERLINK("https://klasma.github.io/Logging_1278/klagomålsmail/A 389-2023 FSC-klagomål mail.docx", "A 389-2023")</f>
        <v/>
      </c>
      <c r="X316">
        <f>HYPERLINK("https://klasma.github.io/Logging_1278/tillsyn/A 389-2023 tillsynsbegäran.docx", "A 389-2023")</f>
        <v/>
      </c>
      <c r="Y316">
        <f>HYPERLINK("https://klasma.github.io/Logging_1278/tillsynsmail/A 389-2023 tillsynsbegäran mail.docx", "A 389-2023")</f>
        <v/>
      </c>
    </row>
    <row r="317" ht="15" customHeight="1">
      <c r="A317" t="inlineStr">
        <is>
          <t>A 11732-2024</t>
        </is>
      </c>
      <c r="B317" s="1" t="n">
        <v>45373.69222222222</v>
      </c>
      <c r="C317" s="1" t="n">
        <v>45914</v>
      </c>
      <c r="D317" t="inlineStr">
        <is>
          <t>SKÅNE LÄN</t>
        </is>
      </c>
      <c r="E317" t="inlineStr">
        <is>
          <t>LUND</t>
        </is>
      </c>
      <c r="G317" t="n">
        <v>2.8</v>
      </c>
      <c r="H317" t="n">
        <v>1</v>
      </c>
      <c r="I317" t="n">
        <v>0</v>
      </c>
      <c r="J317" t="n">
        <v>0</v>
      </c>
      <c r="K317" t="n">
        <v>0</v>
      </c>
      <c r="L317" t="n">
        <v>1</v>
      </c>
      <c r="M317" t="n">
        <v>0</v>
      </c>
      <c r="N317" t="n">
        <v>0</v>
      </c>
      <c r="O317" t="n">
        <v>1</v>
      </c>
      <c r="P317" t="n">
        <v>1</v>
      </c>
      <c r="Q317" t="n">
        <v>1</v>
      </c>
      <c r="R317" s="2" t="inlineStr">
        <is>
          <t>Dvärgjohannesört</t>
        </is>
      </c>
      <c r="S317">
        <f>HYPERLINK("https://klasma.github.io/Logging_1281/artfynd/A 11732-2024 artfynd.xlsx", "A 11732-2024")</f>
        <v/>
      </c>
      <c r="T317">
        <f>HYPERLINK("https://klasma.github.io/Logging_1281/kartor/A 11732-2024 karta.png", "A 11732-2024")</f>
        <v/>
      </c>
      <c r="V317">
        <f>HYPERLINK("https://klasma.github.io/Logging_1281/klagomål/A 11732-2024 FSC-klagomål.docx", "A 11732-2024")</f>
        <v/>
      </c>
      <c r="W317">
        <f>HYPERLINK("https://klasma.github.io/Logging_1281/klagomålsmail/A 11732-2024 FSC-klagomål mail.docx", "A 11732-2024")</f>
        <v/>
      </c>
      <c r="X317">
        <f>HYPERLINK("https://klasma.github.io/Logging_1281/tillsyn/A 11732-2024 tillsynsbegäran.docx", "A 11732-2024")</f>
        <v/>
      </c>
      <c r="Y317">
        <f>HYPERLINK("https://klasma.github.io/Logging_1281/tillsynsmail/A 11732-2024 tillsynsbegäran mail.docx", "A 11732-2024")</f>
        <v/>
      </c>
    </row>
    <row r="318" ht="15" customHeight="1">
      <c r="A318" t="inlineStr">
        <is>
          <t>A 46870-2023</t>
        </is>
      </c>
      <c r="B318" s="1" t="n">
        <v>45200.76865740741</v>
      </c>
      <c r="C318" s="1" t="n">
        <v>45914</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74272-2021</t>
        </is>
      </c>
      <c r="B319" s="1" t="n">
        <v>44553</v>
      </c>
      <c r="C319" s="1" t="n">
        <v>45914</v>
      </c>
      <c r="D319" t="inlineStr">
        <is>
          <t>SKÅNE LÄN</t>
        </is>
      </c>
      <c r="E319" t="inlineStr">
        <is>
          <t>ÄNGELHOLM</t>
        </is>
      </c>
      <c r="G319" t="n">
        <v>5</v>
      </c>
      <c r="H319" t="n">
        <v>1</v>
      </c>
      <c r="I319" t="n">
        <v>0</v>
      </c>
      <c r="J319" t="n">
        <v>1</v>
      </c>
      <c r="K319" t="n">
        <v>0</v>
      </c>
      <c r="L319" t="n">
        <v>0</v>
      </c>
      <c r="M319" t="n">
        <v>0</v>
      </c>
      <c r="N319" t="n">
        <v>0</v>
      </c>
      <c r="O319" t="n">
        <v>1</v>
      </c>
      <c r="P319" t="n">
        <v>0</v>
      </c>
      <c r="Q319" t="n">
        <v>1</v>
      </c>
      <c r="R319" s="2" t="inlineStr">
        <is>
          <t>Entita</t>
        </is>
      </c>
      <c r="S319">
        <f>HYPERLINK("https://klasma.github.io/Logging_1292/artfynd/A 74272-2021 artfynd.xlsx", "A 74272-2021")</f>
        <v/>
      </c>
      <c r="T319">
        <f>HYPERLINK("https://klasma.github.io/Logging_1292/kartor/A 74272-2021 karta.png", "A 74272-2021")</f>
        <v/>
      </c>
      <c r="V319">
        <f>HYPERLINK("https://klasma.github.io/Logging_1292/klagomål/A 74272-2021 FSC-klagomål.docx", "A 74272-2021")</f>
        <v/>
      </c>
      <c r="W319">
        <f>HYPERLINK("https://klasma.github.io/Logging_1292/klagomålsmail/A 74272-2021 FSC-klagomål mail.docx", "A 74272-2021")</f>
        <v/>
      </c>
      <c r="X319">
        <f>HYPERLINK("https://klasma.github.io/Logging_1292/tillsyn/A 74272-2021 tillsynsbegäran.docx", "A 74272-2021")</f>
        <v/>
      </c>
      <c r="Y319">
        <f>HYPERLINK("https://klasma.github.io/Logging_1292/tillsynsmail/A 74272-2021 tillsynsbegäran mail.docx", "A 74272-2021")</f>
        <v/>
      </c>
      <c r="Z319">
        <f>HYPERLINK("https://klasma.github.io/Logging_1292/fåglar/A 74272-2021 prioriterade fågelarter.docx", "A 74272-2021")</f>
        <v/>
      </c>
    </row>
    <row r="320" ht="15" customHeight="1">
      <c r="A320" t="inlineStr">
        <is>
          <t>A 31620-2024</t>
        </is>
      </c>
      <c r="B320" s="1" t="n">
        <v>45506</v>
      </c>
      <c r="C320" s="1" t="n">
        <v>45914</v>
      </c>
      <c r="D320" t="inlineStr">
        <is>
          <t>SKÅNE LÄN</t>
        </is>
      </c>
      <c r="E320" t="inlineStr">
        <is>
          <t>KRISTIANSTAD</t>
        </is>
      </c>
      <c r="G320" t="n">
        <v>0.5</v>
      </c>
      <c r="H320" t="n">
        <v>1</v>
      </c>
      <c r="I320" t="n">
        <v>0</v>
      </c>
      <c r="J320" t="n">
        <v>0</v>
      </c>
      <c r="K320" t="n">
        <v>1</v>
      </c>
      <c r="L320" t="n">
        <v>0</v>
      </c>
      <c r="M320" t="n">
        <v>0</v>
      </c>
      <c r="N320" t="n">
        <v>0</v>
      </c>
      <c r="O320" t="n">
        <v>1</v>
      </c>
      <c r="P320" t="n">
        <v>1</v>
      </c>
      <c r="Q320" t="n">
        <v>1</v>
      </c>
      <c r="R320" s="2" t="inlineStr">
        <is>
          <t>Backsippa</t>
        </is>
      </c>
      <c r="S320">
        <f>HYPERLINK("https://klasma.github.io/Logging_1290/artfynd/A 31620-2024 artfynd.xlsx", "A 31620-2024")</f>
        <v/>
      </c>
      <c r="T320">
        <f>HYPERLINK("https://klasma.github.io/Logging_1290/kartor/A 31620-2024 karta.png", "A 31620-2024")</f>
        <v/>
      </c>
      <c r="V320">
        <f>HYPERLINK("https://klasma.github.io/Logging_1290/klagomål/A 31620-2024 FSC-klagomål.docx", "A 31620-2024")</f>
        <v/>
      </c>
      <c r="W320">
        <f>HYPERLINK("https://klasma.github.io/Logging_1290/klagomålsmail/A 31620-2024 FSC-klagomål mail.docx", "A 31620-2024")</f>
        <v/>
      </c>
      <c r="X320">
        <f>HYPERLINK("https://klasma.github.io/Logging_1290/tillsyn/A 31620-2024 tillsynsbegäran.docx", "A 31620-2024")</f>
        <v/>
      </c>
      <c r="Y320">
        <f>HYPERLINK("https://klasma.github.io/Logging_1290/tillsynsmail/A 31620-2024 tillsynsbegäran mail.docx", "A 31620-2024")</f>
        <v/>
      </c>
    </row>
    <row r="321" ht="15" customHeight="1">
      <c r="A321" t="inlineStr">
        <is>
          <t>A 1418-2024</t>
        </is>
      </c>
      <c r="B321" s="1" t="n">
        <v>45303</v>
      </c>
      <c r="C321" s="1" t="n">
        <v>45914</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15068-2023</t>
        </is>
      </c>
      <c r="B322" s="1" t="n">
        <v>45015</v>
      </c>
      <c r="C322" s="1" t="n">
        <v>45914</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16837-2023</t>
        </is>
      </c>
      <c r="B323" s="1" t="n">
        <v>45033.43498842593</v>
      </c>
      <c r="C323" s="1" t="n">
        <v>45914</v>
      </c>
      <c r="D323" t="inlineStr">
        <is>
          <t>SKÅNE LÄN</t>
        </is>
      </c>
      <c r="E323" t="inlineStr">
        <is>
          <t>OSBY</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HYPERLINK("https://klasma.github.io/Logging_1273/artfynd/A 16837-2023 artfynd.xlsx", "A 16837-2023")</f>
        <v/>
      </c>
      <c r="T323">
        <f>HYPERLINK("https://klasma.github.io/Logging_1273/kartor/A 16837-2023 karta.png", "A 16837-2023")</f>
        <v/>
      </c>
      <c r="V323">
        <f>HYPERLINK("https://klasma.github.io/Logging_1273/klagomål/A 16837-2023 FSC-klagomål.docx", "A 16837-2023")</f>
        <v/>
      </c>
      <c r="W323">
        <f>HYPERLINK("https://klasma.github.io/Logging_1273/klagomålsmail/A 16837-2023 FSC-klagomål mail.docx", "A 16837-2023")</f>
        <v/>
      </c>
      <c r="X323">
        <f>HYPERLINK("https://klasma.github.io/Logging_1273/tillsyn/A 16837-2023 tillsynsbegäran.docx", "A 16837-2023")</f>
        <v/>
      </c>
      <c r="Y323">
        <f>HYPERLINK("https://klasma.github.io/Logging_1273/tillsynsmail/A 16837-2023 tillsynsbegäran mail.docx", "A 16837-2023")</f>
        <v/>
      </c>
      <c r="Z323">
        <f>HYPERLINK("https://klasma.github.io/Logging_1273/fåglar/A 16837-2023 prioriterade fågelarter.docx", "A 16837-2023")</f>
        <v/>
      </c>
    </row>
    <row r="324" ht="15" customHeight="1">
      <c r="A324" t="inlineStr">
        <is>
          <t>A 8150-2024</t>
        </is>
      </c>
      <c r="B324" s="1" t="n">
        <v>45351</v>
      </c>
      <c r="C324" s="1" t="n">
        <v>45914</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43335-2023</t>
        </is>
      </c>
      <c r="B325" s="1" t="n">
        <v>45183</v>
      </c>
      <c r="C325" s="1" t="n">
        <v>45914</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7705-2025</t>
        </is>
      </c>
      <c r="B326" s="1" t="n">
        <v>45705</v>
      </c>
      <c r="C326" s="1" t="n">
        <v>45914</v>
      </c>
      <c r="D326" t="inlineStr">
        <is>
          <t>SKÅNE LÄN</t>
        </is>
      </c>
      <c r="E326" t="inlineStr">
        <is>
          <t>ÄNGELHOLM</t>
        </is>
      </c>
      <c r="G326" t="n">
        <v>7.1</v>
      </c>
      <c r="H326" t="n">
        <v>1</v>
      </c>
      <c r="I326" t="n">
        <v>0</v>
      </c>
      <c r="J326" t="n">
        <v>0</v>
      </c>
      <c r="K326" t="n">
        <v>0</v>
      </c>
      <c r="L326" t="n">
        <v>0</v>
      </c>
      <c r="M326" t="n">
        <v>0</v>
      </c>
      <c r="N326" t="n">
        <v>0</v>
      </c>
      <c r="O326" t="n">
        <v>0</v>
      </c>
      <c r="P326" t="n">
        <v>0</v>
      </c>
      <c r="Q326" t="n">
        <v>1</v>
      </c>
      <c r="R326" s="2" t="inlineStr">
        <is>
          <t>Revlummer</t>
        </is>
      </c>
      <c r="S326">
        <f>HYPERLINK("https://klasma.github.io/Logging_1292/artfynd/A 7705-2025 artfynd.xlsx", "A 7705-2025")</f>
        <v/>
      </c>
      <c r="T326">
        <f>HYPERLINK("https://klasma.github.io/Logging_1292/kartor/A 7705-2025 karta.png", "A 7705-2025")</f>
        <v/>
      </c>
      <c r="V326">
        <f>HYPERLINK("https://klasma.github.io/Logging_1292/klagomål/A 7705-2025 FSC-klagomål.docx", "A 7705-2025")</f>
        <v/>
      </c>
      <c r="W326">
        <f>HYPERLINK("https://klasma.github.io/Logging_1292/klagomålsmail/A 7705-2025 FSC-klagomål mail.docx", "A 7705-2025")</f>
        <v/>
      </c>
      <c r="X326">
        <f>HYPERLINK("https://klasma.github.io/Logging_1292/tillsyn/A 7705-2025 tillsynsbegäran.docx", "A 7705-2025")</f>
        <v/>
      </c>
      <c r="Y326">
        <f>HYPERLINK("https://klasma.github.io/Logging_1292/tillsynsmail/A 7705-2025 tillsynsbegäran mail.docx", "A 7705-2025")</f>
        <v/>
      </c>
    </row>
    <row r="327" ht="15" customHeight="1">
      <c r="A327" t="inlineStr">
        <is>
          <t>A 19308-2021</t>
        </is>
      </c>
      <c r="B327" s="1" t="n">
        <v>44309.50596064814</v>
      </c>
      <c r="C327" s="1" t="n">
        <v>45914</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45914</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45914</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7655-2021</t>
        </is>
      </c>
      <c r="B330" s="1" t="n">
        <v>44242</v>
      </c>
      <c r="C330" s="1" t="n">
        <v>45914</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45914</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45914</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45914</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45914</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45914</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45914</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45914</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52496-2020</t>
        </is>
      </c>
      <c r="B338" s="1" t="n">
        <v>44116</v>
      </c>
      <c r="C338" s="1" t="n">
        <v>45914</v>
      </c>
      <c r="D338" t="inlineStr">
        <is>
          <t>SKÅNE LÄN</t>
        </is>
      </c>
      <c r="E338" t="inlineStr">
        <is>
          <t>TOMELILLA</t>
        </is>
      </c>
      <c r="G338" t="n">
        <v>0.7</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45914</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45914</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45914</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45914</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45914</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45914</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45914</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45914</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45914</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45914</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48311-2020</t>
        </is>
      </c>
      <c r="B349" s="1" t="n">
        <v>44102.57983796296</v>
      </c>
      <c r="C349" s="1" t="n">
        <v>45914</v>
      </c>
      <c r="D349" t="inlineStr">
        <is>
          <t>SKÅNE LÄN</t>
        </is>
      </c>
      <c r="E349" t="inlineStr">
        <is>
          <t>ÖSTRA GÖINGE</t>
        </is>
      </c>
      <c r="G349" t="n">
        <v>0.7</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45914</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45914</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45914</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45914</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45914</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45914</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45914</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45914</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7546-2022</t>
        </is>
      </c>
      <c r="B358" s="1" t="n">
        <v>44607</v>
      </c>
      <c r="C358" s="1" t="n">
        <v>45914</v>
      </c>
      <c r="D358" t="inlineStr">
        <is>
          <t>SKÅNE LÄN</t>
        </is>
      </c>
      <c r="E358" t="inlineStr">
        <is>
          <t>KRISTIANSTAD</t>
        </is>
      </c>
      <c r="G358" t="n">
        <v>0.6</v>
      </c>
      <c r="H358" t="n">
        <v>0</v>
      </c>
      <c r="I358" t="n">
        <v>0</v>
      </c>
      <c r="J358" t="n">
        <v>0</v>
      </c>
      <c r="K358" t="n">
        <v>0</v>
      </c>
      <c r="L358" t="n">
        <v>0</v>
      </c>
      <c r="M358" t="n">
        <v>0</v>
      </c>
      <c r="N358" t="n">
        <v>0</v>
      </c>
      <c r="O358" t="n">
        <v>0</v>
      </c>
      <c r="P358" t="n">
        <v>0</v>
      </c>
      <c r="Q358" t="n">
        <v>0</v>
      </c>
      <c r="R358" s="2" t="inlineStr"/>
    </row>
    <row r="359" ht="15" customHeight="1">
      <c r="A359" t="inlineStr">
        <is>
          <t>A 2532-2021</t>
        </is>
      </c>
      <c r="B359" s="1" t="n">
        <v>44214</v>
      </c>
      <c r="C359" s="1" t="n">
        <v>45914</v>
      </c>
      <c r="D359" t="inlineStr">
        <is>
          <t>SKÅNE LÄN</t>
        </is>
      </c>
      <c r="E359" t="inlineStr">
        <is>
          <t>ÖSTRA GÖINGE</t>
        </is>
      </c>
      <c r="G359" t="n">
        <v>0.8</v>
      </c>
      <c r="H359" t="n">
        <v>0</v>
      </c>
      <c r="I359" t="n">
        <v>0</v>
      </c>
      <c r="J359" t="n">
        <v>0</v>
      </c>
      <c r="K359" t="n">
        <v>0</v>
      </c>
      <c r="L359" t="n">
        <v>0</v>
      </c>
      <c r="M359" t="n">
        <v>0</v>
      </c>
      <c r="N359" t="n">
        <v>0</v>
      </c>
      <c r="O359" t="n">
        <v>0</v>
      </c>
      <c r="P359" t="n">
        <v>0</v>
      </c>
      <c r="Q359" t="n">
        <v>0</v>
      </c>
      <c r="R359" s="2" t="inlineStr"/>
    </row>
    <row r="360" ht="15" customHeight="1">
      <c r="A360" t="inlineStr">
        <is>
          <t>A 60995-2021</t>
        </is>
      </c>
      <c r="B360" s="1" t="n">
        <v>44497.61828703704</v>
      </c>
      <c r="C360" s="1" t="n">
        <v>45914</v>
      </c>
      <c r="D360" t="inlineStr">
        <is>
          <t>SKÅNE LÄN</t>
        </is>
      </c>
      <c r="E360" t="inlineStr">
        <is>
          <t>OSBY</t>
        </is>
      </c>
      <c r="G360" t="n">
        <v>1</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45914</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43026-2021</t>
        </is>
      </c>
      <c r="B362" s="1" t="n">
        <v>44431.49028935185</v>
      </c>
      <c r="C362" s="1" t="n">
        <v>45914</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26482-2021</t>
        </is>
      </c>
      <c r="B363" s="1" t="n">
        <v>44348</v>
      </c>
      <c r="C363" s="1" t="n">
        <v>45914</v>
      </c>
      <c r="D363" t="inlineStr">
        <is>
          <t>SKÅNE LÄN</t>
        </is>
      </c>
      <c r="E363" t="inlineStr">
        <is>
          <t>KRISTIANSTAD</t>
        </is>
      </c>
      <c r="G363" t="n">
        <v>1.5</v>
      </c>
      <c r="H363" t="n">
        <v>0</v>
      </c>
      <c r="I363" t="n">
        <v>0</v>
      </c>
      <c r="J363" t="n">
        <v>0</v>
      </c>
      <c r="K363" t="n">
        <v>0</v>
      </c>
      <c r="L363" t="n">
        <v>0</v>
      </c>
      <c r="M363" t="n">
        <v>0</v>
      </c>
      <c r="N363" t="n">
        <v>0</v>
      </c>
      <c r="O363" t="n">
        <v>0</v>
      </c>
      <c r="P363" t="n">
        <v>0</v>
      </c>
      <c r="Q363" t="n">
        <v>0</v>
      </c>
      <c r="R363" s="2" t="inlineStr"/>
    </row>
    <row r="364" ht="15" customHeight="1">
      <c r="A364" t="inlineStr">
        <is>
          <t>A 31097-2021</t>
        </is>
      </c>
      <c r="B364" s="1" t="n">
        <v>44368.50049768519</v>
      </c>
      <c r="C364" s="1" t="n">
        <v>45914</v>
      </c>
      <c r="D364" t="inlineStr">
        <is>
          <t>SKÅNE LÄN</t>
        </is>
      </c>
      <c r="E364" t="inlineStr">
        <is>
          <t>KLIPPAN</t>
        </is>
      </c>
      <c r="G364" t="n">
        <v>0.6</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45914</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18011-2021</t>
        </is>
      </c>
      <c r="B366" s="1" t="n">
        <v>44302.28030092592</v>
      </c>
      <c r="C366" s="1" t="n">
        <v>45914</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62858-2020</t>
        </is>
      </c>
      <c r="B367" s="1" t="n">
        <v>44161</v>
      </c>
      <c r="C367" s="1" t="n">
        <v>45914</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45914</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45914</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65033-2020</t>
        </is>
      </c>
      <c r="B370" s="1" t="n">
        <v>44172</v>
      </c>
      <c r="C370" s="1" t="n">
        <v>45914</v>
      </c>
      <c r="D370" t="inlineStr">
        <is>
          <t>SKÅNE LÄN</t>
        </is>
      </c>
      <c r="E370" t="inlineStr">
        <is>
          <t>TOMELILLA</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45914</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45914</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45914</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2399-2021</t>
        </is>
      </c>
      <c r="B374" s="1" t="n">
        <v>44214</v>
      </c>
      <c r="C374" s="1" t="n">
        <v>45914</v>
      </c>
      <c r="D374" t="inlineStr">
        <is>
          <t>SKÅNE LÄN</t>
        </is>
      </c>
      <c r="E374" t="inlineStr">
        <is>
          <t>OSBY</t>
        </is>
      </c>
      <c r="G374" t="n">
        <v>1</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45914</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3646-2022</t>
        </is>
      </c>
      <c r="B376" s="1" t="n">
        <v>44586.45890046296</v>
      </c>
      <c r="C376" s="1" t="n">
        <v>45914</v>
      </c>
      <c r="D376" t="inlineStr">
        <is>
          <t>SKÅNE LÄN</t>
        </is>
      </c>
      <c r="E376" t="inlineStr">
        <is>
          <t>OSBY</t>
        </is>
      </c>
      <c r="G376" t="n">
        <v>1.7</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45914</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45914</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45914</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55154-2022</t>
        </is>
      </c>
      <c r="B380" s="1" t="n">
        <v>44886.68302083333</v>
      </c>
      <c r="C380" s="1" t="n">
        <v>45914</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55155-2022</t>
        </is>
      </c>
      <c r="B381" s="1" t="n">
        <v>44886.68671296296</v>
      </c>
      <c r="C381" s="1" t="n">
        <v>45914</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45914</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45914</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45914</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45914</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45914</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45914</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45914</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45914</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45914</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45914</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49454-2021</t>
        </is>
      </c>
      <c r="B392" s="1" t="n">
        <v>44454.67652777778</v>
      </c>
      <c r="C392" s="1" t="n">
        <v>45914</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45914</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45914</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45914</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45914</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53258-2021</t>
        </is>
      </c>
      <c r="B397" s="1" t="n">
        <v>44468.47100694444</v>
      </c>
      <c r="C397" s="1" t="n">
        <v>45914</v>
      </c>
      <c r="D397" t="inlineStr">
        <is>
          <t>SKÅNE LÄN</t>
        </is>
      </c>
      <c r="E397" t="inlineStr">
        <is>
          <t>KRISTIANSTAD</t>
        </is>
      </c>
      <c r="G397" t="n">
        <v>2.2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45914</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45914</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45914</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69461-2020</t>
        </is>
      </c>
      <c r="B401" s="1" t="n">
        <v>44193</v>
      </c>
      <c r="C401" s="1" t="n">
        <v>45914</v>
      </c>
      <c r="D401" t="inlineStr">
        <is>
          <t>SKÅNE LÄN</t>
        </is>
      </c>
      <c r="E401" t="inlineStr">
        <is>
          <t>ÖSTRA GÖINGE</t>
        </is>
      </c>
      <c r="G401" t="n">
        <v>7.6</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45914</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45914</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45914</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45914</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45914</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45914</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45914</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45914</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45914</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45914</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45914</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45914</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45914</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45914</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45914</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45914</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45914</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45914</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45914</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45914</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45914</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15712-2021</t>
        </is>
      </c>
      <c r="B423" s="1" t="n">
        <v>44286</v>
      </c>
      <c r="C423" s="1" t="n">
        <v>45914</v>
      </c>
      <c r="D423" t="inlineStr">
        <is>
          <t>SKÅNE LÄN</t>
        </is>
      </c>
      <c r="E423" t="inlineStr">
        <is>
          <t>KRISTIANSTAD</t>
        </is>
      </c>
      <c r="G423" t="n">
        <v>0.2</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45914</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45914</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45914</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45914</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45914</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45914</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45914</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45914</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45914</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45914</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45914</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40862-2021</t>
        </is>
      </c>
      <c r="B435" s="1" t="n">
        <v>44421</v>
      </c>
      <c r="C435" s="1" t="n">
        <v>45914</v>
      </c>
      <c r="D435" t="inlineStr">
        <is>
          <t>SKÅNE LÄN</t>
        </is>
      </c>
      <c r="E435" t="inlineStr">
        <is>
          <t>OSBY</t>
        </is>
      </c>
      <c r="G435" t="n">
        <v>1.9</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45914</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45914</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45914</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45914</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45914</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40196-2022</t>
        </is>
      </c>
      <c r="B441" s="1" t="n">
        <v>44820.59869212963</v>
      </c>
      <c r="C441" s="1" t="n">
        <v>45914</v>
      </c>
      <c r="D441" t="inlineStr">
        <is>
          <t>SKÅNE LÄN</t>
        </is>
      </c>
      <c r="E441" t="inlineStr">
        <is>
          <t>ÖRKELLJUNGA</t>
        </is>
      </c>
      <c r="G441" t="n">
        <v>0.4</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45914</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45914</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45914</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3714-2021</t>
        </is>
      </c>
      <c r="B445" s="1" t="n">
        <v>44221</v>
      </c>
      <c r="C445" s="1" t="n">
        <v>45914</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45914</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45914</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45914</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45914</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45914</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35727-2022</t>
        </is>
      </c>
      <c r="B451" s="1" t="n">
        <v>44799.71708333334</v>
      </c>
      <c r="C451" s="1" t="n">
        <v>45914</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45914</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45914</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45914</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45914</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45914</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67332-2021</t>
        </is>
      </c>
      <c r="B457" s="1" t="n">
        <v>44523.68085648148</v>
      </c>
      <c r="C457" s="1" t="n">
        <v>45914</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45914</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45914</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45914</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45914</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7209-2021</t>
        </is>
      </c>
      <c r="B462" s="1" t="n">
        <v>44237</v>
      </c>
      <c r="C462" s="1" t="n">
        <v>45914</v>
      </c>
      <c r="D462" t="inlineStr">
        <is>
          <t>SKÅNE LÄN</t>
        </is>
      </c>
      <c r="E462" t="inlineStr">
        <is>
          <t>KRISTIANSTAD</t>
        </is>
      </c>
      <c r="G462" t="n">
        <v>2.6</v>
      </c>
      <c r="H462" t="n">
        <v>0</v>
      </c>
      <c r="I462" t="n">
        <v>0</v>
      </c>
      <c r="J462" t="n">
        <v>0</v>
      </c>
      <c r="K462" t="n">
        <v>0</v>
      </c>
      <c r="L462" t="n">
        <v>0</v>
      </c>
      <c r="M462" t="n">
        <v>0</v>
      </c>
      <c r="N462" t="n">
        <v>0</v>
      </c>
      <c r="O462" t="n">
        <v>0</v>
      </c>
      <c r="P462" t="n">
        <v>0</v>
      </c>
      <c r="Q462" t="n">
        <v>0</v>
      </c>
      <c r="R462" s="2" t="inlineStr"/>
    </row>
    <row r="463" ht="15" customHeight="1">
      <c r="A463" t="inlineStr">
        <is>
          <t>A 30747-2021</t>
        </is>
      </c>
      <c r="B463" s="1" t="n">
        <v>44365.46018518518</v>
      </c>
      <c r="C463" s="1" t="n">
        <v>45914</v>
      </c>
      <c r="D463" t="inlineStr">
        <is>
          <t>SKÅNE LÄN</t>
        </is>
      </c>
      <c r="E463" t="inlineStr">
        <is>
          <t>PERSTORP</t>
        </is>
      </c>
      <c r="G463" t="n">
        <v>0.7</v>
      </c>
      <c r="H463" t="n">
        <v>0</v>
      </c>
      <c r="I463" t="n">
        <v>0</v>
      </c>
      <c r="J463" t="n">
        <v>0</v>
      </c>
      <c r="K463" t="n">
        <v>0</v>
      </c>
      <c r="L463" t="n">
        <v>0</v>
      </c>
      <c r="M463" t="n">
        <v>0</v>
      </c>
      <c r="N463" t="n">
        <v>0</v>
      </c>
      <c r="O463" t="n">
        <v>0</v>
      </c>
      <c r="P463" t="n">
        <v>0</v>
      </c>
      <c r="Q463" t="n">
        <v>0</v>
      </c>
      <c r="R463" s="2" t="inlineStr"/>
    </row>
    <row r="464" ht="15" customHeight="1">
      <c r="A464" t="inlineStr">
        <is>
          <t>A 36951-2021</t>
        </is>
      </c>
      <c r="B464" s="1" t="n">
        <v>44393</v>
      </c>
      <c r="C464" s="1" t="n">
        <v>45914</v>
      </c>
      <c r="D464" t="inlineStr">
        <is>
          <t>SKÅNE LÄN</t>
        </is>
      </c>
      <c r="E464" t="inlineStr">
        <is>
          <t>YSTAD</t>
        </is>
      </c>
      <c r="G464" t="n">
        <v>3.4</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45914</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45914</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45914</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45914</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45914</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45914</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51197-2021</t>
        </is>
      </c>
      <c r="B471" s="1" t="n">
        <v>44460</v>
      </c>
      <c r="C471" s="1" t="n">
        <v>45914</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45914</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45914</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45914</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45914</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74294-2021</t>
        </is>
      </c>
      <c r="B476" s="1" t="n">
        <v>44558</v>
      </c>
      <c r="C476" s="1" t="n">
        <v>45914</v>
      </c>
      <c r="D476" t="inlineStr">
        <is>
          <t>SKÅNE LÄN</t>
        </is>
      </c>
      <c r="E476" t="inlineStr">
        <is>
          <t>HÄSSLEHOLM</t>
        </is>
      </c>
      <c r="F476" t="inlineStr">
        <is>
          <t>Kyrkan</t>
        </is>
      </c>
      <c r="G476" t="n">
        <v>16.2</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45914</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45914</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45914</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45914</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45914</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45914</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45914</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45914</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45914</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45914</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45914</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45914</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45914</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23826-2021</t>
        </is>
      </c>
      <c r="B490" s="1" t="n">
        <v>44335</v>
      </c>
      <c r="C490" s="1" t="n">
        <v>45914</v>
      </c>
      <c r="D490" t="inlineStr">
        <is>
          <t>SKÅNE LÄN</t>
        </is>
      </c>
      <c r="E490" t="inlineStr">
        <is>
          <t>HÄSSLEHOLM</t>
        </is>
      </c>
      <c r="G490" t="n">
        <v>6.5</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45914</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56424-2021</t>
        </is>
      </c>
      <c r="B492" s="1" t="n">
        <v>44480</v>
      </c>
      <c r="C492" s="1" t="n">
        <v>45914</v>
      </c>
      <c r="D492" t="inlineStr">
        <is>
          <t>SKÅNE LÄN</t>
        </is>
      </c>
      <c r="E492" t="inlineStr">
        <is>
          <t>HÄSSLEHOLM</t>
        </is>
      </c>
      <c r="F492" t="inlineStr">
        <is>
          <t>Kyrkan</t>
        </is>
      </c>
      <c r="G492" t="n">
        <v>3.4</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45914</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45914</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45914</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45914</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45914</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45914</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45914</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56502-2021</t>
        </is>
      </c>
      <c r="B500" s="1" t="n">
        <v>44480</v>
      </c>
      <c r="C500" s="1" t="n">
        <v>45914</v>
      </c>
      <c r="D500" t="inlineStr">
        <is>
          <t>SKÅNE LÄN</t>
        </is>
      </c>
      <c r="E500" t="inlineStr">
        <is>
          <t>HÄSSLEHOLM</t>
        </is>
      </c>
      <c r="F500" t="inlineStr">
        <is>
          <t>Kyrkan</t>
        </is>
      </c>
      <c r="G500" t="n">
        <v>13.8</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45914</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45914</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45914</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45914</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45914</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45914</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45914</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45914</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45914</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45914</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45914</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45914</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45914</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48295-2020</t>
        </is>
      </c>
      <c r="B514" s="1" t="n">
        <v>44102</v>
      </c>
      <c r="C514" s="1" t="n">
        <v>45914</v>
      </c>
      <c r="D514" t="inlineStr">
        <is>
          <t>SKÅNE LÄN</t>
        </is>
      </c>
      <c r="E514" t="inlineStr">
        <is>
          <t>LUND</t>
        </is>
      </c>
      <c r="G514" t="n">
        <v>0.6</v>
      </c>
      <c r="H514" t="n">
        <v>0</v>
      </c>
      <c r="I514" t="n">
        <v>0</v>
      </c>
      <c r="J514" t="n">
        <v>0</v>
      </c>
      <c r="K514" t="n">
        <v>0</v>
      </c>
      <c r="L514" t="n">
        <v>0</v>
      </c>
      <c r="M514" t="n">
        <v>0</v>
      </c>
      <c r="N514" t="n">
        <v>0</v>
      </c>
      <c r="O514" t="n">
        <v>0</v>
      </c>
      <c r="P514" t="n">
        <v>0</v>
      </c>
      <c r="Q514" t="n">
        <v>0</v>
      </c>
      <c r="R514" s="2" t="inlineStr"/>
    </row>
    <row r="515" ht="15" customHeight="1">
      <c r="A515" t="inlineStr">
        <is>
          <t>A 3075-2021</t>
        </is>
      </c>
      <c r="B515" s="1" t="n">
        <v>44216</v>
      </c>
      <c r="C515" s="1" t="n">
        <v>45914</v>
      </c>
      <c r="D515" t="inlineStr">
        <is>
          <t>SKÅNE LÄN</t>
        </is>
      </c>
      <c r="E515" t="inlineStr">
        <is>
          <t>OSBY</t>
        </is>
      </c>
      <c r="G515" t="n">
        <v>3.1</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45914</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15288-2021</t>
        </is>
      </c>
      <c r="B517" s="1" t="n">
        <v>44284</v>
      </c>
      <c r="C517" s="1" t="n">
        <v>45914</v>
      </c>
      <c r="D517" t="inlineStr">
        <is>
          <t>SKÅNE LÄN</t>
        </is>
      </c>
      <c r="E517" t="inlineStr">
        <is>
          <t>TOMELILLA</t>
        </is>
      </c>
      <c r="G517" t="n">
        <v>1.4</v>
      </c>
      <c r="H517" t="n">
        <v>0</v>
      </c>
      <c r="I517" t="n">
        <v>0</v>
      </c>
      <c r="J517" t="n">
        <v>0</v>
      </c>
      <c r="K517" t="n">
        <v>0</v>
      </c>
      <c r="L517" t="n">
        <v>0</v>
      </c>
      <c r="M517" t="n">
        <v>0</v>
      </c>
      <c r="N517" t="n">
        <v>0</v>
      </c>
      <c r="O517" t="n">
        <v>0</v>
      </c>
      <c r="P517" t="n">
        <v>0</v>
      </c>
      <c r="Q517" t="n">
        <v>0</v>
      </c>
      <c r="R517" s="2" t="inlineStr"/>
    </row>
    <row r="518" ht="15" customHeight="1">
      <c r="A518" t="inlineStr">
        <is>
          <t>A 68845-2020</t>
        </is>
      </c>
      <c r="B518" s="1" t="n">
        <v>44186</v>
      </c>
      <c r="C518" s="1" t="n">
        <v>45914</v>
      </c>
      <c r="D518" t="inlineStr">
        <is>
          <t>SKÅNE LÄN</t>
        </is>
      </c>
      <c r="E518" t="inlineStr">
        <is>
          <t>KRISTIANSTAD</t>
        </is>
      </c>
      <c r="G518" t="n">
        <v>4</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45914</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45914</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45914</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45914</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45914</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45914</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45914</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45914</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67630-2020</t>
        </is>
      </c>
      <c r="B527" s="1" t="n">
        <v>44182</v>
      </c>
      <c r="C527" s="1" t="n">
        <v>45914</v>
      </c>
      <c r="D527" t="inlineStr">
        <is>
          <t>SKÅNE LÄN</t>
        </is>
      </c>
      <c r="E527" t="inlineStr">
        <is>
          <t>PERSTORP</t>
        </is>
      </c>
      <c r="G527" t="n">
        <v>1.4</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45914</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45914</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45914</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45914</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45914</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45914</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45914</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45914</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45914</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9238-2021</t>
        </is>
      </c>
      <c r="B537" s="1" t="n">
        <v>44250</v>
      </c>
      <c r="C537" s="1" t="n">
        <v>45914</v>
      </c>
      <c r="D537" t="inlineStr">
        <is>
          <t>SKÅNE LÄN</t>
        </is>
      </c>
      <c r="E537" t="inlineStr">
        <is>
          <t>TOMELILLA</t>
        </is>
      </c>
      <c r="F537" t="inlineStr">
        <is>
          <t>Övriga Aktiebolag</t>
        </is>
      </c>
      <c r="G537" t="n">
        <v>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45914</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45914</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45914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63389-2020</t>
        </is>
      </c>
      <c r="B541" s="1" t="n">
        <v>44161</v>
      </c>
      <c r="C541" s="1" t="n">
        <v>45914</v>
      </c>
      <c r="D541" t="inlineStr">
        <is>
          <t>SKÅNE LÄN</t>
        </is>
      </c>
      <c r="E541" t="inlineStr">
        <is>
          <t>KRISTIANSTAD</t>
        </is>
      </c>
      <c r="G541" t="n">
        <v>11.2</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45914</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56521-2020</t>
        </is>
      </c>
      <c r="B543" s="1" t="n">
        <v>44133</v>
      </c>
      <c r="C543" s="1" t="n">
        <v>45914</v>
      </c>
      <c r="D543" t="inlineStr">
        <is>
          <t>SKÅNE LÄN</t>
        </is>
      </c>
      <c r="E543" t="inlineStr">
        <is>
          <t>KRISTIANSTAD</t>
        </is>
      </c>
      <c r="G543" t="n">
        <v>5.2</v>
      </c>
      <c r="H543" t="n">
        <v>0</v>
      </c>
      <c r="I543" t="n">
        <v>0</v>
      </c>
      <c r="J543" t="n">
        <v>0</v>
      </c>
      <c r="K543" t="n">
        <v>0</v>
      </c>
      <c r="L543" t="n">
        <v>0</v>
      </c>
      <c r="M543" t="n">
        <v>0</v>
      </c>
      <c r="N543" t="n">
        <v>0</v>
      </c>
      <c r="O543" t="n">
        <v>0</v>
      </c>
      <c r="P543" t="n">
        <v>0</v>
      </c>
      <c r="Q543" t="n">
        <v>0</v>
      </c>
      <c r="R543" s="2" t="inlineStr"/>
    </row>
    <row r="544" ht="15" customHeight="1">
      <c r="A544" t="inlineStr">
        <is>
          <t>A 1130-2021</t>
        </is>
      </c>
      <c r="B544" s="1" t="n">
        <v>44207.62783564815</v>
      </c>
      <c r="C544" s="1" t="n">
        <v>45914</v>
      </c>
      <c r="D544" t="inlineStr">
        <is>
          <t>SKÅNE LÄN</t>
        </is>
      </c>
      <c r="E544" t="inlineStr">
        <is>
          <t>ÖRKELLJUNGA</t>
        </is>
      </c>
      <c r="G544" t="n">
        <v>0.8</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45914</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45914</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45914</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45914</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45914</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45914</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45914</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45914</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3594-2021</t>
        </is>
      </c>
      <c r="B553" s="1" t="n">
        <v>44220</v>
      </c>
      <c r="C553" s="1" t="n">
        <v>45914</v>
      </c>
      <c r="D553" t="inlineStr">
        <is>
          <t>SKÅNE LÄN</t>
        </is>
      </c>
      <c r="E553" t="inlineStr">
        <is>
          <t>SVALÖV</t>
        </is>
      </c>
      <c r="G553" t="n">
        <v>4.4</v>
      </c>
      <c r="H553" t="n">
        <v>0</v>
      </c>
      <c r="I553" t="n">
        <v>0</v>
      </c>
      <c r="J553" t="n">
        <v>0</v>
      </c>
      <c r="K553" t="n">
        <v>0</v>
      </c>
      <c r="L553" t="n">
        <v>0</v>
      </c>
      <c r="M553" t="n">
        <v>0</v>
      </c>
      <c r="N553" t="n">
        <v>0</v>
      </c>
      <c r="O553" t="n">
        <v>0</v>
      </c>
      <c r="P553" t="n">
        <v>0</v>
      </c>
      <c r="Q553" t="n">
        <v>0</v>
      </c>
      <c r="R553" s="2" t="inlineStr"/>
    </row>
    <row r="554" ht="15" customHeight="1">
      <c r="A554" t="inlineStr">
        <is>
          <t>A 55364-2022</t>
        </is>
      </c>
      <c r="B554" s="1" t="n">
        <v>44887.50657407408</v>
      </c>
      <c r="C554" s="1" t="n">
        <v>45914</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45914</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45914</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45914</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45914</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45914</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45914</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45914</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45914</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45914</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7391-2022</t>
        </is>
      </c>
      <c r="B564" s="1" t="n">
        <v>44606</v>
      </c>
      <c r="C564" s="1" t="n">
        <v>45914</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45914</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45914</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48486-2020</t>
        </is>
      </c>
      <c r="B567" s="1" t="n">
        <v>44103.30351851852</v>
      </c>
      <c r="C567" s="1" t="n">
        <v>45914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45914</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45914</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45914</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45914</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51588-2020</t>
        </is>
      </c>
      <c r="B572" s="1" t="n">
        <v>44113</v>
      </c>
      <c r="C572" s="1" t="n">
        <v>45914</v>
      </c>
      <c r="D572" t="inlineStr">
        <is>
          <t>SKÅNE LÄN</t>
        </is>
      </c>
      <c r="E572" t="inlineStr">
        <is>
          <t>OSBY</t>
        </is>
      </c>
      <c r="G572" t="n">
        <v>5.9</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45914</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10352-2022</t>
        </is>
      </c>
      <c r="B574" s="1" t="n">
        <v>44623.34907407407</v>
      </c>
      <c r="C574" s="1" t="n">
        <v>45914</v>
      </c>
      <c r="D574" t="inlineStr">
        <is>
          <t>SKÅNE LÄN</t>
        </is>
      </c>
      <c r="E574" t="inlineStr">
        <is>
          <t>KRISTIANSTAD</t>
        </is>
      </c>
      <c r="G574" t="n">
        <v>0</v>
      </c>
      <c r="H574" t="n">
        <v>0</v>
      </c>
      <c r="I574" t="n">
        <v>0</v>
      </c>
      <c r="J574" t="n">
        <v>0</v>
      </c>
      <c r="K574" t="n">
        <v>0</v>
      </c>
      <c r="L574" t="n">
        <v>0</v>
      </c>
      <c r="M574" t="n">
        <v>0</v>
      </c>
      <c r="N574" t="n">
        <v>0</v>
      </c>
      <c r="O574" t="n">
        <v>0</v>
      </c>
      <c r="P574" t="n">
        <v>0</v>
      </c>
      <c r="Q574" t="n">
        <v>0</v>
      </c>
      <c r="R574" s="2" t="inlineStr"/>
    </row>
    <row r="575" ht="15" customHeight="1">
      <c r="A575" t="inlineStr">
        <is>
          <t>A 10355-2022</t>
        </is>
      </c>
      <c r="B575" s="1" t="n">
        <v>44623.35771990741</v>
      </c>
      <c r="C575" s="1" t="n">
        <v>45914</v>
      </c>
      <c r="D575" t="inlineStr">
        <is>
          <t>SKÅNE LÄN</t>
        </is>
      </c>
      <c r="E575" t="inlineStr">
        <is>
          <t>KRISTIANSTAD</t>
        </is>
      </c>
      <c r="G575" t="n">
        <v>0.9</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45914</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45914</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45914</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45914</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64361-2020</t>
        </is>
      </c>
      <c r="B580" s="1" t="n">
        <v>44168</v>
      </c>
      <c r="C580" s="1" t="n">
        <v>45914</v>
      </c>
      <c r="D580" t="inlineStr">
        <is>
          <t>SKÅNE LÄN</t>
        </is>
      </c>
      <c r="E580" t="inlineStr">
        <is>
          <t>HÄSSLEHOLM</t>
        </is>
      </c>
      <c r="G580" t="n">
        <v>5.4</v>
      </c>
      <c r="H580" t="n">
        <v>0</v>
      </c>
      <c r="I580" t="n">
        <v>0</v>
      </c>
      <c r="J580" t="n">
        <v>0</v>
      </c>
      <c r="K580" t="n">
        <v>0</v>
      </c>
      <c r="L580" t="n">
        <v>0</v>
      </c>
      <c r="M580" t="n">
        <v>0</v>
      </c>
      <c r="N580" t="n">
        <v>0</v>
      </c>
      <c r="O580" t="n">
        <v>0</v>
      </c>
      <c r="P580" t="n">
        <v>0</v>
      </c>
      <c r="Q580" t="n">
        <v>0</v>
      </c>
      <c r="R580" s="2" t="inlineStr"/>
    </row>
    <row r="581" ht="15" customHeight="1">
      <c r="A581" t="inlineStr">
        <is>
          <t>A 36947-2021</t>
        </is>
      </c>
      <c r="B581" s="1" t="n">
        <v>44393</v>
      </c>
      <c r="C581" s="1" t="n">
        <v>45914</v>
      </c>
      <c r="D581" t="inlineStr">
        <is>
          <t>SKÅNE LÄN</t>
        </is>
      </c>
      <c r="E581" t="inlineStr">
        <is>
          <t>YSTAD</t>
        </is>
      </c>
      <c r="G581" t="n">
        <v>1.1</v>
      </c>
      <c r="H581" t="n">
        <v>0</v>
      </c>
      <c r="I581" t="n">
        <v>0</v>
      </c>
      <c r="J581" t="n">
        <v>0</v>
      </c>
      <c r="K581" t="n">
        <v>0</v>
      </c>
      <c r="L581" t="n">
        <v>0</v>
      </c>
      <c r="M581" t="n">
        <v>0</v>
      </c>
      <c r="N581" t="n">
        <v>0</v>
      </c>
      <c r="O581" t="n">
        <v>0</v>
      </c>
      <c r="P581" t="n">
        <v>0</v>
      </c>
      <c r="Q581" t="n">
        <v>0</v>
      </c>
      <c r="R581" s="2" t="inlineStr"/>
    </row>
    <row r="582" ht="15" customHeight="1">
      <c r="A582" t="inlineStr">
        <is>
          <t>A 66543-2020</t>
        </is>
      </c>
      <c r="B582" s="1" t="n">
        <v>44179</v>
      </c>
      <c r="C582" s="1" t="n">
        <v>45914</v>
      </c>
      <c r="D582" t="inlineStr">
        <is>
          <t>SKÅNE LÄN</t>
        </is>
      </c>
      <c r="E582" t="inlineStr">
        <is>
          <t>OSBY</t>
        </is>
      </c>
      <c r="G582" t="n">
        <v>0.5</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45914</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44755-2021</t>
        </is>
      </c>
      <c r="B584" s="1" t="n">
        <v>44438</v>
      </c>
      <c r="C584" s="1" t="n">
        <v>45914</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44770-2021</t>
        </is>
      </c>
      <c r="B585" s="1" t="n">
        <v>44438</v>
      </c>
      <c r="C585" s="1" t="n">
        <v>45914</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38560-2022</t>
        </is>
      </c>
      <c r="B586" s="1" t="n">
        <v>44813</v>
      </c>
      <c r="C586" s="1" t="n">
        <v>45914</v>
      </c>
      <c r="D586" t="inlineStr">
        <is>
          <t>SKÅNE LÄN</t>
        </is>
      </c>
      <c r="E586" t="inlineStr">
        <is>
          <t>ÖRKELLJUNGA</t>
        </is>
      </c>
      <c r="G586" t="n">
        <v>1.7</v>
      </c>
      <c r="H586" t="n">
        <v>0</v>
      </c>
      <c r="I586" t="n">
        <v>0</v>
      </c>
      <c r="J586" t="n">
        <v>0</v>
      </c>
      <c r="K586" t="n">
        <v>0</v>
      </c>
      <c r="L586" t="n">
        <v>0</v>
      </c>
      <c r="M586" t="n">
        <v>0</v>
      </c>
      <c r="N586" t="n">
        <v>0</v>
      </c>
      <c r="O586" t="n">
        <v>0</v>
      </c>
      <c r="P586" t="n">
        <v>0</v>
      </c>
      <c r="Q586" t="n">
        <v>0</v>
      </c>
      <c r="R586" s="2" t="inlineStr"/>
    </row>
    <row r="587" ht="15" customHeight="1">
      <c r="A587" t="inlineStr">
        <is>
          <t>A 45512-2020</t>
        </is>
      </c>
      <c r="B587" s="1" t="n">
        <v>44089.68309027778</v>
      </c>
      <c r="C587" s="1" t="n">
        <v>45914</v>
      </c>
      <c r="D587" t="inlineStr">
        <is>
          <t>SKÅNE LÄN</t>
        </is>
      </c>
      <c r="E587" t="inlineStr">
        <is>
          <t>SVALÖV</t>
        </is>
      </c>
      <c r="G587" t="n">
        <v>0.7</v>
      </c>
      <c r="H587" t="n">
        <v>0</v>
      </c>
      <c r="I587" t="n">
        <v>0</v>
      </c>
      <c r="J587" t="n">
        <v>0</v>
      </c>
      <c r="K587" t="n">
        <v>0</v>
      </c>
      <c r="L587" t="n">
        <v>0</v>
      </c>
      <c r="M587" t="n">
        <v>0</v>
      </c>
      <c r="N587" t="n">
        <v>0</v>
      </c>
      <c r="O587" t="n">
        <v>0</v>
      </c>
      <c r="P587" t="n">
        <v>0</v>
      </c>
      <c r="Q587" t="n">
        <v>0</v>
      </c>
      <c r="R587" s="2" t="inlineStr"/>
    </row>
    <row r="588" ht="15" customHeight="1">
      <c r="A588" t="inlineStr">
        <is>
          <t>A 47245-2020</t>
        </is>
      </c>
      <c r="B588" s="1" t="n">
        <v>44097</v>
      </c>
      <c r="C588" s="1" t="n">
        <v>45914</v>
      </c>
      <c r="D588" t="inlineStr">
        <is>
          <t>SKÅNE LÄN</t>
        </is>
      </c>
      <c r="E588" t="inlineStr">
        <is>
          <t>KLIPPAN</t>
        </is>
      </c>
      <c r="G588" t="n">
        <v>0.6</v>
      </c>
      <c r="H588" t="n">
        <v>0</v>
      </c>
      <c r="I588" t="n">
        <v>0</v>
      </c>
      <c r="J588" t="n">
        <v>0</v>
      </c>
      <c r="K588" t="n">
        <v>0</v>
      </c>
      <c r="L588" t="n">
        <v>0</v>
      </c>
      <c r="M588" t="n">
        <v>0</v>
      </c>
      <c r="N588" t="n">
        <v>0</v>
      </c>
      <c r="O588" t="n">
        <v>0</v>
      </c>
      <c r="P588" t="n">
        <v>0</v>
      </c>
      <c r="Q588" t="n">
        <v>0</v>
      </c>
      <c r="R588" s="2" t="inlineStr"/>
    </row>
    <row r="589" ht="15" customHeight="1">
      <c r="A589" t="inlineStr">
        <is>
          <t>A 49823-2020</t>
        </is>
      </c>
      <c r="B589" s="1" t="n">
        <v>44106</v>
      </c>
      <c r="C589" s="1" t="n">
        <v>45914</v>
      </c>
      <c r="D589" t="inlineStr">
        <is>
          <t>SKÅNE LÄN</t>
        </is>
      </c>
      <c r="E589" t="inlineStr">
        <is>
          <t>OSBY</t>
        </is>
      </c>
      <c r="G589" t="n">
        <v>1.5</v>
      </c>
      <c r="H589" t="n">
        <v>0</v>
      </c>
      <c r="I589" t="n">
        <v>0</v>
      </c>
      <c r="J589" t="n">
        <v>0</v>
      </c>
      <c r="K589" t="n">
        <v>0</v>
      </c>
      <c r="L589" t="n">
        <v>0</v>
      </c>
      <c r="M589" t="n">
        <v>0</v>
      </c>
      <c r="N589" t="n">
        <v>0</v>
      </c>
      <c r="O589" t="n">
        <v>0</v>
      </c>
      <c r="P589" t="n">
        <v>0</v>
      </c>
      <c r="Q589" t="n">
        <v>0</v>
      </c>
      <c r="R589" s="2" t="inlineStr"/>
    </row>
    <row r="590" ht="15" customHeight="1">
      <c r="A590" t="inlineStr">
        <is>
          <t>A 49132-2020</t>
        </is>
      </c>
      <c r="B590" s="1" t="n">
        <v>44104</v>
      </c>
      <c r="C590" s="1" t="n">
        <v>45914</v>
      </c>
      <c r="D590" t="inlineStr">
        <is>
          <t>SKÅNE LÄN</t>
        </is>
      </c>
      <c r="E590" t="inlineStr">
        <is>
          <t>ÖSTRA GÖINGE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45914</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45914</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45914</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45914</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45914</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45914</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30879-2021</t>
        </is>
      </c>
      <c r="B597" s="1" t="n">
        <v>44365</v>
      </c>
      <c r="C597" s="1" t="n">
        <v>45914</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45914</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52561-2020</t>
        </is>
      </c>
      <c r="B599" s="1" t="n">
        <v>44116</v>
      </c>
      <c r="C599" s="1" t="n">
        <v>45914</v>
      </c>
      <c r="D599" t="inlineStr">
        <is>
          <t>SKÅNE LÄN</t>
        </is>
      </c>
      <c r="E599" t="inlineStr">
        <is>
          <t>HÄSSLEHOLM</t>
        </is>
      </c>
      <c r="G599" t="n">
        <v>6</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45914</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45914</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45914</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34105-2021</t>
        </is>
      </c>
      <c r="B603" s="1" t="n">
        <v>44379</v>
      </c>
      <c r="C603" s="1" t="n">
        <v>45914</v>
      </c>
      <c r="D603" t="inlineStr">
        <is>
          <t>SKÅNE LÄN</t>
        </is>
      </c>
      <c r="E603" t="inlineStr">
        <is>
          <t>HÖRBY</t>
        </is>
      </c>
      <c r="G603" t="n">
        <v>1.1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45914</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45914</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40694-2021</t>
        </is>
      </c>
      <c r="B606" s="1" t="n">
        <v>44420.60756944444</v>
      </c>
      <c r="C606" s="1" t="n">
        <v>45914</v>
      </c>
      <c r="D606" t="inlineStr">
        <is>
          <t>SKÅNE LÄN</t>
        </is>
      </c>
      <c r="E606" t="inlineStr">
        <is>
          <t>OSBY</t>
        </is>
      </c>
      <c r="G606" t="n">
        <v>1.8</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45914</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45914</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45914</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74008-2021</t>
        </is>
      </c>
      <c r="B610" s="1" t="n">
        <v>44553</v>
      </c>
      <c r="C610" s="1" t="n">
        <v>45914</v>
      </c>
      <c r="D610" t="inlineStr">
        <is>
          <t>SKÅNE LÄN</t>
        </is>
      </c>
      <c r="E610" t="inlineStr">
        <is>
          <t>ESLÖV</t>
        </is>
      </c>
      <c r="G610" t="n">
        <v>0.8</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45914</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57227-2021</t>
        </is>
      </c>
      <c r="B612" s="1" t="n">
        <v>44482</v>
      </c>
      <c r="C612" s="1" t="n">
        <v>45914</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45914</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45914</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45914</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45914</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45914</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62420-2020</t>
        </is>
      </c>
      <c r="B618" s="1" t="n">
        <v>44159</v>
      </c>
      <c r="C618" s="1" t="n">
        <v>45914</v>
      </c>
      <c r="D618" t="inlineStr">
        <is>
          <t>SKÅNE LÄN</t>
        </is>
      </c>
      <c r="E618" t="inlineStr">
        <is>
          <t>ESLÖV</t>
        </is>
      </c>
      <c r="G618" t="n">
        <v>1.3</v>
      </c>
      <c r="H618" t="n">
        <v>0</v>
      </c>
      <c r="I618" t="n">
        <v>0</v>
      </c>
      <c r="J618" t="n">
        <v>0</v>
      </c>
      <c r="K618" t="n">
        <v>0</v>
      </c>
      <c r="L618" t="n">
        <v>0</v>
      </c>
      <c r="M618" t="n">
        <v>0</v>
      </c>
      <c r="N618" t="n">
        <v>0</v>
      </c>
      <c r="O618" t="n">
        <v>0</v>
      </c>
      <c r="P618" t="n">
        <v>0</v>
      </c>
      <c r="Q618" t="n">
        <v>0</v>
      </c>
      <c r="R618" s="2" t="inlineStr"/>
    </row>
    <row r="619" ht="15" customHeight="1">
      <c r="A619" t="inlineStr">
        <is>
          <t>A 62422-2020</t>
        </is>
      </c>
      <c r="B619" s="1" t="n">
        <v>44159</v>
      </c>
      <c r="C619" s="1" t="n">
        <v>45914</v>
      </c>
      <c r="D619" t="inlineStr">
        <is>
          <t>SKÅNE LÄN</t>
        </is>
      </c>
      <c r="E619" t="inlineStr">
        <is>
          <t>ESLÖV</t>
        </is>
      </c>
      <c r="G619" t="n">
        <v>1.7</v>
      </c>
      <c r="H619" t="n">
        <v>0</v>
      </c>
      <c r="I619" t="n">
        <v>0</v>
      </c>
      <c r="J619" t="n">
        <v>0</v>
      </c>
      <c r="K619" t="n">
        <v>0</v>
      </c>
      <c r="L619" t="n">
        <v>0</v>
      </c>
      <c r="M619" t="n">
        <v>0</v>
      </c>
      <c r="N619" t="n">
        <v>0</v>
      </c>
      <c r="O619" t="n">
        <v>0</v>
      </c>
      <c r="P619" t="n">
        <v>0</v>
      </c>
      <c r="Q619" t="n">
        <v>0</v>
      </c>
      <c r="R619" s="2" t="inlineStr"/>
    </row>
    <row r="620" ht="15" customHeight="1">
      <c r="A620" t="inlineStr">
        <is>
          <t>A 34982-2022</t>
        </is>
      </c>
      <c r="B620" s="1" t="n">
        <v>44796.69055555556</v>
      </c>
      <c r="C620" s="1" t="n">
        <v>45914</v>
      </c>
      <c r="D620" t="inlineStr">
        <is>
          <t>SKÅNE LÄN</t>
        </is>
      </c>
      <c r="E620" t="inlineStr">
        <is>
          <t>HÄSSLEHOLM</t>
        </is>
      </c>
      <c r="F620" t="inlineStr">
        <is>
          <t>Kyrkan</t>
        </is>
      </c>
      <c r="G620" t="n">
        <v>3.4</v>
      </c>
      <c r="H620" t="n">
        <v>0</v>
      </c>
      <c r="I620" t="n">
        <v>0</v>
      </c>
      <c r="J620" t="n">
        <v>0</v>
      </c>
      <c r="K620" t="n">
        <v>0</v>
      </c>
      <c r="L620" t="n">
        <v>0</v>
      </c>
      <c r="M620" t="n">
        <v>0</v>
      </c>
      <c r="N620" t="n">
        <v>0</v>
      </c>
      <c r="O620" t="n">
        <v>0</v>
      </c>
      <c r="P620" t="n">
        <v>0</v>
      </c>
      <c r="Q620" t="n">
        <v>0</v>
      </c>
      <c r="R620" s="2" t="inlineStr"/>
    </row>
    <row r="621" ht="15" customHeight="1">
      <c r="A621" t="inlineStr">
        <is>
          <t>A 47566-2020</t>
        </is>
      </c>
      <c r="B621" s="1" t="n">
        <v>44098</v>
      </c>
      <c r="C621" s="1" t="n">
        <v>45914</v>
      </c>
      <c r="D621" t="inlineStr">
        <is>
          <t>SKÅNE LÄN</t>
        </is>
      </c>
      <c r="E621" t="inlineStr">
        <is>
          <t>ÄNGELHOLM</t>
        </is>
      </c>
      <c r="G621" t="n">
        <v>3.2</v>
      </c>
      <c r="H621" t="n">
        <v>0</v>
      </c>
      <c r="I621" t="n">
        <v>0</v>
      </c>
      <c r="J621" t="n">
        <v>0</v>
      </c>
      <c r="K621" t="n">
        <v>0</v>
      </c>
      <c r="L621" t="n">
        <v>0</v>
      </c>
      <c r="M621" t="n">
        <v>0</v>
      </c>
      <c r="N621" t="n">
        <v>0</v>
      </c>
      <c r="O621" t="n">
        <v>0</v>
      </c>
      <c r="P621" t="n">
        <v>0</v>
      </c>
      <c r="Q621" t="n">
        <v>0</v>
      </c>
      <c r="R621" s="2" t="inlineStr"/>
    </row>
    <row r="622" ht="15" customHeight="1">
      <c r="A622" t="inlineStr">
        <is>
          <t>A 18939-2022</t>
        </is>
      </c>
      <c r="B622" s="1" t="n">
        <v>44690</v>
      </c>
      <c r="C622" s="1" t="n">
        <v>45914</v>
      </c>
      <c r="D622" t="inlineStr">
        <is>
          <t>SKÅNE LÄN</t>
        </is>
      </c>
      <c r="E622" t="inlineStr">
        <is>
          <t>HÖÖR</t>
        </is>
      </c>
      <c r="G622" t="n">
        <v>1.5</v>
      </c>
      <c r="H622" t="n">
        <v>0</v>
      </c>
      <c r="I622" t="n">
        <v>0</v>
      </c>
      <c r="J622" t="n">
        <v>0</v>
      </c>
      <c r="K622" t="n">
        <v>0</v>
      </c>
      <c r="L622" t="n">
        <v>0</v>
      </c>
      <c r="M622" t="n">
        <v>0</v>
      </c>
      <c r="N622" t="n">
        <v>0</v>
      </c>
      <c r="O622" t="n">
        <v>0</v>
      </c>
      <c r="P622" t="n">
        <v>0</v>
      </c>
      <c r="Q622" t="n">
        <v>0</v>
      </c>
      <c r="R622" s="2" t="inlineStr"/>
    </row>
    <row r="623" ht="15" customHeight="1">
      <c r="A623" t="inlineStr">
        <is>
          <t>A 27729-2021</t>
        </is>
      </c>
      <c r="B623" s="1" t="n">
        <v>44354</v>
      </c>
      <c r="C623" s="1" t="n">
        <v>45914</v>
      </c>
      <c r="D623" t="inlineStr">
        <is>
          <t>SKÅNE LÄN</t>
        </is>
      </c>
      <c r="E623" t="inlineStr">
        <is>
          <t>KRISTIANSTAD</t>
        </is>
      </c>
      <c r="G623" t="n">
        <v>3.1</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45914</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45914</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45914</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45914</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45914</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45914</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45914</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54493-2020</t>
        </is>
      </c>
      <c r="B631" s="1" t="n">
        <v>44126</v>
      </c>
      <c r="C631" s="1" t="n">
        <v>45914</v>
      </c>
      <c r="D631" t="inlineStr">
        <is>
          <t>SKÅNE LÄN</t>
        </is>
      </c>
      <c r="E631" t="inlineStr">
        <is>
          <t>HÄSSLEHOLM</t>
        </is>
      </c>
      <c r="F631" t="inlineStr">
        <is>
          <t>Kyrkan</t>
        </is>
      </c>
      <c r="G631" t="n">
        <v>4.4</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45914</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45914</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65760-2020</t>
        </is>
      </c>
      <c r="B634" s="1" t="n">
        <v>44174</v>
      </c>
      <c r="C634" s="1" t="n">
        <v>45914</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45914</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8972-2021</t>
        </is>
      </c>
      <c r="B636" s="1" t="n">
        <v>44246</v>
      </c>
      <c r="C636" s="1" t="n">
        <v>45914</v>
      </c>
      <c r="D636" t="inlineStr">
        <is>
          <t>SKÅNE LÄN</t>
        </is>
      </c>
      <c r="E636" t="inlineStr">
        <is>
          <t>OSBY</t>
        </is>
      </c>
      <c r="G636" t="n">
        <v>1.6</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45914</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45914</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22320-2021</t>
        </is>
      </c>
      <c r="B639" s="1" t="n">
        <v>44323</v>
      </c>
      <c r="C639" s="1" t="n">
        <v>45914</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45914</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45914</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45914</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45914</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6962-2021</t>
        </is>
      </c>
      <c r="B644" s="1" t="n">
        <v>44237</v>
      </c>
      <c r="C644" s="1" t="n">
        <v>45914</v>
      </c>
      <c r="D644" t="inlineStr">
        <is>
          <t>SKÅNE LÄN</t>
        </is>
      </c>
      <c r="E644" t="inlineStr">
        <is>
          <t>HÄSSLEHOLM</t>
        </is>
      </c>
      <c r="G644" t="n">
        <v>4.2</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45914</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64694-2020</t>
        </is>
      </c>
      <c r="B646" s="1" t="n">
        <v>44169.5669212963</v>
      </c>
      <c r="C646" s="1" t="n">
        <v>45914</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45914</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45914</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45914</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45914</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45914</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45914</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2770-2021</t>
        </is>
      </c>
      <c r="B653" s="1" t="n">
        <v>44215</v>
      </c>
      <c r="C653" s="1" t="n">
        <v>45914</v>
      </c>
      <c r="D653" t="inlineStr">
        <is>
          <t>SKÅNE LÄN</t>
        </is>
      </c>
      <c r="E653" t="inlineStr">
        <is>
          <t>ÖRKELLJUNGA</t>
        </is>
      </c>
      <c r="G653" t="n">
        <v>0.9</v>
      </c>
      <c r="H653" t="n">
        <v>0</v>
      </c>
      <c r="I653" t="n">
        <v>0</v>
      </c>
      <c r="J653" t="n">
        <v>0</v>
      </c>
      <c r="K653" t="n">
        <v>0</v>
      </c>
      <c r="L653" t="n">
        <v>0</v>
      </c>
      <c r="M653" t="n">
        <v>0</v>
      </c>
      <c r="N653" t="n">
        <v>0</v>
      </c>
      <c r="O653" t="n">
        <v>0</v>
      </c>
      <c r="P653" t="n">
        <v>0</v>
      </c>
      <c r="Q653" t="n">
        <v>0</v>
      </c>
      <c r="R653" s="2" t="inlineStr"/>
    </row>
    <row r="654" ht="15" customHeight="1">
      <c r="A654" t="inlineStr">
        <is>
          <t>A 58595-2020</t>
        </is>
      </c>
      <c r="B654" s="1" t="n">
        <v>44145.65677083333</v>
      </c>
      <c r="C654" s="1" t="n">
        <v>45914</v>
      </c>
      <c r="D654" t="inlineStr">
        <is>
          <t>SKÅNE LÄN</t>
        </is>
      </c>
      <c r="E654" t="inlineStr">
        <is>
          <t>HÖRBY</t>
        </is>
      </c>
      <c r="G654" t="n">
        <v>0.6</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45914</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45914</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45914</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45914</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55425-2022</t>
        </is>
      </c>
      <c r="B659" s="1" t="n">
        <v>44887.60577546297</v>
      </c>
      <c r="C659" s="1" t="n">
        <v>45914</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45914</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14095-2021</t>
        </is>
      </c>
      <c r="B661" s="1" t="n">
        <v>44278</v>
      </c>
      <c r="C661" s="1" t="n">
        <v>45914</v>
      </c>
      <c r="D661" t="inlineStr">
        <is>
          <t>SKÅNE LÄN</t>
        </is>
      </c>
      <c r="E661" t="inlineStr">
        <is>
          <t>SJÖBO</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14054-2021</t>
        </is>
      </c>
      <c r="B662" s="1" t="n">
        <v>44277</v>
      </c>
      <c r="C662" s="1" t="n">
        <v>45914</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45914</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9257-2021</t>
        </is>
      </c>
      <c r="B664" s="1" t="n">
        <v>44250</v>
      </c>
      <c r="C664" s="1" t="n">
        <v>45914</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45914</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16050-2021</t>
        </is>
      </c>
      <c r="B666" s="1" t="n">
        <v>44287</v>
      </c>
      <c r="C666" s="1" t="n">
        <v>45914</v>
      </c>
      <c r="D666" t="inlineStr">
        <is>
          <t>SKÅNE LÄN</t>
        </is>
      </c>
      <c r="E666" t="inlineStr">
        <is>
          <t>PERSTORP</t>
        </is>
      </c>
      <c r="G666" t="n">
        <v>0.2</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45914</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45914</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45914</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45914</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45914</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45914</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45914</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45914</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4156-2022</t>
        </is>
      </c>
      <c r="B675" s="1" t="n">
        <v>44588</v>
      </c>
      <c r="C675" s="1" t="n">
        <v>45914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45914</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41816-2021</t>
        </is>
      </c>
      <c r="B677" s="1" t="n">
        <v>44425.76280092593</v>
      </c>
      <c r="C677" s="1" t="n">
        <v>45914</v>
      </c>
      <c r="D677" t="inlineStr">
        <is>
          <t>SKÅNE LÄN</t>
        </is>
      </c>
      <c r="E677" t="inlineStr">
        <is>
          <t>OSBY</t>
        </is>
      </c>
      <c r="G677" t="n">
        <v>0.8</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45914</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45914</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45914</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45914</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45914</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45914</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45914</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45914</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45914</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45914</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30751-2022</t>
        </is>
      </c>
      <c r="B688" s="1" t="n">
        <v>44764</v>
      </c>
      <c r="C688" s="1" t="n">
        <v>45914</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45914</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45914</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45914</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45914</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45914</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45914</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45914</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31285-2022</t>
        </is>
      </c>
      <c r="B697" s="1" t="n">
        <v>44771.70138888889</v>
      </c>
      <c r="C697" s="1" t="n">
        <v>45914</v>
      </c>
      <c r="D697" t="inlineStr">
        <is>
          <t>SKÅNE LÄN</t>
        </is>
      </c>
      <c r="E697" t="inlineStr">
        <is>
          <t>HÖRBY</t>
        </is>
      </c>
      <c r="G697" t="n">
        <v>0.7</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45914</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41769-2022</t>
        </is>
      </c>
      <c r="B699" s="1" t="n">
        <v>44827</v>
      </c>
      <c r="C699" s="1" t="n">
        <v>45914</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45914</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44160-2021</t>
        </is>
      </c>
      <c r="B701" s="1" t="n">
        <v>44434</v>
      </c>
      <c r="C701" s="1" t="n">
        <v>45914</v>
      </c>
      <c r="D701" t="inlineStr">
        <is>
          <t>SKÅNE LÄN</t>
        </is>
      </c>
      <c r="E701" t="inlineStr">
        <is>
          <t>HÖÖR</t>
        </is>
      </c>
      <c r="G701" t="n">
        <v>0.8</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45914</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45914</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45914</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45914</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45914</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45914</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44328-2021</t>
        </is>
      </c>
      <c r="B708" s="1" t="n">
        <v>44435</v>
      </c>
      <c r="C708" s="1" t="n">
        <v>45914</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45914</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45914</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34684-2021</t>
        </is>
      </c>
      <c r="B711" s="1" t="n">
        <v>44382</v>
      </c>
      <c r="C711" s="1" t="n">
        <v>45914</v>
      </c>
      <c r="D711" t="inlineStr">
        <is>
          <t>SKÅNE LÄN</t>
        </is>
      </c>
      <c r="E711" t="inlineStr">
        <is>
          <t>HÄSSLEHOLM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74293-2021</t>
        </is>
      </c>
      <c r="B712" s="1" t="n">
        <v>44558</v>
      </c>
      <c r="C712" s="1" t="n">
        <v>45914</v>
      </c>
      <c r="D712" t="inlineStr">
        <is>
          <t>SKÅNE LÄN</t>
        </is>
      </c>
      <c r="E712" t="inlineStr">
        <is>
          <t>HÄSSLEHOLM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45914</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5215-2022</t>
        </is>
      </c>
      <c r="B714" s="1" t="n">
        <v>44594</v>
      </c>
      <c r="C714" s="1" t="n">
        <v>45914</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45914</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68053-2020</t>
        </is>
      </c>
      <c r="B716" s="1" t="n">
        <v>44183</v>
      </c>
      <c r="C716" s="1" t="n">
        <v>45914</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41581-2021</t>
        </is>
      </c>
      <c r="B717" s="1" t="n">
        <v>44425.40167824074</v>
      </c>
      <c r="C717" s="1" t="n">
        <v>45914</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45914</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34283-2021</t>
        </is>
      </c>
      <c r="B719" s="1" t="n">
        <v>44379.59303240741</v>
      </c>
      <c r="C719" s="1" t="n">
        <v>45914</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45914</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45914</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45914</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45914</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45914</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45914</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52145-2020</t>
        </is>
      </c>
      <c r="B726" s="1" t="n">
        <v>44117.45729166667</v>
      </c>
      <c r="C726" s="1" t="n">
        <v>45914</v>
      </c>
      <c r="D726" t="inlineStr">
        <is>
          <t>SKÅNE LÄN</t>
        </is>
      </c>
      <c r="E726" t="inlineStr">
        <is>
          <t>ÖRKELLJUNGA</t>
        </is>
      </c>
      <c r="G726" t="n">
        <v>3.4</v>
      </c>
      <c r="H726" t="n">
        <v>0</v>
      </c>
      <c r="I726" t="n">
        <v>0</v>
      </c>
      <c r="J726" t="n">
        <v>0</v>
      </c>
      <c r="K726" t="n">
        <v>0</v>
      </c>
      <c r="L726" t="n">
        <v>0</v>
      </c>
      <c r="M726" t="n">
        <v>0</v>
      </c>
      <c r="N726" t="n">
        <v>0</v>
      </c>
      <c r="O726" t="n">
        <v>0</v>
      </c>
      <c r="P726" t="n">
        <v>0</v>
      </c>
      <c r="Q726" t="n">
        <v>0</v>
      </c>
      <c r="R726" s="2" t="inlineStr"/>
    </row>
    <row r="727" ht="15" customHeight="1">
      <c r="A727" t="inlineStr">
        <is>
          <t>A 45349-2022</t>
        </is>
      </c>
      <c r="B727" s="1" t="n">
        <v>44844.6118287037</v>
      </c>
      <c r="C727" s="1" t="n">
        <v>45914</v>
      </c>
      <c r="D727" t="inlineStr">
        <is>
          <t>SKÅNE LÄN</t>
        </is>
      </c>
      <c r="E727" t="inlineStr">
        <is>
          <t>HÄSSLEHOLM</t>
        </is>
      </c>
      <c r="G727" t="n">
        <v>6.2</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45914</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45914</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45914</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6802-2022</t>
        </is>
      </c>
      <c r="B731" s="1" t="n">
        <v>44602.57128472222</v>
      </c>
      <c r="C731" s="1" t="n">
        <v>45914</v>
      </c>
      <c r="D731" t="inlineStr">
        <is>
          <t>SKÅNE LÄN</t>
        </is>
      </c>
      <c r="E731" t="inlineStr">
        <is>
          <t>ÖSTRA GÖINGE</t>
        </is>
      </c>
      <c r="G731" t="n">
        <v>0.6</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45914</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45914</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45914</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51318-2021</t>
        </is>
      </c>
      <c r="B735" s="1" t="n">
        <v>44461</v>
      </c>
      <c r="C735" s="1" t="n">
        <v>45914</v>
      </c>
      <c r="D735" t="inlineStr">
        <is>
          <t>SKÅNE LÄN</t>
        </is>
      </c>
      <c r="E735" t="inlineStr">
        <is>
          <t>KRISTIANSTAD</t>
        </is>
      </c>
      <c r="G735" t="n">
        <v>1.1</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45914</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45914</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45914</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56734-2020</t>
        </is>
      </c>
      <c r="B739" s="1" t="n">
        <v>44137</v>
      </c>
      <c r="C739" s="1" t="n">
        <v>45914</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45914</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45914</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45914</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45914</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45914</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45914</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45914</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45914</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45914</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45914</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45914</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48212-2020</t>
        </is>
      </c>
      <c r="B751" s="1" t="n">
        <v>44102</v>
      </c>
      <c r="C751" s="1" t="n">
        <v>45914</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45914</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45914</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45914</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45914</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45914</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52852-2020</t>
        </is>
      </c>
      <c r="B757" s="1" t="n">
        <v>44119</v>
      </c>
      <c r="C757" s="1" t="n">
        <v>45914</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45914</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45914</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45914</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55638-2020</t>
        </is>
      </c>
      <c r="B761" s="1" t="n">
        <v>44131</v>
      </c>
      <c r="C761" s="1" t="n">
        <v>45914</v>
      </c>
      <c r="D761" t="inlineStr">
        <is>
          <t>SKÅNE LÄN</t>
        </is>
      </c>
      <c r="E761" t="inlineStr">
        <is>
          <t>HÖÖR</t>
        </is>
      </c>
      <c r="G761" t="n">
        <v>1.5</v>
      </c>
      <c r="H761" t="n">
        <v>0</v>
      </c>
      <c r="I761" t="n">
        <v>0</v>
      </c>
      <c r="J761" t="n">
        <v>0</v>
      </c>
      <c r="K761" t="n">
        <v>0</v>
      </c>
      <c r="L761" t="n">
        <v>0</v>
      </c>
      <c r="M761" t="n">
        <v>0</v>
      </c>
      <c r="N761" t="n">
        <v>0</v>
      </c>
      <c r="O761" t="n">
        <v>0</v>
      </c>
      <c r="P761" t="n">
        <v>0</v>
      </c>
      <c r="Q761" t="n">
        <v>0</v>
      </c>
      <c r="R761" s="2" t="inlineStr"/>
    </row>
    <row r="762" ht="15" customHeight="1">
      <c r="A762" t="inlineStr">
        <is>
          <t>A 55639-2020</t>
        </is>
      </c>
      <c r="B762" s="1" t="n">
        <v>44131</v>
      </c>
      <c r="C762" s="1" t="n">
        <v>45914</v>
      </c>
      <c r="D762" t="inlineStr">
        <is>
          <t>SKÅNE LÄN</t>
        </is>
      </c>
      <c r="E762" t="inlineStr">
        <is>
          <t>HÖÖR</t>
        </is>
      </c>
      <c r="G762" t="n">
        <v>0.4</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45914</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37334-2021</t>
        </is>
      </c>
      <c r="B764" s="1" t="n">
        <v>44397.57800925926</v>
      </c>
      <c r="C764" s="1" t="n">
        <v>45914</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45914</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24384-2021</t>
        </is>
      </c>
      <c r="B766" s="1" t="n">
        <v>44337</v>
      </c>
      <c r="C766" s="1" t="n">
        <v>45914</v>
      </c>
      <c r="D766" t="inlineStr">
        <is>
          <t>SKÅNE LÄN</t>
        </is>
      </c>
      <c r="E766" t="inlineStr">
        <is>
          <t>ESLÖV</t>
        </is>
      </c>
      <c r="G766" t="n">
        <v>0.4</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45914</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45914</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45914</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45914</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32735-2021</t>
        </is>
      </c>
      <c r="B771" s="1" t="n">
        <v>44375</v>
      </c>
      <c r="C771" s="1" t="n">
        <v>45914</v>
      </c>
      <c r="D771" t="inlineStr">
        <is>
          <t>SKÅNE LÄN</t>
        </is>
      </c>
      <c r="E771" t="inlineStr">
        <is>
          <t>ÄNGELHOLM</t>
        </is>
      </c>
      <c r="G771" t="n">
        <v>2.3</v>
      </c>
      <c r="H771" t="n">
        <v>0</v>
      </c>
      <c r="I771" t="n">
        <v>0</v>
      </c>
      <c r="J771" t="n">
        <v>0</v>
      </c>
      <c r="K771" t="n">
        <v>0</v>
      </c>
      <c r="L771" t="n">
        <v>0</v>
      </c>
      <c r="M771" t="n">
        <v>0</v>
      </c>
      <c r="N771" t="n">
        <v>0</v>
      </c>
      <c r="O771" t="n">
        <v>0</v>
      </c>
      <c r="P771" t="n">
        <v>0</v>
      </c>
      <c r="Q771" t="n">
        <v>0</v>
      </c>
      <c r="R771" s="2" t="inlineStr"/>
    </row>
    <row r="772" ht="15" customHeight="1">
      <c r="A772" t="inlineStr">
        <is>
          <t>A 32792-2021</t>
        </is>
      </c>
      <c r="B772" s="1" t="n">
        <v>44375</v>
      </c>
      <c r="C772" s="1" t="n">
        <v>45914</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45914</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45914</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45914</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45914</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45914</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29710-2021</t>
        </is>
      </c>
      <c r="B778" s="1" t="n">
        <v>44362</v>
      </c>
      <c r="C778" s="1" t="n">
        <v>45914</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45914</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45914</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45914</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45914</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45914</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45914</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4161-2022</t>
        </is>
      </c>
      <c r="B785" s="1" t="n">
        <v>44588</v>
      </c>
      <c r="C785" s="1" t="n">
        <v>45914</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34679-2021</t>
        </is>
      </c>
      <c r="B786" s="1" t="n">
        <v>44382</v>
      </c>
      <c r="C786" s="1" t="n">
        <v>45914</v>
      </c>
      <c r="D786" t="inlineStr">
        <is>
          <t>SKÅNE LÄN</t>
        </is>
      </c>
      <c r="E786" t="inlineStr">
        <is>
          <t>HÄSSLEHOLM</t>
        </is>
      </c>
      <c r="F786" t="inlineStr">
        <is>
          <t>Övriga Aktiebolag</t>
        </is>
      </c>
      <c r="G786" t="n">
        <v>1</v>
      </c>
      <c r="H786" t="n">
        <v>0</v>
      </c>
      <c r="I786" t="n">
        <v>0</v>
      </c>
      <c r="J786" t="n">
        <v>0</v>
      </c>
      <c r="K786" t="n">
        <v>0</v>
      </c>
      <c r="L786" t="n">
        <v>0</v>
      </c>
      <c r="M786" t="n">
        <v>0</v>
      </c>
      <c r="N786" t="n">
        <v>0</v>
      </c>
      <c r="O786" t="n">
        <v>0</v>
      </c>
      <c r="P786" t="n">
        <v>0</v>
      </c>
      <c r="Q786" t="n">
        <v>0</v>
      </c>
      <c r="R786" s="2" t="inlineStr"/>
    </row>
    <row r="787" ht="15" customHeight="1">
      <c r="A787" t="inlineStr">
        <is>
          <t>A 1535-2022</t>
        </is>
      </c>
      <c r="B787" s="1" t="n">
        <v>44573</v>
      </c>
      <c r="C787" s="1" t="n">
        <v>45914</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45914</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45914</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21029-2021</t>
        </is>
      </c>
      <c r="B790" s="1" t="n">
        <v>44319.63366898148</v>
      </c>
      <c r="C790" s="1" t="n">
        <v>45914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45914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45914</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45914</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50474-2021</t>
        </is>
      </c>
      <c r="B794" s="1" t="n">
        <v>44459.55395833333</v>
      </c>
      <c r="C794" s="1" t="n">
        <v>45914</v>
      </c>
      <c r="D794" t="inlineStr">
        <is>
          <t>SKÅNE LÄN</t>
        </is>
      </c>
      <c r="E794" t="inlineStr">
        <is>
          <t>OSBY</t>
        </is>
      </c>
      <c r="G794" t="n">
        <v>1.6</v>
      </c>
      <c r="H794" t="n">
        <v>0</v>
      </c>
      <c r="I794" t="n">
        <v>0</v>
      </c>
      <c r="J794" t="n">
        <v>0</v>
      </c>
      <c r="K794" t="n">
        <v>0</v>
      </c>
      <c r="L794" t="n">
        <v>0</v>
      </c>
      <c r="M794" t="n">
        <v>0</v>
      </c>
      <c r="N794" t="n">
        <v>0</v>
      </c>
      <c r="O794" t="n">
        <v>0</v>
      </c>
      <c r="P794" t="n">
        <v>0</v>
      </c>
      <c r="Q794" t="n">
        <v>0</v>
      </c>
      <c r="R794" s="2" t="inlineStr"/>
    </row>
    <row r="795" ht="15" customHeight="1">
      <c r="A795" t="inlineStr">
        <is>
          <t>A 2063-2022</t>
        </is>
      </c>
      <c r="B795" s="1" t="n">
        <v>44575</v>
      </c>
      <c r="C795" s="1" t="n">
        <v>45914</v>
      </c>
      <c r="D795" t="inlineStr">
        <is>
          <t>SKÅNE LÄN</t>
        </is>
      </c>
      <c r="E795" t="inlineStr">
        <is>
          <t>ÖSTRA GÖINGE</t>
        </is>
      </c>
      <c r="G795" t="n">
        <v>1.5</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45914</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45914</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18514-2021</t>
        </is>
      </c>
      <c r="B798" s="1" t="n">
        <v>44305</v>
      </c>
      <c r="C798" s="1" t="n">
        <v>45914</v>
      </c>
      <c r="D798" t="inlineStr">
        <is>
          <t>SKÅNE LÄN</t>
        </is>
      </c>
      <c r="E798" t="inlineStr">
        <is>
          <t>PERSTORP</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18515-2021</t>
        </is>
      </c>
      <c r="B799" s="1" t="n">
        <v>44305</v>
      </c>
      <c r="C799" s="1" t="n">
        <v>45914</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66474-2020</t>
        </is>
      </c>
      <c r="B800" s="1" t="n">
        <v>44177</v>
      </c>
      <c r="C800" s="1" t="n">
        <v>45914</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45914</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45914</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45914</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45914</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25351-2022</t>
        </is>
      </c>
      <c r="B805" s="1" t="n">
        <v>44732</v>
      </c>
      <c r="C805" s="1" t="n">
        <v>45914</v>
      </c>
      <c r="D805" t="inlineStr">
        <is>
          <t>SKÅNE LÄN</t>
        </is>
      </c>
      <c r="E805" t="inlineStr">
        <is>
          <t>ÅSTORP</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45914</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45914</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54411-2021</t>
        </is>
      </c>
      <c r="B808" s="1" t="n">
        <v>44473</v>
      </c>
      <c r="C808" s="1" t="n">
        <v>45914</v>
      </c>
      <c r="D808" t="inlineStr">
        <is>
          <t>SKÅNE LÄN</t>
        </is>
      </c>
      <c r="E808" t="inlineStr">
        <is>
          <t>PERSTORP</t>
        </is>
      </c>
      <c r="G808" t="n">
        <v>4.3</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45914</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15423-2022</t>
        </is>
      </c>
      <c r="B810" s="1" t="n">
        <v>44659</v>
      </c>
      <c r="C810" s="1" t="n">
        <v>45914</v>
      </c>
      <c r="D810" t="inlineStr">
        <is>
          <t>SKÅNE LÄN</t>
        </is>
      </c>
      <c r="E810" t="inlineStr">
        <is>
          <t>HÄSSLEHOLM</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45914</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43655-2021</t>
        </is>
      </c>
      <c r="B812" s="1" t="n">
        <v>44433</v>
      </c>
      <c r="C812" s="1" t="n">
        <v>45914</v>
      </c>
      <c r="D812" t="inlineStr">
        <is>
          <t>SKÅNE LÄN</t>
        </is>
      </c>
      <c r="E812" t="inlineStr">
        <is>
          <t>KRISTIANSTAD</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9659-2021</t>
        </is>
      </c>
      <c r="B813" s="1" t="n">
        <v>44252</v>
      </c>
      <c r="C813" s="1" t="n">
        <v>45914</v>
      </c>
      <c r="D813" t="inlineStr">
        <is>
          <t>SKÅNE LÄN</t>
        </is>
      </c>
      <c r="E813" t="inlineStr">
        <is>
          <t>OSBY</t>
        </is>
      </c>
      <c r="G813" t="n">
        <v>0.7</v>
      </c>
      <c r="H813" t="n">
        <v>0</v>
      </c>
      <c r="I813" t="n">
        <v>0</v>
      </c>
      <c r="J813" t="n">
        <v>0</v>
      </c>
      <c r="K813" t="n">
        <v>0</v>
      </c>
      <c r="L813" t="n">
        <v>0</v>
      </c>
      <c r="M813" t="n">
        <v>0</v>
      </c>
      <c r="N813" t="n">
        <v>0</v>
      </c>
      <c r="O813" t="n">
        <v>0</v>
      </c>
      <c r="P813" t="n">
        <v>0</v>
      </c>
      <c r="Q813" t="n">
        <v>0</v>
      </c>
      <c r="R813" s="2" t="inlineStr"/>
    </row>
    <row r="814" ht="15" customHeight="1">
      <c r="A814" t="inlineStr">
        <is>
          <t>A 23362-2021</t>
        </is>
      </c>
      <c r="B814" s="1" t="n">
        <v>44333</v>
      </c>
      <c r="C814" s="1" t="n">
        <v>45914</v>
      </c>
      <c r="D814" t="inlineStr">
        <is>
          <t>SKÅNE LÄN</t>
        </is>
      </c>
      <c r="E814" t="inlineStr">
        <is>
          <t>LANDSKRONA</t>
        </is>
      </c>
      <c r="G814" t="n">
        <v>1.5</v>
      </c>
      <c r="H814" t="n">
        <v>0</v>
      </c>
      <c r="I814" t="n">
        <v>0</v>
      </c>
      <c r="J814" t="n">
        <v>0</v>
      </c>
      <c r="K814" t="n">
        <v>0</v>
      </c>
      <c r="L814" t="n">
        <v>0</v>
      </c>
      <c r="M814" t="n">
        <v>0</v>
      </c>
      <c r="N814" t="n">
        <v>0</v>
      </c>
      <c r="O814" t="n">
        <v>0</v>
      </c>
      <c r="P814" t="n">
        <v>0</v>
      </c>
      <c r="Q814" t="n">
        <v>0</v>
      </c>
      <c r="R814" s="2" t="inlineStr"/>
    </row>
    <row r="815" ht="15" customHeight="1">
      <c r="A815" t="inlineStr">
        <is>
          <t>A 11775-2022</t>
        </is>
      </c>
      <c r="B815" s="1" t="n">
        <v>44634.59737268519</v>
      </c>
      <c r="C815" s="1" t="n">
        <v>45914</v>
      </c>
      <c r="D815" t="inlineStr">
        <is>
          <t>SKÅNE LÄN</t>
        </is>
      </c>
      <c r="E815" t="inlineStr">
        <is>
          <t>ÄNGELHOLM</t>
        </is>
      </c>
      <c r="G815" t="n">
        <v>0.6</v>
      </c>
      <c r="H815" t="n">
        <v>0</v>
      </c>
      <c r="I815" t="n">
        <v>0</v>
      </c>
      <c r="J815" t="n">
        <v>0</v>
      </c>
      <c r="K815" t="n">
        <v>0</v>
      </c>
      <c r="L815" t="n">
        <v>0</v>
      </c>
      <c r="M815" t="n">
        <v>0</v>
      </c>
      <c r="N815" t="n">
        <v>0</v>
      </c>
      <c r="O815" t="n">
        <v>0</v>
      </c>
      <c r="P815" t="n">
        <v>0</v>
      </c>
      <c r="Q815" t="n">
        <v>0</v>
      </c>
      <c r="R815" s="2" t="inlineStr"/>
    </row>
    <row r="816" ht="15" customHeight="1">
      <c r="A816" t="inlineStr">
        <is>
          <t>A 52196-2021</t>
        </is>
      </c>
      <c r="B816" s="1" t="n">
        <v>44463</v>
      </c>
      <c r="C816" s="1" t="n">
        <v>45914</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50371-2020</t>
        </is>
      </c>
      <c r="B817" s="1" t="n">
        <v>44110.44322916667</v>
      </c>
      <c r="C817" s="1" t="n">
        <v>45914</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23003-2021</t>
        </is>
      </c>
      <c r="B818" s="1" t="n">
        <v>44328</v>
      </c>
      <c r="C818" s="1" t="n">
        <v>45914</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54516-2022</t>
        </is>
      </c>
      <c r="B819" s="1" t="n">
        <v>44880</v>
      </c>
      <c r="C819" s="1" t="n">
        <v>45914</v>
      </c>
      <c r="D819" t="inlineStr">
        <is>
          <t>SKÅNE LÄN</t>
        </is>
      </c>
      <c r="E819" t="inlineStr">
        <is>
          <t>KLIPPAN</t>
        </is>
      </c>
      <c r="G819" t="n">
        <v>1.1</v>
      </c>
      <c r="H819" t="n">
        <v>0</v>
      </c>
      <c r="I819" t="n">
        <v>0</v>
      </c>
      <c r="J819" t="n">
        <v>0</v>
      </c>
      <c r="K819" t="n">
        <v>0</v>
      </c>
      <c r="L819" t="n">
        <v>0</v>
      </c>
      <c r="M819" t="n">
        <v>0</v>
      </c>
      <c r="N819" t="n">
        <v>0</v>
      </c>
      <c r="O819" t="n">
        <v>0</v>
      </c>
      <c r="P819" t="n">
        <v>0</v>
      </c>
      <c r="Q819" t="n">
        <v>0</v>
      </c>
      <c r="R819" s="2" t="inlineStr"/>
    </row>
    <row r="820" ht="15" customHeight="1">
      <c r="A820" t="inlineStr">
        <is>
          <t>A 6253-2022</t>
        </is>
      </c>
      <c r="B820" s="1" t="n">
        <v>44600</v>
      </c>
      <c r="C820" s="1" t="n">
        <v>45914</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5091-2022</t>
        </is>
      </c>
      <c r="B821" s="1" t="n">
        <v>44593.85114583333</v>
      </c>
      <c r="C821" s="1" t="n">
        <v>45914</v>
      </c>
      <c r="D821" t="inlineStr">
        <is>
          <t>SKÅNE LÄN</t>
        </is>
      </c>
      <c r="E821" t="inlineStr">
        <is>
          <t>HÄSSLEHOLM</t>
        </is>
      </c>
      <c r="G821" t="n">
        <v>2.5</v>
      </c>
      <c r="H821" t="n">
        <v>0</v>
      </c>
      <c r="I821" t="n">
        <v>0</v>
      </c>
      <c r="J821" t="n">
        <v>0</v>
      </c>
      <c r="K821" t="n">
        <v>0</v>
      </c>
      <c r="L821" t="n">
        <v>0</v>
      </c>
      <c r="M821" t="n">
        <v>0</v>
      </c>
      <c r="N821" t="n">
        <v>0</v>
      </c>
      <c r="O821" t="n">
        <v>0</v>
      </c>
      <c r="P821" t="n">
        <v>0</v>
      </c>
      <c r="Q821" t="n">
        <v>0</v>
      </c>
      <c r="R821" s="2" t="inlineStr"/>
    </row>
    <row r="822" ht="15" customHeight="1">
      <c r="A822" t="inlineStr">
        <is>
          <t>A 31675-2021</t>
        </is>
      </c>
      <c r="B822" s="1" t="n">
        <v>44369</v>
      </c>
      <c r="C822" s="1" t="n">
        <v>45914</v>
      </c>
      <c r="D822" t="inlineStr">
        <is>
          <t>SKÅNE LÄN</t>
        </is>
      </c>
      <c r="E822" t="inlineStr">
        <is>
          <t>SJÖBO</t>
        </is>
      </c>
      <c r="G822" t="n">
        <v>0.4</v>
      </c>
      <c r="H822" t="n">
        <v>0</v>
      </c>
      <c r="I822" t="n">
        <v>0</v>
      </c>
      <c r="J822" t="n">
        <v>0</v>
      </c>
      <c r="K822" t="n">
        <v>0</v>
      </c>
      <c r="L822" t="n">
        <v>0</v>
      </c>
      <c r="M822" t="n">
        <v>0</v>
      </c>
      <c r="N822" t="n">
        <v>0</v>
      </c>
      <c r="O822" t="n">
        <v>0</v>
      </c>
      <c r="P822" t="n">
        <v>0</v>
      </c>
      <c r="Q822" t="n">
        <v>0</v>
      </c>
      <c r="R822" s="2" t="inlineStr"/>
    </row>
    <row r="823" ht="15" customHeight="1">
      <c r="A823" t="inlineStr">
        <is>
          <t>A 58509-2020</t>
        </is>
      </c>
      <c r="B823" s="1" t="n">
        <v>44144</v>
      </c>
      <c r="C823" s="1" t="n">
        <v>45914</v>
      </c>
      <c r="D823" t="inlineStr">
        <is>
          <t>SKÅNE LÄN</t>
        </is>
      </c>
      <c r="E823" t="inlineStr">
        <is>
          <t>HÄSSLEHOLM</t>
        </is>
      </c>
      <c r="G823" t="n">
        <v>8.5</v>
      </c>
      <c r="H823" t="n">
        <v>0</v>
      </c>
      <c r="I823" t="n">
        <v>0</v>
      </c>
      <c r="J823" t="n">
        <v>0</v>
      </c>
      <c r="K823" t="n">
        <v>0</v>
      </c>
      <c r="L823" t="n">
        <v>0</v>
      </c>
      <c r="M823" t="n">
        <v>0</v>
      </c>
      <c r="N823" t="n">
        <v>0</v>
      </c>
      <c r="O823" t="n">
        <v>0</v>
      </c>
      <c r="P823" t="n">
        <v>0</v>
      </c>
      <c r="Q823" t="n">
        <v>0</v>
      </c>
      <c r="R823" s="2" t="inlineStr"/>
    </row>
    <row r="824" ht="15" customHeight="1">
      <c r="A824" t="inlineStr">
        <is>
          <t>A 9180-2021</t>
        </is>
      </c>
      <c r="B824" s="1" t="n">
        <v>44250</v>
      </c>
      <c r="C824" s="1" t="n">
        <v>45914</v>
      </c>
      <c r="D824" t="inlineStr">
        <is>
          <t>SKÅNE LÄN</t>
        </is>
      </c>
      <c r="E824" t="inlineStr">
        <is>
          <t>TOMELILLA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57928-2020</t>
        </is>
      </c>
      <c r="B825" s="1" t="n">
        <v>44141</v>
      </c>
      <c r="C825" s="1" t="n">
        <v>45914</v>
      </c>
      <c r="D825" t="inlineStr">
        <is>
          <t>SKÅNE LÄN</t>
        </is>
      </c>
      <c r="E825" t="inlineStr">
        <is>
          <t>KRISTIANSTAD</t>
        </is>
      </c>
      <c r="G825" t="n">
        <v>1.6</v>
      </c>
      <c r="H825" t="n">
        <v>0</v>
      </c>
      <c r="I825" t="n">
        <v>0</v>
      </c>
      <c r="J825" t="n">
        <v>0</v>
      </c>
      <c r="K825" t="n">
        <v>0</v>
      </c>
      <c r="L825" t="n">
        <v>0</v>
      </c>
      <c r="M825" t="n">
        <v>0</v>
      </c>
      <c r="N825" t="n">
        <v>0</v>
      </c>
      <c r="O825" t="n">
        <v>0</v>
      </c>
      <c r="P825" t="n">
        <v>0</v>
      </c>
      <c r="Q825" t="n">
        <v>0</v>
      </c>
      <c r="R825" s="2" t="inlineStr"/>
    </row>
    <row r="826" ht="15" customHeight="1">
      <c r="A826" t="inlineStr">
        <is>
          <t>A 56989-2021</t>
        </is>
      </c>
      <c r="B826" s="1" t="n">
        <v>44482</v>
      </c>
      <c r="C826" s="1" t="n">
        <v>45914</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51120-2021</t>
        </is>
      </c>
      <c r="B827" s="1" t="n">
        <v>44461.42746527777</v>
      </c>
      <c r="C827" s="1" t="n">
        <v>45914</v>
      </c>
      <c r="D827" t="inlineStr">
        <is>
          <t>SKÅNE LÄN</t>
        </is>
      </c>
      <c r="E827" t="inlineStr">
        <is>
          <t>HÖÖR</t>
        </is>
      </c>
      <c r="G827" t="n">
        <v>1</v>
      </c>
      <c r="H827" t="n">
        <v>0</v>
      </c>
      <c r="I827" t="n">
        <v>0</v>
      </c>
      <c r="J827" t="n">
        <v>0</v>
      </c>
      <c r="K827" t="n">
        <v>0</v>
      </c>
      <c r="L827" t="n">
        <v>0</v>
      </c>
      <c r="M827" t="n">
        <v>0</v>
      </c>
      <c r="N827" t="n">
        <v>0</v>
      </c>
      <c r="O827" t="n">
        <v>0</v>
      </c>
      <c r="P827" t="n">
        <v>0</v>
      </c>
      <c r="Q827" t="n">
        <v>0</v>
      </c>
      <c r="R827" s="2" t="inlineStr"/>
    </row>
    <row r="828" ht="15" customHeight="1">
      <c r="A828" t="inlineStr">
        <is>
          <t>A 51159-2021</t>
        </is>
      </c>
      <c r="B828" s="1" t="n">
        <v>44461</v>
      </c>
      <c r="C828" s="1" t="n">
        <v>45914</v>
      </c>
      <c r="D828" t="inlineStr">
        <is>
          <t>SKÅNE LÄN</t>
        </is>
      </c>
      <c r="E828" t="inlineStr">
        <is>
          <t>HÄSSLEHOLM</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22947-2021</t>
        </is>
      </c>
      <c r="B829" s="1" t="n">
        <v>44327</v>
      </c>
      <c r="C829" s="1" t="n">
        <v>45914</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22958-2021</t>
        </is>
      </c>
      <c r="B830" s="1" t="n">
        <v>44328</v>
      </c>
      <c r="C830" s="1" t="n">
        <v>45914</v>
      </c>
      <c r="D830" t="inlineStr">
        <is>
          <t>SKÅNE LÄN</t>
        </is>
      </c>
      <c r="E830" t="inlineStr">
        <is>
          <t>KRISTIANSTAD</t>
        </is>
      </c>
      <c r="G830" t="n">
        <v>6.4</v>
      </c>
      <c r="H830" t="n">
        <v>0</v>
      </c>
      <c r="I830" t="n">
        <v>0</v>
      </c>
      <c r="J830" t="n">
        <v>0</v>
      </c>
      <c r="K830" t="n">
        <v>0</v>
      </c>
      <c r="L830" t="n">
        <v>0</v>
      </c>
      <c r="M830" t="n">
        <v>0</v>
      </c>
      <c r="N830" t="n">
        <v>0</v>
      </c>
      <c r="O830" t="n">
        <v>0</v>
      </c>
      <c r="P830" t="n">
        <v>0</v>
      </c>
      <c r="Q830" t="n">
        <v>0</v>
      </c>
      <c r="R830" s="2" t="inlineStr"/>
    </row>
    <row r="831" ht="15" customHeight="1">
      <c r="A831" t="inlineStr">
        <is>
          <t>A 61108-2020</t>
        </is>
      </c>
      <c r="B831" s="1" t="n">
        <v>44154</v>
      </c>
      <c r="C831" s="1" t="n">
        <v>45914</v>
      </c>
      <c r="D831" t="inlineStr">
        <is>
          <t>SKÅNE LÄN</t>
        </is>
      </c>
      <c r="E831" t="inlineStr">
        <is>
          <t>ÖRKELLJUNGA</t>
        </is>
      </c>
      <c r="G831" t="n">
        <v>1.9</v>
      </c>
      <c r="H831" t="n">
        <v>0</v>
      </c>
      <c r="I831" t="n">
        <v>0</v>
      </c>
      <c r="J831" t="n">
        <v>0</v>
      </c>
      <c r="K831" t="n">
        <v>0</v>
      </c>
      <c r="L831" t="n">
        <v>0</v>
      </c>
      <c r="M831" t="n">
        <v>0</v>
      </c>
      <c r="N831" t="n">
        <v>0</v>
      </c>
      <c r="O831" t="n">
        <v>0</v>
      </c>
      <c r="P831" t="n">
        <v>0</v>
      </c>
      <c r="Q831" t="n">
        <v>0</v>
      </c>
      <c r="R831" s="2" t="inlineStr"/>
    </row>
    <row r="832" ht="15" customHeight="1">
      <c r="A832" t="inlineStr">
        <is>
          <t>A 22504-2022</t>
        </is>
      </c>
      <c r="B832" s="1" t="n">
        <v>44713</v>
      </c>
      <c r="C832" s="1" t="n">
        <v>45914</v>
      </c>
      <c r="D832" t="inlineStr">
        <is>
          <t>SKÅNE LÄN</t>
        </is>
      </c>
      <c r="E832" t="inlineStr">
        <is>
          <t>KRISTIANSTAD</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25383-2021</t>
        </is>
      </c>
      <c r="B833" s="1" t="n">
        <v>44342</v>
      </c>
      <c r="C833" s="1" t="n">
        <v>45914</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17425-2022</t>
        </is>
      </c>
      <c r="B834" s="1" t="n">
        <v>44679.2472337963</v>
      </c>
      <c r="C834" s="1" t="n">
        <v>45914</v>
      </c>
      <c r="D834" t="inlineStr">
        <is>
          <t>SKÅNE LÄN</t>
        </is>
      </c>
      <c r="E834" t="inlineStr">
        <is>
          <t>KLIPPAN</t>
        </is>
      </c>
      <c r="G834" t="n">
        <v>5.1</v>
      </c>
      <c r="H834" t="n">
        <v>0</v>
      </c>
      <c r="I834" t="n">
        <v>0</v>
      </c>
      <c r="J834" t="n">
        <v>0</v>
      </c>
      <c r="K834" t="n">
        <v>0</v>
      </c>
      <c r="L834" t="n">
        <v>0</v>
      </c>
      <c r="M834" t="n">
        <v>0</v>
      </c>
      <c r="N834" t="n">
        <v>0</v>
      </c>
      <c r="O834" t="n">
        <v>0</v>
      </c>
      <c r="P834" t="n">
        <v>0</v>
      </c>
      <c r="Q834" t="n">
        <v>0</v>
      </c>
      <c r="R834" s="2" t="inlineStr"/>
    </row>
    <row r="835" ht="15" customHeight="1">
      <c r="A835" t="inlineStr">
        <is>
          <t>A 48220-2020</t>
        </is>
      </c>
      <c r="B835" s="1" t="n">
        <v>44102.45790509259</v>
      </c>
      <c r="C835" s="1" t="n">
        <v>45914</v>
      </c>
      <c r="D835" t="inlineStr">
        <is>
          <t>SKÅNE LÄN</t>
        </is>
      </c>
      <c r="E835" t="inlineStr">
        <is>
          <t>ÖSTRA GÖINGE</t>
        </is>
      </c>
      <c r="G835" t="n">
        <v>1.5</v>
      </c>
      <c r="H835" t="n">
        <v>0</v>
      </c>
      <c r="I835" t="n">
        <v>0</v>
      </c>
      <c r="J835" t="n">
        <v>0</v>
      </c>
      <c r="K835" t="n">
        <v>0</v>
      </c>
      <c r="L835" t="n">
        <v>0</v>
      </c>
      <c r="M835" t="n">
        <v>0</v>
      </c>
      <c r="N835" t="n">
        <v>0</v>
      </c>
      <c r="O835" t="n">
        <v>0</v>
      </c>
      <c r="P835" t="n">
        <v>0</v>
      </c>
      <c r="Q835" t="n">
        <v>0</v>
      </c>
      <c r="R835" s="2" t="inlineStr"/>
    </row>
    <row r="836" ht="15" customHeight="1">
      <c r="A836" t="inlineStr">
        <is>
          <t>A 60260-2021</t>
        </is>
      </c>
      <c r="B836" s="1" t="n">
        <v>44495</v>
      </c>
      <c r="C836" s="1" t="n">
        <v>45914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24227-2022</t>
        </is>
      </c>
      <c r="B837" s="1" t="n">
        <v>44725.64246527778</v>
      </c>
      <c r="C837" s="1" t="n">
        <v>45914</v>
      </c>
      <c r="D837" t="inlineStr">
        <is>
          <t>SKÅNE LÄN</t>
        </is>
      </c>
      <c r="E837" t="inlineStr">
        <is>
          <t>HELSINGBORG</t>
        </is>
      </c>
      <c r="G837" t="n">
        <v>1.7</v>
      </c>
      <c r="H837" t="n">
        <v>0</v>
      </c>
      <c r="I837" t="n">
        <v>0</v>
      </c>
      <c r="J837" t="n">
        <v>0</v>
      </c>
      <c r="K837" t="n">
        <v>0</v>
      </c>
      <c r="L837" t="n">
        <v>0</v>
      </c>
      <c r="M837" t="n">
        <v>0</v>
      </c>
      <c r="N837" t="n">
        <v>0</v>
      </c>
      <c r="O837" t="n">
        <v>0</v>
      </c>
      <c r="P837" t="n">
        <v>0</v>
      </c>
      <c r="Q837" t="n">
        <v>0</v>
      </c>
      <c r="R837" s="2" t="inlineStr"/>
    </row>
    <row r="838" ht="15" customHeight="1">
      <c r="A838" t="inlineStr">
        <is>
          <t>A 42497-2022</t>
        </is>
      </c>
      <c r="B838" s="1" t="n">
        <v>44831.56995370371</v>
      </c>
      <c r="C838" s="1" t="n">
        <v>45914</v>
      </c>
      <c r="D838" t="inlineStr">
        <is>
          <t>SKÅNE LÄN</t>
        </is>
      </c>
      <c r="E838" t="inlineStr">
        <is>
          <t>OSBY</t>
        </is>
      </c>
      <c r="G838" t="n">
        <v>1.8</v>
      </c>
      <c r="H838" t="n">
        <v>0</v>
      </c>
      <c r="I838" t="n">
        <v>0</v>
      </c>
      <c r="J838" t="n">
        <v>0</v>
      </c>
      <c r="K838" t="n">
        <v>0</v>
      </c>
      <c r="L838" t="n">
        <v>0</v>
      </c>
      <c r="M838" t="n">
        <v>0</v>
      </c>
      <c r="N838" t="n">
        <v>0</v>
      </c>
      <c r="O838" t="n">
        <v>0</v>
      </c>
      <c r="P838" t="n">
        <v>0</v>
      </c>
      <c r="Q838" t="n">
        <v>0</v>
      </c>
      <c r="R838" s="2" t="inlineStr"/>
    </row>
    <row r="839" ht="15" customHeight="1">
      <c r="A839" t="inlineStr">
        <is>
          <t>A 55572-2021</t>
        </is>
      </c>
      <c r="B839" s="1" t="n">
        <v>44475</v>
      </c>
      <c r="C839" s="1" t="n">
        <v>45914</v>
      </c>
      <c r="D839" t="inlineStr">
        <is>
          <t>SKÅNE LÄN</t>
        </is>
      </c>
      <c r="E839" t="inlineStr">
        <is>
          <t>OSBY</t>
        </is>
      </c>
      <c r="G839" t="n">
        <v>1.9</v>
      </c>
      <c r="H839" t="n">
        <v>0</v>
      </c>
      <c r="I839" t="n">
        <v>0</v>
      </c>
      <c r="J839" t="n">
        <v>0</v>
      </c>
      <c r="K839" t="n">
        <v>0</v>
      </c>
      <c r="L839" t="n">
        <v>0</v>
      </c>
      <c r="M839" t="n">
        <v>0</v>
      </c>
      <c r="N839" t="n">
        <v>0</v>
      </c>
      <c r="O839" t="n">
        <v>0</v>
      </c>
      <c r="P839" t="n">
        <v>0</v>
      </c>
      <c r="Q839" t="n">
        <v>0</v>
      </c>
      <c r="R839" s="2" t="inlineStr"/>
    </row>
    <row r="840" ht="15" customHeight="1">
      <c r="A840" t="inlineStr">
        <is>
          <t>A 27330-2021</t>
        </is>
      </c>
      <c r="B840" s="1" t="n">
        <v>44351</v>
      </c>
      <c r="C840" s="1" t="n">
        <v>45914</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12919-2022</t>
        </is>
      </c>
      <c r="B841" s="1" t="n">
        <v>44642</v>
      </c>
      <c r="C841" s="1" t="n">
        <v>45914</v>
      </c>
      <c r="D841" t="inlineStr">
        <is>
          <t>SKÅNE LÄN</t>
        </is>
      </c>
      <c r="E841" t="inlineStr">
        <is>
          <t>TOMELILLA</t>
        </is>
      </c>
      <c r="F841" t="inlineStr">
        <is>
          <t>Övriga Aktiebolag</t>
        </is>
      </c>
      <c r="G841" t="n">
        <v>3.2</v>
      </c>
      <c r="H841" t="n">
        <v>0</v>
      </c>
      <c r="I841" t="n">
        <v>0</v>
      </c>
      <c r="J841" t="n">
        <v>0</v>
      </c>
      <c r="K841" t="n">
        <v>0</v>
      </c>
      <c r="L841" t="n">
        <v>0</v>
      </c>
      <c r="M841" t="n">
        <v>0</v>
      </c>
      <c r="N841" t="n">
        <v>0</v>
      </c>
      <c r="O841" t="n">
        <v>0</v>
      </c>
      <c r="P841" t="n">
        <v>0</v>
      </c>
      <c r="Q841" t="n">
        <v>0</v>
      </c>
      <c r="R841" s="2" t="inlineStr"/>
    </row>
    <row r="842" ht="15" customHeight="1">
      <c r="A842" t="inlineStr">
        <is>
          <t>A 2472-2022</t>
        </is>
      </c>
      <c r="B842" s="1" t="n">
        <v>44579</v>
      </c>
      <c r="C842" s="1" t="n">
        <v>45914</v>
      </c>
      <c r="D842" t="inlineStr">
        <is>
          <t>SKÅNE LÄN</t>
        </is>
      </c>
      <c r="E842" t="inlineStr">
        <is>
          <t>KRISTIANSTAD</t>
        </is>
      </c>
      <c r="G842" t="n">
        <v>0.7</v>
      </c>
      <c r="H842" t="n">
        <v>0</v>
      </c>
      <c r="I842" t="n">
        <v>0</v>
      </c>
      <c r="J842" t="n">
        <v>0</v>
      </c>
      <c r="K842" t="n">
        <v>0</v>
      </c>
      <c r="L842" t="n">
        <v>0</v>
      </c>
      <c r="M842" t="n">
        <v>0</v>
      </c>
      <c r="N842" t="n">
        <v>0</v>
      </c>
      <c r="O842" t="n">
        <v>0</v>
      </c>
      <c r="P842" t="n">
        <v>0</v>
      </c>
      <c r="Q842" t="n">
        <v>0</v>
      </c>
      <c r="R842" s="2" t="inlineStr"/>
    </row>
    <row r="843" ht="15" customHeight="1">
      <c r="A843" t="inlineStr">
        <is>
          <t>A 60206-2020</t>
        </is>
      </c>
      <c r="B843" s="1" t="n">
        <v>44152</v>
      </c>
      <c r="C843" s="1" t="n">
        <v>45914</v>
      </c>
      <c r="D843" t="inlineStr">
        <is>
          <t>SKÅNE LÄN</t>
        </is>
      </c>
      <c r="E843" t="inlineStr">
        <is>
          <t>ÖSTRA GÖINGE</t>
        </is>
      </c>
      <c r="G843" t="n">
        <v>6.3</v>
      </c>
      <c r="H843" t="n">
        <v>0</v>
      </c>
      <c r="I843" t="n">
        <v>0</v>
      </c>
      <c r="J843" t="n">
        <v>0</v>
      </c>
      <c r="K843" t="n">
        <v>0</v>
      </c>
      <c r="L843" t="n">
        <v>0</v>
      </c>
      <c r="M843" t="n">
        <v>0</v>
      </c>
      <c r="N843" t="n">
        <v>0</v>
      </c>
      <c r="O843" t="n">
        <v>0</v>
      </c>
      <c r="P843" t="n">
        <v>0</v>
      </c>
      <c r="Q843" t="n">
        <v>0</v>
      </c>
      <c r="R843" s="2" t="inlineStr"/>
    </row>
    <row r="844" ht="15" customHeight="1">
      <c r="A844" t="inlineStr">
        <is>
          <t>A 37073-2022</t>
        </is>
      </c>
      <c r="B844" s="1" t="n">
        <v>44806.48979166667</v>
      </c>
      <c r="C844" s="1" t="n">
        <v>45914</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15986-2022</t>
        </is>
      </c>
      <c r="B845" s="1" t="n">
        <v>44664</v>
      </c>
      <c r="C845" s="1" t="n">
        <v>45914</v>
      </c>
      <c r="D845" t="inlineStr">
        <is>
          <t>SKÅNE LÄN</t>
        </is>
      </c>
      <c r="E845" t="inlineStr">
        <is>
          <t>HÄSSLEHOLM</t>
        </is>
      </c>
      <c r="F845" t="inlineStr">
        <is>
          <t>Kyrkan</t>
        </is>
      </c>
      <c r="G845" t="n">
        <v>6</v>
      </c>
      <c r="H845" t="n">
        <v>0</v>
      </c>
      <c r="I845" t="n">
        <v>0</v>
      </c>
      <c r="J845" t="n">
        <v>0</v>
      </c>
      <c r="K845" t="n">
        <v>0</v>
      </c>
      <c r="L845" t="n">
        <v>0</v>
      </c>
      <c r="M845" t="n">
        <v>0</v>
      </c>
      <c r="N845" t="n">
        <v>0</v>
      </c>
      <c r="O845" t="n">
        <v>0</v>
      </c>
      <c r="P845" t="n">
        <v>0</v>
      </c>
      <c r="Q845" t="n">
        <v>0</v>
      </c>
      <c r="R845" s="2" t="inlineStr"/>
    </row>
    <row r="846" ht="15" customHeight="1">
      <c r="A846" t="inlineStr">
        <is>
          <t>A 52832-2021</t>
        </is>
      </c>
      <c r="B846" s="1" t="n">
        <v>44466</v>
      </c>
      <c r="C846" s="1" t="n">
        <v>45914</v>
      </c>
      <c r="D846" t="inlineStr">
        <is>
          <t>SKÅNE LÄN</t>
        </is>
      </c>
      <c r="E846" t="inlineStr">
        <is>
          <t>HÖRBY</t>
        </is>
      </c>
      <c r="G846" t="n">
        <v>1.2</v>
      </c>
      <c r="H846" t="n">
        <v>0</v>
      </c>
      <c r="I846" t="n">
        <v>0</v>
      </c>
      <c r="J846" t="n">
        <v>0</v>
      </c>
      <c r="K846" t="n">
        <v>0</v>
      </c>
      <c r="L846" t="n">
        <v>0</v>
      </c>
      <c r="M846" t="n">
        <v>0</v>
      </c>
      <c r="N846" t="n">
        <v>0</v>
      </c>
      <c r="O846" t="n">
        <v>0</v>
      </c>
      <c r="P846" t="n">
        <v>0</v>
      </c>
      <c r="Q846" t="n">
        <v>0</v>
      </c>
      <c r="R846" s="2" t="inlineStr"/>
    </row>
    <row r="847" ht="15" customHeight="1">
      <c r="A847" t="inlineStr">
        <is>
          <t>A 35300-2021</t>
        </is>
      </c>
      <c r="B847" s="1" t="n">
        <v>44384</v>
      </c>
      <c r="C847" s="1" t="n">
        <v>45914</v>
      </c>
      <c r="D847" t="inlineStr">
        <is>
          <t>SKÅNE LÄN</t>
        </is>
      </c>
      <c r="E847" t="inlineStr">
        <is>
          <t>KRISTIANSTAD</t>
        </is>
      </c>
      <c r="F847" t="inlineStr">
        <is>
          <t>Kyrkan</t>
        </is>
      </c>
      <c r="G847" t="n">
        <v>2.3</v>
      </c>
      <c r="H847" t="n">
        <v>0</v>
      </c>
      <c r="I847" t="n">
        <v>0</v>
      </c>
      <c r="J847" t="n">
        <v>0</v>
      </c>
      <c r="K847" t="n">
        <v>0</v>
      </c>
      <c r="L847" t="n">
        <v>0</v>
      </c>
      <c r="M847" t="n">
        <v>0</v>
      </c>
      <c r="N847" t="n">
        <v>0</v>
      </c>
      <c r="O847" t="n">
        <v>0</v>
      </c>
      <c r="P847" t="n">
        <v>0</v>
      </c>
      <c r="Q847" t="n">
        <v>0</v>
      </c>
      <c r="R847" s="2" t="inlineStr"/>
    </row>
    <row r="848" ht="15" customHeight="1">
      <c r="A848" t="inlineStr">
        <is>
          <t>A 65642-2021</t>
        </is>
      </c>
      <c r="B848" s="1" t="n">
        <v>44516</v>
      </c>
      <c r="C848" s="1" t="n">
        <v>45914</v>
      </c>
      <c r="D848" t="inlineStr">
        <is>
          <t>SKÅNE LÄN</t>
        </is>
      </c>
      <c r="E848" t="inlineStr">
        <is>
          <t>TRELLEBORG</t>
        </is>
      </c>
      <c r="G848" t="n">
        <v>0.2</v>
      </c>
      <c r="H848" t="n">
        <v>0</v>
      </c>
      <c r="I848" t="n">
        <v>0</v>
      </c>
      <c r="J848" t="n">
        <v>0</v>
      </c>
      <c r="K848" t="n">
        <v>0</v>
      </c>
      <c r="L848" t="n">
        <v>0</v>
      </c>
      <c r="M848" t="n">
        <v>0</v>
      </c>
      <c r="N848" t="n">
        <v>0</v>
      </c>
      <c r="O848" t="n">
        <v>0</v>
      </c>
      <c r="P848" t="n">
        <v>0</v>
      </c>
      <c r="Q848" t="n">
        <v>0</v>
      </c>
      <c r="R848" s="2" t="inlineStr"/>
    </row>
    <row r="849" ht="15" customHeight="1">
      <c r="A849" t="inlineStr">
        <is>
          <t>A 18616-2021</t>
        </is>
      </c>
      <c r="B849" s="1" t="n">
        <v>44306</v>
      </c>
      <c r="C849" s="1" t="n">
        <v>45914</v>
      </c>
      <c r="D849" t="inlineStr">
        <is>
          <t>SKÅNE LÄN</t>
        </is>
      </c>
      <c r="E849" t="inlineStr">
        <is>
          <t>PERSTORP</t>
        </is>
      </c>
      <c r="F849" t="inlineStr">
        <is>
          <t>Övriga Aktiebolag</t>
        </is>
      </c>
      <c r="G849" t="n">
        <v>3.4</v>
      </c>
      <c r="H849" t="n">
        <v>0</v>
      </c>
      <c r="I849" t="n">
        <v>0</v>
      </c>
      <c r="J849" t="n">
        <v>0</v>
      </c>
      <c r="K849" t="n">
        <v>0</v>
      </c>
      <c r="L849" t="n">
        <v>0</v>
      </c>
      <c r="M849" t="n">
        <v>0</v>
      </c>
      <c r="N849" t="n">
        <v>0</v>
      </c>
      <c r="O849" t="n">
        <v>0</v>
      </c>
      <c r="P849" t="n">
        <v>0</v>
      </c>
      <c r="Q849" t="n">
        <v>0</v>
      </c>
      <c r="R849" s="2" t="inlineStr"/>
    </row>
    <row r="850" ht="15" customHeight="1">
      <c r="A850" t="inlineStr">
        <is>
          <t>A 26928-2021</t>
        </is>
      </c>
      <c r="B850" s="1" t="n">
        <v>44349.71498842593</v>
      </c>
      <c r="C850" s="1" t="n">
        <v>45914</v>
      </c>
      <c r="D850" t="inlineStr">
        <is>
          <t>SKÅNE LÄN</t>
        </is>
      </c>
      <c r="E850" t="inlineStr">
        <is>
          <t>OSBY</t>
        </is>
      </c>
      <c r="G850" t="n">
        <v>1</v>
      </c>
      <c r="H850" t="n">
        <v>0</v>
      </c>
      <c r="I850" t="n">
        <v>0</v>
      </c>
      <c r="J850" t="n">
        <v>0</v>
      </c>
      <c r="K850" t="n">
        <v>0</v>
      </c>
      <c r="L850" t="n">
        <v>0</v>
      </c>
      <c r="M850" t="n">
        <v>0</v>
      </c>
      <c r="N850" t="n">
        <v>0</v>
      </c>
      <c r="O850" t="n">
        <v>0</v>
      </c>
      <c r="P850" t="n">
        <v>0</v>
      </c>
      <c r="Q850" t="n">
        <v>0</v>
      </c>
      <c r="R850" s="2" t="inlineStr"/>
    </row>
    <row r="851" ht="15" customHeight="1">
      <c r="A851" t="inlineStr">
        <is>
          <t>A 18322-2022</t>
        </is>
      </c>
      <c r="B851" s="1" t="n">
        <v>44685</v>
      </c>
      <c r="C851" s="1" t="n">
        <v>45914</v>
      </c>
      <c r="D851" t="inlineStr">
        <is>
          <t>SKÅNE LÄN</t>
        </is>
      </c>
      <c r="E851" t="inlineStr">
        <is>
          <t>KRISTIANSTAD</t>
        </is>
      </c>
      <c r="G851" t="n">
        <v>0.6</v>
      </c>
      <c r="H851" t="n">
        <v>0</v>
      </c>
      <c r="I851" t="n">
        <v>0</v>
      </c>
      <c r="J851" t="n">
        <v>0</v>
      </c>
      <c r="K851" t="n">
        <v>0</v>
      </c>
      <c r="L851" t="n">
        <v>0</v>
      </c>
      <c r="M851" t="n">
        <v>0</v>
      </c>
      <c r="N851" t="n">
        <v>0</v>
      </c>
      <c r="O851" t="n">
        <v>0</v>
      </c>
      <c r="P851" t="n">
        <v>0</v>
      </c>
      <c r="Q851" t="n">
        <v>0</v>
      </c>
      <c r="R851" s="2" t="inlineStr"/>
    </row>
    <row r="852" ht="15" customHeight="1">
      <c r="A852" t="inlineStr">
        <is>
          <t>A 40328-2021</t>
        </is>
      </c>
      <c r="B852" s="1" t="n">
        <v>44419</v>
      </c>
      <c r="C852" s="1" t="n">
        <v>45914</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51888-2021</t>
        </is>
      </c>
      <c r="B853" s="1" t="n">
        <v>44462</v>
      </c>
      <c r="C853" s="1" t="n">
        <v>45914</v>
      </c>
      <c r="D853" t="inlineStr">
        <is>
          <t>SKÅNE LÄN</t>
        </is>
      </c>
      <c r="E853" t="inlineStr">
        <is>
          <t>HÄSSLEHOLM</t>
        </is>
      </c>
      <c r="G853" t="n">
        <v>5.6</v>
      </c>
      <c r="H853" t="n">
        <v>0</v>
      </c>
      <c r="I853" t="n">
        <v>0</v>
      </c>
      <c r="J853" t="n">
        <v>0</v>
      </c>
      <c r="K853" t="n">
        <v>0</v>
      </c>
      <c r="L853" t="n">
        <v>0</v>
      </c>
      <c r="M853" t="n">
        <v>0</v>
      </c>
      <c r="N853" t="n">
        <v>0</v>
      </c>
      <c r="O853" t="n">
        <v>0</v>
      </c>
      <c r="P853" t="n">
        <v>0</v>
      </c>
      <c r="Q853" t="n">
        <v>0</v>
      </c>
      <c r="R853" s="2" t="inlineStr"/>
    </row>
    <row r="854" ht="15" customHeight="1">
      <c r="A854" t="inlineStr">
        <is>
          <t>A 35290-2021</t>
        </is>
      </c>
      <c r="B854" s="1" t="n">
        <v>44384.66334490741</v>
      </c>
      <c r="C854" s="1" t="n">
        <v>45914</v>
      </c>
      <c r="D854" t="inlineStr">
        <is>
          <t>SKÅNE LÄN</t>
        </is>
      </c>
      <c r="E854" t="inlineStr">
        <is>
          <t>OSBY</t>
        </is>
      </c>
      <c r="G854" t="n">
        <v>1</v>
      </c>
      <c r="H854" t="n">
        <v>0</v>
      </c>
      <c r="I854" t="n">
        <v>0</v>
      </c>
      <c r="J854" t="n">
        <v>0</v>
      </c>
      <c r="K854" t="n">
        <v>0</v>
      </c>
      <c r="L854" t="n">
        <v>0</v>
      </c>
      <c r="M854" t="n">
        <v>0</v>
      </c>
      <c r="N854" t="n">
        <v>0</v>
      </c>
      <c r="O854" t="n">
        <v>0</v>
      </c>
      <c r="P854" t="n">
        <v>0</v>
      </c>
      <c r="Q854" t="n">
        <v>0</v>
      </c>
      <c r="R854" s="2" t="inlineStr"/>
    </row>
    <row r="855" ht="15" customHeight="1">
      <c r="A855" t="inlineStr">
        <is>
          <t>A 52786-2021</t>
        </is>
      </c>
      <c r="B855" s="1" t="n">
        <v>44467.36061342592</v>
      </c>
      <c r="C855" s="1" t="n">
        <v>45914</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54305-2021</t>
        </is>
      </c>
      <c r="B856" s="1" t="n">
        <v>44472.45936342593</v>
      </c>
      <c r="C856" s="1" t="n">
        <v>45914</v>
      </c>
      <c r="D856" t="inlineStr">
        <is>
          <t>SKÅNE LÄN</t>
        </is>
      </c>
      <c r="E856" t="inlineStr">
        <is>
          <t>PERSTORP</t>
        </is>
      </c>
      <c r="G856" t="n">
        <v>2</v>
      </c>
      <c r="H856" t="n">
        <v>0</v>
      </c>
      <c r="I856" t="n">
        <v>0</v>
      </c>
      <c r="J856" t="n">
        <v>0</v>
      </c>
      <c r="K856" t="n">
        <v>0</v>
      </c>
      <c r="L856" t="n">
        <v>0</v>
      </c>
      <c r="M856" t="n">
        <v>0</v>
      </c>
      <c r="N856" t="n">
        <v>0</v>
      </c>
      <c r="O856" t="n">
        <v>0</v>
      </c>
      <c r="P856" t="n">
        <v>0</v>
      </c>
      <c r="Q856" t="n">
        <v>0</v>
      </c>
      <c r="R856" s="2" t="inlineStr"/>
    </row>
    <row r="857" ht="15" customHeight="1">
      <c r="A857" t="inlineStr">
        <is>
          <t>A 35133-2021</t>
        </is>
      </c>
      <c r="B857" s="1" t="n">
        <v>44384</v>
      </c>
      <c r="C857" s="1" t="n">
        <v>45914</v>
      </c>
      <c r="D857" t="inlineStr">
        <is>
          <t>SKÅNE LÄN</t>
        </is>
      </c>
      <c r="E857" t="inlineStr">
        <is>
          <t>TOMELILLA</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59302-2020</t>
        </is>
      </c>
      <c r="B858" s="1" t="n">
        <v>44147</v>
      </c>
      <c r="C858" s="1" t="n">
        <v>45914</v>
      </c>
      <c r="D858" t="inlineStr">
        <is>
          <t>SKÅNE LÄN</t>
        </is>
      </c>
      <c r="E858" t="inlineStr">
        <is>
          <t>HÄSSLEHOLM</t>
        </is>
      </c>
      <c r="G858" t="n">
        <v>11.2</v>
      </c>
      <c r="H858" t="n">
        <v>0</v>
      </c>
      <c r="I858" t="n">
        <v>0</v>
      </c>
      <c r="J858" t="n">
        <v>0</v>
      </c>
      <c r="K858" t="n">
        <v>0</v>
      </c>
      <c r="L858" t="n">
        <v>0</v>
      </c>
      <c r="M858" t="n">
        <v>0</v>
      </c>
      <c r="N858" t="n">
        <v>0</v>
      </c>
      <c r="O858" t="n">
        <v>0</v>
      </c>
      <c r="P858" t="n">
        <v>0</v>
      </c>
      <c r="Q858" t="n">
        <v>0</v>
      </c>
      <c r="R858" s="2" t="inlineStr"/>
    </row>
    <row r="859" ht="15" customHeight="1">
      <c r="A859" t="inlineStr">
        <is>
          <t>A 23190-2021</t>
        </is>
      </c>
      <c r="B859" s="1" t="n">
        <v>44333.34033564815</v>
      </c>
      <c r="C859" s="1" t="n">
        <v>45914</v>
      </c>
      <c r="D859" t="inlineStr">
        <is>
          <t>SKÅNE LÄN</t>
        </is>
      </c>
      <c r="E859" t="inlineStr">
        <is>
          <t>KLIPPAN</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62347-2020</t>
        </is>
      </c>
      <c r="B860" s="1" t="n">
        <v>44159</v>
      </c>
      <c r="C860" s="1" t="n">
        <v>45914</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25850-2022</t>
        </is>
      </c>
      <c r="B861" s="1" t="n">
        <v>44733.60949074074</v>
      </c>
      <c r="C861" s="1" t="n">
        <v>45914</v>
      </c>
      <c r="D861" t="inlineStr">
        <is>
          <t>SKÅNE LÄN</t>
        </is>
      </c>
      <c r="E861" t="inlineStr">
        <is>
          <t>HÖRBY</t>
        </is>
      </c>
      <c r="G861" t="n">
        <v>0.8</v>
      </c>
      <c r="H861" t="n">
        <v>0</v>
      </c>
      <c r="I861" t="n">
        <v>0</v>
      </c>
      <c r="J861" t="n">
        <v>0</v>
      </c>
      <c r="K861" t="n">
        <v>0</v>
      </c>
      <c r="L861" t="n">
        <v>0</v>
      </c>
      <c r="M861" t="n">
        <v>0</v>
      </c>
      <c r="N861" t="n">
        <v>0</v>
      </c>
      <c r="O861" t="n">
        <v>0</v>
      </c>
      <c r="P861" t="n">
        <v>0</v>
      </c>
      <c r="Q861" t="n">
        <v>0</v>
      </c>
      <c r="R861" s="2" t="inlineStr"/>
    </row>
    <row r="862" ht="15" customHeight="1">
      <c r="A862" t="inlineStr">
        <is>
          <t>A 5779-2022</t>
        </is>
      </c>
      <c r="B862" s="1" t="n">
        <v>44596</v>
      </c>
      <c r="C862" s="1" t="n">
        <v>45914</v>
      </c>
      <c r="D862" t="inlineStr">
        <is>
          <t>SKÅNE LÄN</t>
        </is>
      </c>
      <c r="E862" t="inlineStr">
        <is>
          <t>BROMÖLLA</t>
        </is>
      </c>
      <c r="G862" t="n">
        <v>0.8</v>
      </c>
      <c r="H862" t="n">
        <v>0</v>
      </c>
      <c r="I862" t="n">
        <v>0</v>
      </c>
      <c r="J862" t="n">
        <v>0</v>
      </c>
      <c r="K862" t="n">
        <v>0</v>
      </c>
      <c r="L862" t="n">
        <v>0</v>
      </c>
      <c r="M862" t="n">
        <v>0</v>
      </c>
      <c r="N862" t="n">
        <v>0</v>
      </c>
      <c r="O862" t="n">
        <v>0</v>
      </c>
      <c r="P862" t="n">
        <v>0</v>
      </c>
      <c r="Q862" t="n">
        <v>0</v>
      </c>
      <c r="R862" s="2" t="inlineStr"/>
    </row>
    <row r="863" ht="15" customHeight="1">
      <c r="A863" t="inlineStr">
        <is>
          <t>A 30863-2022</t>
        </is>
      </c>
      <c r="B863" s="1" t="n">
        <v>44767.50349537037</v>
      </c>
      <c r="C863" s="1" t="n">
        <v>45914</v>
      </c>
      <c r="D863" t="inlineStr">
        <is>
          <t>SKÅNE LÄN</t>
        </is>
      </c>
      <c r="E863" t="inlineStr">
        <is>
          <t>KRISTIANSTAD</t>
        </is>
      </c>
      <c r="G863" t="n">
        <v>0.5</v>
      </c>
      <c r="H863" t="n">
        <v>0</v>
      </c>
      <c r="I863" t="n">
        <v>0</v>
      </c>
      <c r="J863" t="n">
        <v>0</v>
      </c>
      <c r="K863" t="n">
        <v>0</v>
      </c>
      <c r="L863" t="n">
        <v>0</v>
      </c>
      <c r="M863" t="n">
        <v>0</v>
      </c>
      <c r="N863" t="n">
        <v>0</v>
      </c>
      <c r="O863" t="n">
        <v>0</v>
      </c>
      <c r="P863" t="n">
        <v>0</v>
      </c>
      <c r="Q863" t="n">
        <v>0</v>
      </c>
      <c r="R863" s="2" t="inlineStr"/>
    </row>
    <row r="864" ht="15" customHeight="1">
      <c r="A864" t="inlineStr">
        <is>
          <t>A 33917-2021</t>
        </is>
      </c>
      <c r="B864" s="1" t="n">
        <v>44378</v>
      </c>
      <c r="C864" s="1" t="n">
        <v>45914</v>
      </c>
      <c r="D864" t="inlineStr">
        <is>
          <t>SKÅNE LÄN</t>
        </is>
      </c>
      <c r="E864" t="inlineStr">
        <is>
          <t>ÖSTRA GÖINGE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29143-2021</t>
        </is>
      </c>
      <c r="B865" s="1" t="n">
        <v>44358.6319212963</v>
      </c>
      <c r="C865" s="1" t="n">
        <v>45914</v>
      </c>
      <c r="D865" t="inlineStr">
        <is>
          <t>SKÅNE LÄN</t>
        </is>
      </c>
      <c r="E865" t="inlineStr">
        <is>
          <t>HÄSSLEHOLM</t>
        </is>
      </c>
      <c r="G865" t="n">
        <v>2.9</v>
      </c>
      <c r="H865" t="n">
        <v>0</v>
      </c>
      <c r="I865" t="n">
        <v>0</v>
      </c>
      <c r="J865" t="n">
        <v>0</v>
      </c>
      <c r="K865" t="n">
        <v>0</v>
      </c>
      <c r="L865" t="n">
        <v>0</v>
      </c>
      <c r="M865" t="n">
        <v>0</v>
      </c>
      <c r="N865" t="n">
        <v>0</v>
      </c>
      <c r="O865" t="n">
        <v>0</v>
      </c>
      <c r="P865" t="n">
        <v>0</v>
      </c>
      <c r="Q865" t="n">
        <v>0</v>
      </c>
      <c r="R865" s="2" t="inlineStr"/>
    </row>
    <row r="866" ht="15" customHeight="1">
      <c r="A866" t="inlineStr">
        <is>
          <t>A 47717-2022</t>
        </is>
      </c>
      <c r="B866" s="1" t="n">
        <v>44854.6058449074</v>
      </c>
      <c r="C866" s="1" t="n">
        <v>45914</v>
      </c>
      <c r="D866" t="inlineStr">
        <is>
          <t>SKÅNE LÄN</t>
        </is>
      </c>
      <c r="E866" t="inlineStr">
        <is>
          <t>SVALÖV</t>
        </is>
      </c>
      <c r="G866" t="n">
        <v>0.6</v>
      </c>
      <c r="H866" t="n">
        <v>0</v>
      </c>
      <c r="I866" t="n">
        <v>0</v>
      </c>
      <c r="J866" t="n">
        <v>0</v>
      </c>
      <c r="K866" t="n">
        <v>0</v>
      </c>
      <c r="L866" t="n">
        <v>0</v>
      </c>
      <c r="M866" t="n">
        <v>0</v>
      </c>
      <c r="N866" t="n">
        <v>0</v>
      </c>
      <c r="O866" t="n">
        <v>0</v>
      </c>
      <c r="P866" t="n">
        <v>0</v>
      </c>
      <c r="Q866" t="n">
        <v>0</v>
      </c>
      <c r="R866" s="2" t="inlineStr"/>
    </row>
    <row r="867" ht="15" customHeight="1">
      <c r="A867" t="inlineStr">
        <is>
          <t>A 17006-2021</t>
        </is>
      </c>
      <c r="B867" s="1" t="n">
        <v>44295</v>
      </c>
      <c r="C867" s="1" t="n">
        <v>45914</v>
      </c>
      <c r="D867" t="inlineStr">
        <is>
          <t>SKÅNE LÄN</t>
        </is>
      </c>
      <c r="E867" t="inlineStr">
        <is>
          <t>SVALÖV</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46107-2021</t>
        </is>
      </c>
      <c r="B868" s="1" t="n">
        <v>44442.36733796296</v>
      </c>
      <c r="C868" s="1" t="n">
        <v>45914</v>
      </c>
      <c r="D868" t="inlineStr">
        <is>
          <t>SKÅNE LÄN</t>
        </is>
      </c>
      <c r="E868" t="inlineStr">
        <is>
          <t>HÖÖR</t>
        </is>
      </c>
      <c r="G868" t="n">
        <v>1.1</v>
      </c>
      <c r="H868" t="n">
        <v>0</v>
      </c>
      <c r="I868" t="n">
        <v>0</v>
      </c>
      <c r="J868" t="n">
        <v>0</v>
      </c>
      <c r="K868" t="n">
        <v>0</v>
      </c>
      <c r="L868" t="n">
        <v>0</v>
      </c>
      <c r="M868" t="n">
        <v>0</v>
      </c>
      <c r="N868" t="n">
        <v>0</v>
      </c>
      <c r="O868" t="n">
        <v>0</v>
      </c>
      <c r="P868" t="n">
        <v>0</v>
      </c>
      <c r="Q868" t="n">
        <v>0</v>
      </c>
      <c r="R868" s="2" t="inlineStr"/>
    </row>
    <row r="869" ht="15" customHeight="1">
      <c r="A869" t="inlineStr">
        <is>
          <t>A 27107-2022</t>
        </is>
      </c>
      <c r="B869" s="1" t="n">
        <v>44741</v>
      </c>
      <c r="C869" s="1" t="n">
        <v>45914</v>
      </c>
      <c r="D869" t="inlineStr">
        <is>
          <t>SKÅNE LÄN</t>
        </is>
      </c>
      <c r="E869" t="inlineStr">
        <is>
          <t>SVEDALA</t>
        </is>
      </c>
      <c r="G869" t="n">
        <v>10</v>
      </c>
      <c r="H869" t="n">
        <v>0</v>
      </c>
      <c r="I869" t="n">
        <v>0</v>
      </c>
      <c r="J869" t="n">
        <v>0</v>
      </c>
      <c r="K869" t="n">
        <v>0</v>
      </c>
      <c r="L869" t="n">
        <v>0</v>
      </c>
      <c r="M869" t="n">
        <v>0</v>
      </c>
      <c r="N869" t="n">
        <v>0</v>
      </c>
      <c r="O869" t="n">
        <v>0</v>
      </c>
      <c r="P869" t="n">
        <v>0</v>
      </c>
      <c r="Q869" t="n">
        <v>0</v>
      </c>
      <c r="R869" s="2" t="inlineStr"/>
    </row>
    <row r="870" ht="15" customHeight="1">
      <c r="A870" t="inlineStr">
        <is>
          <t>A 27112-2022</t>
        </is>
      </c>
      <c r="B870" s="1" t="n">
        <v>44741</v>
      </c>
      <c r="C870" s="1" t="n">
        <v>45914</v>
      </c>
      <c r="D870" t="inlineStr">
        <is>
          <t>SKÅNE LÄN</t>
        </is>
      </c>
      <c r="E870" t="inlineStr">
        <is>
          <t>SVEDALA</t>
        </is>
      </c>
      <c r="G870" t="n">
        <v>1.5</v>
      </c>
      <c r="H870" t="n">
        <v>0</v>
      </c>
      <c r="I870" t="n">
        <v>0</v>
      </c>
      <c r="J870" t="n">
        <v>0</v>
      </c>
      <c r="K870" t="n">
        <v>0</v>
      </c>
      <c r="L870" t="n">
        <v>0</v>
      </c>
      <c r="M870" t="n">
        <v>0</v>
      </c>
      <c r="N870" t="n">
        <v>0</v>
      </c>
      <c r="O870" t="n">
        <v>0</v>
      </c>
      <c r="P870" t="n">
        <v>0</v>
      </c>
      <c r="Q870" t="n">
        <v>0</v>
      </c>
      <c r="R870" s="2" t="inlineStr"/>
    </row>
    <row r="871" ht="15" customHeight="1">
      <c r="A871" t="inlineStr">
        <is>
          <t>A 33487-2022</t>
        </is>
      </c>
      <c r="B871" s="1" t="n">
        <v>44788.82988425926</v>
      </c>
      <c r="C871" s="1" t="n">
        <v>45914</v>
      </c>
      <c r="D871" t="inlineStr">
        <is>
          <t>SKÅNE LÄN</t>
        </is>
      </c>
      <c r="E871" t="inlineStr">
        <is>
          <t>OSBY</t>
        </is>
      </c>
      <c r="G871" t="n">
        <v>7.9</v>
      </c>
      <c r="H871" t="n">
        <v>0</v>
      </c>
      <c r="I871" t="n">
        <v>0</v>
      </c>
      <c r="J871" t="n">
        <v>0</v>
      </c>
      <c r="K871" t="n">
        <v>0</v>
      </c>
      <c r="L871" t="n">
        <v>0</v>
      </c>
      <c r="M871" t="n">
        <v>0</v>
      </c>
      <c r="N871" t="n">
        <v>0</v>
      </c>
      <c r="O871" t="n">
        <v>0</v>
      </c>
      <c r="P871" t="n">
        <v>0</v>
      </c>
      <c r="Q871" t="n">
        <v>0</v>
      </c>
      <c r="R871" s="2" t="inlineStr"/>
    </row>
    <row r="872" ht="15" customHeight="1">
      <c r="A872" t="inlineStr">
        <is>
          <t>A 66941-2020</t>
        </is>
      </c>
      <c r="B872" s="1" t="n">
        <v>44180</v>
      </c>
      <c r="C872" s="1" t="n">
        <v>45914</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39772-2021</t>
        </is>
      </c>
      <c r="B873" s="1" t="n">
        <v>44416</v>
      </c>
      <c r="C873" s="1" t="n">
        <v>45914</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23601-2022</t>
        </is>
      </c>
      <c r="B874" s="1" t="n">
        <v>44721.57989583333</v>
      </c>
      <c r="C874" s="1" t="n">
        <v>45914</v>
      </c>
      <c r="D874" t="inlineStr">
        <is>
          <t>SKÅNE LÄN</t>
        </is>
      </c>
      <c r="E874" t="inlineStr">
        <is>
          <t>OSBY</t>
        </is>
      </c>
      <c r="G874" t="n">
        <v>1</v>
      </c>
      <c r="H874" t="n">
        <v>0</v>
      </c>
      <c r="I874" t="n">
        <v>0</v>
      </c>
      <c r="J874" t="n">
        <v>0</v>
      </c>
      <c r="K874" t="n">
        <v>0</v>
      </c>
      <c r="L874" t="n">
        <v>0</v>
      </c>
      <c r="M874" t="n">
        <v>0</v>
      </c>
      <c r="N874" t="n">
        <v>0</v>
      </c>
      <c r="O874" t="n">
        <v>0</v>
      </c>
      <c r="P874" t="n">
        <v>0</v>
      </c>
      <c r="Q874" t="n">
        <v>0</v>
      </c>
      <c r="R874" s="2" t="inlineStr"/>
    </row>
    <row r="875" ht="15" customHeight="1">
      <c r="A875" t="inlineStr">
        <is>
          <t>A 25305-2022</t>
        </is>
      </c>
      <c r="B875" s="1" t="n">
        <v>44731.45185185185</v>
      </c>
      <c r="C875" s="1" t="n">
        <v>45914</v>
      </c>
      <c r="D875" t="inlineStr">
        <is>
          <t>SKÅNE LÄN</t>
        </is>
      </c>
      <c r="E875" t="inlineStr">
        <is>
          <t>OSBY</t>
        </is>
      </c>
      <c r="G875" t="n">
        <v>0.9</v>
      </c>
      <c r="H875" t="n">
        <v>0</v>
      </c>
      <c r="I875" t="n">
        <v>0</v>
      </c>
      <c r="J875" t="n">
        <v>0</v>
      </c>
      <c r="K875" t="n">
        <v>0</v>
      </c>
      <c r="L875" t="n">
        <v>0</v>
      </c>
      <c r="M875" t="n">
        <v>0</v>
      </c>
      <c r="N875" t="n">
        <v>0</v>
      </c>
      <c r="O875" t="n">
        <v>0</v>
      </c>
      <c r="P875" t="n">
        <v>0</v>
      </c>
      <c r="Q875" t="n">
        <v>0</v>
      </c>
      <c r="R875" s="2" t="inlineStr"/>
    </row>
    <row r="876" ht="15" customHeight="1">
      <c r="A876" t="inlineStr">
        <is>
          <t>A 43175-2022</t>
        </is>
      </c>
      <c r="B876" s="1" t="n">
        <v>44834</v>
      </c>
      <c r="C876" s="1" t="n">
        <v>45914</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68082-2021</t>
        </is>
      </c>
      <c r="B877" s="1" t="n">
        <v>44526.32802083333</v>
      </c>
      <c r="C877" s="1" t="n">
        <v>45914</v>
      </c>
      <c r="D877" t="inlineStr">
        <is>
          <t>SKÅNE LÄN</t>
        </is>
      </c>
      <c r="E877" t="inlineStr">
        <is>
          <t>ÖRKELLJUNGA</t>
        </is>
      </c>
      <c r="G877" t="n">
        <v>19.7</v>
      </c>
      <c r="H877" t="n">
        <v>0</v>
      </c>
      <c r="I877" t="n">
        <v>0</v>
      </c>
      <c r="J877" t="n">
        <v>0</v>
      </c>
      <c r="K877" t="n">
        <v>0</v>
      </c>
      <c r="L877" t="n">
        <v>0</v>
      </c>
      <c r="M877" t="n">
        <v>0</v>
      </c>
      <c r="N877" t="n">
        <v>0</v>
      </c>
      <c r="O877" t="n">
        <v>0</v>
      </c>
      <c r="P877" t="n">
        <v>0</v>
      </c>
      <c r="Q877" t="n">
        <v>0</v>
      </c>
      <c r="R877" s="2" t="inlineStr"/>
    </row>
    <row r="878" ht="15" customHeight="1">
      <c r="A878" t="inlineStr">
        <is>
          <t>A 68005-2021</t>
        </is>
      </c>
      <c r="B878" s="1" t="n">
        <v>44525</v>
      </c>
      <c r="C878" s="1" t="n">
        <v>45914</v>
      </c>
      <c r="D878" t="inlineStr">
        <is>
          <t>SKÅNE LÄN</t>
        </is>
      </c>
      <c r="E878" t="inlineStr">
        <is>
          <t>LUND</t>
        </is>
      </c>
      <c r="G878" t="n">
        <v>0.5</v>
      </c>
      <c r="H878" t="n">
        <v>0</v>
      </c>
      <c r="I878" t="n">
        <v>0</v>
      </c>
      <c r="J878" t="n">
        <v>0</v>
      </c>
      <c r="K878" t="n">
        <v>0</v>
      </c>
      <c r="L878" t="n">
        <v>0</v>
      </c>
      <c r="M878" t="n">
        <v>0</v>
      </c>
      <c r="N878" t="n">
        <v>0</v>
      </c>
      <c r="O878" t="n">
        <v>0</v>
      </c>
      <c r="P878" t="n">
        <v>0</v>
      </c>
      <c r="Q878" t="n">
        <v>0</v>
      </c>
      <c r="R878" s="2" t="inlineStr"/>
    </row>
    <row r="879" ht="15" customHeight="1">
      <c r="A879" t="inlineStr">
        <is>
          <t>A 68007-2021</t>
        </is>
      </c>
      <c r="B879" s="1" t="n">
        <v>44525</v>
      </c>
      <c r="C879" s="1" t="n">
        <v>45914</v>
      </c>
      <c r="D879" t="inlineStr">
        <is>
          <t>SKÅNE LÄN</t>
        </is>
      </c>
      <c r="E879" t="inlineStr">
        <is>
          <t>SJÖBO</t>
        </is>
      </c>
      <c r="G879" t="n">
        <v>0.8</v>
      </c>
      <c r="H879" t="n">
        <v>0</v>
      </c>
      <c r="I879" t="n">
        <v>0</v>
      </c>
      <c r="J879" t="n">
        <v>0</v>
      </c>
      <c r="K879" t="n">
        <v>0</v>
      </c>
      <c r="L879" t="n">
        <v>0</v>
      </c>
      <c r="M879" t="n">
        <v>0</v>
      </c>
      <c r="N879" t="n">
        <v>0</v>
      </c>
      <c r="O879" t="n">
        <v>0</v>
      </c>
      <c r="P879" t="n">
        <v>0</v>
      </c>
      <c r="Q879" t="n">
        <v>0</v>
      </c>
      <c r="R879" s="2" t="inlineStr"/>
    </row>
    <row r="880" ht="15" customHeight="1">
      <c r="A880" t="inlineStr">
        <is>
          <t>A 67994-2021</t>
        </is>
      </c>
      <c r="B880" s="1" t="n">
        <v>44525</v>
      </c>
      <c r="C880" s="1" t="n">
        <v>45914</v>
      </c>
      <c r="D880" t="inlineStr">
        <is>
          <t>SKÅNE LÄN</t>
        </is>
      </c>
      <c r="E880" t="inlineStr">
        <is>
          <t>KRISTIANSTAD</t>
        </is>
      </c>
      <c r="G880" t="n">
        <v>1.1</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45914</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57811-2020</t>
        </is>
      </c>
      <c r="B882" s="1" t="n">
        <v>44141</v>
      </c>
      <c r="C882" s="1" t="n">
        <v>45914</v>
      </c>
      <c r="D882" t="inlineStr">
        <is>
          <t>SKÅNE LÄN</t>
        </is>
      </c>
      <c r="E882" t="inlineStr">
        <is>
          <t>HÄSSLEHOLM</t>
        </is>
      </c>
      <c r="G882" t="n">
        <v>2</v>
      </c>
      <c r="H882" t="n">
        <v>0</v>
      </c>
      <c r="I882" t="n">
        <v>0</v>
      </c>
      <c r="J882" t="n">
        <v>0</v>
      </c>
      <c r="K882" t="n">
        <v>0</v>
      </c>
      <c r="L882" t="n">
        <v>0</v>
      </c>
      <c r="M882" t="n">
        <v>0</v>
      </c>
      <c r="N882" t="n">
        <v>0</v>
      </c>
      <c r="O882" t="n">
        <v>0</v>
      </c>
      <c r="P882" t="n">
        <v>0</v>
      </c>
      <c r="Q882" t="n">
        <v>0</v>
      </c>
      <c r="R882" s="2" t="inlineStr"/>
    </row>
    <row r="883" ht="15" customHeight="1">
      <c r="A883" t="inlineStr">
        <is>
          <t>A 55495-2022</t>
        </is>
      </c>
      <c r="B883" s="1" t="n">
        <v>44887.7209375</v>
      </c>
      <c r="C883" s="1" t="n">
        <v>45914</v>
      </c>
      <c r="D883" t="inlineStr">
        <is>
          <t>SKÅNE LÄN</t>
        </is>
      </c>
      <c r="E883" t="inlineStr">
        <is>
          <t>ÖSTRA GÖINGE</t>
        </is>
      </c>
      <c r="G883" t="n">
        <v>0.5</v>
      </c>
      <c r="H883" t="n">
        <v>0</v>
      </c>
      <c r="I883" t="n">
        <v>0</v>
      </c>
      <c r="J883" t="n">
        <v>0</v>
      </c>
      <c r="K883" t="n">
        <v>0</v>
      </c>
      <c r="L883" t="n">
        <v>0</v>
      </c>
      <c r="M883" t="n">
        <v>0</v>
      </c>
      <c r="N883" t="n">
        <v>0</v>
      </c>
      <c r="O883" t="n">
        <v>0</v>
      </c>
      <c r="P883" t="n">
        <v>0</v>
      </c>
      <c r="Q883" t="n">
        <v>0</v>
      </c>
      <c r="R883" s="2" t="inlineStr"/>
    </row>
    <row r="884" ht="15" customHeight="1">
      <c r="A884" t="inlineStr">
        <is>
          <t>A 26386-2022</t>
        </is>
      </c>
      <c r="B884" s="1" t="n">
        <v>44735.6803125</v>
      </c>
      <c r="C884" s="1" t="n">
        <v>45914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7262-2022</t>
        </is>
      </c>
      <c r="B885" s="1" t="n">
        <v>44606</v>
      </c>
      <c r="C885" s="1" t="n">
        <v>45914</v>
      </c>
      <c r="D885" t="inlineStr">
        <is>
          <t>SKÅNE LÄN</t>
        </is>
      </c>
      <c r="E885" t="inlineStr">
        <is>
          <t>HÄSSLEHOLM</t>
        </is>
      </c>
      <c r="F885" t="inlineStr">
        <is>
          <t>Övriga Aktiebolag</t>
        </is>
      </c>
      <c r="G885" t="n">
        <v>1</v>
      </c>
      <c r="H885" t="n">
        <v>0</v>
      </c>
      <c r="I885" t="n">
        <v>0</v>
      </c>
      <c r="J885" t="n">
        <v>0</v>
      </c>
      <c r="K885" t="n">
        <v>0</v>
      </c>
      <c r="L885" t="n">
        <v>0</v>
      </c>
      <c r="M885" t="n">
        <v>0</v>
      </c>
      <c r="N885" t="n">
        <v>0</v>
      </c>
      <c r="O885" t="n">
        <v>0</v>
      </c>
      <c r="P885" t="n">
        <v>0</v>
      </c>
      <c r="Q885" t="n">
        <v>0</v>
      </c>
      <c r="R885" s="2" t="inlineStr"/>
    </row>
    <row r="886" ht="15" customHeight="1">
      <c r="A886" t="inlineStr">
        <is>
          <t>A 34983-2022</t>
        </is>
      </c>
      <c r="B886" s="1" t="n">
        <v>44796.69704861111</v>
      </c>
      <c r="C886" s="1" t="n">
        <v>45914</v>
      </c>
      <c r="D886" t="inlineStr">
        <is>
          <t>SKÅNE LÄN</t>
        </is>
      </c>
      <c r="E886" t="inlineStr">
        <is>
          <t>ÖSTRA GÖINGE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8370-2022</t>
        </is>
      </c>
      <c r="B887" s="1" t="n">
        <v>44610</v>
      </c>
      <c r="C887" s="1" t="n">
        <v>45914</v>
      </c>
      <c r="D887" t="inlineStr">
        <is>
          <t>SKÅNE LÄN</t>
        </is>
      </c>
      <c r="E887" t="inlineStr">
        <is>
          <t>OSBY</t>
        </is>
      </c>
      <c r="G887" t="n">
        <v>1</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45914</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45914</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74144-2021</t>
        </is>
      </c>
      <c r="B890" s="1" t="n">
        <v>44557.96420138889</v>
      </c>
      <c r="C890" s="1" t="n">
        <v>45914</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46170-2020</t>
        </is>
      </c>
      <c r="B891" s="1" t="n">
        <v>44092</v>
      </c>
      <c r="C891" s="1" t="n">
        <v>45914</v>
      </c>
      <c r="D891" t="inlineStr">
        <is>
          <t>SKÅNE LÄN</t>
        </is>
      </c>
      <c r="E891" t="inlineStr">
        <is>
          <t>OSBY</t>
        </is>
      </c>
      <c r="G891" t="n">
        <v>1.6</v>
      </c>
      <c r="H891" t="n">
        <v>0</v>
      </c>
      <c r="I891" t="n">
        <v>0</v>
      </c>
      <c r="J891" t="n">
        <v>0</v>
      </c>
      <c r="K891" t="n">
        <v>0</v>
      </c>
      <c r="L891" t="n">
        <v>0</v>
      </c>
      <c r="M891" t="n">
        <v>0</v>
      </c>
      <c r="N891" t="n">
        <v>0</v>
      </c>
      <c r="O891" t="n">
        <v>0</v>
      </c>
      <c r="P891" t="n">
        <v>0</v>
      </c>
      <c r="Q891" t="n">
        <v>0</v>
      </c>
      <c r="R891" s="2" t="inlineStr"/>
    </row>
    <row r="892" ht="15" customHeight="1">
      <c r="A892" t="inlineStr">
        <is>
          <t>A 58887-2020</t>
        </is>
      </c>
      <c r="B892" s="1" t="n">
        <v>44146</v>
      </c>
      <c r="C892" s="1" t="n">
        <v>45914</v>
      </c>
      <c r="D892" t="inlineStr">
        <is>
          <t>SKÅNE LÄN</t>
        </is>
      </c>
      <c r="E892" t="inlineStr">
        <is>
          <t>KRISTIANSTAD</t>
        </is>
      </c>
      <c r="G892" t="n">
        <v>5.3</v>
      </c>
      <c r="H892" t="n">
        <v>0</v>
      </c>
      <c r="I892" t="n">
        <v>0</v>
      </c>
      <c r="J892" t="n">
        <v>0</v>
      </c>
      <c r="K892" t="n">
        <v>0</v>
      </c>
      <c r="L892" t="n">
        <v>0</v>
      </c>
      <c r="M892" t="n">
        <v>0</v>
      </c>
      <c r="N892" t="n">
        <v>0</v>
      </c>
      <c r="O892" t="n">
        <v>0</v>
      </c>
      <c r="P892" t="n">
        <v>0</v>
      </c>
      <c r="Q892" t="n">
        <v>0</v>
      </c>
      <c r="R892" s="2" t="inlineStr"/>
    </row>
    <row r="893" ht="15" customHeight="1">
      <c r="A893" t="inlineStr">
        <is>
          <t>A 59542-2020</t>
        </is>
      </c>
      <c r="B893" s="1" t="n">
        <v>44148</v>
      </c>
      <c r="C893" s="1" t="n">
        <v>45914</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23830-2021</t>
        </is>
      </c>
      <c r="B894" s="1" t="n">
        <v>44335</v>
      </c>
      <c r="C894" s="1" t="n">
        <v>45914</v>
      </c>
      <c r="D894" t="inlineStr">
        <is>
          <t>SKÅNE LÄN</t>
        </is>
      </c>
      <c r="E894" t="inlineStr">
        <is>
          <t>HÄSSLEHOLM</t>
        </is>
      </c>
      <c r="G894" t="n">
        <v>18.7</v>
      </c>
      <c r="H894" t="n">
        <v>0</v>
      </c>
      <c r="I894" t="n">
        <v>0</v>
      </c>
      <c r="J894" t="n">
        <v>0</v>
      </c>
      <c r="K894" t="n">
        <v>0</v>
      </c>
      <c r="L894" t="n">
        <v>0</v>
      </c>
      <c r="M894" t="n">
        <v>0</v>
      </c>
      <c r="N894" t="n">
        <v>0</v>
      </c>
      <c r="O894" t="n">
        <v>0</v>
      </c>
      <c r="P894" t="n">
        <v>0</v>
      </c>
      <c r="Q894" t="n">
        <v>0</v>
      </c>
      <c r="R894" s="2" t="inlineStr"/>
    </row>
    <row r="895" ht="15" customHeight="1">
      <c r="A895" t="inlineStr">
        <is>
          <t>A 25469-2022</t>
        </is>
      </c>
      <c r="B895" s="1" t="n">
        <v>44732</v>
      </c>
      <c r="C895" s="1" t="n">
        <v>45914</v>
      </c>
      <c r="D895" t="inlineStr">
        <is>
          <t>SKÅNE LÄN</t>
        </is>
      </c>
      <c r="E895" t="inlineStr">
        <is>
          <t>HÄSSLEHOLM</t>
        </is>
      </c>
      <c r="G895" t="n">
        <v>4.2</v>
      </c>
      <c r="H895" t="n">
        <v>0</v>
      </c>
      <c r="I895" t="n">
        <v>0</v>
      </c>
      <c r="J895" t="n">
        <v>0</v>
      </c>
      <c r="K895" t="n">
        <v>0</v>
      </c>
      <c r="L895" t="n">
        <v>0</v>
      </c>
      <c r="M895" t="n">
        <v>0</v>
      </c>
      <c r="N895" t="n">
        <v>0</v>
      </c>
      <c r="O895" t="n">
        <v>0</v>
      </c>
      <c r="P895" t="n">
        <v>0</v>
      </c>
      <c r="Q895" t="n">
        <v>0</v>
      </c>
      <c r="R895" s="2" t="inlineStr"/>
    </row>
    <row r="896" ht="15" customHeight="1">
      <c r="A896" t="inlineStr">
        <is>
          <t>A 40524-2022</t>
        </is>
      </c>
      <c r="B896" s="1" t="n">
        <v>44823.62825231482</v>
      </c>
      <c r="C896" s="1" t="n">
        <v>45914</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7729-2021</t>
        </is>
      </c>
      <c r="B897" s="1" t="n">
        <v>44242</v>
      </c>
      <c r="C897" s="1" t="n">
        <v>45914</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73513-2021</t>
        </is>
      </c>
      <c r="B898" s="1" t="n">
        <v>44551.69012731482</v>
      </c>
      <c r="C898" s="1" t="n">
        <v>45914</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8371-2022</t>
        </is>
      </c>
      <c r="B899" s="1" t="n">
        <v>44610</v>
      </c>
      <c r="C899" s="1" t="n">
        <v>45914</v>
      </c>
      <c r="D899" t="inlineStr">
        <is>
          <t>SKÅNE LÄN</t>
        </is>
      </c>
      <c r="E899" t="inlineStr">
        <is>
          <t>OSBY</t>
        </is>
      </c>
      <c r="G899" t="n">
        <v>1.3</v>
      </c>
      <c r="H899" t="n">
        <v>0</v>
      </c>
      <c r="I899" t="n">
        <v>0</v>
      </c>
      <c r="J899" t="n">
        <v>0</v>
      </c>
      <c r="K899" t="n">
        <v>0</v>
      </c>
      <c r="L899" t="n">
        <v>0</v>
      </c>
      <c r="M899" t="n">
        <v>0</v>
      </c>
      <c r="N899" t="n">
        <v>0</v>
      </c>
      <c r="O899" t="n">
        <v>0</v>
      </c>
      <c r="P899" t="n">
        <v>0</v>
      </c>
      <c r="Q899" t="n">
        <v>0</v>
      </c>
      <c r="R899" s="2" t="inlineStr"/>
    </row>
    <row r="900" ht="15" customHeight="1">
      <c r="A900" t="inlineStr">
        <is>
          <t>A 42617-2022</t>
        </is>
      </c>
      <c r="B900" s="1" t="n">
        <v>44831.85881944445</v>
      </c>
      <c r="C900" s="1" t="n">
        <v>45914</v>
      </c>
      <c r="D900" t="inlineStr">
        <is>
          <t>SKÅNE LÄN</t>
        </is>
      </c>
      <c r="E900" t="inlineStr">
        <is>
          <t>SVALÖV</t>
        </is>
      </c>
      <c r="G900" t="n">
        <v>0.6</v>
      </c>
      <c r="H900" t="n">
        <v>0</v>
      </c>
      <c r="I900" t="n">
        <v>0</v>
      </c>
      <c r="J900" t="n">
        <v>0</v>
      </c>
      <c r="K900" t="n">
        <v>0</v>
      </c>
      <c r="L900" t="n">
        <v>0</v>
      </c>
      <c r="M900" t="n">
        <v>0</v>
      </c>
      <c r="N900" t="n">
        <v>0</v>
      </c>
      <c r="O900" t="n">
        <v>0</v>
      </c>
      <c r="P900" t="n">
        <v>0</v>
      </c>
      <c r="Q900" t="n">
        <v>0</v>
      </c>
      <c r="R900" s="2" t="inlineStr"/>
    </row>
    <row r="901" ht="15" customHeight="1">
      <c r="A901" t="inlineStr">
        <is>
          <t>A 9046-2021</t>
        </is>
      </c>
      <c r="B901" s="1" t="n">
        <v>44246</v>
      </c>
      <c r="C901" s="1" t="n">
        <v>45914</v>
      </c>
      <c r="D901" t="inlineStr">
        <is>
          <t>SKÅNE LÄN</t>
        </is>
      </c>
      <c r="E901" t="inlineStr">
        <is>
          <t>KLIPPAN</t>
        </is>
      </c>
      <c r="G901" t="n">
        <v>0.4</v>
      </c>
      <c r="H901" t="n">
        <v>0</v>
      </c>
      <c r="I901" t="n">
        <v>0</v>
      </c>
      <c r="J901" t="n">
        <v>0</v>
      </c>
      <c r="K901" t="n">
        <v>0</v>
      </c>
      <c r="L901" t="n">
        <v>0</v>
      </c>
      <c r="M901" t="n">
        <v>0</v>
      </c>
      <c r="N901" t="n">
        <v>0</v>
      </c>
      <c r="O901" t="n">
        <v>0</v>
      </c>
      <c r="P901" t="n">
        <v>0</v>
      </c>
      <c r="Q901" t="n">
        <v>0</v>
      </c>
      <c r="R901" s="2" t="inlineStr"/>
    </row>
    <row r="902" ht="15" customHeight="1">
      <c r="A902" t="inlineStr">
        <is>
          <t>A 47925-2020</t>
        </is>
      </c>
      <c r="B902" s="1" t="n">
        <v>44099</v>
      </c>
      <c r="C902" s="1" t="n">
        <v>45914</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47931-2020</t>
        </is>
      </c>
      <c r="B903" s="1" t="n">
        <v>44099</v>
      </c>
      <c r="C903" s="1" t="n">
        <v>45914</v>
      </c>
      <c r="D903" t="inlineStr">
        <is>
          <t>SKÅNE LÄN</t>
        </is>
      </c>
      <c r="E903" t="inlineStr">
        <is>
          <t>ÖSTRA GÖINGE</t>
        </is>
      </c>
      <c r="G903" t="n">
        <v>1.9</v>
      </c>
      <c r="H903" t="n">
        <v>0</v>
      </c>
      <c r="I903" t="n">
        <v>0</v>
      </c>
      <c r="J903" t="n">
        <v>0</v>
      </c>
      <c r="K903" t="n">
        <v>0</v>
      </c>
      <c r="L903" t="n">
        <v>0</v>
      </c>
      <c r="M903" t="n">
        <v>0</v>
      </c>
      <c r="N903" t="n">
        <v>0</v>
      </c>
      <c r="O903" t="n">
        <v>0</v>
      </c>
      <c r="P903" t="n">
        <v>0</v>
      </c>
      <c r="Q903" t="n">
        <v>0</v>
      </c>
      <c r="R903" s="2" t="inlineStr"/>
    </row>
    <row r="904" ht="15" customHeight="1">
      <c r="A904" t="inlineStr">
        <is>
          <t>A 197-2021</t>
        </is>
      </c>
      <c r="B904" s="1" t="n">
        <v>44200</v>
      </c>
      <c r="C904" s="1" t="n">
        <v>45914</v>
      </c>
      <c r="D904" t="inlineStr">
        <is>
          <t>SKÅNE LÄN</t>
        </is>
      </c>
      <c r="E904" t="inlineStr">
        <is>
          <t>HÄSSLEHOLM</t>
        </is>
      </c>
      <c r="G904" t="n">
        <v>12.9</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44565.62510416667</v>
      </c>
      <c r="C905" s="1" t="n">
        <v>45914</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11616-2021</t>
        </is>
      </c>
      <c r="B906" s="1" t="n">
        <v>44264.63064814815</v>
      </c>
      <c r="C906" s="1" t="n">
        <v>45914</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50463-2021</t>
        </is>
      </c>
      <c r="B907" s="1" t="n">
        <v>44455</v>
      </c>
      <c r="C907" s="1" t="n">
        <v>45914</v>
      </c>
      <c r="D907" t="inlineStr">
        <is>
          <t>SKÅNE LÄN</t>
        </is>
      </c>
      <c r="E907" t="inlineStr">
        <is>
          <t>SJÖBO</t>
        </is>
      </c>
      <c r="G907" t="n">
        <v>0.4</v>
      </c>
      <c r="H907" t="n">
        <v>0</v>
      </c>
      <c r="I907" t="n">
        <v>0</v>
      </c>
      <c r="J907" t="n">
        <v>0</v>
      </c>
      <c r="K907" t="n">
        <v>0</v>
      </c>
      <c r="L907" t="n">
        <v>0</v>
      </c>
      <c r="M907" t="n">
        <v>0</v>
      </c>
      <c r="N907" t="n">
        <v>0</v>
      </c>
      <c r="O907" t="n">
        <v>0</v>
      </c>
      <c r="P907" t="n">
        <v>0</v>
      </c>
      <c r="Q907" t="n">
        <v>0</v>
      </c>
      <c r="R907" s="2" t="inlineStr"/>
    </row>
    <row r="908" ht="15" customHeight="1">
      <c r="A908" t="inlineStr">
        <is>
          <t>A 69198-2020</t>
        </is>
      </c>
      <c r="B908" s="1" t="n">
        <v>44191</v>
      </c>
      <c r="C908" s="1" t="n">
        <v>45914</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45914</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51857-2020</t>
        </is>
      </c>
      <c r="B910" s="1" t="n">
        <v>44116</v>
      </c>
      <c r="C910" s="1" t="n">
        <v>45914</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48268-2020</t>
        </is>
      </c>
      <c r="B911" s="1" t="n">
        <v>44102.52408564815</v>
      </c>
      <c r="C911" s="1" t="n">
        <v>45914</v>
      </c>
      <c r="D911" t="inlineStr">
        <is>
          <t>SKÅNE LÄN</t>
        </is>
      </c>
      <c r="E911" t="inlineStr">
        <is>
          <t>OSBY</t>
        </is>
      </c>
      <c r="G911" t="n">
        <v>2.6</v>
      </c>
      <c r="H911" t="n">
        <v>0</v>
      </c>
      <c r="I911" t="n">
        <v>0</v>
      </c>
      <c r="J911" t="n">
        <v>0</v>
      </c>
      <c r="K911" t="n">
        <v>0</v>
      </c>
      <c r="L911" t="n">
        <v>0</v>
      </c>
      <c r="M911" t="n">
        <v>0</v>
      </c>
      <c r="N911" t="n">
        <v>0</v>
      </c>
      <c r="O911" t="n">
        <v>0</v>
      </c>
      <c r="P911" t="n">
        <v>0</v>
      </c>
      <c r="Q911" t="n">
        <v>0</v>
      </c>
      <c r="R911" s="2" t="inlineStr"/>
    </row>
    <row r="912" ht="15" customHeight="1">
      <c r="A912" t="inlineStr">
        <is>
          <t>A 32892-2021</t>
        </is>
      </c>
      <c r="B912" s="1" t="n">
        <v>44375</v>
      </c>
      <c r="C912" s="1" t="n">
        <v>45914</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57840-2020</t>
        </is>
      </c>
      <c r="B913" s="1" t="n">
        <v>44141</v>
      </c>
      <c r="C913" s="1" t="n">
        <v>45914</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42963-2022</t>
        </is>
      </c>
      <c r="B914" s="1" t="n">
        <v>44833.41712962963</v>
      </c>
      <c r="C914" s="1" t="n">
        <v>45914</v>
      </c>
      <c r="D914" t="inlineStr">
        <is>
          <t>SKÅNE LÄN</t>
        </is>
      </c>
      <c r="E914" t="inlineStr">
        <is>
          <t>BROMÖLLA</t>
        </is>
      </c>
      <c r="G914" t="n">
        <v>1.2</v>
      </c>
      <c r="H914" t="n">
        <v>0</v>
      </c>
      <c r="I914" t="n">
        <v>0</v>
      </c>
      <c r="J914" t="n">
        <v>0</v>
      </c>
      <c r="K914" t="n">
        <v>0</v>
      </c>
      <c r="L914" t="n">
        <v>0</v>
      </c>
      <c r="M914" t="n">
        <v>0</v>
      </c>
      <c r="N914" t="n">
        <v>0</v>
      </c>
      <c r="O914" t="n">
        <v>0</v>
      </c>
      <c r="P914" t="n">
        <v>0</v>
      </c>
      <c r="Q914" t="n">
        <v>0</v>
      </c>
      <c r="R914" s="2" t="inlineStr"/>
    </row>
    <row r="915" ht="15" customHeight="1">
      <c r="A915" t="inlineStr">
        <is>
          <t>A 15784-2021</t>
        </is>
      </c>
      <c r="B915" s="1" t="n">
        <v>44286</v>
      </c>
      <c r="C915" s="1" t="n">
        <v>45914</v>
      </c>
      <c r="D915" t="inlineStr">
        <is>
          <t>SKÅNE LÄN</t>
        </is>
      </c>
      <c r="E915" t="inlineStr">
        <is>
          <t>BROMÖLLA</t>
        </is>
      </c>
      <c r="G915" t="n">
        <v>1.4</v>
      </c>
      <c r="H915" t="n">
        <v>0</v>
      </c>
      <c r="I915" t="n">
        <v>0</v>
      </c>
      <c r="J915" t="n">
        <v>0</v>
      </c>
      <c r="K915" t="n">
        <v>0</v>
      </c>
      <c r="L915" t="n">
        <v>0</v>
      </c>
      <c r="M915" t="n">
        <v>0</v>
      </c>
      <c r="N915" t="n">
        <v>0</v>
      </c>
      <c r="O915" t="n">
        <v>0</v>
      </c>
      <c r="P915" t="n">
        <v>0</v>
      </c>
      <c r="Q915" t="n">
        <v>0</v>
      </c>
      <c r="R915" s="2" t="inlineStr"/>
    </row>
    <row r="916" ht="15" customHeight="1">
      <c r="A916" t="inlineStr">
        <is>
          <t>A 74073-2021</t>
        </is>
      </c>
      <c r="B916" s="1" t="n">
        <v>44557.55960648148</v>
      </c>
      <c r="C916" s="1" t="n">
        <v>45914</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1428-2021</t>
        </is>
      </c>
      <c r="B917" s="1" t="n">
        <v>44208</v>
      </c>
      <c r="C917" s="1" t="n">
        <v>45914</v>
      </c>
      <c r="D917" t="inlineStr">
        <is>
          <t>SKÅNE LÄN</t>
        </is>
      </c>
      <c r="E917" t="inlineStr">
        <is>
          <t>TOMELILLA</t>
        </is>
      </c>
      <c r="G917" t="n">
        <v>1.2</v>
      </c>
      <c r="H917" t="n">
        <v>0</v>
      </c>
      <c r="I917" t="n">
        <v>0</v>
      </c>
      <c r="J917" t="n">
        <v>0</v>
      </c>
      <c r="K917" t="n">
        <v>0</v>
      </c>
      <c r="L917" t="n">
        <v>0</v>
      </c>
      <c r="M917" t="n">
        <v>0</v>
      </c>
      <c r="N917" t="n">
        <v>0</v>
      </c>
      <c r="O917" t="n">
        <v>0</v>
      </c>
      <c r="P917" t="n">
        <v>0</v>
      </c>
      <c r="Q917" t="n">
        <v>0</v>
      </c>
      <c r="R917" s="2" t="inlineStr"/>
    </row>
    <row r="918" ht="15" customHeight="1">
      <c r="A918" t="inlineStr">
        <is>
          <t>A 1461-2021</t>
        </is>
      </c>
      <c r="B918" s="1" t="n">
        <v>44208</v>
      </c>
      <c r="C918" s="1" t="n">
        <v>45914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53658-2020</t>
        </is>
      </c>
      <c r="B919" s="1" t="n">
        <v>44124.53773148148</v>
      </c>
      <c r="C919" s="1" t="n">
        <v>45914</v>
      </c>
      <c r="D919" t="inlineStr">
        <is>
          <t>SKÅNE LÄN</t>
        </is>
      </c>
      <c r="E919" t="inlineStr">
        <is>
          <t>OSBY</t>
        </is>
      </c>
      <c r="G919" t="n">
        <v>0.8</v>
      </c>
      <c r="H919" t="n">
        <v>0</v>
      </c>
      <c r="I919" t="n">
        <v>0</v>
      </c>
      <c r="J919" t="n">
        <v>0</v>
      </c>
      <c r="K919" t="n">
        <v>0</v>
      </c>
      <c r="L919" t="n">
        <v>0</v>
      </c>
      <c r="M919" t="n">
        <v>0</v>
      </c>
      <c r="N919" t="n">
        <v>0</v>
      </c>
      <c r="O919" t="n">
        <v>0</v>
      </c>
      <c r="P919" t="n">
        <v>0</v>
      </c>
      <c r="Q919" t="n">
        <v>0</v>
      </c>
      <c r="R919" s="2" t="inlineStr"/>
    </row>
    <row r="920" ht="15" customHeight="1">
      <c r="A920" t="inlineStr">
        <is>
          <t>A 51893-2021</t>
        </is>
      </c>
      <c r="B920" s="1" t="n">
        <v>44462</v>
      </c>
      <c r="C920" s="1" t="n">
        <v>45914</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13433-2022</t>
        </is>
      </c>
      <c r="B921" s="1" t="n">
        <v>44645.58873842593</v>
      </c>
      <c r="C921" s="1" t="n">
        <v>45914</v>
      </c>
      <c r="D921" t="inlineStr">
        <is>
          <t>SKÅNE LÄN</t>
        </is>
      </c>
      <c r="E921" t="inlineStr">
        <is>
          <t>KRISTIANSTAD</t>
        </is>
      </c>
      <c r="G921" t="n">
        <v>3.6</v>
      </c>
      <c r="H921" t="n">
        <v>0</v>
      </c>
      <c r="I921" t="n">
        <v>0</v>
      </c>
      <c r="J921" t="n">
        <v>0</v>
      </c>
      <c r="K921" t="n">
        <v>0</v>
      </c>
      <c r="L921" t="n">
        <v>0</v>
      </c>
      <c r="M921" t="n">
        <v>0</v>
      </c>
      <c r="N921" t="n">
        <v>0</v>
      </c>
      <c r="O921" t="n">
        <v>0</v>
      </c>
      <c r="P921" t="n">
        <v>0</v>
      </c>
      <c r="Q921" t="n">
        <v>0</v>
      </c>
      <c r="R921" s="2" t="inlineStr"/>
    </row>
    <row r="922" ht="15" customHeight="1">
      <c r="A922" t="inlineStr">
        <is>
          <t>A 55394-2022</t>
        </is>
      </c>
      <c r="B922" s="1" t="n">
        <v>44887.57112268519</v>
      </c>
      <c r="C922" s="1" t="n">
        <v>45914</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41896-2021</t>
        </is>
      </c>
      <c r="B923" s="1" t="n">
        <v>44426.35085648148</v>
      </c>
      <c r="C923" s="1" t="n">
        <v>45914</v>
      </c>
      <c r="D923" t="inlineStr">
        <is>
          <t>SKÅNE LÄN</t>
        </is>
      </c>
      <c r="E923" t="inlineStr">
        <is>
          <t>BROMÖLLA</t>
        </is>
      </c>
      <c r="G923" t="n">
        <v>1.6</v>
      </c>
      <c r="H923" t="n">
        <v>0</v>
      </c>
      <c r="I923" t="n">
        <v>0</v>
      </c>
      <c r="J923" t="n">
        <v>0</v>
      </c>
      <c r="K923" t="n">
        <v>0</v>
      </c>
      <c r="L923" t="n">
        <v>0</v>
      </c>
      <c r="M923" t="n">
        <v>0</v>
      </c>
      <c r="N923" t="n">
        <v>0</v>
      </c>
      <c r="O923" t="n">
        <v>0</v>
      </c>
      <c r="P923" t="n">
        <v>0</v>
      </c>
      <c r="Q923" t="n">
        <v>0</v>
      </c>
      <c r="R923" s="2" t="inlineStr"/>
    </row>
    <row r="924" ht="15" customHeight="1">
      <c r="A924" t="inlineStr">
        <is>
          <t>A 40238-2021</t>
        </is>
      </c>
      <c r="B924" s="1" t="n">
        <v>44418</v>
      </c>
      <c r="C924" s="1" t="n">
        <v>45914</v>
      </c>
      <c r="D924" t="inlineStr">
        <is>
          <t>SKÅNE LÄN</t>
        </is>
      </c>
      <c r="E924" t="inlineStr">
        <is>
          <t>KLIPPAN</t>
        </is>
      </c>
      <c r="F924" t="inlineStr">
        <is>
          <t>Övriga Aktiebolag</t>
        </is>
      </c>
      <c r="G924" t="n">
        <v>3.8</v>
      </c>
      <c r="H924" t="n">
        <v>0</v>
      </c>
      <c r="I924" t="n">
        <v>0</v>
      </c>
      <c r="J924" t="n">
        <v>0</v>
      </c>
      <c r="K924" t="n">
        <v>0</v>
      </c>
      <c r="L924" t="n">
        <v>0</v>
      </c>
      <c r="M924" t="n">
        <v>0</v>
      </c>
      <c r="N924" t="n">
        <v>0</v>
      </c>
      <c r="O924" t="n">
        <v>0</v>
      </c>
      <c r="P924" t="n">
        <v>0</v>
      </c>
      <c r="Q924" t="n">
        <v>0</v>
      </c>
      <c r="R924" s="2" t="inlineStr"/>
    </row>
    <row r="925" ht="15" customHeight="1">
      <c r="A925" t="inlineStr">
        <is>
          <t>A 44628-2021</t>
        </is>
      </c>
      <c r="B925" s="1" t="n">
        <v>44437.28954861111</v>
      </c>
      <c r="C925" s="1" t="n">
        <v>45914</v>
      </c>
      <c r="D925" t="inlineStr">
        <is>
          <t>SKÅNE LÄN</t>
        </is>
      </c>
      <c r="E925" t="inlineStr">
        <is>
          <t>OSBY</t>
        </is>
      </c>
      <c r="G925" t="n">
        <v>1.2</v>
      </c>
      <c r="H925" t="n">
        <v>0</v>
      </c>
      <c r="I925" t="n">
        <v>0</v>
      </c>
      <c r="J925" t="n">
        <v>0</v>
      </c>
      <c r="K925" t="n">
        <v>0</v>
      </c>
      <c r="L925" t="n">
        <v>0</v>
      </c>
      <c r="M925" t="n">
        <v>0</v>
      </c>
      <c r="N925" t="n">
        <v>0</v>
      </c>
      <c r="O925" t="n">
        <v>0</v>
      </c>
      <c r="P925" t="n">
        <v>0</v>
      </c>
      <c r="Q925" t="n">
        <v>0</v>
      </c>
      <c r="R925" s="2" t="inlineStr"/>
    </row>
    <row r="926" ht="15" customHeight="1">
      <c r="A926" t="inlineStr">
        <is>
          <t>A 74135-2021</t>
        </is>
      </c>
      <c r="B926" s="1" t="n">
        <v>44557.92930555555</v>
      </c>
      <c r="C926" s="1" t="n">
        <v>45914</v>
      </c>
      <c r="D926" t="inlineStr">
        <is>
          <t>SKÅNE LÄN</t>
        </is>
      </c>
      <c r="E926" t="inlineStr">
        <is>
          <t>ÖSTRA GÖINGE</t>
        </is>
      </c>
      <c r="G926" t="n">
        <v>0.8</v>
      </c>
      <c r="H926" t="n">
        <v>0</v>
      </c>
      <c r="I926" t="n">
        <v>0</v>
      </c>
      <c r="J926" t="n">
        <v>0</v>
      </c>
      <c r="K926" t="n">
        <v>0</v>
      </c>
      <c r="L926" t="n">
        <v>0</v>
      </c>
      <c r="M926" t="n">
        <v>0</v>
      </c>
      <c r="N926" t="n">
        <v>0</v>
      </c>
      <c r="O926" t="n">
        <v>0</v>
      </c>
      <c r="P926" t="n">
        <v>0</v>
      </c>
      <c r="Q926" t="n">
        <v>0</v>
      </c>
      <c r="R926" s="2" t="inlineStr"/>
    </row>
    <row r="927" ht="15" customHeight="1">
      <c r="A927" t="inlineStr">
        <is>
          <t>A 74141-2021</t>
        </is>
      </c>
      <c r="B927" s="1" t="n">
        <v>44557.95087962963</v>
      </c>
      <c r="C927" s="1" t="n">
        <v>45914</v>
      </c>
      <c r="D927" t="inlineStr">
        <is>
          <t>SKÅNE LÄN</t>
        </is>
      </c>
      <c r="E927" t="inlineStr">
        <is>
          <t>ÖSTRA GÖINGE</t>
        </is>
      </c>
      <c r="G927" t="n">
        <v>0.4</v>
      </c>
      <c r="H927" t="n">
        <v>0</v>
      </c>
      <c r="I927" t="n">
        <v>0</v>
      </c>
      <c r="J927" t="n">
        <v>0</v>
      </c>
      <c r="K927" t="n">
        <v>0</v>
      </c>
      <c r="L927" t="n">
        <v>0</v>
      </c>
      <c r="M927" t="n">
        <v>0</v>
      </c>
      <c r="N927" t="n">
        <v>0</v>
      </c>
      <c r="O927" t="n">
        <v>0</v>
      </c>
      <c r="P927" t="n">
        <v>0</v>
      </c>
      <c r="Q927" t="n">
        <v>0</v>
      </c>
      <c r="R927" s="2" t="inlineStr"/>
    </row>
    <row r="928" ht="15" customHeight="1">
      <c r="A928" t="inlineStr">
        <is>
          <t>A 28853-2022</t>
        </is>
      </c>
      <c r="B928" s="1" t="n">
        <v>44749.48130787037</v>
      </c>
      <c r="C928" s="1" t="n">
        <v>45914</v>
      </c>
      <c r="D928" t="inlineStr">
        <is>
          <t>SKÅNE LÄN</t>
        </is>
      </c>
      <c r="E928" t="inlineStr">
        <is>
          <t>KRISTIANSTAD</t>
        </is>
      </c>
      <c r="G928" t="n">
        <v>0.8</v>
      </c>
      <c r="H928" t="n">
        <v>0</v>
      </c>
      <c r="I928" t="n">
        <v>0</v>
      </c>
      <c r="J928" t="n">
        <v>0</v>
      </c>
      <c r="K928" t="n">
        <v>0</v>
      </c>
      <c r="L928" t="n">
        <v>0</v>
      </c>
      <c r="M928" t="n">
        <v>0</v>
      </c>
      <c r="N928" t="n">
        <v>0</v>
      </c>
      <c r="O928" t="n">
        <v>0</v>
      </c>
      <c r="P928" t="n">
        <v>0</v>
      </c>
      <c r="Q928" t="n">
        <v>0</v>
      </c>
      <c r="R928" s="2" t="inlineStr"/>
    </row>
    <row r="929" ht="15" customHeight="1">
      <c r="A929" t="inlineStr">
        <is>
          <t>A 42660-2021</t>
        </is>
      </c>
      <c r="B929" s="1" t="n">
        <v>44428</v>
      </c>
      <c r="C929" s="1" t="n">
        <v>45914</v>
      </c>
      <c r="D929" t="inlineStr">
        <is>
          <t>SKÅNE LÄN</t>
        </is>
      </c>
      <c r="E929" t="inlineStr">
        <is>
          <t>SJÖBO</t>
        </is>
      </c>
      <c r="G929" t="n">
        <v>0.9</v>
      </c>
      <c r="H929" t="n">
        <v>0</v>
      </c>
      <c r="I929" t="n">
        <v>0</v>
      </c>
      <c r="J929" t="n">
        <v>0</v>
      </c>
      <c r="K929" t="n">
        <v>0</v>
      </c>
      <c r="L929" t="n">
        <v>0</v>
      </c>
      <c r="M929" t="n">
        <v>0</v>
      </c>
      <c r="N929" t="n">
        <v>0</v>
      </c>
      <c r="O929" t="n">
        <v>0</v>
      </c>
      <c r="P929" t="n">
        <v>0</v>
      </c>
      <c r="Q929" t="n">
        <v>0</v>
      </c>
      <c r="R929" s="2" t="inlineStr"/>
    </row>
    <row r="930" ht="15" customHeight="1">
      <c r="A930" t="inlineStr">
        <is>
          <t>A 43855-2021</t>
        </is>
      </c>
      <c r="B930" s="1" t="n">
        <v>44434</v>
      </c>
      <c r="C930" s="1" t="n">
        <v>45914</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3445-2022</t>
        </is>
      </c>
      <c r="B931" s="1" t="n">
        <v>44585.56642361111</v>
      </c>
      <c r="C931" s="1" t="n">
        <v>45914</v>
      </c>
      <c r="D931" t="inlineStr">
        <is>
          <t>SKÅNE LÄN</t>
        </is>
      </c>
      <c r="E931" t="inlineStr">
        <is>
          <t>ÖSTRA GÖINGE</t>
        </is>
      </c>
      <c r="G931" t="n">
        <v>0.8</v>
      </c>
      <c r="H931" t="n">
        <v>0</v>
      </c>
      <c r="I931" t="n">
        <v>0</v>
      </c>
      <c r="J931" t="n">
        <v>0</v>
      </c>
      <c r="K931" t="n">
        <v>0</v>
      </c>
      <c r="L931" t="n">
        <v>0</v>
      </c>
      <c r="M931" t="n">
        <v>0</v>
      </c>
      <c r="N931" t="n">
        <v>0</v>
      </c>
      <c r="O931" t="n">
        <v>0</v>
      </c>
      <c r="P931" t="n">
        <v>0</v>
      </c>
      <c r="Q931" t="n">
        <v>0</v>
      </c>
      <c r="R931" s="2" t="inlineStr"/>
    </row>
    <row r="932" ht="15" customHeight="1">
      <c r="A932" t="inlineStr">
        <is>
          <t>A 20510-2021</t>
        </is>
      </c>
      <c r="B932" s="1" t="n">
        <v>44315</v>
      </c>
      <c r="C932" s="1" t="n">
        <v>45914</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54362-2020</t>
        </is>
      </c>
      <c r="B933" s="1" t="n">
        <v>44126</v>
      </c>
      <c r="C933" s="1" t="n">
        <v>45914</v>
      </c>
      <c r="D933" t="inlineStr">
        <is>
          <t>SKÅNE LÄN</t>
        </is>
      </c>
      <c r="E933" t="inlineStr">
        <is>
          <t>HÄSSLEHOLM</t>
        </is>
      </c>
      <c r="G933" t="n">
        <v>4.5</v>
      </c>
      <c r="H933" t="n">
        <v>0</v>
      </c>
      <c r="I933" t="n">
        <v>0</v>
      </c>
      <c r="J933" t="n">
        <v>0</v>
      </c>
      <c r="K933" t="n">
        <v>0</v>
      </c>
      <c r="L933" t="n">
        <v>0</v>
      </c>
      <c r="M933" t="n">
        <v>0</v>
      </c>
      <c r="N933" t="n">
        <v>0</v>
      </c>
      <c r="O933" t="n">
        <v>0</v>
      </c>
      <c r="P933" t="n">
        <v>0</v>
      </c>
      <c r="Q933" t="n">
        <v>0</v>
      </c>
      <c r="R933" s="2" t="inlineStr"/>
    </row>
    <row r="934" ht="15" customHeight="1">
      <c r="A934" t="inlineStr">
        <is>
          <t>A 19910-2022</t>
        </is>
      </c>
      <c r="B934" s="1" t="n">
        <v>44697</v>
      </c>
      <c r="C934" s="1" t="n">
        <v>45914</v>
      </c>
      <c r="D934" t="inlineStr">
        <is>
          <t>SKÅNE LÄN</t>
        </is>
      </c>
      <c r="E934" t="inlineStr">
        <is>
          <t>KRISTIANSTAD</t>
        </is>
      </c>
      <c r="G934" t="n">
        <v>5.9</v>
      </c>
      <c r="H934" t="n">
        <v>0</v>
      </c>
      <c r="I934" t="n">
        <v>0</v>
      </c>
      <c r="J934" t="n">
        <v>0</v>
      </c>
      <c r="K934" t="n">
        <v>0</v>
      </c>
      <c r="L934" t="n">
        <v>0</v>
      </c>
      <c r="M934" t="n">
        <v>0</v>
      </c>
      <c r="N934" t="n">
        <v>0</v>
      </c>
      <c r="O934" t="n">
        <v>0</v>
      </c>
      <c r="P934" t="n">
        <v>0</v>
      </c>
      <c r="Q934" t="n">
        <v>0</v>
      </c>
      <c r="R934" s="2" t="inlineStr"/>
    </row>
    <row r="935" ht="15" customHeight="1">
      <c r="A935" t="inlineStr">
        <is>
          <t>A 62734-2020</t>
        </is>
      </c>
      <c r="B935" s="1" t="n">
        <v>44161</v>
      </c>
      <c r="C935" s="1" t="n">
        <v>45914</v>
      </c>
      <c r="D935" t="inlineStr">
        <is>
          <t>SKÅNE LÄN</t>
        </is>
      </c>
      <c r="E935" t="inlineStr">
        <is>
          <t>BROMÖLLA</t>
        </is>
      </c>
      <c r="G935" t="n">
        <v>2.3</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45914</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33571-2022</t>
        </is>
      </c>
      <c r="B937" s="1" t="n">
        <v>44789</v>
      </c>
      <c r="C937" s="1" t="n">
        <v>45914</v>
      </c>
      <c r="D937" t="inlineStr">
        <is>
          <t>SKÅNE LÄN</t>
        </is>
      </c>
      <c r="E937" t="inlineStr">
        <is>
          <t>HÖRBY</t>
        </is>
      </c>
      <c r="G937" t="n">
        <v>0.5</v>
      </c>
      <c r="H937" t="n">
        <v>0</v>
      </c>
      <c r="I937" t="n">
        <v>0</v>
      </c>
      <c r="J937" t="n">
        <v>0</v>
      </c>
      <c r="K937" t="n">
        <v>0</v>
      </c>
      <c r="L937" t="n">
        <v>0</v>
      </c>
      <c r="M937" t="n">
        <v>0</v>
      </c>
      <c r="N937" t="n">
        <v>0</v>
      </c>
      <c r="O937" t="n">
        <v>0</v>
      </c>
      <c r="P937" t="n">
        <v>0</v>
      </c>
      <c r="Q937" t="n">
        <v>0</v>
      </c>
      <c r="R937" s="2" t="inlineStr"/>
    </row>
    <row r="938" ht="15" customHeight="1">
      <c r="A938" t="inlineStr">
        <is>
          <t>A 48173-2021</t>
        </is>
      </c>
      <c r="B938" s="1" t="n">
        <v>44449</v>
      </c>
      <c r="C938" s="1" t="n">
        <v>45914</v>
      </c>
      <c r="D938" t="inlineStr">
        <is>
          <t>SKÅNE LÄN</t>
        </is>
      </c>
      <c r="E938" t="inlineStr">
        <is>
          <t>KRISTIANSTAD</t>
        </is>
      </c>
      <c r="G938" t="n">
        <v>2.9</v>
      </c>
      <c r="H938" t="n">
        <v>0</v>
      </c>
      <c r="I938" t="n">
        <v>0</v>
      </c>
      <c r="J938" t="n">
        <v>0</v>
      </c>
      <c r="K938" t="n">
        <v>0</v>
      </c>
      <c r="L938" t="n">
        <v>0</v>
      </c>
      <c r="M938" t="n">
        <v>0</v>
      </c>
      <c r="N938" t="n">
        <v>0</v>
      </c>
      <c r="O938" t="n">
        <v>0</v>
      </c>
      <c r="P938" t="n">
        <v>0</v>
      </c>
      <c r="Q938" t="n">
        <v>0</v>
      </c>
      <c r="R938" s="2" t="inlineStr"/>
    </row>
    <row r="939" ht="15" customHeight="1">
      <c r="A939" t="inlineStr">
        <is>
          <t>A 54544-2020</t>
        </is>
      </c>
      <c r="B939" s="1" t="n">
        <v>44126</v>
      </c>
      <c r="C939" s="1" t="n">
        <v>45914</v>
      </c>
      <c r="D939" t="inlineStr">
        <is>
          <t>SKÅNE LÄN</t>
        </is>
      </c>
      <c r="E939" t="inlineStr">
        <is>
          <t>OSBY</t>
        </is>
      </c>
      <c r="G939" t="n">
        <v>0.8</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45914</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64826-2021</t>
        </is>
      </c>
      <c r="B941" s="1" t="n">
        <v>44512.55935185185</v>
      </c>
      <c r="C941" s="1" t="n">
        <v>45914</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3472-2021</t>
        </is>
      </c>
      <c r="B942" s="1" t="n">
        <v>44218</v>
      </c>
      <c r="C942" s="1" t="n">
        <v>45914</v>
      </c>
      <c r="D942" t="inlineStr">
        <is>
          <t>SKÅNE LÄN</t>
        </is>
      </c>
      <c r="E942" t="inlineStr">
        <is>
          <t>OSBY</t>
        </is>
      </c>
      <c r="F942" t="inlineStr">
        <is>
          <t>Naturvårdsverket</t>
        </is>
      </c>
      <c r="G942" t="n">
        <v>1.9</v>
      </c>
      <c r="H942" t="n">
        <v>0</v>
      </c>
      <c r="I942" t="n">
        <v>0</v>
      </c>
      <c r="J942" t="n">
        <v>0</v>
      </c>
      <c r="K942" t="n">
        <v>0</v>
      </c>
      <c r="L942" t="n">
        <v>0</v>
      </c>
      <c r="M942" t="n">
        <v>0</v>
      </c>
      <c r="N942" t="n">
        <v>0</v>
      </c>
      <c r="O942" t="n">
        <v>0</v>
      </c>
      <c r="P942" t="n">
        <v>0</v>
      </c>
      <c r="Q942" t="n">
        <v>0</v>
      </c>
      <c r="R942" s="2" t="inlineStr"/>
    </row>
    <row r="943" ht="15" customHeight="1">
      <c r="A943" t="inlineStr">
        <is>
          <t>A 39102-2022</t>
        </is>
      </c>
      <c r="B943" s="1" t="n">
        <v>44817.43260416666</v>
      </c>
      <c r="C943" s="1" t="n">
        <v>45914</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8683-2021</t>
        </is>
      </c>
      <c r="B944" s="1" t="n">
        <v>44245</v>
      </c>
      <c r="C944" s="1" t="n">
        <v>45914</v>
      </c>
      <c r="D944" t="inlineStr">
        <is>
          <t>SKÅNE LÄN</t>
        </is>
      </c>
      <c r="E944" t="inlineStr">
        <is>
          <t>PERSTORP</t>
        </is>
      </c>
      <c r="F944" t="inlineStr">
        <is>
          <t>Övriga Aktiebolag</t>
        </is>
      </c>
      <c r="G944" t="n">
        <v>13</v>
      </c>
      <c r="H944" t="n">
        <v>0</v>
      </c>
      <c r="I944" t="n">
        <v>0</v>
      </c>
      <c r="J944" t="n">
        <v>0</v>
      </c>
      <c r="K944" t="n">
        <v>0</v>
      </c>
      <c r="L944" t="n">
        <v>0</v>
      </c>
      <c r="M944" t="n">
        <v>0</v>
      </c>
      <c r="N944" t="n">
        <v>0</v>
      </c>
      <c r="O944" t="n">
        <v>0</v>
      </c>
      <c r="P944" t="n">
        <v>0</v>
      </c>
      <c r="Q944" t="n">
        <v>0</v>
      </c>
      <c r="R944" s="2" t="inlineStr"/>
    </row>
    <row r="945" ht="15" customHeight="1">
      <c r="A945" t="inlineStr">
        <is>
          <t>A 8686-2021</t>
        </is>
      </c>
      <c r="B945" s="1" t="n">
        <v>44245</v>
      </c>
      <c r="C945" s="1" t="n">
        <v>45914</v>
      </c>
      <c r="D945" t="inlineStr">
        <is>
          <t>SKÅNE LÄN</t>
        </is>
      </c>
      <c r="E945" t="inlineStr">
        <is>
          <t>KLIPPAN</t>
        </is>
      </c>
      <c r="F945" t="inlineStr">
        <is>
          <t>Övriga Aktiebolag</t>
        </is>
      </c>
      <c r="G945" t="n">
        <v>0.8</v>
      </c>
      <c r="H945" t="n">
        <v>0</v>
      </c>
      <c r="I945" t="n">
        <v>0</v>
      </c>
      <c r="J945" t="n">
        <v>0</v>
      </c>
      <c r="K945" t="n">
        <v>0</v>
      </c>
      <c r="L945" t="n">
        <v>0</v>
      </c>
      <c r="M945" t="n">
        <v>0</v>
      </c>
      <c r="N945" t="n">
        <v>0</v>
      </c>
      <c r="O945" t="n">
        <v>0</v>
      </c>
      <c r="P945" t="n">
        <v>0</v>
      </c>
      <c r="Q945" t="n">
        <v>0</v>
      </c>
      <c r="R945" s="2" t="inlineStr"/>
    </row>
    <row r="946" ht="15" customHeight="1">
      <c r="A946" t="inlineStr">
        <is>
          <t>A 50372-2020</t>
        </is>
      </c>
      <c r="B946" s="1" t="n">
        <v>44110</v>
      </c>
      <c r="C946" s="1" t="n">
        <v>45914</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45108-2022</t>
        </is>
      </c>
      <c r="B947" s="1" t="n">
        <v>44843</v>
      </c>
      <c r="C947" s="1" t="n">
        <v>45914</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38938-2022</t>
        </is>
      </c>
      <c r="B948" s="1" t="n">
        <v>44816.66179398148</v>
      </c>
      <c r="C948" s="1" t="n">
        <v>45914</v>
      </c>
      <c r="D948" t="inlineStr">
        <is>
          <t>SKÅNE LÄN</t>
        </is>
      </c>
      <c r="E948" t="inlineStr">
        <is>
          <t>KRISTIANSTAD</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45043-2022</t>
        </is>
      </c>
      <c r="B949" s="1" t="n">
        <v>44841.68107638889</v>
      </c>
      <c r="C949" s="1" t="n">
        <v>45914</v>
      </c>
      <c r="D949" t="inlineStr">
        <is>
          <t>SKÅNE LÄN</t>
        </is>
      </c>
      <c r="E949" t="inlineStr">
        <is>
          <t>KRISTIANSTAD</t>
        </is>
      </c>
      <c r="G949" t="n">
        <v>0.4</v>
      </c>
      <c r="H949" t="n">
        <v>0</v>
      </c>
      <c r="I949" t="n">
        <v>0</v>
      </c>
      <c r="J949" t="n">
        <v>0</v>
      </c>
      <c r="K949" t="n">
        <v>0</v>
      </c>
      <c r="L949" t="n">
        <v>0</v>
      </c>
      <c r="M949" t="n">
        <v>0</v>
      </c>
      <c r="N949" t="n">
        <v>0</v>
      </c>
      <c r="O949" t="n">
        <v>0</v>
      </c>
      <c r="P949" t="n">
        <v>0</v>
      </c>
      <c r="Q949" t="n">
        <v>0</v>
      </c>
      <c r="R949" s="2" t="inlineStr"/>
    </row>
    <row r="950" ht="15" customHeight="1">
      <c r="A950" t="inlineStr">
        <is>
          <t>A 8248-2022</t>
        </is>
      </c>
      <c r="B950" s="1" t="n">
        <v>44609</v>
      </c>
      <c r="C950" s="1" t="n">
        <v>45914</v>
      </c>
      <c r="D950" t="inlineStr">
        <is>
          <t>SKÅNE LÄN</t>
        </is>
      </c>
      <c r="E950" t="inlineStr">
        <is>
          <t>OSBY</t>
        </is>
      </c>
      <c r="F950" t="inlineStr">
        <is>
          <t>Kyrkan</t>
        </is>
      </c>
      <c r="G950" t="n">
        <v>8.9</v>
      </c>
      <c r="H950" t="n">
        <v>0</v>
      </c>
      <c r="I950" t="n">
        <v>0</v>
      </c>
      <c r="J950" t="n">
        <v>0</v>
      </c>
      <c r="K950" t="n">
        <v>0</v>
      </c>
      <c r="L950" t="n">
        <v>0</v>
      </c>
      <c r="M950" t="n">
        <v>0</v>
      </c>
      <c r="N950" t="n">
        <v>0</v>
      </c>
      <c r="O950" t="n">
        <v>0</v>
      </c>
      <c r="P950" t="n">
        <v>0</v>
      </c>
      <c r="Q950" t="n">
        <v>0</v>
      </c>
      <c r="R950" s="2" t="inlineStr"/>
    </row>
    <row r="951" ht="15" customHeight="1">
      <c r="A951" t="inlineStr">
        <is>
          <t>A 47112-2021</t>
        </is>
      </c>
      <c r="B951" s="1" t="n">
        <v>44446</v>
      </c>
      <c r="C951" s="1" t="n">
        <v>45914</v>
      </c>
      <c r="D951" t="inlineStr">
        <is>
          <t>SKÅNE LÄN</t>
        </is>
      </c>
      <c r="E951" t="inlineStr">
        <is>
          <t>HÄSSLEHOLM</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52304-2021</t>
        </is>
      </c>
      <c r="B952" s="1" t="n">
        <v>44463.82530092593</v>
      </c>
      <c r="C952" s="1" t="n">
        <v>45914</v>
      </c>
      <c r="D952" t="inlineStr">
        <is>
          <t>SKÅNE LÄN</t>
        </is>
      </c>
      <c r="E952" t="inlineStr">
        <is>
          <t>ÖSTRA GÖINGE</t>
        </is>
      </c>
      <c r="G952" t="n">
        <v>1.2</v>
      </c>
      <c r="H952" t="n">
        <v>0</v>
      </c>
      <c r="I952" t="n">
        <v>0</v>
      </c>
      <c r="J952" t="n">
        <v>0</v>
      </c>
      <c r="K952" t="n">
        <v>0</v>
      </c>
      <c r="L952" t="n">
        <v>0</v>
      </c>
      <c r="M952" t="n">
        <v>0</v>
      </c>
      <c r="N952" t="n">
        <v>0</v>
      </c>
      <c r="O952" t="n">
        <v>0</v>
      </c>
      <c r="P952" t="n">
        <v>0</v>
      </c>
      <c r="Q952" t="n">
        <v>0</v>
      </c>
      <c r="R952" s="2" t="inlineStr"/>
    </row>
    <row r="953" ht="15" customHeight="1">
      <c r="A953" t="inlineStr">
        <is>
          <t>A 49747-2022</t>
        </is>
      </c>
      <c r="B953" s="1" t="n">
        <v>44862.57940972222</v>
      </c>
      <c r="C953" s="1" t="n">
        <v>45914</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12174-2021</t>
        </is>
      </c>
      <c r="B954" s="1" t="n">
        <v>44266</v>
      </c>
      <c r="C954" s="1" t="n">
        <v>45914</v>
      </c>
      <c r="D954" t="inlineStr">
        <is>
          <t>SKÅNE LÄN</t>
        </is>
      </c>
      <c r="E954" t="inlineStr">
        <is>
          <t>HÖRBY</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57669-2020</t>
        </is>
      </c>
      <c r="B955" s="1" t="n">
        <v>44140</v>
      </c>
      <c r="C955" s="1" t="n">
        <v>45914</v>
      </c>
      <c r="D955" t="inlineStr">
        <is>
          <t>SKÅNE LÄN</t>
        </is>
      </c>
      <c r="E955" t="inlineStr">
        <is>
          <t>OSBY</t>
        </is>
      </c>
      <c r="G955" t="n">
        <v>1.7</v>
      </c>
      <c r="H955" t="n">
        <v>0</v>
      </c>
      <c r="I955" t="n">
        <v>0</v>
      </c>
      <c r="J955" t="n">
        <v>0</v>
      </c>
      <c r="K955" t="n">
        <v>0</v>
      </c>
      <c r="L955" t="n">
        <v>0</v>
      </c>
      <c r="M955" t="n">
        <v>0</v>
      </c>
      <c r="N955" t="n">
        <v>0</v>
      </c>
      <c r="O955" t="n">
        <v>0</v>
      </c>
      <c r="P955" t="n">
        <v>0</v>
      </c>
      <c r="Q955" t="n">
        <v>0</v>
      </c>
      <c r="R955" s="2" t="inlineStr"/>
    </row>
    <row r="956" ht="15" customHeight="1">
      <c r="A956" t="inlineStr">
        <is>
          <t>A 32455-2022</t>
        </is>
      </c>
      <c r="B956" s="1" t="n">
        <v>44782.541875</v>
      </c>
      <c r="C956" s="1" t="n">
        <v>45914</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73920-2021</t>
        </is>
      </c>
      <c r="B957" s="1" t="n">
        <v>44553</v>
      </c>
      <c r="C957" s="1" t="n">
        <v>45914</v>
      </c>
      <c r="D957" t="inlineStr">
        <is>
          <t>SKÅNE LÄN</t>
        </is>
      </c>
      <c r="E957" t="inlineStr">
        <is>
          <t>OSBY</t>
        </is>
      </c>
      <c r="G957" t="n">
        <v>0.9</v>
      </c>
      <c r="H957" t="n">
        <v>0</v>
      </c>
      <c r="I957" t="n">
        <v>0</v>
      </c>
      <c r="J957" t="n">
        <v>0</v>
      </c>
      <c r="K957" t="n">
        <v>0</v>
      </c>
      <c r="L957" t="n">
        <v>0</v>
      </c>
      <c r="M957" t="n">
        <v>0</v>
      </c>
      <c r="N957" t="n">
        <v>0</v>
      </c>
      <c r="O957" t="n">
        <v>0</v>
      </c>
      <c r="P957" t="n">
        <v>0</v>
      </c>
      <c r="Q957" t="n">
        <v>0</v>
      </c>
      <c r="R957" s="2" t="inlineStr"/>
    </row>
    <row r="958" ht="15" customHeight="1">
      <c r="A958" t="inlineStr">
        <is>
          <t>A 74418-2021</t>
        </is>
      </c>
      <c r="B958" s="1" t="n">
        <v>44560</v>
      </c>
      <c r="C958" s="1" t="n">
        <v>45914</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48792-2020</t>
        </is>
      </c>
      <c r="B959" s="1" t="n">
        <v>44103</v>
      </c>
      <c r="C959" s="1" t="n">
        <v>45914</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23967-2022</t>
        </is>
      </c>
      <c r="B960" s="1" t="n">
        <v>44722.74079861111</v>
      </c>
      <c r="C960" s="1" t="n">
        <v>45914</v>
      </c>
      <c r="D960" t="inlineStr">
        <is>
          <t>SKÅNE LÄN</t>
        </is>
      </c>
      <c r="E960" t="inlineStr">
        <is>
          <t>HÄSSLEHOLM</t>
        </is>
      </c>
      <c r="F960" t="inlineStr">
        <is>
          <t>Kyrkan</t>
        </is>
      </c>
      <c r="G960" t="n">
        <v>12.4</v>
      </c>
      <c r="H960" t="n">
        <v>0</v>
      </c>
      <c r="I960" t="n">
        <v>0</v>
      </c>
      <c r="J960" t="n">
        <v>0</v>
      </c>
      <c r="K960" t="n">
        <v>0</v>
      </c>
      <c r="L960" t="n">
        <v>0</v>
      </c>
      <c r="M960" t="n">
        <v>0</v>
      </c>
      <c r="N960" t="n">
        <v>0</v>
      </c>
      <c r="O960" t="n">
        <v>0</v>
      </c>
      <c r="P960" t="n">
        <v>0</v>
      </c>
      <c r="Q960" t="n">
        <v>0</v>
      </c>
      <c r="R960" s="2" t="inlineStr"/>
    </row>
    <row r="961" ht="15" customHeight="1">
      <c r="A961" t="inlineStr">
        <is>
          <t>A 61038-2020</t>
        </is>
      </c>
      <c r="B961" s="1" t="n">
        <v>44154</v>
      </c>
      <c r="C961" s="1" t="n">
        <v>45914</v>
      </c>
      <c r="D961" t="inlineStr">
        <is>
          <t>SKÅNE LÄN</t>
        </is>
      </c>
      <c r="E961" t="inlineStr">
        <is>
          <t>KLIPPAN</t>
        </is>
      </c>
      <c r="G961" t="n">
        <v>1.8</v>
      </c>
      <c r="H961" t="n">
        <v>0</v>
      </c>
      <c r="I961" t="n">
        <v>0</v>
      </c>
      <c r="J961" t="n">
        <v>0</v>
      </c>
      <c r="K961" t="n">
        <v>0</v>
      </c>
      <c r="L961" t="n">
        <v>0</v>
      </c>
      <c r="M961" t="n">
        <v>0</v>
      </c>
      <c r="N961" t="n">
        <v>0</v>
      </c>
      <c r="O961" t="n">
        <v>0</v>
      </c>
      <c r="P961" t="n">
        <v>0</v>
      </c>
      <c r="Q961" t="n">
        <v>0</v>
      </c>
      <c r="R961" s="2" t="inlineStr"/>
    </row>
    <row r="962" ht="15" customHeight="1">
      <c r="A962" t="inlineStr">
        <is>
          <t>A 43865-2022</t>
        </is>
      </c>
      <c r="B962" s="1" t="n">
        <v>44838.43405092593</v>
      </c>
      <c r="C962" s="1" t="n">
        <v>45914</v>
      </c>
      <c r="D962" t="inlineStr">
        <is>
          <t>SKÅNE LÄN</t>
        </is>
      </c>
      <c r="E962" t="inlineStr">
        <is>
          <t>KRISTIANSTAD</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2858-2022</t>
        </is>
      </c>
      <c r="B963" s="1" t="n">
        <v>44581</v>
      </c>
      <c r="C963" s="1" t="n">
        <v>45914</v>
      </c>
      <c r="D963" t="inlineStr">
        <is>
          <t>SKÅNE LÄN</t>
        </is>
      </c>
      <c r="E963" t="inlineStr">
        <is>
          <t>HÄSSLEHOLM</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60263-2021</t>
        </is>
      </c>
      <c r="B964" s="1" t="n">
        <v>44495</v>
      </c>
      <c r="C964" s="1" t="n">
        <v>45914</v>
      </c>
      <c r="D964" t="inlineStr">
        <is>
          <t>SKÅNE LÄN</t>
        </is>
      </c>
      <c r="E964" t="inlineStr">
        <is>
          <t>SJÖBO</t>
        </is>
      </c>
      <c r="G964" t="n">
        <v>0.9</v>
      </c>
      <c r="H964" t="n">
        <v>0</v>
      </c>
      <c r="I964" t="n">
        <v>0</v>
      </c>
      <c r="J964" t="n">
        <v>0</v>
      </c>
      <c r="K964" t="n">
        <v>0</v>
      </c>
      <c r="L964" t="n">
        <v>0</v>
      </c>
      <c r="M964" t="n">
        <v>0</v>
      </c>
      <c r="N964" t="n">
        <v>0</v>
      </c>
      <c r="O964" t="n">
        <v>0</v>
      </c>
      <c r="P964" t="n">
        <v>0</v>
      </c>
      <c r="Q964" t="n">
        <v>0</v>
      </c>
      <c r="R964" s="2" t="inlineStr"/>
    </row>
    <row r="965" ht="15" customHeight="1">
      <c r="A965" t="inlineStr">
        <is>
          <t>A 40139-2022</t>
        </is>
      </c>
      <c r="B965" s="1" t="n">
        <v>44820</v>
      </c>
      <c r="C965" s="1" t="n">
        <v>45914</v>
      </c>
      <c r="D965" t="inlineStr">
        <is>
          <t>SKÅNE LÄN</t>
        </is>
      </c>
      <c r="E965" t="inlineStr">
        <is>
          <t>ÖSTRA GÖINGE</t>
        </is>
      </c>
      <c r="G965" t="n">
        <v>0.2</v>
      </c>
      <c r="H965" t="n">
        <v>0</v>
      </c>
      <c r="I965" t="n">
        <v>0</v>
      </c>
      <c r="J965" t="n">
        <v>0</v>
      </c>
      <c r="K965" t="n">
        <v>0</v>
      </c>
      <c r="L965" t="n">
        <v>0</v>
      </c>
      <c r="M965" t="n">
        <v>0</v>
      </c>
      <c r="N965" t="n">
        <v>0</v>
      </c>
      <c r="O965" t="n">
        <v>0</v>
      </c>
      <c r="P965" t="n">
        <v>0</v>
      </c>
      <c r="Q965" t="n">
        <v>0</v>
      </c>
      <c r="R965" s="2" t="inlineStr"/>
    </row>
    <row r="966" ht="15" customHeight="1">
      <c r="A966" t="inlineStr">
        <is>
          <t>A 22548-2022</t>
        </is>
      </c>
      <c r="B966" s="1" t="n">
        <v>44713.92694444444</v>
      </c>
      <c r="C966" s="1" t="n">
        <v>45914</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50520-2022</t>
        </is>
      </c>
      <c r="B967" s="1" t="n">
        <v>44866.56840277778</v>
      </c>
      <c r="C967" s="1" t="n">
        <v>45914</v>
      </c>
      <c r="D967" t="inlineStr">
        <is>
          <t>SKÅNE LÄN</t>
        </is>
      </c>
      <c r="E967" t="inlineStr">
        <is>
          <t>KRISTIANSTAD</t>
        </is>
      </c>
      <c r="G967" t="n">
        <v>0.3</v>
      </c>
      <c r="H967" t="n">
        <v>0</v>
      </c>
      <c r="I967" t="n">
        <v>0</v>
      </c>
      <c r="J967" t="n">
        <v>0</v>
      </c>
      <c r="K967" t="n">
        <v>0</v>
      </c>
      <c r="L967" t="n">
        <v>0</v>
      </c>
      <c r="M967" t="n">
        <v>0</v>
      </c>
      <c r="N967" t="n">
        <v>0</v>
      </c>
      <c r="O967" t="n">
        <v>0</v>
      </c>
      <c r="P967" t="n">
        <v>0</v>
      </c>
      <c r="Q967" t="n">
        <v>0</v>
      </c>
      <c r="R967" s="2" t="inlineStr"/>
    </row>
    <row r="968" ht="15" customHeight="1">
      <c r="A968" t="inlineStr">
        <is>
          <t>A 5320-2022</t>
        </is>
      </c>
      <c r="B968" s="1" t="n">
        <v>44594.66660879629</v>
      </c>
      <c r="C968" s="1" t="n">
        <v>45914</v>
      </c>
      <c r="D968" t="inlineStr">
        <is>
          <t>SKÅNE LÄN</t>
        </is>
      </c>
      <c r="E968" t="inlineStr">
        <is>
          <t>BROMÖLLA</t>
        </is>
      </c>
      <c r="G968" t="n">
        <v>7.4</v>
      </c>
      <c r="H968" t="n">
        <v>0</v>
      </c>
      <c r="I968" t="n">
        <v>0</v>
      </c>
      <c r="J968" t="n">
        <v>0</v>
      </c>
      <c r="K968" t="n">
        <v>0</v>
      </c>
      <c r="L968" t="n">
        <v>0</v>
      </c>
      <c r="M968" t="n">
        <v>0</v>
      </c>
      <c r="N968" t="n">
        <v>0</v>
      </c>
      <c r="O968" t="n">
        <v>0</v>
      </c>
      <c r="P968" t="n">
        <v>0</v>
      </c>
      <c r="Q968" t="n">
        <v>0</v>
      </c>
      <c r="R968" s="2" t="inlineStr"/>
    </row>
    <row r="969" ht="15" customHeight="1">
      <c r="A969" t="inlineStr">
        <is>
          <t>A 6414-2022</t>
        </is>
      </c>
      <c r="B969" s="1" t="n">
        <v>44600</v>
      </c>
      <c r="C969" s="1" t="n">
        <v>45914</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54079-2020</t>
        </is>
      </c>
      <c r="B970" s="1" t="n">
        <v>44125.61570601852</v>
      </c>
      <c r="C970" s="1" t="n">
        <v>45914</v>
      </c>
      <c r="D970" t="inlineStr">
        <is>
          <t>SKÅNE LÄN</t>
        </is>
      </c>
      <c r="E970" t="inlineStr">
        <is>
          <t>HÄSSLEHOLM</t>
        </is>
      </c>
      <c r="G970" t="n">
        <v>0.3</v>
      </c>
      <c r="H970" t="n">
        <v>0</v>
      </c>
      <c r="I970" t="n">
        <v>0</v>
      </c>
      <c r="J970" t="n">
        <v>0</v>
      </c>
      <c r="K970" t="n">
        <v>0</v>
      </c>
      <c r="L970" t="n">
        <v>0</v>
      </c>
      <c r="M970" t="n">
        <v>0</v>
      </c>
      <c r="N970" t="n">
        <v>0</v>
      </c>
      <c r="O970" t="n">
        <v>0</v>
      </c>
      <c r="P970" t="n">
        <v>0</v>
      </c>
      <c r="Q970" t="n">
        <v>0</v>
      </c>
      <c r="R970" s="2" t="inlineStr"/>
    </row>
    <row r="971" ht="15" customHeight="1">
      <c r="A971" t="inlineStr">
        <is>
          <t>A 27959-2022</t>
        </is>
      </c>
      <c r="B971" s="1" t="n">
        <v>44744</v>
      </c>
      <c r="C971" s="1" t="n">
        <v>45914</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53784-2021</t>
        </is>
      </c>
      <c r="B972" s="1" t="n">
        <v>44469.58342592593</v>
      </c>
      <c r="C972" s="1" t="n">
        <v>45914</v>
      </c>
      <c r="D972" t="inlineStr">
        <is>
          <t>SKÅNE LÄN</t>
        </is>
      </c>
      <c r="E972" t="inlineStr">
        <is>
          <t>PERSTORP</t>
        </is>
      </c>
      <c r="G972" t="n">
        <v>1.5</v>
      </c>
      <c r="H972" t="n">
        <v>0</v>
      </c>
      <c r="I972" t="n">
        <v>0</v>
      </c>
      <c r="J972" t="n">
        <v>0</v>
      </c>
      <c r="K972" t="n">
        <v>0</v>
      </c>
      <c r="L972" t="n">
        <v>0</v>
      </c>
      <c r="M972" t="n">
        <v>0</v>
      </c>
      <c r="N972" t="n">
        <v>0</v>
      </c>
      <c r="O972" t="n">
        <v>0</v>
      </c>
      <c r="P972" t="n">
        <v>0</v>
      </c>
      <c r="Q972" t="n">
        <v>0</v>
      </c>
      <c r="R972" s="2" t="inlineStr"/>
    </row>
    <row r="973" ht="15" customHeight="1">
      <c r="A973" t="inlineStr">
        <is>
          <t>A 10501-2022</t>
        </is>
      </c>
      <c r="B973" s="1" t="n">
        <v>44623.6662037037</v>
      </c>
      <c r="C973" s="1" t="n">
        <v>45914</v>
      </c>
      <c r="D973" t="inlineStr">
        <is>
          <t>SKÅNE LÄN</t>
        </is>
      </c>
      <c r="E973" t="inlineStr">
        <is>
          <t>ÖSTRA GÖINGE</t>
        </is>
      </c>
      <c r="G973" t="n">
        <v>0.7</v>
      </c>
      <c r="H973" t="n">
        <v>0</v>
      </c>
      <c r="I973" t="n">
        <v>0</v>
      </c>
      <c r="J973" t="n">
        <v>0</v>
      </c>
      <c r="K973" t="n">
        <v>0</v>
      </c>
      <c r="L973" t="n">
        <v>0</v>
      </c>
      <c r="M973" t="n">
        <v>0</v>
      </c>
      <c r="N973" t="n">
        <v>0</v>
      </c>
      <c r="O973" t="n">
        <v>0</v>
      </c>
      <c r="P973" t="n">
        <v>0</v>
      </c>
      <c r="Q973" t="n">
        <v>0</v>
      </c>
      <c r="R973" s="2" t="inlineStr"/>
    </row>
    <row r="974" ht="15" customHeight="1">
      <c r="A974" t="inlineStr">
        <is>
          <t>A 60597-2020</t>
        </is>
      </c>
      <c r="B974" s="1" t="n">
        <v>44152</v>
      </c>
      <c r="C974" s="1" t="n">
        <v>45914</v>
      </c>
      <c r="D974" t="inlineStr">
        <is>
          <t>SKÅNE LÄN</t>
        </is>
      </c>
      <c r="E974" t="inlineStr">
        <is>
          <t>HÄSSLEHOLM</t>
        </is>
      </c>
      <c r="G974" t="n">
        <v>3.4</v>
      </c>
      <c r="H974" t="n">
        <v>0</v>
      </c>
      <c r="I974" t="n">
        <v>0</v>
      </c>
      <c r="J974" t="n">
        <v>0</v>
      </c>
      <c r="K974" t="n">
        <v>0</v>
      </c>
      <c r="L974" t="n">
        <v>0</v>
      </c>
      <c r="M974" t="n">
        <v>0</v>
      </c>
      <c r="N974" t="n">
        <v>0</v>
      </c>
      <c r="O974" t="n">
        <v>0</v>
      </c>
      <c r="P974" t="n">
        <v>0</v>
      </c>
      <c r="Q974" t="n">
        <v>0</v>
      </c>
      <c r="R974" s="2" t="inlineStr"/>
    </row>
    <row r="975" ht="15" customHeight="1">
      <c r="A975" t="inlineStr">
        <is>
          <t>A 37913-2021</t>
        </is>
      </c>
      <c r="B975" s="1" t="n">
        <v>44403</v>
      </c>
      <c r="C975" s="1" t="n">
        <v>45914</v>
      </c>
      <c r="D975" t="inlineStr">
        <is>
          <t>SKÅNE LÄN</t>
        </is>
      </c>
      <c r="E975" t="inlineStr">
        <is>
          <t>HÖÖR</t>
        </is>
      </c>
      <c r="G975" t="n">
        <v>2.1</v>
      </c>
      <c r="H975" t="n">
        <v>0</v>
      </c>
      <c r="I975" t="n">
        <v>0</v>
      </c>
      <c r="J975" t="n">
        <v>0</v>
      </c>
      <c r="K975" t="n">
        <v>0</v>
      </c>
      <c r="L975" t="n">
        <v>0</v>
      </c>
      <c r="M975" t="n">
        <v>0</v>
      </c>
      <c r="N975" t="n">
        <v>0</v>
      </c>
      <c r="O975" t="n">
        <v>0</v>
      </c>
      <c r="P975" t="n">
        <v>0</v>
      </c>
      <c r="Q975" t="n">
        <v>0</v>
      </c>
      <c r="R975" s="2" t="inlineStr"/>
    </row>
    <row r="976" ht="15" customHeight="1">
      <c r="A976" t="inlineStr">
        <is>
          <t>A 7231-2021</t>
        </is>
      </c>
      <c r="B976" s="1" t="n">
        <v>44237</v>
      </c>
      <c r="C976" s="1" t="n">
        <v>45914</v>
      </c>
      <c r="D976" t="inlineStr">
        <is>
          <t>SKÅNE LÄN</t>
        </is>
      </c>
      <c r="E976" t="inlineStr">
        <is>
          <t>KRISTIANSTAD</t>
        </is>
      </c>
      <c r="G976" t="n">
        <v>7.1</v>
      </c>
      <c r="H976" t="n">
        <v>0</v>
      </c>
      <c r="I976" t="n">
        <v>0</v>
      </c>
      <c r="J976" t="n">
        <v>0</v>
      </c>
      <c r="K976" t="n">
        <v>0</v>
      </c>
      <c r="L976" t="n">
        <v>0</v>
      </c>
      <c r="M976" t="n">
        <v>0</v>
      </c>
      <c r="N976" t="n">
        <v>0</v>
      </c>
      <c r="O976" t="n">
        <v>0</v>
      </c>
      <c r="P976" t="n">
        <v>0</v>
      </c>
      <c r="Q976" t="n">
        <v>0</v>
      </c>
      <c r="R976" s="2" t="inlineStr"/>
    </row>
    <row r="977" ht="15" customHeight="1">
      <c r="A977" t="inlineStr">
        <is>
          <t>A 69504-2020</t>
        </is>
      </c>
      <c r="B977" s="1" t="n">
        <v>44194</v>
      </c>
      <c r="C977" s="1" t="n">
        <v>45914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67024-2021</t>
        </is>
      </c>
      <c r="B978" s="1" t="n">
        <v>44522</v>
      </c>
      <c r="C978" s="1" t="n">
        <v>45914</v>
      </c>
      <c r="D978" t="inlineStr">
        <is>
          <t>SKÅNE LÄN</t>
        </is>
      </c>
      <c r="E978" t="inlineStr">
        <is>
          <t>KRISTIANSTAD</t>
        </is>
      </c>
      <c r="G978" t="n">
        <v>2.2</v>
      </c>
      <c r="H978" t="n">
        <v>0</v>
      </c>
      <c r="I978" t="n">
        <v>0</v>
      </c>
      <c r="J978" t="n">
        <v>0</v>
      </c>
      <c r="K978" t="n">
        <v>0</v>
      </c>
      <c r="L978" t="n">
        <v>0</v>
      </c>
      <c r="M978" t="n">
        <v>0</v>
      </c>
      <c r="N978" t="n">
        <v>0</v>
      </c>
      <c r="O978" t="n">
        <v>0</v>
      </c>
      <c r="P978" t="n">
        <v>0</v>
      </c>
      <c r="Q978" t="n">
        <v>0</v>
      </c>
      <c r="R978" s="2" t="inlineStr"/>
    </row>
    <row r="979" ht="15" customHeight="1">
      <c r="A979" t="inlineStr">
        <is>
          <t>A 24547-2022</t>
        </is>
      </c>
      <c r="B979" s="1" t="n">
        <v>44727</v>
      </c>
      <c r="C979" s="1" t="n">
        <v>45914</v>
      </c>
      <c r="D979" t="inlineStr">
        <is>
          <t>SKÅNE LÄN</t>
        </is>
      </c>
      <c r="E979" t="inlineStr">
        <is>
          <t>ÖSTRA GÖINGE</t>
        </is>
      </c>
      <c r="G979" t="n">
        <v>1.2</v>
      </c>
      <c r="H979" t="n">
        <v>0</v>
      </c>
      <c r="I979" t="n">
        <v>0</v>
      </c>
      <c r="J979" t="n">
        <v>0</v>
      </c>
      <c r="K979" t="n">
        <v>0</v>
      </c>
      <c r="L979" t="n">
        <v>0</v>
      </c>
      <c r="M979" t="n">
        <v>0</v>
      </c>
      <c r="N979" t="n">
        <v>0</v>
      </c>
      <c r="O979" t="n">
        <v>0</v>
      </c>
      <c r="P979" t="n">
        <v>0</v>
      </c>
      <c r="Q979" t="n">
        <v>0</v>
      </c>
      <c r="R979" s="2" t="inlineStr"/>
    </row>
    <row r="980" ht="15" customHeight="1">
      <c r="A980" t="inlineStr">
        <is>
          <t>A 20202-2022</t>
        </is>
      </c>
      <c r="B980" s="1" t="n">
        <v>44698</v>
      </c>
      <c r="C980" s="1" t="n">
        <v>45914</v>
      </c>
      <c r="D980" t="inlineStr">
        <is>
          <t>SKÅNE LÄN</t>
        </is>
      </c>
      <c r="E980" t="inlineStr">
        <is>
          <t>BJUV</t>
        </is>
      </c>
      <c r="G980" t="n">
        <v>0.8</v>
      </c>
      <c r="H980" t="n">
        <v>0</v>
      </c>
      <c r="I980" t="n">
        <v>0</v>
      </c>
      <c r="J980" t="n">
        <v>0</v>
      </c>
      <c r="K980" t="n">
        <v>0</v>
      </c>
      <c r="L980" t="n">
        <v>0</v>
      </c>
      <c r="M980" t="n">
        <v>0</v>
      </c>
      <c r="N980" t="n">
        <v>0</v>
      </c>
      <c r="O980" t="n">
        <v>0</v>
      </c>
      <c r="P980" t="n">
        <v>0</v>
      </c>
      <c r="Q980" t="n">
        <v>0</v>
      </c>
      <c r="R980" s="2" t="inlineStr"/>
    </row>
    <row r="981" ht="15" customHeight="1">
      <c r="A981" t="inlineStr">
        <is>
          <t>A 66520-2020</t>
        </is>
      </c>
      <c r="B981" s="1" t="n">
        <v>44179</v>
      </c>
      <c r="C981" s="1" t="n">
        <v>45914</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20622-2022</t>
        </is>
      </c>
      <c r="B982" s="1" t="n">
        <v>44700</v>
      </c>
      <c r="C982" s="1" t="n">
        <v>45914</v>
      </c>
      <c r="D982" t="inlineStr">
        <is>
          <t>SKÅNE LÄN</t>
        </is>
      </c>
      <c r="E982" t="inlineStr">
        <is>
          <t>ÖSTRA GÖINGE</t>
        </is>
      </c>
      <c r="G982" t="n">
        <v>2.4</v>
      </c>
      <c r="H982" t="n">
        <v>0</v>
      </c>
      <c r="I982" t="n">
        <v>0</v>
      </c>
      <c r="J982" t="n">
        <v>0</v>
      </c>
      <c r="K982" t="n">
        <v>0</v>
      </c>
      <c r="L982" t="n">
        <v>0</v>
      </c>
      <c r="M982" t="n">
        <v>0</v>
      </c>
      <c r="N982" t="n">
        <v>0</v>
      </c>
      <c r="O982" t="n">
        <v>0</v>
      </c>
      <c r="P982" t="n">
        <v>0</v>
      </c>
      <c r="Q982" t="n">
        <v>0</v>
      </c>
      <c r="R982" s="2" t="inlineStr"/>
    </row>
    <row r="983" ht="15" customHeight="1">
      <c r="A983" t="inlineStr">
        <is>
          <t>A 16056-2022</t>
        </is>
      </c>
      <c r="B983" s="1" t="n">
        <v>44665.48672453704</v>
      </c>
      <c r="C983" s="1" t="n">
        <v>45914</v>
      </c>
      <c r="D983" t="inlineStr">
        <is>
          <t>SKÅNE LÄN</t>
        </is>
      </c>
      <c r="E983" t="inlineStr">
        <is>
          <t>OSBY</t>
        </is>
      </c>
      <c r="G983" t="n">
        <v>2.9</v>
      </c>
      <c r="H983" t="n">
        <v>0</v>
      </c>
      <c r="I983" t="n">
        <v>0</v>
      </c>
      <c r="J983" t="n">
        <v>0</v>
      </c>
      <c r="K983" t="n">
        <v>0</v>
      </c>
      <c r="L983" t="n">
        <v>0</v>
      </c>
      <c r="M983" t="n">
        <v>0</v>
      </c>
      <c r="N983" t="n">
        <v>0</v>
      </c>
      <c r="O983" t="n">
        <v>0</v>
      </c>
      <c r="P983" t="n">
        <v>0</v>
      </c>
      <c r="Q983" t="n">
        <v>0</v>
      </c>
      <c r="R983" s="2" t="inlineStr"/>
    </row>
    <row r="984" ht="15" customHeight="1">
      <c r="A984" t="inlineStr">
        <is>
          <t>A 58370-2020</t>
        </is>
      </c>
      <c r="B984" s="1" t="n">
        <v>44144</v>
      </c>
      <c r="C984" s="1" t="n">
        <v>45914</v>
      </c>
      <c r="D984" t="inlineStr">
        <is>
          <t>SKÅNE LÄN</t>
        </is>
      </c>
      <c r="E984" t="inlineStr">
        <is>
          <t>KLIPPAN</t>
        </is>
      </c>
      <c r="G984" t="n">
        <v>0.7</v>
      </c>
      <c r="H984" t="n">
        <v>0</v>
      </c>
      <c r="I984" t="n">
        <v>0</v>
      </c>
      <c r="J984" t="n">
        <v>0</v>
      </c>
      <c r="K984" t="n">
        <v>0</v>
      </c>
      <c r="L984" t="n">
        <v>0</v>
      </c>
      <c r="M984" t="n">
        <v>0</v>
      </c>
      <c r="N984" t="n">
        <v>0</v>
      </c>
      <c r="O984" t="n">
        <v>0</v>
      </c>
      <c r="P984" t="n">
        <v>0</v>
      </c>
      <c r="Q984" t="n">
        <v>0</v>
      </c>
      <c r="R984" s="2" t="inlineStr"/>
    </row>
    <row r="985" ht="15" customHeight="1">
      <c r="A985" t="inlineStr">
        <is>
          <t>A 41268-2022</t>
        </is>
      </c>
      <c r="B985" s="1" t="n">
        <v>44825</v>
      </c>
      <c r="C985" s="1" t="n">
        <v>45914</v>
      </c>
      <c r="D985" t="inlineStr">
        <is>
          <t>SKÅNE LÄN</t>
        </is>
      </c>
      <c r="E985" t="inlineStr">
        <is>
          <t>KLIPPAN</t>
        </is>
      </c>
      <c r="F985" t="inlineStr">
        <is>
          <t>Övriga Aktiebolag</t>
        </is>
      </c>
      <c r="G985" t="n">
        <v>2</v>
      </c>
      <c r="H985" t="n">
        <v>0</v>
      </c>
      <c r="I985" t="n">
        <v>0</v>
      </c>
      <c r="J985" t="n">
        <v>0</v>
      </c>
      <c r="K985" t="n">
        <v>0</v>
      </c>
      <c r="L985" t="n">
        <v>0</v>
      </c>
      <c r="M985" t="n">
        <v>0</v>
      </c>
      <c r="N985" t="n">
        <v>0</v>
      </c>
      <c r="O985" t="n">
        <v>0</v>
      </c>
      <c r="P985" t="n">
        <v>0</v>
      </c>
      <c r="Q985" t="n">
        <v>0</v>
      </c>
      <c r="R985" s="2" t="inlineStr"/>
    </row>
    <row r="986" ht="15" customHeight="1">
      <c r="A986" t="inlineStr">
        <is>
          <t>A 45357-2022</t>
        </is>
      </c>
      <c r="B986" s="1" t="n">
        <v>44844.61952546296</v>
      </c>
      <c r="C986" s="1" t="n">
        <v>45914</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36899-2022</t>
        </is>
      </c>
      <c r="B987" s="1" t="n">
        <v>44805.71230324074</v>
      </c>
      <c r="C987" s="1" t="n">
        <v>45914</v>
      </c>
      <c r="D987" t="inlineStr">
        <is>
          <t>SKÅNE LÄN</t>
        </is>
      </c>
      <c r="E987" t="inlineStr">
        <is>
          <t>OSBY</t>
        </is>
      </c>
      <c r="G987" t="n">
        <v>6.2</v>
      </c>
      <c r="H987" t="n">
        <v>0</v>
      </c>
      <c r="I987" t="n">
        <v>0</v>
      </c>
      <c r="J987" t="n">
        <v>0</v>
      </c>
      <c r="K987" t="n">
        <v>0</v>
      </c>
      <c r="L987" t="n">
        <v>0</v>
      </c>
      <c r="M987" t="n">
        <v>0</v>
      </c>
      <c r="N987" t="n">
        <v>0</v>
      </c>
      <c r="O987" t="n">
        <v>0</v>
      </c>
      <c r="P987" t="n">
        <v>0</v>
      </c>
      <c r="Q987" t="n">
        <v>0</v>
      </c>
      <c r="R987" s="2" t="inlineStr"/>
    </row>
    <row r="988" ht="15" customHeight="1">
      <c r="A988" t="inlineStr">
        <is>
          <t>A 55415-2022</t>
        </is>
      </c>
      <c r="B988" s="1" t="n">
        <v>44882</v>
      </c>
      <c r="C988" s="1" t="n">
        <v>45914</v>
      </c>
      <c r="D988" t="inlineStr">
        <is>
          <t>SKÅNE LÄN</t>
        </is>
      </c>
      <c r="E988" t="inlineStr">
        <is>
          <t>KLIPPAN</t>
        </is>
      </c>
      <c r="F988" t="inlineStr">
        <is>
          <t>Övriga Aktiebolag</t>
        </is>
      </c>
      <c r="G988" t="n">
        <v>0.6</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45914</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2784-2021</t>
        </is>
      </c>
      <c r="B990" s="1" t="n">
        <v>44215</v>
      </c>
      <c r="C990" s="1" t="n">
        <v>45914</v>
      </c>
      <c r="D990" t="inlineStr">
        <is>
          <t>SKÅNE LÄN</t>
        </is>
      </c>
      <c r="E990" t="inlineStr">
        <is>
          <t>ÖRKELLJUNGA</t>
        </is>
      </c>
      <c r="G990" t="n">
        <v>1.4</v>
      </c>
      <c r="H990" t="n">
        <v>0</v>
      </c>
      <c r="I990" t="n">
        <v>0</v>
      </c>
      <c r="J990" t="n">
        <v>0</v>
      </c>
      <c r="K990" t="n">
        <v>0</v>
      </c>
      <c r="L990" t="n">
        <v>0</v>
      </c>
      <c r="M990" t="n">
        <v>0</v>
      </c>
      <c r="N990" t="n">
        <v>0</v>
      </c>
      <c r="O990" t="n">
        <v>0</v>
      </c>
      <c r="P990" t="n">
        <v>0</v>
      </c>
      <c r="Q990" t="n">
        <v>0</v>
      </c>
      <c r="R990" s="2" t="inlineStr"/>
    </row>
    <row r="991" ht="15" customHeight="1">
      <c r="A991" t="inlineStr">
        <is>
          <t>A 62802-2020</t>
        </is>
      </c>
      <c r="B991" s="1" t="n">
        <v>44161</v>
      </c>
      <c r="C991" s="1" t="n">
        <v>45914</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8177-2022</t>
        </is>
      </c>
      <c r="B992" s="1" t="n">
        <v>44607</v>
      </c>
      <c r="C992" s="1" t="n">
        <v>45914</v>
      </c>
      <c r="D992" t="inlineStr">
        <is>
          <t>SKÅNE LÄN</t>
        </is>
      </c>
      <c r="E992" t="inlineStr">
        <is>
          <t>HÄSSLEHOLM</t>
        </is>
      </c>
      <c r="F992" t="inlineStr">
        <is>
          <t>Kyrkan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25464-2022</t>
        </is>
      </c>
      <c r="B993" s="1" t="n">
        <v>44729</v>
      </c>
      <c r="C993" s="1" t="n">
        <v>45914</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1127-2021</t>
        </is>
      </c>
      <c r="B994" s="1" t="n">
        <v>44207</v>
      </c>
      <c r="C994" s="1" t="n">
        <v>45914</v>
      </c>
      <c r="D994" t="inlineStr">
        <is>
          <t>SKÅNE LÄN</t>
        </is>
      </c>
      <c r="E994" t="inlineStr">
        <is>
          <t>ÖRKELLJUNGA</t>
        </is>
      </c>
      <c r="G994" t="n">
        <v>4.8</v>
      </c>
      <c r="H994" t="n">
        <v>0</v>
      </c>
      <c r="I994" t="n">
        <v>0</v>
      </c>
      <c r="J994" t="n">
        <v>0</v>
      </c>
      <c r="K994" t="n">
        <v>0</v>
      </c>
      <c r="L994" t="n">
        <v>0</v>
      </c>
      <c r="M994" t="n">
        <v>0</v>
      </c>
      <c r="N994" t="n">
        <v>0</v>
      </c>
      <c r="O994" t="n">
        <v>0</v>
      </c>
      <c r="P994" t="n">
        <v>0</v>
      </c>
      <c r="Q994" t="n">
        <v>0</v>
      </c>
      <c r="R994" s="2" t="inlineStr"/>
    </row>
    <row r="995" ht="15" customHeight="1">
      <c r="A995" t="inlineStr">
        <is>
          <t>A 5941-2022</t>
        </is>
      </c>
      <c r="B995" s="1" t="n">
        <v>44598.91083333334</v>
      </c>
      <c r="C995" s="1" t="n">
        <v>45914</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63681-2021</t>
        </is>
      </c>
      <c r="B996" s="1" t="n">
        <v>44509</v>
      </c>
      <c r="C996" s="1" t="n">
        <v>45914</v>
      </c>
      <c r="D996" t="inlineStr">
        <is>
          <t>SKÅNE LÄN</t>
        </is>
      </c>
      <c r="E996" t="inlineStr">
        <is>
          <t>BROMÖLLA</t>
        </is>
      </c>
      <c r="G996" t="n">
        <v>3.2</v>
      </c>
      <c r="H996" t="n">
        <v>0</v>
      </c>
      <c r="I996" t="n">
        <v>0</v>
      </c>
      <c r="J996" t="n">
        <v>0</v>
      </c>
      <c r="K996" t="n">
        <v>0</v>
      </c>
      <c r="L996" t="n">
        <v>0</v>
      </c>
      <c r="M996" t="n">
        <v>0</v>
      </c>
      <c r="N996" t="n">
        <v>0</v>
      </c>
      <c r="O996" t="n">
        <v>0</v>
      </c>
      <c r="P996" t="n">
        <v>0</v>
      </c>
      <c r="Q996" t="n">
        <v>0</v>
      </c>
      <c r="R996" s="2" t="inlineStr"/>
    </row>
    <row r="997" ht="15" customHeight="1">
      <c r="A997" t="inlineStr">
        <is>
          <t>A 56431-2021</t>
        </is>
      </c>
      <c r="B997" s="1" t="n">
        <v>44480</v>
      </c>
      <c r="C997" s="1" t="n">
        <v>45914</v>
      </c>
      <c r="D997" t="inlineStr">
        <is>
          <t>SKÅNE LÄN</t>
        </is>
      </c>
      <c r="E997" t="inlineStr">
        <is>
          <t>HÄSSLEHOLM</t>
        </is>
      </c>
      <c r="F997" t="inlineStr">
        <is>
          <t>Kyrkan</t>
        </is>
      </c>
      <c r="G997" t="n">
        <v>0.9</v>
      </c>
      <c r="H997" t="n">
        <v>0</v>
      </c>
      <c r="I997" t="n">
        <v>0</v>
      </c>
      <c r="J997" t="n">
        <v>0</v>
      </c>
      <c r="K997" t="n">
        <v>0</v>
      </c>
      <c r="L997" t="n">
        <v>0</v>
      </c>
      <c r="M997" t="n">
        <v>0</v>
      </c>
      <c r="N997" t="n">
        <v>0</v>
      </c>
      <c r="O997" t="n">
        <v>0</v>
      </c>
      <c r="P997" t="n">
        <v>0</v>
      </c>
      <c r="Q997" t="n">
        <v>0</v>
      </c>
      <c r="R997" s="2" t="inlineStr"/>
    </row>
    <row r="998" ht="15" customHeight="1">
      <c r="A998" t="inlineStr">
        <is>
          <t>A 67083-2020</t>
        </is>
      </c>
      <c r="B998" s="1" t="n">
        <v>44180</v>
      </c>
      <c r="C998" s="1" t="n">
        <v>45914</v>
      </c>
      <c r="D998" t="inlineStr">
        <is>
          <t>SKÅNE LÄN</t>
        </is>
      </c>
      <c r="E998" t="inlineStr">
        <is>
          <t>KRISTIANSTAD</t>
        </is>
      </c>
      <c r="G998" t="n">
        <v>4.1</v>
      </c>
      <c r="H998" t="n">
        <v>0</v>
      </c>
      <c r="I998" t="n">
        <v>0</v>
      </c>
      <c r="J998" t="n">
        <v>0</v>
      </c>
      <c r="K998" t="n">
        <v>0</v>
      </c>
      <c r="L998" t="n">
        <v>0</v>
      </c>
      <c r="M998" t="n">
        <v>0</v>
      </c>
      <c r="N998" t="n">
        <v>0</v>
      </c>
      <c r="O998" t="n">
        <v>0</v>
      </c>
      <c r="P998" t="n">
        <v>0</v>
      </c>
      <c r="Q998" t="n">
        <v>0</v>
      </c>
      <c r="R998" s="2" t="inlineStr"/>
    </row>
    <row r="999" ht="15" customHeight="1">
      <c r="A999" t="inlineStr">
        <is>
          <t>A 46479-2020</t>
        </is>
      </c>
      <c r="B999" s="1" t="n">
        <v>44095</v>
      </c>
      <c r="C999" s="1" t="n">
        <v>45914</v>
      </c>
      <c r="D999" t="inlineStr">
        <is>
          <t>SKÅNE LÄN</t>
        </is>
      </c>
      <c r="E999" t="inlineStr">
        <is>
          <t>HÄSSLEHOLM</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61276-2020</t>
        </is>
      </c>
      <c r="B1000" s="1" t="n">
        <v>44155</v>
      </c>
      <c r="C1000" s="1" t="n">
        <v>45914</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57832-2020</t>
        </is>
      </c>
      <c r="B1001" s="1" t="n">
        <v>44141</v>
      </c>
      <c r="C1001" s="1" t="n">
        <v>45914</v>
      </c>
      <c r="D1001" t="inlineStr">
        <is>
          <t>SKÅNE LÄN</t>
        </is>
      </c>
      <c r="E1001" t="inlineStr">
        <is>
          <t>KRISTIANSTAD</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20634-2022</t>
        </is>
      </c>
      <c r="B1002" s="1" t="n">
        <v>44700.57378472222</v>
      </c>
      <c r="C1002" s="1" t="n">
        <v>45914</v>
      </c>
      <c r="D1002" t="inlineStr">
        <is>
          <t>SKÅNE LÄN</t>
        </is>
      </c>
      <c r="E1002" t="inlineStr">
        <is>
          <t>OSBY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62648-2020</t>
        </is>
      </c>
      <c r="B1003" s="1" t="n">
        <v>44161</v>
      </c>
      <c r="C1003" s="1" t="n">
        <v>45914</v>
      </c>
      <c r="D1003" t="inlineStr">
        <is>
          <t>SKÅNE LÄN</t>
        </is>
      </c>
      <c r="E1003" t="inlineStr">
        <is>
          <t>OSBY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45914</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3592-2021</t>
        </is>
      </c>
      <c r="B1005" s="1" t="n">
        <v>44220</v>
      </c>
      <c r="C1005" s="1" t="n">
        <v>45914</v>
      </c>
      <c r="D1005" t="inlineStr">
        <is>
          <t>SKÅNE LÄN</t>
        </is>
      </c>
      <c r="E1005" t="inlineStr">
        <is>
          <t>SVALÖV</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3593-2021</t>
        </is>
      </c>
      <c r="B1006" s="1" t="n">
        <v>44220</v>
      </c>
      <c r="C1006" s="1" t="n">
        <v>45914</v>
      </c>
      <c r="D1006" t="inlineStr">
        <is>
          <t>SKÅNE LÄN</t>
        </is>
      </c>
      <c r="E1006" t="inlineStr">
        <is>
          <t>SVALÖV</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3834-2021</t>
        </is>
      </c>
      <c r="B1007" s="1" t="n">
        <v>44217</v>
      </c>
      <c r="C1007" s="1" t="n">
        <v>45914</v>
      </c>
      <c r="D1007" t="inlineStr">
        <is>
          <t>SKÅNE LÄN</t>
        </is>
      </c>
      <c r="E1007" t="inlineStr">
        <is>
          <t>OSBY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9655-2022</t>
        </is>
      </c>
      <c r="B1008" s="1" t="n">
        <v>44617</v>
      </c>
      <c r="C1008" s="1" t="n">
        <v>45914</v>
      </c>
      <c r="D1008" t="inlineStr">
        <is>
          <t>SKÅNE LÄN</t>
        </is>
      </c>
      <c r="E1008" t="inlineStr">
        <is>
          <t>YSTAD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48412-2020</t>
        </is>
      </c>
      <c r="B1009" s="1" t="n">
        <v>44102</v>
      </c>
      <c r="C1009" s="1" t="n">
        <v>45914</v>
      </c>
      <c r="D1009" t="inlineStr">
        <is>
          <t>SKÅNE LÄN</t>
        </is>
      </c>
      <c r="E1009" t="inlineStr">
        <is>
          <t>OSBY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6965-2021</t>
        </is>
      </c>
      <c r="B1010" s="1" t="n">
        <v>44237</v>
      </c>
      <c r="C1010" s="1" t="n">
        <v>45914</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5726-2022</t>
        </is>
      </c>
      <c r="B1011" s="1" t="n">
        <v>44596</v>
      </c>
      <c r="C1011" s="1" t="n">
        <v>45914</v>
      </c>
      <c r="D1011" t="inlineStr">
        <is>
          <t>SKÅNE LÄN</t>
        </is>
      </c>
      <c r="E1011" t="inlineStr">
        <is>
          <t>HÖÖR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59341-2020</t>
        </is>
      </c>
      <c r="B1012" s="1" t="n">
        <v>44148</v>
      </c>
      <c r="C1012" s="1" t="n">
        <v>45914</v>
      </c>
      <c r="D1012" t="inlineStr">
        <is>
          <t>SKÅNE LÄN</t>
        </is>
      </c>
      <c r="E1012" t="inlineStr">
        <is>
          <t>ÖRKELLJUNGA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31645-2021</t>
        </is>
      </c>
      <c r="B1013" s="1" t="n">
        <v>44369</v>
      </c>
      <c r="C1013" s="1" t="n">
        <v>45914</v>
      </c>
      <c r="D1013" t="inlineStr">
        <is>
          <t>SKÅNE LÄN</t>
        </is>
      </c>
      <c r="E1013" t="inlineStr">
        <is>
          <t>PERSTORP</t>
        </is>
      </c>
      <c r="F1013" t="inlineStr">
        <is>
          <t>Kyrkan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21417-2022</t>
        </is>
      </c>
      <c r="B1014" s="1" t="n">
        <v>44706</v>
      </c>
      <c r="C1014" s="1" t="n">
        <v>45914</v>
      </c>
      <c r="D1014" t="inlineStr">
        <is>
          <t>SKÅNE LÄN</t>
        </is>
      </c>
      <c r="E1014" t="inlineStr">
        <is>
          <t>KRISTIANSTAD</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52567-2021</t>
        </is>
      </c>
      <c r="B1015" s="1" t="n">
        <v>44466</v>
      </c>
      <c r="C1015" s="1" t="n">
        <v>45914</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41725-2022</t>
        </is>
      </c>
      <c r="B1016" s="1" t="n">
        <v>44827</v>
      </c>
      <c r="C1016" s="1" t="n">
        <v>45914</v>
      </c>
      <c r="D1016" t="inlineStr">
        <is>
          <t>SKÅNE LÄN</t>
        </is>
      </c>
      <c r="E1016" t="inlineStr">
        <is>
          <t>ÄNGELHOLM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45914</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45914</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62782-2020</t>
        </is>
      </c>
      <c r="B1019" s="1" t="n">
        <v>44161</v>
      </c>
      <c r="C1019" s="1" t="n">
        <v>45914</v>
      </c>
      <c r="D1019" t="inlineStr">
        <is>
          <t>SKÅNE LÄN</t>
        </is>
      </c>
      <c r="E1019" t="inlineStr">
        <is>
          <t>HÄSSLEHOLM</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53935-2021</t>
        </is>
      </c>
      <c r="B1020" s="1" t="n">
        <v>44469.84310185185</v>
      </c>
      <c r="C1020" s="1" t="n">
        <v>45914</v>
      </c>
      <c r="D1020" t="inlineStr">
        <is>
          <t>SKÅNE LÄN</t>
        </is>
      </c>
      <c r="E1020" t="inlineStr">
        <is>
          <t>OSBY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21615-2021</t>
        </is>
      </c>
      <c r="B1021" s="1" t="n">
        <v>44321</v>
      </c>
      <c r="C1021" s="1" t="n">
        <v>45914</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66507-2020</t>
        </is>
      </c>
      <c r="B1022" s="1" t="n">
        <v>44178</v>
      </c>
      <c r="C1022" s="1" t="n">
        <v>45914</v>
      </c>
      <c r="D1022" t="inlineStr">
        <is>
          <t>SKÅNE LÄN</t>
        </is>
      </c>
      <c r="E1022" t="inlineStr">
        <is>
          <t>HÖÖR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771-2021</t>
        </is>
      </c>
      <c r="B1023" s="1" t="n">
        <v>44203</v>
      </c>
      <c r="C1023" s="1" t="n">
        <v>45914</v>
      </c>
      <c r="D1023" t="inlineStr">
        <is>
          <t>SKÅNE LÄN</t>
        </is>
      </c>
      <c r="E1023" t="inlineStr">
        <is>
          <t>SJÖBO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61216-2020</t>
        </is>
      </c>
      <c r="B1024" s="1" t="n">
        <v>44155</v>
      </c>
      <c r="C1024" s="1" t="n">
        <v>45914</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45989-2021</t>
        </is>
      </c>
      <c r="B1025" s="1" t="n">
        <v>44441.74627314815</v>
      </c>
      <c r="C1025" s="1" t="n">
        <v>45914</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8794-2022</t>
        </is>
      </c>
      <c r="B1026" s="1" t="n">
        <v>44614</v>
      </c>
      <c r="C1026" s="1" t="n">
        <v>45914</v>
      </c>
      <c r="D1026" t="inlineStr">
        <is>
          <t>SKÅNE LÄN</t>
        </is>
      </c>
      <c r="E1026" t="inlineStr">
        <is>
          <t>OSBY</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6967-2021</t>
        </is>
      </c>
      <c r="B1027" s="1" t="n">
        <v>44237</v>
      </c>
      <c r="C1027" s="1" t="n">
        <v>45914</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25788-2021</t>
        </is>
      </c>
      <c r="B1028" s="1" t="n">
        <v>44343</v>
      </c>
      <c r="C1028" s="1" t="n">
        <v>45914</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25557-2021</t>
        </is>
      </c>
      <c r="B1029" s="1" t="n">
        <v>44343.3566087963</v>
      </c>
      <c r="C1029" s="1" t="n">
        <v>45914</v>
      </c>
      <c r="D1029" t="inlineStr">
        <is>
          <t>SKÅNE LÄN</t>
        </is>
      </c>
      <c r="E1029" t="inlineStr">
        <is>
          <t>BROMÖLLA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37816-2021</t>
        </is>
      </c>
      <c r="B1030" s="1" t="n">
        <v>44403</v>
      </c>
      <c r="C1030" s="1" t="n">
        <v>45914</v>
      </c>
      <c r="D1030" t="inlineStr">
        <is>
          <t>SKÅNE LÄN</t>
        </is>
      </c>
      <c r="E1030" t="inlineStr">
        <is>
          <t>ÖSTRA GÖINGE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56527-2021</t>
        </is>
      </c>
      <c r="B1031" s="1" t="n">
        <v>44480</v>
      </c>
      <c r="C1031" s="1" t="n">
        <v>45914</v>
      </c>
      <c r="D1031" t="inlineStr">
        <is>
          <t>SKÅNE LÄN</t>
        </is>
      </c>
      <c r="E1031" t="inlineStr">
        <is>
          <t>HÄSSLEHOLM</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13873-2021</t>
        </is>
      </c>
      <c r="B1032" s="1" t="n">
        <v>44277.39847222222</v>
      </c>
      <c r="C1032" s="1" t="n">
        <v>45914</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74112-2021</t>
        </is>
      </c>
      <c r="B1033" s="1" t="n">
        <v>44557</v>
      </c>
      <c r="C1033" s="1" t="n">
        <v>45914</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74214-2021</t>
        </is>
      </c>
      <c r="B1034" s="1" t="n">
        <v>44553</v>
      </c>
      <c r="C1034" s="1" t="n">
        <v>45914</v>
      </c>
      <c r="D1034" t="inlineStr">
        <is>
          <t>SKÅNE LÄN</t>
        </is>
      </c>
      <c r="E1034" t="inlineStr">
        <is>
          <t>ÄNGELHOLM</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53917-2021</t>
        </is>
      </c>
      <c r="B1035" s="1" t="n">
        <v>44469.78644675926</v>
      </c>
      <c r="C1035" s="1" t="n">
        <v>45914</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19583-2021</t>
        </is>
      </c>
      <c r="B1036" s="1" t="n">
        <v>44312</v>
      </c>
      <c r="C1036" s="1" t="n">
        <v>45914</v>
      </c>
      <c r="D1036" t="inlineStr">
        <is>
          <t>SKÅNE LÄN</t>
        </is>
      </c>
      <c r="E1036" t="inlineStr">
        <is>
          <t>HÖRBY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47121-2020</t>
        </is>
      </c>
      <c r="B1037" s="1" t="n">
        <v>44096</v>
      </c>
      <c r="C1037" s="1" t="n">
        <v>45914</v>
      </c>
      <c r="D1037" t="inlineStr">
        <is>
          <t>SKÅNE LÄN</t>
        </is>
      </c>
      <c r="E1037" t="inlineStr">
        <is>
          <t>HÄSSLEHOLM</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1466-2022</t>
        </is>
      </c>
      <c r="B1038" s="1" t="n">
        <v>44573.49446759259</v>
      </c>
      <c r="C1038" s="1" t="n">
        <v>45914</v>
      </c>
      <c r="D1038" t="inlineStr">
        <is>
          <t>SKÅNE LÄN</t>
        </is>
      </c>
      <c r="E1038" t="inlineStr">
        <is>
          <t>OSBY</t>
        </is>
      </c>
      <c r="F1038" t="inlineStr">
        <is>
          <t>Kyrkan</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1607-2022</t>
        </is>
      </c>
      <c r="B1039" s="1" t="n">
        <v>44573</v>
      </c>
      <c r="C1039" s="1" t="n">
        <v>45914</v>
      </c>
      <c r="D1039" t="inlineStr">
        <is>
          <t>SKÅNE LÄN</t>
        </is>
      </c>
      <c r="E1039" t="inlineStr">
        <is>
          <t>OSBY</t>
        </is>
      </c>
      <c r="F1039" t="inlineStr">
        <is>
          <t>Kyrkan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34995-2021</t>
        </is>
      </c>
      <c r="B1040" s="1" t="n">
        <v>44383</v>
      </c>
      <c r="C1040" s="1" t="n">
        <v>45914</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3992-2022</t>
        </is>
      </c>
      <c r="B1041" s="1" t="n">
        <v>44587</v>
      </c>
      <c r="C1041" s="1" t="n">
        <v>45914</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42658-2021</t>
        </is>
      </c>
      <c r="B1042" s="1" t="n">
        <v>44428</v>
      </c>
      <c r="C1042" s="1" t="n">
        <v>45914</v>
      </c>
      <c r="D1042" t="inlineStr">
        <is>
          <t>SKÅNE LÄN</t>
        </is>
      </c>
      <c r="E1042" t="inlineStr">
        <is>
          <t>KRISTIANSTAD</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418-2022</t>
        </is>
      </c>
      <c r="B1043" s="1" t="n">
        <v>44565.84958333334</v>
      </c>
      <c r="C1043" s="1" t="n">
        <v>45914</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3113-2021</t>
        </is>
      </c>
      <c r="B1044" s="1" t="n">
        <v>44217</v>
      </c>
      <c r="C1044" s="1" t="n">
        <v>45914</v>
      </c>
      <c r="D1044" t="inlineStr">
        <is>
          <t>SKÅNE LÄN</t>
        </is>
      </c>
      <c r="E1044" t="inlineStr">
        <is>
          <t>OSBY</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52729-2021</t>
        </is>
      </c>
      <c r="B1045" s="1" t="n">
        <v>44467.29098379629</v>
      </c>
      <c r="C1045" s="1" t="n">
        <v>45914</v>
      </c>
      <c r="D1045" t="inlineStr">
        <is>
          <t>SKÅNE LÄN</t>
        </is>
      </c>
      <c r="E1045" t="inlineStr">
        <is>
          <t>PERSTORP</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74297-2021</t>
        </is>
      </c>
      <c r="B1046" s="1" t="n">
        <v>44558</v>
      </c>
      <c r="C1046" s="1" t="n">
        <v>45914</v>
      </c>
      <c r="D1046" t="inlineStr">
        <is>
          <t>SKÅNE LÄN</t>
        </is>
      </c>
      <c r="E1046" t="inlineStr">
        <is>
          <t>HÄSSLEHOLM</t>
        </is>
      </c>
      <c r="F1046" t="inlineStr">
        <is>
          <t>Kyrkan</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25955-2022</t>
        </is>
      </c>
      <c r="B1047" s="1" t="n">
        <v>44734</v>
      </c>
      <c r="C1047" s="1" t="n">
        <v>45914</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2514-2021</t>
        </is>
      </c>
      <c r="B1048" s="1" t="n">
        <v>44214</v>
      </c>
      <c r="C1048" s="1" t="n">
        <v>45914</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54057-2021</t>
        </is>
      </c>
      <c r="B1049" s="1" t="n">
        <v>44470</v>
      </c>
      <c r="C1049" s="1" t="n">
        <v>45914</v>
      </c>
      <c r="D1049" t="inlineStr">
        <is>
          <t>SKÅNE LÄN</t>
        </is>
      </c>
      <c r="E1049" t="inlineStr">
        <is>
          <t>KRISTIANSTAD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33489-2022</t>
        </is>
      </c>
      <c r="B1050" s="1" t="n">
        <v>44788.83469907408</v>
      </c>
      <c r="C1050" s="1" t="n">
        <v>45914</v>
      </c>
      <c r="D1050" t="inlineStr">
        <is>
          <t>SKÅNE LÄN</t>
        </is>
      </c>
      <c r="E1050" t="inlineStr">
        <is>
          <t>OSBY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15570-2022</t>
        </is>
      </c>
      <c r="B1051" s="1" t="n">
        <v>44662</v>
      </c>
      <c r="C1051" s="1" t="n">
        <v>45914</v>
      </c>
      <c r="D1051" t="inlineStr">
        <is>
          <t>SKÅNE LÄN</t>
        </is>
      </c>
      <c r="E1051" t="inlineStr">
        <is>
          <t>OSBY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46692-2021</t>
        </is>
      </c>
      <c r="B1052" s="1" t="n">
        <v>44445</v>
      </c>
      <c r="C1052" s="1" t="n">
        <v>45914</v>
      </c>
      <c r="D1052" t="inlineStr">
        <is>
          <t>SKÅNE LÄN</t>
        </is>
      </c>
      <c r="E1052" t="inlineStr">
        <is>
          <t>KLIPPAN</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10970-2022</t>
        </is>
      </c>
      <c r="B1053" s="1" t="n">
        <v>44628</v>
      </c>
      <c r="C1053" s="1" t="n">
        <v>45914</v>
      </c>
      <c r="D1053" t="inlineStr">
        <is>
          <t>SKÅNE LÄN</t>
        </is>
      </c>
      <c r="E1053" t="inlineStr">
        <is>
          <t>KRISTIANSTAD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55130-2022</t>
        </is>
      </c>
      <c r="B1054" s="1" t="n">
        <v>44886.65877314815</v>
      </c>
      <c r="C1054" s="1" t="n">
        <v>45914</v>
      </c>
      <c r="D1054" t="inlineStr">
        <is>
          <t>SKÅNE LÄN</t>
        </is>
      </c>
      <c r="E1054" t="inlineStr">
        <is>
          <t>ÖSTRA GÖINGE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65040-2020</t>
        </is>
      </c>
      <c r="B1055" s="1" t="n">
        <v>44167</v>
      </c>
      <c r="C1055" s="1" t="n">
        <v>45914</v>
      </c>
      <c r="D1055" t="inlineStr">
        <is>
          <t>SKÅNE LÄN</t>
        </is>
      </c>
      <c r="E1055" t="inlineStr">
        <is>
          <t>KRISTIANSTAD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20657-2022</t>
        </is>
      </c>
      <c r="B1056" s="1" t="n">
        <v>44700</v>
      </c>
      <c r="C1056" s="1" t="n">
        <v>45914</v>
      </c>
      <c r="D1056" t="inlineStr">
        <is>
          <t>SKÅNE LÄN</t>
        </is>
      </c>
      <c r="E1056" t="inlineStr">
        <is>
          <t>HÄSSLEHOLM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27955-2022</t>
        </is>
      </c>
      <c r="B1057" s="1" t="n">
        <v>44743</v>
      </c>
      <c r="C1057" s="1" t="n">
        <v>45914</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51844-2020</t>
        </is>
      </c>
      <c r="B1058" s="1" t="n">
        <v>44116</v>
      </c>
      <c r="C1058" s="1" t="n">
        <v>45914</v>
      </c>
      <c r="D1058" t="inlineStr">
        <is>
          <t>SKÅNE LÄN</t>
        </is>
      </c>
      <c r="E1058" t="inlineStr">
        <is>
          <t>HÖÖR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3375-2021</t>
        </is>
      </c>
      <c r="B1059" s="1" t="n">
        <v>44218</v>
      </c>
      <c r="C1059" s="1" t="n">
        <v>45914</v>
      </c>
      <c r="D1059" t="inlineStr">
        <is>
          <t>SKÅNE LÄN</t>
        </is>
      </c>
      <c r="E1059" t="inlineStr">
        <is>
          <t>SIMRISHAMN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3402-2021</t>
        </is>
      </c>
      <c r="B1060" s="1" t="n">
        <v>44218.42267361111</v>
      </c>
      <c r="C1060" s="1" t="n">
        <v>45914</v>
      </c>
      <c r="D1060" t="inlineStr">
        <is>
          <t>SKÅNE LÄN</t>
        </is>
      </c>
      <c r="E1060" t="inlineStr">
        <is>
          <t>OSBY</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21424-2022</t>
        </is>
      </c>
      <c r="B1061" s="1" t="n">
        <v>44706</v>
      </c>
      <c r="C1061" s="1" t="n">
        <v>45914</v>
      </c>
      <c r="D1061" t="inlineStr">
        <is>
          <t>SKÅNE LÄN</t>
        </is>
      </c>
      <c r="E1061" t="inlineStr">
        <is>
          <t>SJÖBO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7248-2021</t>
        </is>
      </c>
      <c r="B1062" s="1" t="n">
        <v>44236</v>
      </c>
      <c r="C1062" s="1" t="n">
        <v>45914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52295-2021</t>
        </is>
      </c>
      <c r="B1063" s="1" t="n">
        <v>44463</v>
      </c>
      <c r="C1063" s="1" t="n">
        <v>45914</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6973-2021</t>
        </is>
      </c>
      <c r="B1064" s="1" t="n">
        <v>44237</v>
      </c>
      <c r="C1064" s="1" t="n">
        <v>45914</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68909-2021</t>
        </is>
      </c>
      <c r="B1065" s="1" t="n">
        <v>44530.46730324074</v>
      </c>
      <c r="C1065" s="1" t="n">
        <v>45914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45914</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45914</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25834-2022</t>
        </is>
      </c>
      <c r="B1068" s="1" t="n">
        <v>44733.58805555556</v>
      </c>
      <c r="C1068" s="1" t="n">
        <v>45914</v>
      </c>
      <c r="D1068" t="inlineStr">
        <is>
          <t>SKÅNE LÄN</t>
        </is>
      </c>
      <c r="E1068" t="inlineStr">
        <is>
          <t>SIMRISHAMN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8865-2021</t>
        </is>
      </c>
      <c r="B1069" s="1" t="n">
        <v>44247</v>
      </c>
      <c r="C1069" s="1" t="n">
        <v>45914</v>
      </c>
      <c r="D1069" t="inlineStr">
        <is>
          <t>SKÅNE LÄN</t>
        </is>
      </c>
      <c r="E1069" t="inlineStr">
        <is>
          <t>OSBY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8966-2021</t>
        </is>
      </c>
      <c r="B1070" s="1" t="n">
        <v>44246</v>
      </c>
      <c r="C1070" s="1" t="n">
        <v>45914</v>
      </c>
      <c r="D1070" t="inlineStr">
        <is>
          <t>SKÅNE LÄN</t>
        </is>
      </c>
      <c r="E1070" t="inlineStr">
        <is>
          <t>OSBY</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16579-2022</t>
        </is>
      </c>
      <c r="B1071" s="1" t="n">
        <v>44672.46216435185</v>
      </c>
      <c r="C1071" s="1" t="n">
        <v>45914</v>
      </c>
      <c r="D1071" t="inlineStr">
        <is>
          <t>SKÅNE LÄN</t>
        </is>
      </c>
      <c r="E1071" t="inlineStr">
        <is>
          <t>KRISTIANSTAD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24691-2021</t>
        </is>
      </c>
      <c r="B1072" s="1" t="n">
        <v>44340</v>
      </c>
      <c r="C1072" s="1" t="n">
        <v>45914</v>
      </c>
      <c r="D1072" t="inlineStr">
        <is>
          <t>SKÅNE LÄN</t>
        </is>
      </c>
      <c r="E1072" t="inlineStr">
        <is>
          <t>ÄNGELHOLM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36595-2022</t>
        </is>
      </c>
      <c r="B1073" s="1" t="n">
        <v>44804.63545138889</v>
      </c>
      <c r="C1073" s="1" t="n">
        <v>45914</v>
      </c>
      <c r="D1073" t="inlineStr">
        <is>
          <t>SKÅNE LÄN</t>
        </is>
      </c>
      <c r="E1073" t="inlineStr">
        <is>
          <t>ÖRKELLJUNGA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36036-2022</t>
        </is>
      </c>
      <c r="B1074" s="1" t="n">
        <v>44802</v>
      </c>
      <c r="C1074" s="1" t="n">
        <v>45914</v>
      </c>
      <c r="D1074" t="inlineStr">
        <is>
          <t>SKÅNE LÄN</t>
        </is>
      </c>
      <c r="E1074" t="inlineStr">
        <is>
          <t>ÄNGELHOLM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39056-2022</t>
        </is>
      </c>
      <c r="B1075" s="1" t="n">
        <v>44816</v>
      </c>
      <c r="C1075" s="1" t="n">
        <v>45914</v>
      </c>
      <c r="D1075" t="inlineStr">
        <is>
          <t>SKÅNE LÄN</t>
        </is>
      </c>
      <c r="E1075" t="inlineStr">
        <is>
          <t>KLIPPAN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53159-2020</t>
        </is>
      </c>
      <c r="B1076" s="1" t="n">
        <v>44120</v>
      </c>
      <c r="C1076" s="1" t="n">
        <v>45914</v>
      </c>
      <c r="D1076" t="inlineStr">
        <is>
          <t>SKÅNE LÄN</t>
        </is>
      </c>
      <c r="E1076" t="inlineStr">
        <is>
          <t>OSBY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30978-2022</t>
        </is>
      </c>
      <c r="B1077" s="1" t="n">
        <v>44768.49884259259</v>
      </c>
      <c r="C1077" s="1" t="n">
        <v>45914</v>
      </c>
      <c r="D1077" t="inlineStr">
        <is>
          <t>SKÅNE LÄN</t>
        </is>
      </c>
      <c r="E1077" t="inlineStr">
        <is>
          <t>BROMÖLLA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62111-2020</t>
        </is>
      </c>
      <c r="B1078" s="1" t="n">
        <v>44159.61994212963</v>
      </c>
      <c r="C1078" s="1" t="n">
        <v>45914</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43647-2021</t>
        </is>
      </c>
      <c r="B1079" s="1" t="n">
        <v>44433.55268518518</v>
      </c>
      <c r="C1079" s="1" t="n">
        <v>45914</v>
      </c>
      <c r="D1079" t="inlineStr">
        <is>
          <t>SKÅNE LÄN</t>
        </is>
      </c>
      <c r="E1079" t="inlineStr">
        <is>
          <t>BROMÖLLA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28236-2022</t>
        </is>
      </c>
      <c r="B1080" s="1" t="n">
        <v>44746</v>
      </c>
      <c r="C1080" s="1" t="n">
        <v>45914</v>
      </c>
      <c r="D1080" t="inlineStr">
        <is>
          <t>SKÅNE LÄN</t>
        </is>
      </c>
      <c r="E1080" t="inlineStr">
        <is>
          <t>HÄSSLEHOLM</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9773-2024</t>
        </is>
      </c>
      <c r="B1081" s="1" t="n">
        <v>45362</v>
      </c>
      <c r="C1081" s="1" t="n">
        <v>45914</v>
      </c>
      <c r="D1081" t="inlineStr">
        <is>
          <t>SKÅNE LÄN</t>
        </is>
      </c>
      <c r="E1081" t="inlineStr">
        <is>
          <t>ÖRKELLJUNGA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5792-2024</t>
        </is>
      </c>
      <c r="B1082" s="1" t="n">
        <v>45335</v>
      </c>
      <c r="C1082" s="1" t="n">
        <v>45914</v>
      </c>
      <c r="D1082" t="inlineStr">
        <is>
          <t>SKÅNE LÄN</t>
        </is>
      </c>
      <c r="E1082" t="inlineStr">
        <is>
          <t>HELSINGBORG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53070-2023</t>
        </is>
      </c>
      <c r="B1083" s="1" t="n">
        <v>45227.51521990741</v>
      </c>
      <c r="C1083" s="1" t="n">
        <v>45914</v>
      </c>
      <c r="D1083" t="inlineStr">
        <is>
          <t>SKÅNE LÄN</t>
        </is>
      </c>
      <c r="E1083" t="inlineStr">
        <is>
          <t>ÖSTRA GÖINGE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15905-2024</t>
        </is>
      </c>
      <c r="B1084" s="1" t="n">
        <v>45405</v>
      </c>
      <c r="C1084" s="1" t="n">
        <v>45914</v>
      </c>
      <c r="D1084" t="inlineStr">
        <is>
          <t>SKÅNE LÄN</t>
        </is>
      </c>
      <c r="E1084" t="inlineStr">
        <is>
          <t>HÖÖR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12079-2024</t>
        </is>
      </c>
      <c r="B1085" s="1" t="n">
        <v>45377.54229166666</v>
      </c>
      <c r="C1085" s="1" t="n">
        <v>45914</v>
      </c>
      <c r="D1085" t="inlineStr">
        <is>
          <t>SKÅNE LÄN</t>
        </is>
      </c>
      <c r="E1085" t="inlineStr">
        <is>
          <t>ESLÖV</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47231-2023</t>
        </is>
      </c>
      <c r="B1086" s="1" t="n">
        <v>45202</v>
      </c>
      <c r="C1086" s="1" t="n">
        <v>45914</v>
      </c>
      <c r="D1086" t="inlineStr">
        <is>
          <t>SKÅNE LÄN</t>
        </is>
      </c>
      <c r="E1086" t="inlineStr">
        <is>
          <t>TOMELILLA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47315-2023</t>
        </is>
      </c>
      <c r="B1087" s="1" t="n">
        <v>45196</v>
      </c>
      <c r="C1087" s="1" t="n">
        <v>45914</v>
      </c>
      <c r="D1087" t="inlineStr">
        <is>
          <t>SKÅNE LÄN</t>
        </is>
      </c>
      <c r="E1087" t="inlineStr">
        <is>
          <t>BROMÖLLA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45728-2022</t>
        </is>
      </c>
      <c r="B1088" s="1" t="n">
        <v>44846</v>
      </c>
      <c r="C1088" s="1" t="n">
        <v>45914</v>
      </c>
      <c r="D1088" t="inlineStr">
        <is>
          <t>SKÅNE LÄN</t>
        </is>
      </c>
      <c r="E1088" t="inlineStr">
        <is>
          <t>KRISTIANSTAD</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20279-2025</t>
        </is>
      </c>
      <c r="B1089" s="1" t="n">
        <v>45774.38643518519</v>
      </c>
      <c r="C1089" s="1" t="n">
        <v>45914</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3792-2021</t>
        </is>
      </c>
      <c r="B1090" s="1" t="n">
        <v>44221</v>
      </c>
      <c r="C1090" s="1" t="n">
        <v>45914</v>
      </c>
      <c r="D1090" t="inlineStr">
        <is>
          <t>SKÅNE LÄN</t>
        </is>
      </c>
      <c r="E1090" t="inlineStr">
        <is>
          <t>BROMÖLLA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3930-2021</t>
        </is>
      </c>
      <c r="B1091" s="1" t="n">
        <v>44222</v>
      </c>
      <c r="C1091" s="1" t="n">
        <v>45914</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13876-2021</t>
        </is>
      </c>
      <c r="B1092" s="1" t="n">
        <v>44277.40048611111</v>
      </c>
      <c r="C1092" s="1" t="n">
        <v>45914</v>
      </c>
      <c r="D1092" t="inlineStr">
        <is>
          <t>SKÅNE LÄN</t>
        </is>
      </c>
      <c r="E1092" t="inlineStr">
        <is>
          <t>ÄNGELHOLM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56462-2020</t>
        </is>
      </c>
      <c r="B1093" s="1" t="n">
        <v>44133</v>
      </c>
      <c r="C1093" s="1" t="n">
        <v>45914</v>
      </c>
      <c r="D1093" t="inlineStr">
        <is>
          <t>SKÅNE LÄN</t>
        </is>
      </c>
      <c r="E1093" t="inlineStr">
        <is>
          <t>TOMELILLA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7839-2022</t>
        </is>
      </c>
      <c r="B1094" s="1" t="n">
        <v>44608</v>
      </c>
      <c r="C1094" s="1" t="n">
        <v>45914</v>
      </c>
      <c r="D1094" t="inlineStr">
        <is>
          <t>SKÅNE LÄN</t>
        </is>
      </c>
      <c r="E1094" t="inlineStr">
        <is>
          <t>KLIPPAN</t>
        </is>
      </c>
      <c r="F1094" t="inlineStr">
        <is>
          <t>Övriga Aktiebolag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45914</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36041-2022</t>
        </is>
      </c>
      <c r="B1096" s="1" t="n">
        <v>44802.69045138889</v>
      </c>
      <c r="C1096" s="1" t="n">
        <v>45914</v>
      </c>
      <c r="D1096" t="inlineStr">
        <is>
          <t>SKÅNE LÄN</t>
        </is>
      </c>
      <c r="E1096" t="inlineStr">
        <is>
          <t>ÄNGELHOLM</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4023-2024</t>
        </is>
      </c>
      <c r="B1097" s="1" t="n">
        <v>45323</v>
      </c>
      <c r="C1097" s="1" t="n">
        <v>45914</v>
      </c>
      <c r="D1097" t="inlineStr">
        <is>
          <t>SKÅNE LÄN</t>
        </is>
      </c>
      <c r="E1097" t="inlineStr">
        <is>
          <t>TOMELILLA</t>
        </is>
      </c>
      <c r="F1097" t="inlineStr">
        <is>
          <t>Övriga Aktiebolag</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29435-2024</t>
        </is>
      </c>
      <c r="B1098" s="1" t="n">
        <v>45483.77171296296</v>
      </c>
      <c r="C1098" s="1" t="n">
        <v>45914</v>
      </c>
      <c r="D1098" t="inlineStr">
        <is>
          <t>SKÅNE LÄN</t>
        </is>
      </c>
      <c r="E1098" t="inlineStr">
        <is>
          <t>OSBY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29436-2024</t>
        </is>
      </c>
      <c r="B1099" s="1" t="n">
        <v>45483.78387731482</v>
      </c>
      <c r="C1099" s="1" t="n">
        <v>45914</v>
      </c>
      <c r="D1099" t="inlineStr">
        <is>
          <t>SKÅNE LÄN</t>
        </is>
      </c>
      <c r="E1099" t="inlineStr">
        <is>
          <t>ÄNGELHOLM</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9535-2021</t>
        </is>
      </c>
      <c r="B1100" s="1" t="n">
        <v>44251</v>
      </c>
      <c r="C1100" s="1" t="n">
        <v>45914</v>
      </c>
      <c r="D1100" t="inlineStr">
        <is>
          <t>SKÅNE LÄN</t>
        </is>
      </c>
      <c r="E1100" t="inlineStr">
        <is>
          <t>KLIPPAN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17400-2023</t>
        </is>
      </c>
      <c r="B1101" s="1" t="n">
        <v>45035</v>
      </c>
      <c r="C1101" s="1" t="n">
        <v>45914</v>
      </c>
      <c r="D1101" t="inlineStr">
        <is>
          <t>SKÅNE LÄN</t>
        </is>
      </c>
      <c r="E1101" t="inlineStr">
        <is>
          <t>KRISTIANSTAD</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29198-2024</t>
        </is>
      </c>
      <c r="B1102" s="1" t="n">
        <v>45482.58282407407</v>
      </c>
      <c r="C1102" s="1" t="n">
        <v>45914</v>
      </c>
      <c r="D1102" t="inlineStr">
        <is>
          <t>SKÅNE LÄN</t>
        </is>
      </c>
      <c r="E1102" t="inlineStr">
        <is>
          <t>KRISTIANSTAD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29199-2024</t>
        </is>
      </c>
      <c r="B1103" s="1" t="n">
        <v>45482.58454861111</v>
      </c>
      <c r="C1103" s="1" t="n">
        <v>45914</v>
      </c>
      <c r="D1103" t="inlineStr">
        <is>
          <t>SKÅNE LÄN</t>
        </is>
      </c>
      <c r="E1103" t="inlineStr">
        <is>
          <t>KRISTIANSTAD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18752-2023</t>
        </is>
      </c>
      <c r="B1104" s="1" t="n">
        <v>45043.86902777778</v>
      </c>
      <c r="C1104" s="1" t="n">
        <v>45914</v>
      </c>
      <c r="D1104" t="inlineStr">
        <is>
          <t>SKÅNE LÄN</t>
        </is>
      </c>
      <c r="E1104" t="inlineStr">
        <is>
          <t>KRISTIANSTAD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3373-2021</t>
        </is>
      </c>
      <c r="B1105" s="1" t="n">
        <v>44218</v>
      </c>
      <c r="C1105" s="1" t="n">
        <v>45914</v>
      </c>
      <c r="D1105" t="inlineStr">
        <is>
          <t>SKÅNE LÄN</t>
        </is>
      </c>
      <c r="E1105" t="inlineStr">
        <is>
          <t>SIMRISHAMN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8695-2021</t>
        </is>
      </c>
      <c r="B1106" s="1" t="n">
        <v>44246</v>
      </c>
      <c r="C1106" s="1" t="n">
        <v>45914</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7306-2025</t>
        </is>
      </c>
      <c r="B1107" s="1" t="n">
        <v>45702</v>
      </c>
      <c r="C1107" s="1" t="n">
        <v>45914</v>
      </c>
      <c r="D1107" t="inlineStr">
        <is>
          <t>SKÅNE LÄN</t>
        </is>
      </c>
      <c r="E1107" t="inlineStr">
        <is>
          <t>HÄSSLEHOLM</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7308-2025</t>
        </is>
      </c>
      <c r="B1108" s="1" t="n">
        <v>45702</v>
      </c>
      <c r="C1108" s="1" t="n">
        <v>45914</v>
      </c>
      <c r="D1108" t="inlineStr">
        <is>
          <t>SKÅNE LÄN</t>
        </is>
      </c>
      <c r="E1108" t="inlineStr">
        <is>
          <t>HÄSSLEHOLM</t>
        </is>
      </c>
      <c r="F1108" t="inlineStr">
        <is>
          <t>Övriga Aktiebolag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8506-2025</t>
        </is>
      </c>
      <c r="B1109" s="1" t="n">
        <v>45709.53076388889</v>
      </c>
      <c r="C1109" s="1" t="n">
        <v>45914</v>
      </c>
      <c r="D1109" t="inlineStr">
        <is>
          <t>SKÅNE LÄN</t>
        </is>
      </c>
      <c r="E1109" t="inlineStr">
        <is>
          <t>OSBY</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35677-2024</t>
        </is>
      </c>
      <c r="B1110" s="1" t="n">
        <v>45532</v>
      </c>
      <c r="C1110" s="1" t="n">
        <v>45914</v>
      </c>
      <c r="D1110" t="inlineStr">
        <is>
          <t>SKÅNE LÄN</t>
        </is>
      </c>
      <c r="E1110" t="inlineStr">
        <is>
          <t>KRISTIANSTAD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35688-2024</t>
        </is>
      </c>
      <c r="B1111" s="1" t="n">
        <v>45532</v>
      </c>
      <c r="C1111" s="1" t="n">
        <v>45914</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721-2024</t>
        </is>
      </c>
      <c r="B1112" s="1" t="n">
        <v>45300</v>
      </c>
      <c r="C1112" s="1" t="n">
        <v>45914</v>
      </c>
      <c r="D1112" t="inlineStr">
        <is>
          <t>SKÅNE LÄN</t>
        </is>
      </c>
      <c r="E1112" t="inlineStr">
        <is>
          <t>KRISTIANSTAD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26178-2023</t>
        </is>
      </c>
      <c r="B1113" s="1" t="n">
        <v>45091.52565972223</v>
      </c>
      <c r="C1113" s="1" t="n">
        <v>45914</v>
      </c>
      <c r="D1113" t="inlineStr">
        <is>
          <t>SKÅNE LÄN</t>
        </is>
      </c>
      <c r="E1113" t="inlineStr">
        <is>
          <t>ÖRKELLJUNGA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26179-2023</t>
        </is>
      </c>
      <c r="B1114" s="1" t="n">
        <v>45091.52637731482</v>
      </c>
      <c r="C1114" s="1" t="n">
        <v>45914</v>
      </c>
      <c r="D1114" t="inlineStr">
        <is>
          <t>SKÅNE LÄN</t>
        </is>
      </c>
      <c r="E1114" t="inlineStr">
        <is>
          <t>ÖRKELLJUNGA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10454-2025</t>
        </is>
      </c>
      <c r="B1115" s="1" t="n">
        <v>45720.7090625</v>
      </c>
      <c r="C1115" s="1" t="n">
        <v>45914</v>
      </c>
      <c r="D1115" t="inlineStr">
        <is>
          <t>SKÅNE LÄN</t>
        </is>
      </c>
      <c r="E1115" t="inlineStr">
        <is>
          <t>ÄNGELHOLM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62180-2022</t>
        </is>
      </c>
      <c r="B1116" s="1" t="n">
        <v>44915</v>
      </c>
      <c r="C1116" s="1" t="n">
        <v>45914</v>
      </c>
      <c r="D1116" t="inlineStr">
        <is>
          <t>SKÅNE LÄN</t>
        </is>
      </c>
      <c r="E1116" t="inlineStr">
        <is>
          <t>ÖRKELLJUNGA</t>
        </is>
      </c>
      <c r="F1116" t="inlineStr">
        <is>
          <t>Kyrkan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62181-2022</t>
        </is>
      </c>
      <c r="B1117" s="1" t="n">
        <v>44915</v>
      </c>
      <c r="C1117" s="1" t="n">
        <v>45914</v>
      </c>
      <c r="D1117" t="inlineStr">
        <is>
          <t>SKÅNE LÄN</t>
        </is>
      </c>
      <c r="E1117" t="inlineStr">
        <is>
          <t>ÖRKELLJUNGA</t>
        </is>
      </c>
      <c r="F1117" t="inlineStr">
        <is>
          <t>Kyrkan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62199-2022</t>
        </is>
      </c>
      <c r="B1118" s="1" t="n">
        <v>44915</v>
      </c>
      <c r="C1118" s="1" t="n">
        <v>45914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45914</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45914</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14157-2021</t>
        </is>
      </c>
      <c r="B1121" s="1" t="n">
        <v>44278.43246527778</v>
      </c>
      <c r="C1121" s="1" t="n">
        <v>45914</v>
      </c>
      <c r="D1121" t="inlineStr">
        <is>
          <t>SKÅNE LÄN</t>
        </is>
      </c>
      <c r="E1121" t="inlineStr">
        <is>
          <t>HÄSSLEHOLM</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677-2024</t>
        </is>
      </c>
      <c r="B1122" s="1" t="n">
        <v>45300</v>
      </c>
      <c r="C1122" s="1" t="n">
        <v>45914</v>
      </c>
      <c r="D1122" t="inlineStr">
        <is>
          <t>SKÅNE LÄN</t>
        </is>
      </c>
      <c r="E1122" t="inlineStr">
        <is>
          <t>HÄSSLEHOLM</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18743-2025</t>
        </is>
      </c>
      <c r="B1123" s="1" t="n">
        <v>45763.74811342593</v>
      </c>
      <c r="C1123" s="1" t="n">
        <v>45914</v>
      </c>
      <c r="D1123" t="inlineStr">
        <is>
          <t>SKÅNE LÄN</t>
        </is>
      </c>
      <c r="E1123" t="inlineStr">
        <is>
          <t>KRISTIANSTAD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22081-2023</t>
        </is>
      </c>
      <c r="B1124" s="1" t="n">
        <v>45069</v>
      </c>
      <c r="C1124" s="1" t="n">
        <v>45914</v>
      </c>
      <c r="D1124" t="inlineStr">
        <is>
          <t>SKÅNE LÄN</t>
        </is>
      </c>
      <c r="E1124" t="inlineStr">
        <is>
          <t>ÖSTRA GÖINGE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4710-2025</t>
        </is>
      </c>
      <c r="B1125" s="1" t="n">
        <v>45688</v>
      </c>
      <c r="C1125" s="1" t="n">
        <v>45914</v>
      </c>
      <c r="D1125" t="inlineStr">
        <is>
          <t>SKÅNE LÄN</t>
        </is>
      </c>
      <c r="E1125" t="inlineStr">
        <is>
          <t>OSBY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15533-2024</t>
        </is>
      </c>
      <c r="B1126" s="1" t="n">
        <v>45401</v>
      </c>
      <c r="C1126" s="1" t="n">
        <v>45914</v>
      </c>
      <c r="D1126" t="inlineStr">
        <is>
          <t>SKÅNE LÄN</t>
        </is>
      </c>
      <c r="E1126" t="inlineStr">
        <is>
          <t>ESLÖV</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15565-2024</t>
        </is>
      </c>
      <c r="B1127" s="1" t="n">
        <v>45401.66103009259</v>
      </c>
      <c r="C1127" s="1" t="n">
        <v>45914</v>
      </c>
      <c r="D1127" t="inlineStr">
        <is>
          <t>SKÅNE LÄN</t>
        </is>
      </c>
      <c r="E1127" t="inlineStr">
        <is>
          <t>SVEDALA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15562-2024</t>
        </is>
      </c>
      <c r="B1128" s="1" t="n">
        <v>45401.64975694445</v>
      </c>
      <c r="C1128" s="1" t="n">
        <v>45914</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15582-2024</t>
        </is>
      </c>
      <c r="B1129" s="1" t="n">
        <v>45401.69502314815</v>
      </c>
      <c r="C1129" s="1" t="n">
        <v>45914</v>
      </c>
      <c r="D1129" t="inlineStr">
        <is>
          <t>SKÅNE LÄN</t>
        </is>
      </c>
      <c r="E1129" t="inlineStr">
        <is>
          <t>SVEDALA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16787-2025</t>
        </is>
      </c>
      <c r="B1130" s="1" t="n">
        <v>45754.60696759259</v>
      </c>
      <c r="C1130" s="1" t="n">
        <v>45914</v>
      </c>
      <c r="D1130" t="inlineStr">
        <is>
          <t>SKÅNE LÄN</t>
        </is>
      </c>
      <c r="E1130" t="inlineStr">
        <is>
          <t>HÖÖR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13245-2024</t>
        </is>
      </c>
      <c r="B1131" s="1" t="n">
        <v>45386</v>
      </c>
      <c r="C1131" s="1" t="n">
        <v>45914</v>
      </c>
      <c r="D1131" t="inlineStr">
        <is>
          <t>SKÅNE LÄN</t>
        </is>
      </c>
      <c r="E1131" t="inlineStr">
        <is>
          <t>SVALÖV</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11802-2024</t>
        </is>
      </c>
      <c r="B1132" s="1" t="n">
        <v>45375.71997685185</v>
      </c>
      <c r="C1132" s="1" t="n">
        <v>45914</v>
      </c>
      <c r="D1132" t="inlineStr">
        <is>
          <t>SKÅNE LÄN</t>
        </is>
      </c>
      <c r="E1132" t="inlineStr">
        <is>
          <t>TOMELILLA</t>
        </is>
      </c>
      <c r="F1132" t="inlineStr">
        <is>
          <t>Övriga Aktiebolag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9747-2024</t>
        </is>
      </c>
      <c r="B1133" s="1" t="n">
        <v>45362</v>
      </c>
      <c r="C1133" s="1" t="n">
        <v>45914</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9748-2024</t>
        </is>
      </c>
      <c r="B1134" s="1" t="n">
        <v>45362.60480324074</v>
      </c>
      <c r="C1134" s="1" t="n">
        <v>45914</v>
      </c>
      <c r="D1134" t="inlineStr">
        <is>
          <t>SKÅNE LÄN</t>
        </is>
      </c>
      <c r="E1134" t="inlineStr">
        <is>
          <t>ÖRKELLJUNGA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18580-2023</t>
        </is>
      </c>
      <c r="B1135" s="1" t="n">
        <v>45043.37037037037</v>
      </c>
      <c r="C1135" s="1" t="n">
        <v>45914</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54798-2023</t>
        </is>
      </c>
      <c r="B1136" s="1" t="n">
        <v>45236.49951388889</v>
      </c>
      <c r="C1136" s="1" t="n">
        <v>45914</v>
      </c>
      <c r="D1136" t="inlineStr">
        <is>
          <t>SKÅNE LÄN</t>
        </is>
      </c>
      <c r="E1136" t="inlineStr">
        <is>
          <t>HÖÖR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42031-2022</t>
        </is>
      </c>
      <c r="B1137" s="1" t="n">
        <v>44830.47840277778</v>
      </c>
      <c r="C1137" s="1" t="n">
        <v>45914</v>
      </c>
      <c r="D1137" t="inlineStr">
        <is>
          <t>SKÅNE LÄN</t>
        </is>
      </c>
      <c r="E1137" t="inlineStr">
        <is>
          <t>OSBY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42034-2022</t>
        </is>
      </c>
      <c r="B1138" s="1" t="n">
        <v>44830.4819212963</v>
      </c>
      <c r="C1138" s="1" t="n">
        <v>45914</v>
      </c>
      <c r="D1138" t="inlineStr">
        <is>
          <t>SKÅNE LÄN</t>
        </is>
      </c>
      <c r="E1138" t="inlineStr">
        <is>
          <t>OSBY</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17335-2024</t>
        </is>
      </c>
      <c r="B1139" s="1" t="n">
        <v>45414.5687962963</v>
      </c>
      <c r="C1139" s="1" t="n">
        <v>45914</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25934-2022</t>
        </is>
      </c>
      <c r="B1140" s="1" t="n">
        <v>44734</v>
      </c>
      <c r="C1140" s="1" t="n">
        <v>45914</v>
      </c>
      <c r="D1140" t="inlineStr">
        <is>
          <t>SKÅNE LÄN</t>
        </is>
      </c>
      <c r="E1140" t="inlineStr">
        <is>
          <t>HÖÖR</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45215.4434837963</v>
      </c>
      <c r="C1141" s="1" t="n">
        <v>45914</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35533-2022</t>
        </is>
      </c>
      <c r="B1142" s="1" t="n">
        <v>44799</v>
      </c>
      <c r="C1142" s="1" t="n">
        <v>45914</v>
      </c>
      <c r="D1142" t="inlineStr">
        <is>
          <t>SKÅNE LÄN</t>
        </is>
      </c>
      <c r="E1142" t="inlineStr">
        <is>
          <t>ÖRKELLJUNGA</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26642-2023</t>
        </is>
      </c>
      <c r="B1143" s="1" t="n">
        <v>45092.8975</v>
      </c>
      <c r="C1143" s="1" t="n">
        <v>45914</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45882-2020</t>
        </is>
      </c>
      <c r="B1144" s="1" t="n">
        <v>44091</v>
      </c>
      <c r="C1144" s="1" t="n">
        <v>45914</v>
      </c>
      <c r="D1144" t="inlineStr">
        <is>
          <t>SKÅNE LÄN</t>
        </is>
      </c>
      <c r="E1144" t="inlineStr">
        <is>
          <t>ÖRKELLJUNGA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2046-2022</t>
        </is>
      </c>
      <c r="B1145" s="1" t="n">
        <v>44575</v>
      </c>
      <c r="C1145" s="1" t="n">
        <v>45914</v>
      </c>
      <c r="D1145" t="inlineStr">
        <is>
          <t>SKÅNE LÄN</t>
        </is>
      </c>
      <c r="E1145" t="inlineStr">
        <is>
          <t>KLIPPAN</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2158-2022</t>
        </is>
      </c>
      <c r="B1146" s="1" t="n">
        <v>44578.43423611111</v>
      </c>
      <c r="C1146" s="1" t="n">
        <v>45914</v>
      </c>
      <c r="D1146" t="inlineStr">
        <is>
          <t>SKÅNE LÄN</t>
        </is>
      </c>
      <c r="E1146" t="inlineStr">
        <is>
          <t>ÖSTRA GÖINGE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50607-2023</t>
        </is>
      </c>
      <c r="B1147" s="1" t="n">
        <v>45210</v>
      </c>
      <c r="C1147" s="1" t="n">
        <v>45914</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50616-2023</t>
        </is>
      </c>
      <c r="B1148" s="1" t="n">
        <v>45210</v>
      </c>
      <c r="C1148" s="1" t="n">
        <v>45914</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9142-2025</t>
        </is>
      </c>
      <c r="B1149" s="1" t="n">
        <v>45714.31886574074</v>
      </c>
      <c r="C1149" s="1" t="n">
        <v>45914</v>
      </c>
      <c r="D1149" t="inlineStr">
        <is>
          <t>SKÅNE LÄN</t>
        </is>
      </c>
      <c r="E1149" t="inlineStr">
        <is>
          <t>KLIPPAN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9323-2025</t>
        </is>
      </c>
      <c r="B1150" s="1" t="n">
        <v>45714.73532407408</v>
      </c>
      <c r="C1150" s="1" t="n">
        <v>45914</v>
      </c>
      <c r="D1150" t="inlineStr">
        <is>
          <t>SKÅNE LÄN</t>
        </is>
      </c>
      <c r="E1150" t="inlineStr">
        <is>
          <t>HÄSSLEHOLM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37784-2022</t>
        </is>
      </c>
      <c r="B1151" s="1" t="n">
        <v>44810</v>
      </c>
      <c r="C1151" s="1" t="n">
        <v>45914</v>
      </c>
      <c r="D1151" t="inlineStr">
        <is>
          <t>SKÅNE LÄN</t>
        </is>
      </c>
      <c r="E1151" t="inlineStr">
        <is>
          <t>ÖSTRA GÖINGE</t>
        </is>
      </c>
      <c r="F1151" t="inlineStr">
        <is>
          <t>Kyrkan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46521-2023</t>
        </is>
      </c>
      <c r="B1152" s="1" t="n">
        <v>45197</v>
      </c>
      <c r="C1152" s="1" t="n">
        <v>45914</v>
      </c>
      <c r="D1152" t="inlineStr">
        <is>
          <t>SKÅNE LÄN</t>
        </is>
      </c>
      <c r="E1152" t="inlineStr">
        <is>
          <t>KRISTIANSTAD</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46524-2023</t>
        </is>
      </c>
      <c r="B1153" s="1" t="n">
        <v>45197</v>
      </c>
      <c r="C1153" s="1" t="n">
        <v>45914</v>
      </c>
      <c r="D1153" t="inlineStr">
        <is>
          <t>SKÅNE LÄN</t>
        </is>
      </c>
      <c r="E1153" t="inlineStr">
        <is>
          <t>KRISTIANSTAD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9974-2024</t>
        </is>
      </c>
      <c r="B1154" s="1" t="n">
        <v>45363</v>
      </c>
      <c r="C1154" s="1" t="n">
        <v>45914</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53455-2022</t>
        </is>
      </c>
      <c r="B1155" s="1" t="n">
        <v>44874</v>
      </c>
      <c r="C1155" s="1" t="n">
        <v>45914</v>
      </c>
      <c r="D1155" t="inlineStr">
        <is>
          <t>SKÅNE LÄN</t>
        </is>
      </c>
      <c r="E1155" t="inlineStr">
        <is>
          <t>HÖÖR</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53501-2022</t>
        </is>
      </c>
      <c r="B1156" s="1" t="n">
        <v>44879</v>
      </c>
      <c r="C1156" s="1" t="n">
        <v>45914</v>
      </c>
      <c r="D1156" t="inlineStr">
        <is>
          <t>SKÅNE LÄN</t>
        </is>
      </c>
      <c r="E1156" t="inlineStr">
        <is>
          <t>ÄNGELHOLM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38500-2022</t>
        </is>
      </c>
      <c r="B1157" s="1" t="n">
        <v>44813.41585648148</v>
      </c>
      <c r="C1157" s="1" t="n">
        <v>45914</v>
      </c>
      <c r="D1157" t="inlineStr">
        <is>
          <t>SKÅNE LÄN</t>
        </is>
      </c>
      <c r="E1157" t="inlineStr">
        <is>
          <t>KRISTIANSTAD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41272-2022</t>
        </is>
      </c>
      <c r="B1158" s="1" t="n">
        <v>44825</v>
      </c>
      <c r="C1158" s="1" t="n">
        <v>45914</v>
      </c>
      <c r="D1158" t="inlineStr">
        <is>
          <t>SKÅNE LÄN</t>
        </is>
      </c>
      <c r="E1158" t="inlineStr">
        <is>
          <t>KLIPPAN</t>
        </is>
      </c>
      <c r="F1158" t="inlineStr">
        <is>
          <t>Övriga Aktiebolag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32732-2022</t>
        </is>
      </c>
      <c r="B1159" s="1" t="n">
        <v>44783</v>
      </c>
      <c r="C1159" s="1" t="n">
        <v>45914</v>
      </c>
      <c r="D1159" t="inlineStr">
        <is>
          <t>SKÅNE LÄN</t>
        </is>
      </c>
      <c r="E1159" t="inlineStr">
        <is>
          <t>SJÖBO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27529-2022</t>
        </is>
      </c>
      <c r="B1160" s="1" t="n">
        <v>44742</v>
      </c>
      <c r="C1160" s="1" t="n">
        <v>45914</v>
      </c>
      <c r="D1160" t="inlineStr">
        <is>
          <t>SKÅNE LÄN</t>
        </is>
      </c>
      <c r="E1160" t="inlineStr">
        <is>
          <t>KRISTIANSTAD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6615-2024</t>
        </is>
      </c>
      <c r="B1161" s="1" t="n">
        <v>45341</v>
      </c>
      <c r="C1161" s="1" t="n">
        <v>45914</v>
      </c>
      <c r="D1161" t="inlineStr">
        <is>
          <t>SKÅNE LÄN</t>
        </is>
      </c>
      <c r="E1161" t="inlineStr">
        <is>
          <t>KLIPPAN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14734-2025</t>
        </is>
      </c>
      <c r="B1162" s="1" t="n">
        <v>45742.64138888889</v>
      </c>
      <c r="C1162" s="1" t="n">
        <v>45914</v>
      </c>
      <c r="D1162" t="inlineStr">
        <is>
          <t>SKÅNE LÄN</t>
        </is>
      </c>
      <c r="E1162" t="inlineStr">
        <is>
          <t>HÖRBY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23946-2023</t>
        </is>
      </c>
      <c r="B1163" s="1" t="n">
        <v>45078.61601851852</v>
      </c>
      <c r="C1163" s="1" t="n">
        <v>45914</v>
      </c>
      <c r="D1163" t="inlineStr">
        <is>
          <t>SKÅNE LÄN</t>
        </is>
      </c>
      <c r="E1163" t="inlineStr">
        <is>
          <t>HÄSSLEHOLM</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13594-2024</t>
        </is>
      </c>
      <c r="B1164" s="1" t="n">
        <v>45390.31023148148</v>
      </c>
      <c r="C1164" s="1" t="n">
        <v>45914</v>
      </c>
      <c r="D1164" t="inlineStr">
        <is>
          <t>SKÅNE LÄN</t>
        </is>
      </c>
      <c r="E1164" t="inlineStr">
        <is>
          <t>OSBY</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15970-2024</t>
        </is>
      </c>
      <c r="B1165" s="1" t="n">
        <v>45405</v>
      </c>
      <c r="C1165" s="1" t="n">
        <v>45914</v>
      </c>
      <c r="D1165" t="inlineStr">
        <is>
          <t>SKÅNE LÄN</t>
        </is>
      </c>
      <c r="E1165" t="inlineStr">
        <is>
          <t>HÖRBY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59702-2022</t>
        </is>
      </c>
      <c r="B1166" s="1" t="n">
        <v>44908</v>
      </c>
      <c r="C1166" s="1" t="n">
        <v>45914</v>
      </c>
      <c r="D1166" t="inlineStr">
        <is>
          <t>SKÅNE LÄN</t>
        </is>
      </c>
      <c r="E1166" t="inlineStr">
        <is>
          <t>HÖÖR</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11221-2024</t>
        </is>
      </c>
      <c r="B1167" s="1" t="n">
        <v>45371.59097222222</v>
      </c>
      <c r="C1167" s="1" t="n">
        <v>45914</v>
      </c>
      <c r="D1167" t="inlineStr">
        <is>
          <t>SKÅNE LÄN</t>
        </is>
      </c>
      <c r="E1167" t="inlineStr">
        <is>
          <t>ESLÖV</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12150-2024</t>
        </is>
      </c>
      <c r="B1168" s="1" t="n">
        <v>45377</v>
      </c>
      <c r="C1168" s="1" t="n">
        <v>45914</v>
      </c>
      <c r="D1168" t="inlineStr">
        <is>
          <t>SKÅNE LÄN</t>
        </is>
      </c>
      <c r="E1168" t="inlineStr">
        <is>
          <t>ÄNGELHOLM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43380-2022</t>
        </is>
      </c>
      <c r="B1169" s="1" t="n">
        <v>44834.65802083333</v>
      </c>
      <c r="C1169" s="1" t="n">
        <v>45914</v>
      </c>
      <c r="D1169" t="inlineStr">
        <is>
          <t>SKÅNE LÄN</t>
        </is>
      </c>
      <c r="E1169" t="inlineStr">
        <is>
          <t>HÖRBY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54308-2023</t>
        </is>
      </c>
      <c r="B1170" s="1" t="n">
        <v>45232.85101851852</v>
      </c>
      <c r="C1170" s="1" t="n">
        <v>45914</v>
      </c>
      <c r="D1170" t="inlineStr">
        <is>
          <t>SKÅNE LÄN</t>
        </is>
      </c>
      <c r="E1170" t="inlineStr">
        <is>
          <t>KRISTIANSTAD</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5016-2024</t>
        </is>
      </c>
      <c r="B1171" s="1" t="n">
        <v>45329</v>
      </c>
      <c r="C1171" s="1" t="n">
        <v>45914</v>
      </c>
      <c r="D1171" t="inlineStr">
        <is>
          <t>SKÅNE LÄN</t>
        </is>
      </c>
      <c r="E1171" t="inlineStr">
        <is>
          <t>HÄSSLEHOLM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5028-2024</t>
        </is>
      </c>
      <c r="B1172" s="1" t="n">
        <v>45329</v>
      </c>
      <c r="C1172" s="1" t="n">
        <v>45914</v>
      </c>
      <c r="D1172" t="inlineStr">
        <is>
          <t>SKÅNE LÄN</t>
        </is>
      </c>
      <c r="E1172" t="inlineStr">
        <is>
          <t>SIMRISHAMN</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45914</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56569-2021</t>
        </is>
      </c>
      <c r="B1174" s="1" t="n">
        <v>44480</v>
      </c>
      <c r="C1174" s="1" t="n">
        <v>45914</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48974-2023</t>
        </is>
      </c>
      <c r="B1175" s="1" t="n">
        <v>45209</v>
      </c>
      <c r="C1175" s="1" t="n">
        <v>45914</v>
      </c>
      <c r="D1175" t="inlineStr">
        <is>
          <t>SKÅNE LÄN</t>
        </is>
      </c>
      <c r="E1175" t="inlineStr">
        <is>
          <t>BÅSTAD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49250-2022</t>
        </is>
      </c>
      <c r="B1176" s="1" t="n">
        <v>44858</v>
      </c>
      <c r="C1176" s="1" t="n">
        <v>45914</v>
      </c>
      <c r="D1176" t="inlineStr">
        <is>
          <t>SKÅNE LÄN</t>
        </is>
      </c>
      <c r="E1176" t="inlineStr">
        <is>
          <t>HÄSSLEHOLM</t>
        </is>
      </c>
      <c r="F1176" t="inlineStr">
        <is>
          <t>Kyrkan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48397-2020</t>
        </is>
      </c>
      <c r="B1177" s="1" t="n">
        <v>44097</v>
      </c>
      <c r="C1177" s="1" t="n">
        <v>45914</v>
      </c>
      <c r="D1177" t="inlineStr">
        <is>
          <t>SKÅNE LÄN</t>
        </is>
      </c>
      <c r="E1177" t="inlineStr">
        <is>
          <t>HÄSSLEHOLM</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4321-2024</t>
        </is>
      </c>
      <c r="B1178" s="1" t="n">
        <v>45324.66635416666</v>
      </c>
      <c r="C1178" s="1" t="n">
        <v>45914</v>
      </c>
      <c r="D1178" t="inlineStr">
        <is>
          <t>SKÅNE LÄN</t>
        </is>
      </c>
      <c r="E1178" t="inlineStr">
        <is>
          <t>KLIPPAN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6875-2024</t>
        </is>
      </c>
      <c r="B1179" s="1" t="n">
        <v>45342</v>
      </c>
      <c r="C1179" s="1" t="n">
        <v>45914</v>
      </c>
      <c r="D1179" t="inlineStr">
        <is>
          <t>SKÅNE LÄN</t>
        </is>
      </c>
      <c r="E1179" t="inlineStr">
        <is>
          <t>OSBY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6876-2024</t>
        </is>
      </c>
      <c r="B1180" s="1" t="n">
        <v>45342</v>
      </c>
      <c r="C1180" s="1" t="n">
        <v>45914</v>
      </c>
      <c r="D1180" t="inlineStr">
        <is>
          <t>SKÅNE LÄN</t>
        </is>
      </c>
      <c r="E1180" t="inlineStr">
        <is>
          <t>OSBY</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6760-2024</t>
        </is>
      </c>
      <c r="B1181" s="1" t="n">
        <v>45342.47940972223</v>
      </c>
      <c r="C1181" s="1" t="n">
        <v>45914</v>
      </c>
      <c r="D1181" t="inlineStr">
        <is>
          <t>SKÅNE LÄN</t>
        </is>
      </c>
      <c r="E1181" t="inlineStr">
        <is>
          <t>HÖÖR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15467-2025</t>
        </is>
      </c>
      <c r="B1182" s="1" t="n">
        <v>45747.52465277778</v>
      </c>
      <c r="C1182" s="1" t="n">
        <v>45914</v>
      </c>
      <c r="D1182" t="inlineStr">
        <is>
          <t>SKÅNE LÄN</t>
        </is>
      </c>
      <c r="E1182" t="inlineStr">
        <is>
          <t>ESLÖV</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46619-2020</t>
        </is>
      </c>
      <c r="B1183" s="1" t="n">
        <v>44089</v>
      </c>
      <c r="C1183" s="1" t="n">
        <v>45914</v>
      </c>
      <c r="D1183" t="inlineStr">
        <is>
          <t>SKÅNE LÄN</t>
        </is>
      </c>
      <c r="E1183" t="inlineStr">
        <is>
          <t>OSBY</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8759-2024</t>
        </is>
      </c>
      <c r="B1184" s="1" t="n">
        <v>45356.52271990741</v>
      </c>
      <c r="C1184" s="1" t="n">
        <v>45914</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10020-2024</t>
        </is>
      </c>
      <c r="B1185" s="1" t="n">
        <v>45363.96944444445</v>
      </c>
      <c r="C1185" s="1" t="n">
        <v>45914</v>
      </c>
      <c r="D1185" t="inlineStr">
        <is>
          <t>SKÅNE LÄN</t>
        </is>
      </c>
      <c r="E1185" t="inlineStr">
        <is>
          <t>HÄSSLEHOLM</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4301-2024</t>
        </is>
      </c>
      <c r="B1186" s="1" t="n">
        <v>45324</v>
      </c>
      <c r="C1186" s="1" t="n">
        <v>45914</v>
      </c>
      <c r="D1186" t="inlineStr">
        <is>
          <t>SKÅNE LÄN</t>
        </is>
      </c>
      <c r="E1186" t="inlineStr">
        <is>
          <t>KLIPPAN</t>
        </is>
      </c>
      <c r="F1186" t="inlineStr">
        <is>
          <t>Övriga Aktiebolag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2366-2024</t>
        </is>
      </c>
      <c r="B1187" s="1" t="n">
        <v>45310</v>
      </c>
      <c r="C1187" s="1" t="n">
        <v>45914</v>
      </c>
      <c r="D1187" t="inlineStr">
        <is>
          <t>SKÅNE LÄN</t>
        </is>
      </c>
      <c r="E1187" t="inlineStr">
        <is>
          <t>ÖSTRA GÖINGE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56596-2022</t>
        </is>
      </c>
      <c r="B1188" s="1" t="n">
        <v>44888</v>
      </c>
      <c r="C1188" s="1" t="n">
        <v>45914</v>
      </c>
      <c r="D1188" t="inlineStr">
        <is>
          <t>SKÅNE LÄN</t>
        </is>
      </c>
      <c r="E1188" t="inlineStr">
        <is>
          <t>HÖÖR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3796-2024</t>
        </is>
      </c>
      <c r="B1189" s="1" t="n">
        <v>45321</v>
      </c>
      <c r="C1189" s="1" t="n">
        <v>45914</v>
      </c>
      <c r="D1189" t="inlineStr">
        <is>
          <t>SKÅNE LÄN</t>
        </is>
      </c>
      <c r="E1189" t="inlineStr">
        <is>
          <t>KRISTIANSTAD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56633-2022</t>
        </is>
      </c>
      <c r="B1190" s="1" t="n">
        <v>44893.61615740741</v>
      </c>
      <c r="C1190" s="1" t="n">
        <v>45914</v>
      </c>
      <c r="D1190" t="inlineStr">
        <is>
          <t>SKÅNE LÄN</t>
        </is>
      </c>
      <c r="E1190" t="inlineStr">
        <is>
          <t>KRISTIANSTAD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3831-2024</t>
        </is>
      </c>
      <c r="B1191" s="1" t="n">
        <v>45321.87001157407</v>
      </c>
      <c r="C1191" s="1" t="n">
        <v>45914</v>
      </c>
      <c r="D1191" t="inlineStr">
        <is>
          <t>SKÅNE LÄN</t>
        </is>
      </c>
      <c r="E1191" t="inlineStr">
        <is>
          <t>OSBY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12404-2024</t>
        </is>
      </c>
      <c r="B1192" s="1" t="n">
        <v>45379.38943287037</v>
      </c>
      <c r="C1192" s="1" t="n">
        <v>45914</v>
      </c>
      <c r="D1192" t="inlineStr">
        <is>
          <t>SKÅNE LÄN</t>
        </is>
      </c>
      <c r="E1192" t="inlineStr">
        <is>
          <t>KRISTIANSTAD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45725-2022</t>
        </is>
      </c>
      <c r="B1193" s="1" t="n">
        <v>44846</v>
      </c>
      <c r="C1193" s="1" t="n">
        <v>45914</v>
      </c>
      <c r="D1193" t="inlineStr">
        <is>
          <t>SKÅNE LÄN</t>
        </is>
      </c>
      <c r="E1193" t="inlineStr">
        <is>
          <t>LUND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47803-2021</t>
        </is>
      </c>
      <c r="B1194" s="1" t="n">
        <v>44448.61173611111</v>
      </c>
      <c r="C1194" s="1" t="n">
        <v>45914</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47609-2023</t>
        </is>
      </c>
      <c r="B1195" s="1" t="n">
        <v>45203</v>
      </c>
      <c r="C1195" s="1" t="n">
        <v>45914</v>
      </c>
      <c r="D1195" t="inlineStr">
        <is>
          <t>SKÅNE LÄN</t>
        </is>
      </c>
      <c r="E1195" t="inlineStr">
        <is>
          <t>HÖRBY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11146-2024</t>
        </is>
      </c>
      <c r="B1196" s="1" t="n">
        <v>45371.46622685185</v>
      </c>
      <c r="C1196" s="1" t="n">
        <v>45914</v>
      </c>
      <c r="D1196" t="inlineStr">
        <is>
          <t>SKÅNE LÄN</t>
        </is>
      </c>
      <c r="E1196" t="inlineStr">
        <is>
          <t>OSBY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12936-2025</t>
        </is>
      </c>
      <c r="B1197" s="1" t="n">
        <v>45734</v>
      </c>
      <c r="C1197" s="1" t="n">
        <v>45914</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10714-2024</t>
        </is>
      </c>
      <c r="B1198" s="1" t="n">
        <v>45369.44337962963</v>
      </c>
      <c r="C1198" s="1" t="n">
        <v>45914</v>
      </c>
      <c r="D1198" t="inlineStr">
        <is>
          <t>SKÅNE LÄN</t>
        </is>
      </c>
      <c r="E1198" t="inlineStr">
        <is>
          <t>OSBY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45914</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35901-2022</t>
        </is>
      </c>
      <c r="B1200" s="1" t="n">
        <v>44802.48579861111</v>
      </c>
      <c r="C1200" s="1" t="n">
        <v>45914</v>
      </c>
      <c r="D1200" t="inlineStr">
        <is>
          <t>SKÅNE LÄN</t>
        </is>
      </c>
      <c r="E1200" t="inlineStr">
        <is>
          <t>OSBY</t>
        </is>
      </c>
      <c r="F1200" t="inlineStr">
        <is>
          <t>Kyrkan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19159-2021</t>
        </is>
      </c>
      <c r="B1201" s="1" t="n">
        <v>44308</v>
      </c>
      <c r="C1201" s="1" t="n">
        <v>45914</v>
      </c>
      <c r="D1201" t="inlineStr">
        <is>
          <t>SKÅNE LÄN</t>
        </is>
      </c>
      <c r="E1201" t="inlineStr">
        <is>
          <t>SVALÖV</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5958-2024</t>
        </is>
      </c>
      <c r="B1202" s="1" t="n">
        <v>45336</v>
      </c>
      <c r="C1202" s="1" t="n">
        <v>45914</v>
      </c>
      <c r="D1202" t="inlineStr">
        <is>
          <t>SKÅNE LÄN</t>
        </is>
      </c>
      <c r="E1202" t="inlineStr">
        <is>
          <t>KRISTIANSTAD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5163-2024</t>
        </is>
      </c>
      <c r="B1203" s="1" t="n">
        <v>45330</v>
      </c>
      <c r="C1203" s="1" t="n">
        <v>45914</v>
      </c>
      <c r="D1203" t="inlineStr">
        <is>
          <t>SKÅNE LÄN</t>
        </is>
      </c>
      <c r="E1203" t="inlineStr">
        <is>
          <t>HÖRBY</t>
        </is>
      </c>
      <c r="F1203" t="inlineStr">
        <is>
          <t>Kyrkan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17649-2023</t>
        </is>
      </c>
      <c r="B1204" s="1" t="n">
        <v>45035</v>
      </c>
      <c r="C1204" s="1" t="n">
        <v>45914</v>
      </c>
      <c r="D1204" t="inlineStr">
        <is>
          <t>SKÅNE LÄN</t>
        </is>
      </c>
      <c r="E1204" t="inlineStr">
        <is>
          <t>OSBY</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17723-2023</t>
        </is>
      </c>
      <c r="B1205" s="1" t="n">
        <v>45037</v>
      </c>
      <c r="C1205" s="1" t="n">
        <v>45914</v>
      </c>
      <c r="D1205" t="inlineStr">
        <is>
          <t>SKÅNE LÄN</t>
        </is>
      </c>
      <c r="E1205" t="inlineStr">
        <is>
          <t>HÖÖR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17613-2024</t>
        </is>
      </c>
      <c r="B1206" s="1" t="n">
        <v>45416</v>
      </c>
      <c r="C1206" s="1" t="n">
        <v>45914</v>
      </c>
      <c r="D1206" t="inlineStr">
        <is>
          <t>SKÅNE LÄN</t>
        </is>
      </c>
      <c r="E1206" t="inlineStr">
        <is>
          <t>KRISTIANSTAD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49520-2021</t>
        </is>
      </c>
      <c r="B1207" s="1" t="n">
        <v>44455</v>
      </c>
      <c r="C1207" s="1" t="n">
        <v>45914</v>
      </c>
      <c r="D1207" t="inlineStr">
        <is>
          <t>SKÅNE LÄN</t>
        </is>
      </c>
      <c r="E1207" t="inlineStr">
        <is>
          <t>KRISTIANSTAD</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27551-2023</t>
        </is>
      </c>
      <c r="B1208" s="1" t="n">
        <v>45097</v>
      </c>
      <c r="C1208" s="1" t="n">
        <v>45914</v>
      </c>
      <c r="D1208" t="inlineStr">
        <is>
          <t>SKÅNE LÄN</t>
        </is>
      </c>
      <c r="E1208" t="inlineStr">
        <is>
          <t>ÄNGELHOLM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17792-2021</t>
        </is>
      </c>
      <c r="B1209" s="1" t="n">
        <v>44300</v>
      </c>
      <c r="C1209" s="1" t="n">
        <v>45914</v>
      </c>
      <c r="D1209" t="inlineStr">
        <is>
          <t>SKÅNE LÄN</t>
        </is>
      </c>
      <c r="E1209" t="inlineStr">
        <is>
          <t>KLIPPAN</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17060-2021</t>
        </is>
      </c>
      <c r="B1210" s="1" t="n">
        <v>44296.63025462963</v>
      </c>
      <c r="C1210" s="1" t="n">
        <v>45914</v>
      </c>
      <c r="D1210" t="inlineStr">
        <is>
          <t>SKÅNE LÄN</t>
        </is>
      </c>
      <c r="E1210" t="inlineStr">
        <is>
          <t>KLIPPAN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28397-2023</t>
        </is>
      </c>
      <c r="B1211" s="1" t="n">
        <v>45100</v>
      </c>
      <c r="C1211" s="1" t="n">
        <v>45914</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8858-2025</t>
        </is>
      </c>
      <c r="B1212" s="1" t="n">
        <v>45713</v>
      </c>
      <c r="C1212" s="1" t="n">
        <v>45914</v>
      </c>
      <c r="D1212" t="inlineStr">
        <is>
          <t>SKÅNE LÄN</t>
        </is>
      </c>
      <c r="E1212" t="inlineStr">
        <is>
          <t>SJÖBO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8882-2025</t>
        </is>
      </c>
      <c r="B1213" s="1" t="n">
        <v>45713</v>
      </c>
      <c r="C1213" s="1" t="n">
        <v>45914</v>
      </c>
      <c r="D1213" t="inlineStr">
        <is>
          <t>SKÅNE LÄN</t>
        </is>
      </c>
      <c r="E1213" t="inlineStr">
        <is>
          <t>ÄNGELHOLM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46200-2022</t>
        </is>
      </c>
      <c r="B1214" s="1" t="n">
        <v>44845</v>
      </c>
      <c r="C1214" s="1" t="n">
        <v>45914</v>
      </c>
      <c r="D1214" t="inlineStr">
        <is>
          <t>SKÅNE LÄN</t>
        </is>
      </c>
      <c r="E1214" t="inlineStr">
        <is>
          <t>PERSTORP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51826-2022</t>
        </is>
      </c>
      <c r="B1215" s="1" t="n">
        <v>44872</v>
      </c>
      <c r="C1215" s="1" t="n">
        <v>45914</v>
      </c>
      <c r="D1215" t="inlineStr">
        <is>
          <t>SKÅNE LÄN</t>
        </is>
      </c>
      <c r="E1215" t="inlineStr">
        <is>
          <t>HÖRBY</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9018-2024</t>
        </is>
      </c>
      <c r="B1216" s="1" t="n">
        <v>45357</v>
      </c>
      <c r="C1216" s="1" t="n">
        <v>45914</v>
      </c>
      <c r="D1216" t="inlineStr">
        <is>
          <t>SKÅNE LÄN</t>
        </is>
      </c>
      <c r="E1216" t="inlineStr">
        <is>
          <t>KRISTIANSTAD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4512-2024</t>
        </is>
      </c>
      <c r="B1217" s="1" t="n">
        <v>45327.6312962963</v>
      </c>
      <c r="C1217" s="1" t="n">
        <v>45914</v>
      </c>
      <c r="D1217" t="inlineStr">
        <is>
          <t>SKÅNE LÄN</t>
        </is>
      </c>
      <c r="E1217" t="inlineStr">
        <is>
          <t>HÄSSLEHOLM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46504-2022</t>
        </is>
      </c>
      <c r="B1218" s="1" t="n">
        <v>44847</v>
      </c>
      <c r="C1218" s="1" t="n">
        <v>45914</v>
      </c>
      <c r="D1218" t="inlineStr">
        <is>
          <t>SKÅNE LÄN</t>
        </is>
      </c>
      <c r="E1218" t="inlineStr">
        <is>
          <t>KRISTIANSTAD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4916-2024</t>
        </is>
      </c>
      <c r="B1219" s="1" t="n">
        <v>45329</v>
      </c>
      <c r="C1219" s="1" t="n">
        <v>45914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17856-2024</t>
        </is>
      </c>
      <c r="B1220" s="1" t="n">
        <v>45419</v>
      </c>
      <c r="C1220" s="1" t="n">
        <v>45914</v>
      </c>
      <c r="D1220" t="inlineStr">
        <is>
          <t>SKÅNE LÄN</t>
        </is>
      </c>
      <c r="E1220" t="inlineStr">
        <is>
          <t>KLIPPAN</t>
        </is>
      </c>
      <c r="F1220" t="inlineStr">
        <is>
          <t>Övriga Aktiebolag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6174-2025</t>
        </is>
      </c>
      <c r="B1221" s="1" t="n">
        <v>45698</v>
      </c>
      <c r="C1221" s="1" t="n">
        <v>45914</v>
      </c>
      <c r="D1221" t="inlineStr">
        <is>
          <t>SKÅNE LÄN</t>
        </is>
      </c>
      <c r="E1221" t="inlineStr">
        <is>
          <t>HÖÖR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21767-2023</t>
        </is>
      </c>
      <c r="B1222" s="1" t="n">
        <v>45065</v>
      </c>
      <c r="C1222" s="1" t="n">
        <v>45914</v>
      </c>
      <c r="D1222" t="inlineStr">
        <is>
          <t>SKÅNE LÄN</t>
        </is>
      </c>
      <c r="E1222" t="inlineStr">
        <is>
          <t>LUND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52857-2022</t>
        </is>
      </c>
      <c r="B1223" s="1" t="n">
        <v>44872</v>
      </c>
      <c r="C1223" s="1" t="n">
        <v>45914</v>
      </c>
      <c r="D1223" t="inlineStr">
        <is>
          <t>SKÅNE LÄN</t>
        </is>
      </c>
      <c r="E1223" t="inlineStr">
        <is>
          <t>OSBY</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40739-2024</t>
        </is>
      </c>
      <c r="B1224" s="1" t="n">
        <v>45558</v>
      </c>
      <c r="C1224" s="1" t="n">
        <v>45914</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1733-2024</t>
        </is>
      </c>
      <c r="B1225" s="1" t="n">
        <v>45307</v>
      </c>
      <c r="C1225" s="1" t="n">
        <v>45914</v>
      </c>
      <c r="D1225" t="inlineStr">
        <is>
          <t>SKÅNE LÄN</t>
        </is>
      </c>
      <c r="E1225" t="inlineStr">
        <is>
          <t>KRISTIANSTAD</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36979-2024</t>
        </is>
      </c>
      <c r="B1226" s="1" t="n">
        <v>45539.27186342593</v>
      </c>
      <c r="C1226" s="1" t="n">
        <v>45914</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38319-2024</t>
        </is>
      </c>
      <c r="B1227" s="1" t="n">
        <v>45545.66203703704</v>
      </c>
      <c r="C1227" s="1" t="n">
        <v>45914</v>
      </c>
      <c r="D1227" t="inlineStr">
        <is>
          <t>SKÅNE LÄN</t>
        </is>
      </c>
      <c r="E1227" t="inlineStr">
        <is>
          <t>PERSTORP</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24020-2023</t>
        </is>
      </c>
      <c r="B1228" s="1" t="n">
        <v>45078.736875</v>
      </c>
      <c r="C1228" s="1" t="n">
        <v>45914</v>
      </c>
      <c r="D1228" t="inlineStr">
        <is>
          <t>SKÅNE LÄN</t>
        </is>
      </c>
      <c r="E1228" t="inlineStr">
        <is>
          <t>ÖSTRA GÖINGE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18340-2024</t>
        </is>
      </c>
      <c r="B1229" s="1" t="n">
        <v>45422.58119212963</v>
      </c>
      <c r="C1229" s="1" t="n">
        <v>45914</v>
      </c>
      <c r="D1229" t="inlineStr">
        <is>
          <t>SKÅNE LÄN</t>
        </is>
      </c>
      <c r="E1229" t="inlineStr">
        <is>
          <t>ÖSTRA GÖINGE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9899-2025</t>
        </is>
      </c>
      <c r="B1230" s="1" t="n">
        <v>45716.79393518518</v>
      </c>
      <c r="C1230" s="1" t="n">
        <v>45914</v>
      </c>
      <c r="D1230" t="inlineStr">
        <is>
          <t>SKÅNE LÄN</t>
        </is>
      </c>
      <c r="E1230" t="inlineStr">
        <is>
          <t>KRISTIANSTAD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42919-2024</t>
        </is>
      </c>
      <c r="B1231" s="1" t="n">
        <v>45566</v>
      </c>
      <c r="C1231" s="1" t="n">
        <v>45914</v>
      </c>
      <c r="D1231" t="inlineStr">
        <is>
          <t>SKÅNE LÄN</t>
        </is>
      </c>
      <c r="E1231" t="inlineStr">
        <is>
          <t>KRISTIANSTAD</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14620-2025</t>
        </is>
      </c>
      <c r="B1232" s="1" t="n">
        <v>45742.41289351852</v>
      </c>
      <c r="C1232" s="1" t="n">
        <v>45914</v>
      </c>
      <c r="D1232" t="inlineStr">
        <is>
          <t>SKÅNE LÄN</t>
        </is>
      </c>
      <c r="E1232" t="inlineStr">
        <is>
          <t>KLIPPAN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12915-2025</t>
        </is>
      </c>
      <c r="B1233" s="1" t="n">
        <v>45733</v>
      </c>
      <c r="C1233" s="1" t="n">
        <v>45914</v>
      </c>
      <c r="D1233" t="inlineStr">
        <is>
          <t>SKÅNE LÄN</t>
        </is>
      </c>
      <c r="E1233" t="inlineStr">
        <is>
          <t>KRISTIANSTAD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8204-2023</t>
        </is>
      </c>
      <c r="B1234" s="1" t="n">
        <v>44971</v>
      </c>
      <c r="C1234" s="1" t="n">
        <v>45914</v>
      </c>
      <c r="D1234" t="inlineStr">
        <is>
          <t>SKÅNE LÄN</t>
        </is>
      </c>
      <c r="E1234" t="inlineStr">
        <is>
          <t>ÖRKELLJUNGA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6948-2025</t>
        </is>
      </c>
      <c r="B1235" s="1" t="n">
        <v>45701.47834490741</v>
      </c>
      <c r="C1235" s="1" t="n">
        <v>45914</v>
      </c>
      <c r="D1235" t="inlineStr">
        <is>
          <t>SKÅNE LÄN</t>
        </is>
      </c>
      <c r="E1235" t="inlineStr">
        <is>
          <t>PERSTORP</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44196-2024</t>
        </is>
      </c>
      <c r="B1236" s="1" t="n">
        <v>45573.31803240741</v>
      </c>
      <c r="C1236" s="1" t="n">
        <v>45914</v>
      </c>
      <c r="D1236" t="inlineStr">
        <is>
          <t>SKÅNE LÄN</t>
        </is>
      </c>
      <c r="E1236" t="inlineStr">
        <is>
          <t>SVALÖV</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25899-2021</t>
        </is>
      </c>
      <c r="B1237" s="1" t="n">
        <v>44344</v>
      </c>
      <c r="C1237" s="1" t="n">
        <v>45914</v>
      </c>
      <c r="D1237" t="inlineStr">
        <is>
          <t>SKÅNE LÄN</t>
        </is>
      </c>
      <c r="E1237" t="inlineStr">
        <is>
          <t>TOMELILLA</t>
        </is>
      </c>
      <c r="F1237" t="inlineStr">
        <is>
          <t>Övriga Aktiebolag</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8749-2024</t>
        </is>
      </c>
      <c r="B1238" s="1" t="n">
        <v>45356.50387731481</v>
      </c>
      <c r="C1238" s="1" t="n">
        <v>45914</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38324-2023</t>
        </is>
      </c>
      <c r="B1239" s="1" t="n">
        <v>45161.77145833334</v>
      </c>
      <c r="C1239" s="1" t="n">
        <v>45914</v>
      </c>
      <c r="D1239" t="inlineStr">
        <is>
          <t>SKÅNE LÄN</t>
        </is>
      </c>
      <c r="E1239" t="inlineStr">
        <is>
          <t>PERSTORP</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8752-2024</t>
        </is>
      </c>
      <c r="B1240" s="1" t="n">
        <v>45356</v>
      </c>
      <c r="C1240" s="1" t="n">
        <v>45914</v>
      </c>
      <c r="D1240" t="inlineStr">
        <is>
          <t>SKÅNE LÄN</t>
        </is>
      </c>
      <c r="E1240" t="inlineStr">
        <is>
          <t>HÄSSLEHOLM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61094-2021</t>
        </is>
      </c>
      <c r="B1241" s="1" t="n">
        <v>44498</v>
      </c>
      <c r="C1241" s="1" t="n">
        <v>45914</v>
      </c>
      <c r="D1241" t="inlineStr">
        <is>
          <t>SKÅNE LÄN</t>
        </is>
      </c>
      <c r="E1241" t="inlineStr">
        <is>
          <t>ÄNGELHOLM</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42906-2022</t>
        </is>
      </c>
      <c r="B1242" s="1" t="n">
        <v>44833</v>
      </c>
      <c r="C1242" s="1" t="n">
        <v>45914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6545-2023</t>
        </is>
      </c>
      <c r="B1243" s="1" t="n">
        <v>44960</v>
      </c>
      <c r="C1243" s="1" t="n">
        <v>45914</v>
      </c>
      <c r="D1243" t="inlineStr">
        <is>
          <t>SKÅNE LÄN</t>
        </is>
      </c>
      <c r="E1243" t="inlineStr">
        <is>
          <t>ESLÖV</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15036-2024</t>
        </is>
      </c>
      <c r="B1244" s="1" t="n">
        <v>45399.48100694444</v>
      </c>
      <c r="C1244" s="1" t="n">
        <v>45914</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64884-2023</t>
        </is>
      </c>
      <c r="B1245" s="1" t="n">
        <v>45282.57809027778</v>
      </c>
      <c r="C1245" s="1" t="n">
        <v>45914</v>
      </c>
      <c r="D1245" t="inlineStr">
        <is>
          <t>SKÅNE LÄN</t>
        </is>
      </c>
      <c r="E1245" t="inlineStr">
        <is>
          <t>HÄSSLEHOLM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4421-2025</t>
        </is>
      </c>
      <c r="B1246" s="1" t="n">
        <v>45686</v>
      </c>
      <c r="C1246" s="1" t="n">
        <v>45914</v>
      </c>
      <c r="D1246" t="inlineStr">
        <is>
          <t>SKÅNE LÄN</t>
        </is>
      </c>
      <c r="E1246" t="inlineStr">
        <is>
          <t>KRISTIANSTAD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38400-2024</t>
        </is>
      </c>
      <c r="B1247" s="1" t="n">
        <v>45546</v>
      </c>
      <c r="C1247" s="1" t="n">
        <v>45914</v>
      </c>
      <c r="D1247" t="inlineStr">
        <is>
          <t>SKÅNE LÄN</t>
        </is>
      </c>
      <c r="E1247" t="inlineStr">
        <is>
          <t>KRISTIANSTAD</t>
        </is>
      </c>
      <c r="F1247" t="inlineStr">
        <is>
          <t>Övriga Aktiebolag</t>
        </is>
      </c>
      <c r="G1247" t="n">
        <v>19.8</v>
      </c>
      <c r="H1247" t="n">
        <v>0</v>
      </c>
      <c r="I1247" t="n">
        <v>0</v>
      </c>
      <c r="J1247" t="n">
        <v>0</v>
      </c>
      <c r="K1247" t="n">
        <v>0</v>
      </c>
      <c r="L1247" t="n">
        <v>0</v>
      </c>
      <c r="M1247" t="n">
        <v>0</v>
      </c>
      <c r="N1247" t="n">
        <v>0</v>
      </c>
      <c r="O1247" t="n">
        <v>0</v>
      </c>
      <c r="P1247" t="n">
        <v>0</v>
      </c>
      <c r="Q1247" t="n">
        <v>0</v>
      </c>
      <c r="R1247" s="2" t="inlineStr"/>
    </row>
    <row r="1248" ht="15" customHeight="1">
      <c r="A1248" t="inlineStr">
        <is>
          <t>A 22140-2023</t>
        </is>
      </c>
      <c r="B1248" s="1" t="n">
        <v>45065</v>
      </c>
      <c r="C1248" s="1" t="n">
        <v>45914</v>
      </c>
      <c r="D1248" t="inlineStr">
        <is>
          <t>SKÅNE LÄN</t>
        </is>
      </c>
      <c r="E1248" t="inlineStr">
        <is>
          <t>HÄSSLEHOLM</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58269-2022</t>
        </is>
      </c>
      <c r="B1249" s="1" t="n">
        <v>44894</v>
      </c>
      <c r="C1249" s="1" t="n">
        <v>45914</v>
      </c>
      <c r="D1249" t="inlineStr">
        <is>
          <t>SKÅNE LÄN</t>
        </is>
      </c>
      <c r="E1249" t="inlineStr">
        <is>
          <t>KRISTIANSTAD</t>
        </is>
      </c>
      <c r="G1249" t="n">
        <v>14.9</v>
      </c>
      <c r="H1249" t="n">
        <v>0</v>
      </c>
      <c r="I1249" t="n">
        <v>0</v>
      </c>
      <c r="J1249" t="n">
        <v>0</v>
      </c>
      <c r="K1249" t="n">
        <v>0</v>
      </c>
      <c r="L1249" t="n">
        <v>0</v>
      </c>
      <c r="M1249" t="n">
        <v>0</v>
      </c>
      <c r="N1249" t="n">
        <v>0</v>
      </c>
      <c r="O1249" t="n">
        <v>0</v>
      </c>
      <c r="P1249" t="n">
        <v>0</v>
      </c>
      <c r="Q1249" t="n">
        <v>0</v>
      </c>
      <c r="R1249" s="2" t="inlineStr"/>
    </row>
    <row r="1250" ht="15" customHeight="1">
      <c r="A1250" t="inlineStr">
        <is>
          <t>A 62116-2022</t>
        </is>
      </c>
      <c r="B1250" s="1" t="n">
        <v>44921.5437037037</v>
      </c>
      <c r="C1250" s="1" t="n">
        <v>45914</v>
      </c>
      <c r="D1250" t="inlineStr">
        <is>
          <t>SKÅNE LÄN</t>
        </is>
      </c>
      <c r="E1250" t="inlineStr">
        <is>
          <t>OSBY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31944-2023</t>
        </is>
      </c>
      <c r="B1251" s="1" t="n">
        <v>45119.34895833334</v>
      </c>
      <c r="C1251" s="1" t="n">
        <v>45914</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7890-2024</t>
        </is>
      </c>
      <c r="B1252" s="1" t="n">
        <v>45350.40780092592</v>
      </c>
      <c r="C1252" s="1" t="n">
        <v>45914</v>
      </c>
      <c r="D1252" t="inlineStr">
        <is>
          <t>SKÅNE LÄN</t>
        </is>
      </c>
      <c r="E1252" t="inlineStr">
        <is>
          <t>HÄSSLEHOLM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31946-2023</t>
        </is>
      </c>
      <c r="B1253" s="1" t="n">
        <v>45119.35158564815</v>
      </c>
      <c r="C1253" s="1" t="n">
        <v>45914</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31991-2023</t>
        </is>
      </c>
      <c r="B1254" s="1" t="n">
        <v>45107</v>
      </c>
      <c r="C1254" s="1" t="n">
        <v>45914</v>
      </c>
      <c r="D1254" t="inlineStr">
        <is>
          <t>SKÅNE LÄN</t>
        </is>
      </c>
      <c r="E1254" t="inlineStr">
        <is>
          <t>OSBY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24154-2023</t>
        </is>
      </c>
      <c r="B1255" s="1" t="n">
        <v>45079</v>
      </c>
      <c r="C1255" s="1" t="n">
        <v>45914</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45914</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45914</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48026-2021</t>
        </is>
      </c>
      <c r="B1258" s="1" t="n">
        <v>44449</v>
      </c>
      <c r="C1258" s="1" t="n">
        <v>45914</v>
      </c>
      <c r="D1258" t="inlineStr">
        <is>
          <t>SKÅNE LÄN</t>
        </is>
      </c>
      <c r="E1258" t="inlineStr">
        <is>
          <t>SJÖBO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45609-2023</t>
        </is>
      </c>
      <c r="B1259" s="1" t="n">
        <v>45194</v>
      </c>
      <c r="C1259" s="1" t="n">
        <v>45914</v>
      </c>
      <c r="D1259" t="inlineStr">
        <is>
          <t>SKÅNE LÄN</t>
        </is>
      </c>
      <c r="E1259" t="inlineStr">
        <is>
          <t>KRISTIANSTAD</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13811-2021</t>
        </is>
      </c>
      <c r="B1260" s="1" t="n">
        <v>44276</v>
      </c>
      <c r="C1260" s="1" t="n">
        <v>45914</v>
      </c>
      <c r="D1260" t="inlineStr">
        <is>
          <t>SKÅNE LÄN</t>
        </is>
      </c>
      <c r="E1260" t="inlineStr">
        <is>
          <t>HÄSSLEHOLM</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50611-2023</t>
        </is>
      </c>
      <c r="B1261" s="1" t="n">
        <v>45217.44344907408</v>
      </c>
      <c r="C1261" s="1" t="n">
        <v>45914</v>
      </c>
      <c r="D1261" t="inlineStr">
        <is>
          <t>SKÅNE LÄN</t>
        </is>
      </c>
      <c r="E1261" t="inlineStr">
        <is>
          <t>OSBY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157-2021</t>
        </is>
      </c>
      <c r="B1262" s="1" t="n">
        <v>44200</v>
      </c>
      <c r="C1262" s="1" t="n">
        <v>45914</v>
      </c>
      <c r="D1262" t="inlineStr">
        <is>
          <t>SKÅNE LÄN</t>
        </is>
      </c>
      <c r="E1262" t="inlineStr">
        <is>
          <t>OSBY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24765-2023</t>
        </is>
      </c>
      <c r="B1263" s="1" t="n">
        <v>45084.6352662037</v>
      </c>
      <c r="C1263" s="1" t="n">
        <v>45914</v>
      </c>
      <c r="D1263" t="inlineStr">
        <is>
          <t>SKÅNE LÄN</t>
        </is>
      </c>
      <c r="E1263" t="inlineStr">
        <is>
          <t>ÖRKELLJUNGA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31907-2023</t>
        </is>
      </c>
      <c r="B1264" s="1" t="n">
        <v>45118</v>
      </c>
      <c r="C1264" s="1" t="n">
        <v>45914</v>
      </c>
      <c r="D1264" t="inlineStr">
        <is>
          <t>SKÅNE LÄN</t>
        </is>
      </c>
      <c r="E1264" t="inlineStr">
        <is>
          <t>ÄNGELHOLM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50472-2023</t>
        </is>
      </c>
      <c r="B1265" s="1" t="n">
        <v>45216.91013888889</v>
      </c>
      <c r="C1265" s="1" t="n">
        <v>45914</v>
      </c>
      <c r="D1265" t="inlineStr">
        <is>
          <t>SKÅNE LÄN</t>
        </is>
      </c>
      <c r="E1265" t="inlineStr">
        <is>
          <t>ÖSTRA GÖINGE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27991-2024</t>
        </is>
      </c>
      <c r="B1266" s="1" t="n">
        <v>45476</v>
      </c>
      <c r="C1266" s="1" t="n">
        <v>45914</v>
      </c>
      <c r="D1266" t="inlineStr">
        <is>
          <t>SKÅNE LÄN</t>
        </is>
      </c>
      <c r="E1266" t="inlineStr">
        <is>
          <t>HÄSSLEHOLM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8680-2021</t>
        </is>
      </c>
      <c r="B1267" s="1" t="n">
        <v>44245</v>
      </c>
      <c r="C1267" s="1" t="n">
        <v>45914</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43478-2023</t>
        </is>
      </c>
      <c r="B1268" s="1" t="n">
        <v>45184</v>
      </c>
      <c r="C1268" s="1" t="n">
        <v>45914</v>
      </c>
      <c r="D1268" t="inlineStr">
        <is>
          <t>SKÅNE LÄN</t>
        </is>
      </c>
      <c r="E1268" t="inlineStr">
        <is>
          <t>ÖSTRA GÖINGE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6006-2024</t>
        </is>
      </c>
      <c r="B1269" s="1" t="n">
        <v>45336</v>
      </c>
      <c r="C1269" s="1" t="n">
        <v>45914</v>
      </c>
      <c r="D1269" t="inlineStr">
        <is>
          <t>SKÅNE LÄN</t>
        </is>
      </c>
      <c r="E1269" t="inlineStr">
        <is>
          <t>SIMRISHAMN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17641-2023</t>
        </is>
      </c>
      <c r="B1270" s="1" t="n">
        <v>45035</v>
      </c>
      <c r="C1270" s="1" t="n">
        <v>45914</v>
      </c>
      <c r="D1270" t="inlineStr">
        <is>
          <t>SKÅNE LÄN</t>
        </is>
      </c>
      <c r="E1270" t="inlineStr">
        <is>
          <t>ÖRKELLJUNGA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6612-2024</t>
        </is>
      </c>
      <c r="B1271" s="1" t="n">
        <v>45341.58859953703</v>
      </c>
      <c r="C1271" s="1" t="n">
        <v>45914</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12978-2024</t>
        </is>
      </c>
      <c r="B1272" s="1" t="n">
        <v>45385</v>
      </c>
      <c r="C1272" s="1" t="n">
        <v>45914</v>
      </c>
      <c r="D1272" t="inlineStr">
        <is>
          <t>SKÅNE LÄN</t>
        </is>
      </c>
      <c r="E1272" t="inlineStr">
        <is>
          <t>OSBY</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5887-2025</t>
        </is>
      </c>
      <c r="B1273" s="1" t="n">
        <v>45695.37925925926</v>
      </c>
      <c r="C1273" s="1" t="n">
        <v>45914</v>
      </c>
      <c r="D1273" t="inlineStr">
        <is>
          <t>SKÅNE LÄN</t>
        </is>
      </c>
      <c r="E1273" t="inlineStr">
        <is>
          <t>HÄSSLEHOLM</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19874-2024</t>
        </is>
      </c>
      <c r="B1274" s="1" t="n">
        <v>45433</v>
      </c>
      <c r="C1274" s="1" t="n">
        <v>45914</v>
      </c>
      <c r="D1274" t="inlineStr">
        <is>
          <t>SKÅNE LÄN</t>
        </is>
      </c>
      <c r="E1274" t="inlineStr">
        <is>
          <t>SIMRISHAMN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19883-2024</t>
        </is>
      </c>
      <c r="B1275" s="1" t="n">
        <v>45433</v>
      </c>
      <c r="C1275" s="1" t="n">
        <v>45914</v>
      </c>
      <c r="D1275" t="inlineStr">
        <is>
          <t>SKÅNE LÄN</t>
        </is>
      </c>
      <c r="E1275" t="inlineStr">
        <is>
          <t>SJÖBO</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61178-2022</t>
        </is>
      </c>
      <c r="B1276" s="1" t="n">
        <v>44915</v>
      </c>
      <c r="C1276" s="1" t="n">
        <v>45914</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61185-2022</t>
        </is>
      </c>
      <c r="B1277" s="1" t="n">
        <v>44915</v>
      </c>
      <c r="C1277" s="1" t="n">
        <v>45914</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19888-2024</t>
        </is>
      </c>
      <c r="B1278" s="1" t="n">
        <v>45433</v>
      </c>
      <c r="C1278" s="1" t="n">
        <v>45914</v>
      </c>
      <c r="D1278" t="inlineStr">
        <is>
          <t>SKÅNE LÄN</t>
        </is>
      </c>
      <c r="E1278" t="inlineStr">
        <is>
          <t>SJÖBO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21023-2024</t>
        </is>
      </c>
      <c r="B1279" s="1" t="n">
        <v>45439.64483796297</v>
      </c>
      <c r="C1279" s="1" t="n">
        <v>45914</v>
      </c>
      <c r="D1279" t="inlineStr">
        <is>
          <t>SKÅNE LÄN</t>
        </is>
      </c>
      <c r="E1279" t="inlineStr">
        <is>
          <t>ÖRKELLJUNGA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61691-2021</t>
        </is>
      </c>
      <c r="B1280" s="1" t="n">
        <v>44501</v>
      </c>
      <c r="C1280" s="1" t="n">
        <v>45914</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25221-2023</t>
        </is>
      </c>
      <c r="B1281" s="1" t="n">
        <v>45086.60842592592</v>
      </c>
      <c r="C1281" s="1" t="n">
        <v>45914</v>
      </c>
      <c r="D1281" t="inlineStr">
        <is>
          <t>SKÅNE LÄN</t>
        </is>
      </c>
      <c r="E1281" t="inlineStr">
        <is>
          <t>HÄSSLEHOLM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59390-2021</t>
        </is>
      </c>
      <c r="B1282" s="1" t="n">
        <v>44490</v>
      </c>
      <c r="C1282" s="1" t="n">
        <v>45914</v>
      </c>
      <c r="D1282" t="inlineStr">
        <is>
          <t>SKÅNE LÄN</t>
        </is>
      </c>
      <c r="E1282" t="inlineStr">
        <is>
          <t>HÄSSLEHOLM</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46465-2020</t>
        </is>
      </c>
      <c r="B1283" s="1" t="n">
        <v>44092</v>
      </c>
      <c r="C1283" s="1" t="n">
        <v>45914</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6397-2021</t>
        </is>
      </c>
      <c r="B1284" s="1" t="n">
        <v>44235</v>
      </c>
      <c r="C1284" s="1" t="n">
        <v>45914</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55901-2024</t>
        </is>
      </c>
      <c r="B1285" s="1" t="n">
        <v>45622</v>
      </c>
      <c r="C1285" s="1" t="n">
        <v>45914</v>
      </c>
      <c r="D1285" t="inlineStr">
        <is>
          <t>SKÅNE LÄN</t>
        </is>
      </c>
      <c r="E1285" t="inlineStr">
        <is>
          <t>BROMÖLLA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11721-2025</t>
        </is>
      </c>
      <c r="B1286" s="1" t="n">
        <v>45727.61193287037</v>
      </c>
      <c r="C1286" s="1" t="n">
        <v>45914</v>
      </c>
      <c r="D1286" t="inlineStr">
        <is>
          <t>SKÅNE LÄN</t>
        </is>
      </c>
      <c r="E1286" t="inlineStr">
        <is>
          <t>KRISTIANSTAD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55389-2023</t>
        </is>
      </c>
      <c r="B1287" s="1" t="n">
        <v>45238</v>
      </c>
      <c r="C1287" s="1" t="n">
        <v>45914</v>
      </c>
      <c r="D1287" t="inlineStr">
        <is>
          <t>SKÅNE LÄN</t>
        </is>
      </c>
      <c r="E1287" t="inlineStr">
        <is>
          <t>OSBY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56166-2023</t>
        </is>
      </c>
      <c r="B1288" s="1" t="n">
        <v>45240.62390046296</v>
      </c>
      <c r="C1288" s="1" t="n">
        <v>45914</v>
      </c>
      <c r="D1288" t="inlineStr">
        <is>
          <t>SKÅNE LÄN</t>
        </is>
      </c>
      <c r="E1288" t="inlineStr">
        <is>
          <t>OSBY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31639-2024</t>
        </is>
      </c>
      <c r="B1289" s="1" t="n">
        <v>45506.58487268518</v>
      </c>
      <c r="C1289" s="1" t="n">
        <v>45914</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36963-2024</t>
        </is>
      </c>
      <c r="B1290" s="1" t="n">
        <v>45538.76355324074</v>
      </c>
      <c r="C1290" s="1" t="n">
        <v>45914</v>
      </c>
      <c r="D1290" t="inlineStr">
        <is>
          <t>SKÅNE LÄN</t>
        </is>
      </c>
      <c r="E1290" t="inlineStr">
        <is>
          <t>ÖSTRA GÖINGE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13437-2021</t>
        </is>
      </c>
      <c r="B1291" s="1" t="n">
        <v>44273</v>
      </c>
      <c r="C1291" s="1" t="n">
        <v>45914</v>
      </c>
      <c r="D1291" t="inlineStr">
        <is>
          <t>SKÅNE LÄN</t>
        </is>
      </c>
      <c r="E1291" t="inlineStr">
        <is>
          <t>ESLÖV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43874-2022</t>
        </is>
      </c>
      <c r="B1292" s="1" t="n">
        <v>44838.44738425926</v>
      </c>
      <c r="C1292" s="1" t="n">
        <v>45914</v>
      </c>
      <c r="D1292" t="inlineStr">
        <is>
          <t>SKÅNE LÄN</t>
        </is>
      </c>
      <c r="E1292" t="inlineStr">
        <is>
          <t>HÄSSLEHOLM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4229-2025</t>
        </is>
      </c>
      <c r="B1293" s="1" t="n">
        <v>45685.54848379629</v>
      </c>
      <c r="C1293" s="1" t="n">
        <v>45914</v>
      </c>
      <c r="D1293" t="inlineStr">
        <is>
          <t>SKÅNE LÄN</t>
        </is>
      </c>
      <c r="E1293" t="inlineStr">
        <is>
          <t>OSBY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4245-2025</t>
        </is>
      </c>
      <c r="B1294" s="1" t="n">
        <v>45685</v>
      </c>
      <c r="C1294" s="1" t="n">
        <v>45914</v>
      </c>
      <c r="D1294" t="inlineStr">
        <is>
          <t>SKÅNE LÄN</t>
        </is>
      </c>
      <c r="E1294" t="inlineStr">
        <is>
          <t>HÖÖR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43891-2022</t>
        </is>
      </c>
      <c r="B1295" s="1" t="n">
        <v>44838</v>
      </c>
      <c r="C1295" s="1" t="n">
        <v>45914</v>
      </c>
      <c r="D1295" t="inlineStr">
        <is>
          <t>SKÅNE LÄN</t>
        </is>
      </c>
      <c r="E1295" t="inlineStr">
        <is>
          <t>HÖÖR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58915-2023</t>
        </is>
      </c>
      <c r="B1296" s="1" t="n">
        <v>45250</v>
      </c>
      <c r="C1296" s="1" t="n">
        <v>45914</v>
      </c>
      <c r="D1296" t="inlineStr">
        <is>
          <t>SKÅNE LÄN</t>
        </is>
      </c>
      <c r="E1296" t="inlineStr">
        <is>
          <t>HÄSSLEHOLM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37999-2024</t>
        </is>
      </c>
      <c r="B1297" s="1" t="n">
        <v>45544</v>
      </c>
      <c r="C1297" s="1" t="n">
        <v>45914</v>
      </c>
      <c r="D1297" t="inlineStr">
        <is>
          <t>SKÅNE LÄN</t>
        </is>
      </c>
      <c r="E1297" t="inlineStr">
        <is>
          <t>KRISTIANSTAD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18648-2021</t>
        </is>
      </c>
      <c r="B1298" s="1" t="n">
        <v>44306.70583333333</v>
      </c>
      <c r="C1298" s="1" t="n">
        <v>45914</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8760-2024</t>
        </is>
      </c>
      <c r="B1299" s="1" t="n">
        <v>45356.53420138889</v>
      </c>
      <c r="C1299" s="1" t="n">
        <v>45914</v>
      </c>
      <c r="D1299" t="inlineStr">
        <is>
          <t>SKÅNE LÄN</t>
        </is>
      </c>
      <c r="E1299" t="inlineStr">
        <is>
          <t>HÄSSLEHOLM</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20407-2024</t>
        </is>
      </c>
      <c r="B1300" s="1" t="n">
        <v>45435.57190972222</v>
      </c>
      <c r="C1300" s="1" t="n">
        <v>45914</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20494-2024</t>
        </is>
      </c>
      <c r="B1301" s="1" t="n">
        <v>45435</v>
      </c>
      <c r="C1301" s="1" t="n">
        <v>45914</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12134-2024</t>
        </is>
      </c>
      <c r="B1302" s="1" t="n">
        <v>45377</v>
      </c>
      <c r="C1302" s="1" t="n">
        <v>45914</v>
      </c>
      <c r="D1302" t="inlineStr">
        <is>
          <t>SKÅNE LÄN</t>
        </is>
      </c>
      <c r="E1302" t="inlineStr">
        <is>
          <t>KRISTIANSTAD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48889-2024</t>
        </is>
      </c>
      <c r="B1303" s="1" t="n">
        <v>45594.33754629629</v>
      </c>
      <c r="C1303" s="1" t="n">
        <v>45914</v>
      </c>
      <c r="D1303" t="inlineStr">
        <is>
          <t>SKÅNE LÄN</t>
        </is>
      </c>
      <c r="E1303" t="inlineStr">
        <is>
          <t>HÄSSLEHOLM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30140-2024</t>
        </is>
      </c>
      <c r="B1304" s="1" t="n">
        <v>45489</v>
      </c>
      <c r="C1304" s="1" t="n">
        <v>45914</v>
      </c>
      <c r="D1304" t="inlineStr">
        <is>
          <t>SKÅNE LÄN</t>
        </is>
      </c>
      <c r="E1304" t="inlineStr">
        <is>
          <t>ÖSTRA GÖINGE</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33064-2023</t>
        </is>
      </c>
      <c r="B1305" s="1" t="n">
        <v>45126</v>
      </c>
      <c r="C1305" s="1" t="n">
        <v>45914</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c r="U1305">
        <f>HYPERLINK("https://klasma.github.io/Logging_1273/knärot/A 33064-2023 karta knärot.png", "A 33064-2023")</f>
        <v/>
      </c>
      <c r="V1305">
        <f>HYPERLINK("https://klasma.github.io/Logging_1273/klagomål/A 33064-2023 FSC-klagomål.docx", "A 33064-2023")</f>
        <v/>
      </c>
      <c r="W1305">
        <f>HYPERLINK("https://klasma.github.io/Logging_1273/klagomålsmail/A 33064-2023 FSC-klagomål mail.docx", "A 33064-2023")</f>
        <v/>
      </c>
      <c r="X1305">
        <f>HYPERLINK("https://klasma.github.io/Logging_1273/tillsyn/A 33064-2023 tillsynsbegäran.docx", "A 33064-2023")</f>
        <v/>
      </c>
      <c r="Y1305">
        <f>HYPERLINK("https://klasma.github.io/Logging_1273/tillsynsmail/A 33064-2023 tillsynsbegäran mail.docx", "A 33064-2023")</f>
        <v/>
      </c>
    </row>
    <row r="1306" ht="15" customHeight="1">
      <c r="A1306" t="inlineStr">
        <is>
          <t>A 61377-2024</t>
        </is>
      </c>
      <c r="B1306" s="1" t="n">
        <v>45646.39682870371</v>
      </c>
      <c r="C1306" s="1" t="n">
        <v>45914</v>
      </c>
      <c r="D1306" t="inlineStr">
        <is>
          <t>SKÅNE LÄN</t>
        </is>
      </c>
      <c r="E1306" t="inlineStr">
        <is>
          <t>HÖÖR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61035-2024</t>
        </is>
      </c>
      <c r="B1307" s="1" t="n">
        <v>45645.46634259259</v>
      </c>
      <c r="C1307" s="1" t="n">
        <v>45914</v>
      </c>
      <c r="D1307" t="inlineStr">
        <is>
          <t>SKÅNE LÄN</t>
        </is>
      </c>
      <c r="E1307" t="inlineStr">
        <is>
          <t>ESLÖV</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50564-2023</t>
        </is>
      </c>
      <c r="B1308" s="1" t="n">
        <v>45217.37957175926</v>
      </c>
      <c r="C1308" s="1" t="n">
        <v>45914</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46260-2024</t>
        </is>
      </c>
      <c r="B1309" s="1" t="n">
        <v>45581</v>
      </c>
      <c r="C1309" s="1" t="n">
        <v>45914</v>
      </c>
      <c r="D1309" t="inlineStr">
        <is>
          <t>SKÅNE LÄN</t>
        </is>
      </c>
      <c r="E1309" t="inlineStr">
        <is>
          <t>KLIPPAN</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46286-2024</t>
        </is>
      </c>
      <c r="B1310" s="1" t="n">
        <v>45581</v>
      </c>
      <c r="C1310" s="1" t="n">
        <v>45914</v>
      </c>
      <c r="D1310" t="inlineStr">
        <is>
          <t>SKÅNE LÄN</t>
        </is>
      </c>
      <c r="E1310" t="inlineStr">
        <is>
          <t>ÄNGELHOLM</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15133-2023</t>
        </is>
      </c>
      <c r="B1311" s="1" t="n">
        <v>45016</v>
      </c>
      <c r="C1311" s="1" t="n">
        <v>45914</v>
      </c>
      <c r="D1311" t="inlineStr">
        <is>
          <t>SKÅNE LÄN</t>
        </is>
      </c>
      <c r="E1311" t="inlineStr">
        <is>
          <t>HÄSSLEHOLM</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15143-2023</t>
        </is>
      </c>
      <c r="B1312" s="1" t="n">
        <v>45015</v>
      </c>
      <c r="C1312" s="1" t="n">
        <v>45914</v>
      </c>
      <c r="D1312" t="inlineStr">
        <is>
          <t>SKÅNE LÄN</t>
        </is>
      </c>
      <c r="E1312" t="inlineStr">
        <is>
          <t>OSBY</t>
        </is>
      </c>
      <c r="F1312" t="inlineStr">
        <is>
          <t>Naturvårdsverket</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46145-2020</t>
        </is>
      </c>
      <c r="B1313" s="1" t="n">
        <v>44091</v>
      </c>
      <c r="C1313" s="1" t="n">
        <v>45914</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2567-2024</t>
        </is>
      </c>
      <c r="B1314" s="1" t="n">
        <v>45313.62460648148</v>
      </c>
      <c r="C1314" s="1" t="n">
        <v>45914</v>
      </c>
      <c r="D1314" t="inlineStr">
        <is>
          <t>SKÅNE LÄN</t>
        </is>
      </c>
      <c r="E1314" t="inlineStr">
        <is>
          <t>HÄSSLEHOLM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10797-2025</t>
        </is>
      </c>
      <c r="B1315" s="1" t="n">
        <v>45722.50984953704</v>
      </c>
      <c r="C1315" s="1" t="n">
        <v>45914</v>
      </c>
      <c r="D1315" t="inlineStr">
        <is>
          <t>SKÅNE LÄN</t>
        </is>
      </c>
      <c r="E1315" t="inlineStr">
        <is>
          <t>ÖRKELLJUNGA</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15653-2024</t>
        </is>
      </c>
      <c r="B1316" s="1" t="n">
        <v>45404.3621875</v>
      </c>
      <c r="C1316" s="1" t="n">
        <v>45914</v>
      </c>
      <c r="D1316" t="inlineStr">
        <is>
          <t>SKÅNE LÄN</t>
        </is>
      </c>
      <c r="E1316" t="inlineStr">
        <is>
          <t>OSBY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10940-2024</t>
        </is>
      </c>
      <c r="B1317" s="1" t="n">
        <v>45370.45334490741</v>
      </c>
      <c r="C1317" s="1" t="n">
        <v>45914</v>
      </c>
      <c r="D1317" t="inlineStr">
        <is>
          <t>SKÅNE LÄN</t>
        </is>
      </c>
      <c r="E1317" t="inlineStr">
        <is>
          <t>ESLÖV</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47967-2021</t>
        </is>
      </c>
      <c r="B1318" s="1" t="n">
        <v>44448</v>
      </c>
      <c r="C1318" s="1" t="n">
        <v>45914</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57033-2022</t>
        </is>
      </c>
      <c r="B1319" s="1" t="n">
        <v>44895.31270833333</v>
      </c>
      <c r="C1319" s="1" t="n">
        <v>45914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65203-2021</t>
        </is>
      </c>
      <c r="B1320" s="1" t="n">
        <v>44515</v>
      </c>
      <c r="C1320" s="1" t="n">
        <v>45914</v>
      </c>
      <c r="D1320" t="inlineStr">
        <is>
          <t>SKÅNE LÄN</t>
        </is>
      </c>
      <c r="E1320" t="inlineStr">
        <is>
          <t>HÖÖR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15492-2023</t>
        </is>
      </c>
      <c r="B1321" s="1" t="n">
        <v>45020</v>
      </c>
      <c r="C1321" s="1" t="n">
        <v>45914</v>
      </c>
      <c r="D1321" t="inlineStr">
        <is>
          <t>SKÅNE LÄN</t>
        </is>
      </c>
      <c r="E1321" t="inlineStr">
        <is>
          <t>KRISTIANSTAD</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53807-2023</t>
        </is>
      </c>
      <c r="B1322" s="1" t="n">
        <v>45231</v>
      </c>
      <c r="C1322" s="1" t="n">
        <v>45914</v>
      </c>
      <c r="D1322" t="inlineStr">
        <is>
          <t>SKÅNE LÄN</t>
        </is>
      </c>
      <c r="E1322" t="inlineStr">
        <is>
          <t>HÖÖR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24446-2023</t>
        </is>
      </c>
      <c r="B1323" s="1" t="n">
        <v>45082.54413194444</v>
      </c>
      <c r="C1323" s="1" t="n">
        <v>45914</v>
      </c>
      <c r="D1323" t="inlineStr">
        <is>
          <t>SKÅNE LÄN</t>
        </is>
      </c>
      <c r="E1323" t="inlineStr">
        <is>
          <t>OSBY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47869-2022</t>
        </is>
      </c>
      <c r="B1324" s="1" t="n">
        <v>44855.43141203704</v>
      </c>
      <c r="C1324" s="1" t="n">
        <v>45914</v>
      </c>
      <c r="D1324" t="inlineStr">
        <is>
          <t>SKÅNE LÄN</t>
        </is>
      </c>
      <c r="E1324" t="inlineStr">
        <is>
          <t>KLIPPAN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57956-2020</t>
        </is>
      </c>
      <c r="B1325" s="1" t="n">
        <v>44143</v>
      </c>
      <c r="C1325" s="1" t="n">
        <v>45914</v>
      </c>
      <c r="D1325" t="inlineStr">
        <is>
          <t>SKÅNE LÄN</t>
        </is>
      </c>
      <c r="E1325" t="inlineStr">
        <is>
          <t>OSBY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10062-2024</t>
        </is>
      </c>
      <c r="B1326" s="1" t="n">
        <v>45364</v>
      </c>
      <c r="C1326" s="1" t="n">
        <v>45914</v>
      </c>
      <c r="D1326" t="inlineStr">
        <is>
          <t>SKÅNE LÄN</t>
        </is>
      </c>
      <c r="E1326" t="inlineStr">
        <is>
          <t>KRISTIANSTAD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2114-2025</t>
        </is>
      </c>
      <c r="B1327" s="1" t="n">
        <v>45672.6284375</v>
      </c>
      <c r="C1327" s="1" t="n">
        <v>45914</v>
      </c>
      <c r="D1327" t="inlineStr">
        <is>
          <t>SKÅNE LÄN</t>
        </is>
      </c>
      <c r="E1327" t="inlineStr">
        <is>
          <t>HÖÖR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40584-2022</t>
        </is>
      </c>
      <c r="B1328" s="1" t="n">
        <v>44823.72759259259</v>
      </c>
      <c r="C1328" s="1" t="n">
        <v>45914</v>
      </c>
      <c r="D1328" t="inlineStr">
        <is>
          <t>SKÅNE LÄN</t>
        </is>
      </c>
      <c r="E1328" t="inlineStr">
        <is>
          <t>OSBY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49071-2022</t>
        </is>
      </c>
      <c r="B1329" s="1" t="n">
        <v>44860</v>
      </c>
      <c r="C1329" s="1" t="n">
        <v>45914</v>
      </c>
      <c r="D1329" t="inlineStr">
        <is>
          <t>SKÅNE LÄN</t>
        </is>
      </c>
      <c r="E1329" t="inlineStr">
        <is>
          <t>HÖRBY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59355-2024</t>
        </is>
      </c>
      <c r="B1330" s="1" t="n">
        <v>45638.3119212963</v>
      </c>
      <c r="C1330" s="1" t="n">
        <v>45914</v>
      </c>
      <c r="D1330" t="inlineStr">
        <is>
          <t>SKÅNE LÄN</t>
        </is>
      </c>
      <c r="E1330" t="inlineStr">
        <is>
          <t>ÖSTRA GÖINGE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56231-2022</t>
        </is>
      </c>
      <c r="B1331" s="1" t="n">
        <v>44890</v>
      </c>
      <c r="C1331" s="1" t="n">
        <v>45914</v>
      </c>
      <c r="D1331" t="inlineStr">
        <is>
          <t>SKÅNE LÄN</t>
        </is>
      </c>
      <c r="E1331" t="inlineStr">
        <is>
          <t>HÖÖR</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28385-2024</t>
        </is>
      </c>
      <c r="B1332" s="1" t="n">
        <v>45477</v>
      </c>
      <c r="C1332" s="1" t="n">
        <v>45914</v>
      </c>
      <c r="D1332" t="inlineStr">
        <is>
          <t>SKÅNE LÄN</t>
        </is>
      </c>
      <c r="E1332" t="inlineStr">
        <is>
          <t>HÖÖR</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28425-2024</t>
        </is>
      </c>
      <c r="B1333" s="1" t="n">
        <v>45477</v>
      </c>
      <c r="C1333" s="1" t="n">
        <v>45914</v>
      </c>
      <c r="D1333" t="inlineStr">
        <is>
          <t>SKÅNE LÄN</t>
        </is>
      </c>
      <c r="E1333" t="inlineStr">
        <is>
          <t>KRISTIANSTAD</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55716-2024</t>
        </is>
      </c>
      <c r="B1334" s="1" t="n">
        <v>45622</v>
      </c>
      <c r="C1334" s="1" t="n">
        <v>45914</v>
      </c>
      <c r="D1334" t="inlineStr">
        <is>
          <t>SKÅNE LÄN</t>
        </is>
      </c>
      <c r="E1334" t="inlineStr">
        <is>
          <t>ÖSTRA GÖINGE</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44697-2021</t>
        </is>
      </c>
      <c r="B1335" s="1" t="n">
        <v>44438</v>
      </c>
      <c r="C1335" s="1" t="n">
        <v>45914</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25617-2024</t>
        </is>
      </c>
      <c r="B1336" s="1" t="n">
        <v>45463</v>
      </c>
      <c r="C1336" s="1" t="n">
        <v>45914</v>
      </c>
      <c r="D1336" t="inlineStr">
        <is>
          <t>SKÅNE LÄN</t>
        </is>
      </c>
      <c r="E1336" t="inlineStr">
        <is>
          <t>SKURUP</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44764-2021</t>
        </is>
      </c>
      <c r="B1337" s="1" t="n">
        <v>44438</v>
      </c>
      <c r="C1337" s="1" t="n">
        <v>45914</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44842-2024</t>
        </is>
      </c>
      <c r="B1338" s="1" t="n">
        <v>45574.720625</v>
      </c>
      <c r="C1338" s="1" t="n">
        <v>45914</v>
      </c>
      <c r="D1338" t="inlineStr">
        <is>
          <t>SKÅNE LÄN</t>
        </is>
      </c>
      <c r="E1338" t="inlineStr">
        <is>
          <t>ÖSTRA GÖINGE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56877-2021</t>
        </is>
      </c>
      <c r="B1339" s="1" t="n">
        <v>44481.81486111111</v>
      </c>
      <c r="C1339" s="1" t="n">
        <v>45914</v>
      </c>
      <c r="D1339" t="inlineStr">
        <is>
          <t>SKÅNE LÄN</t>
        </is>
      </c>
      <c r="E1339" t="inlineStr">
        <is>
          <t>OSBY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960-2021</t>
        </is>
      </c>
      <c r="B1340" s="1" t="n">
        <v>44207</v>
      </c>
      <c r="C1340" s="1" t="n">
        <v>45914</v>
      </c>
      <c r="D1340" t="inlineStr">
        <is>
          <t>SKÅNE LÄN</t>
        </is>
      </c>
      <c r="E1340" t="inlineStr">
        <is>
          <t>ÖSTRA GÖINGE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61682-2023</t>
        </is>
      </c>
      <c r="B1341" s="1" t="n">
        <v>45264</v>
      </c>
      <c r="C1341" s="1" t="n">
        <v>45914</v>
      </c>
      <c r="D1341" t="inlineStr">
        <is>
          <t>SKÅNE LÄN</t>
        </is>
      </c>
      <c r="E1341" t="inlineStr">
        <is>
          <t>KLIPPAN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53067-2022</t>
        </is>
      </c>
      <c r="B1342" s="1" t="n">
        <v>44873</v>
      </c>
      <c r="C1342" s="1" t="n">
        <v>45914</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15053-2023</t>
        </is>
      </c>
      <c r="B1343" s="1" t="n">
        <v>45015</v>
      </c>
      <c r="C1343" s="1" t="n">
        <v>45914</v>
      </c>
      <c r="D1343" t="inlineStr">
        <is>
          <t>SKÅNE LÄN</t>
        </is>
      </c>
      <c r="E1343" t="inlineStr">
        <is>
          <t>HÄSSLEHOLM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49389-2020</t>
        </is>
      </c>
      <c r="B1344" s="1" t="n">
        <v>44105</v>
      </c>
      <c r="C1344" s="1" t="n">
        <v>45914</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3393-2024</t>
        </is>
      </c>
      <c r="B1345" s="1" t="n">
        <v>45318</v>
      </c>
      <c r="C1345" s="1" t="n">
        <v>45914</v>
      </c>
      <c r="D1345" t="inlineStr">
        <is>
          <t>SKÅNE LÄN</t>
        </is>
      </c>
      <c r="E1345" t="inlineStr">
        <is>
          <t>SIMRISHAMN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3395-2024</t>
        </is>
      </c>
      <c r="B1346" s="1" t="n">
        <v>45318</v>
      </c>
      <c r="C1346" s="1" t="n">
        <v>45914</v>
      </c>
      <c r="D1346" t="inlineStr">
        <is>
          <t>SKÅNE LÄN</t>
        </is>
      </c>
      <c r="E1346" t="inlineStr">
        <is>
          <t>SIMRISHAMN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3398-2024</t>
        </is>
      </c>
      <c r="B1347" s="1" t="n">
        <v>45318</v>
      </c>
      <c r="C1347" s="1" t="n">
        <v>45914</v>
      </c>
      <c r="D1347" t="inlineStr">
        <is>
          <t>SKÅNE LÄN</t>
        </is>
      </c>
      <c r="E1347" t="inlineStr">
        <is>
          <t>SIMRISHAMN</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44882-2022</t>
        </is>
      </c>
      <c r="B1348" s="1" t="n">
        <v>44841</v>
      </c>
      <c r="C1348" s="1" t="n">
        <v>45914</v>
      </c>
      <c r="D1348" t="inlineStr">
        <is>
          <t>SKÅNE LÄN</t>
        </is>
      </c>
      <c r="E1348" t="inlineStr">
        <is>
          <t>ÖRKELLJUNGA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61929-2023</t>
        </is>
      </c>
      <c r="B1349" s="1" t="n">
        <v>45266</v>
      </c>
      <c r="C1349" s="1" t="n">
        <v>45914</v>
      </c>
      <c r="D1349" t="inlineStr">
        <is>
          <t>SKÅNE LÄN</t>
        </is>
      </c>
      <c r="E1349" t="inlineStr">
        <is>
          <t>HÄSSLEHOLM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23857-2024</t>
        </is>
      </c>
      <c r="B1350" s="1" t="n">
        <v>45455</v>
      </c>
      <c r="C1350" s="1" t="n">
        <v>45914</v>
      </c>
      <c r="D1350" t="inlineStr">
        <is>
          <t>SKÅNE LÄN</t>
        </is>
      </c>
      <c r="E1350" t="inlineStr">
        <is>
          <t>HÄSSLEHOLM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35644-2023</t>
        </is>
      </c>
      <c r="B1351" s="1" t="n">
        <v>45147</v>
      </c>
      <c r="C1351" s="1" t="n">
        <v>45914</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61348-2024</t>
        </is>
      </c>
      <c r="B1352" s="1" t="n">
        <v>45646.37674768519</v>
      </c>
      <c r="C1352" s="1" t="n">
        <v>45914</v>
      </c>
      <c r="D1352" t="inlineStr">
        <is>
          <t>SKÅNE LÄN</t>
        </is>
      </c>
      <c r="E1352" t="inlineStr">
        <is>
          <t>KRISTIANSTAD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6528-2021</t>
        </is>
      </c>
      <c r="B1353" s="1" t="n">
        <v>44235</v>
      </c>
      <c r="C1353" s="1" t="n">
        <v>45914</v>
      </c>
      <c r="D1353" t="inlineStr">
        <is>
          <t>SKÅNE LÄN</t>
        </is>
      </c>
      <c r="E1353" t="inlineStr">
        <is>
          <t>PERSTORP</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7055-2024</t>
        </is>
      </c>
      <c r="B1354" s="1" t="n">
        <v>45343</v>
      </c>
      <c r="C1354" s="1" t="n">
        <v>45914</v>
      </c>
      <c r="D1354" t="inlineStr">
        <is>
          <t>SKÅNE LÄN</t>
        </is>
      </c>
      <c r="E1354" t="inlineStr">
        <is>
          <t>KRISTIANSTAD</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6540-2021</t>
        </is>
      </c>
      <c r="B1355" s="1" t="n">
        <v>44235</v>
      </c>
      <c r="C1355" s="1" t="n">
        <v>45914</v>
      </c>
      <c r="D1355" t="inlineStr">
        <is>
          <t>SKÅNE LÄN</t>
        </is>
      </c>
      <c r="E1355" t="inlineStr">
        <is>
          <t>PERSTORP</t>
        </is>
      </c>
      <c r="F1355" t="inlineStr">
        <is>
          <t>Övriga Aktiebolag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46613-2024</t>
        </is>
      </c>
      <c r="B1356" s="1" t="n">
        <v>45583</v>
      </c>
      <c r="C1356" s="1" t="n">
        <v>45914</v>
      </c>
      <c r="D1356" t="inlineStr">
        <is>
          <t>SKÅNE LÄN</t>
        </is>
      </c>
      <c r="E1356" t="inlineStr">
        <is>
          <t>ÄNGELHOLM</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4594-2023</t>
        </is>
      </c>
      <c r="B1357" s="1" t="n">
        <v>44956.88331018519</v>
      </c>
      <c r="C1357" s="1" t="n">
        <v>45914</v>
      </c>
      <c r="D1357" t="inlineStr">
        <is>
          <t>SKÅNE LÄN</t>
        </is>
      </c>
      <c r="E1357" t="inlineStr">
        <is>
          <t>ÖSTRA GÖINGE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4677-2023</t>
        </is>
      </c>
      <c r="B1358" s="1" t="n">
        <v>44952</v>
      </c>
      <c r="C1358" s="1" t="n">
        <v>45914</v>
      </c>
      <c r="D1358" t="inlineStr">
        <is>
          <t>SKÅNE LÄN</t>
        </is>
      </c>
      <c r="E1358" t="inlineStr">
        <is>
          <t>TOMELILLA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37724-2022</t>
        </is>
      </c>
      <c r="B1359" s="1" t="n">
        <v>44810</v>
      </c>
      <c r="C1359" s="1" t="n">
        <v>45914</v>
      </c>
      <c r="D1359" t="inlineStr">
        <is>
          <t>SKÅNE LÄN</t>
        </is>
      </c>
      <c r="E1359" t="inlineStr">
        <is>
          <t>HÖRBY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1120-2024</t>
        </is>
      </c>
      <c r="B1360" s="1" t="n">
        <v>45302.4452662037</v>
      </c>
      <c r="C1360" s="1" t="n">
        <v>45914</v>
      </c>
      <c r="D1360" t="inlineStr">
        <is>
          <t>SKÅNE LÄN</t>
        </is>
      </c>
      <c r="E1360" t="inlineStr">
        <is>
          <t>HÄSSLEHOLM</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37728-2022</t>
        </is>
      </c>
      <c r="B1361" s="1" t="n">
        <v>44810.56689814815</v>
      </c>
      <c r="C1361" s="1" t="n">
        <v>45914</v>
      </c>
      <c r="D1361" t="inlineStr">
        <is>
          <t>SKÅNE LÄN</t>
        </is>
      </c>
      <c r="E1361" t="inlineStr">
        <is>
          <t>HÖRBY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46185-2022</t>
        </is>
      </c>
      <c r="B1362" s="1" t="n">
        <v>44847</v>
      </c>
      <c r="C1362" s="1" t="n">
        <v>45914</v>
      </c>
      <c r="D1362" t="inlineStr">
        <is>
          <t>SKÅNE LÄN</t>
        </is>
      </c>
      <c r="E1362" t="inlineStr">
        <is>
          <t>HÄSSLEHOLM</t>
        </is>
      </c>
      <c r="G1362" t="n">
        <v>16.8</v>
      </c>
      <c r="H1362" t="n">
        <v>0</v>
      </c>
      <c r="I1362" t="n">
        <v>0</v>
      </c>
      <c r="J1362" t="n">
        <v>0</v>
      </c>
      <c r="K1362" t="n">
        <v>0</v>
      </c>
      <c r="L1362" t="n">
        <v>0</v>
      </c>
      <c r="M1362" t="n">
        <v>0</v>
      </c>
      <c r="N1362" t="n">
        <v>0</v>
      </c>
      <c r="O1362" t="n">
        <v>0</v>
      </c>
      <c r="P1362" t="n">
        <v>0</v>
      </c>
      <c r="Q1362" t="n">
        <v>0</v>
      </c>
      <c r="R1362" s="2" t="inlineStr"/>
    </row>
    <row r="1363" ht="15" customHeight="1">
      <c r="A1363" t="inlineStr">
        <is>
          <t>A 1166-2024</t>
        </is>
      </c>
      <c r="B1363" s="1" t="n">
        <v>45302</v>
      </c>
      <c r="C1363" s="1" t="n">
        <v>45914</v>
      </c>
      <c r="D1363" t="inlineStr">
        <is>
          <t>SKÅNE LÄN</t>
        </is>
      </c>
      <c r="E1363" t="inlineStr">
        <is>
          <t>PERSTORP</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34972-2023</t>
        </is>
      </c>
      <c r="B1364" s="1" t="n">
        <v>45141</v>
      </c>
      <c r="C1364" s="1" t="n">
        <v>45914</v>
      </c>
      <c r="D1364" t="inlineStr">
        <is>
          <t>SKÅNE LÄN</t>
        </is>
      </c>
      <c r="E1364" t="inlineStr">
        <is>
          <t>OSBY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34976-2023</t>
        </is>
      </c>
      <c r="B1365" s="1" t="n">
        <v>45142.62859953703</v>
      </c>
      <c r="C1365" s="1" t="n">
        <v>45914</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8433-2024</t>
        </is>
      </c>
      <c r="B1366" s="1" t="n">
        <v>45353.48434027778</v>
      </c>
      <c r="C1366" s="1" t="n">
        <v>45914</v>
      </c>
      <c r="D1366" t="inlineStr">
        <is>
          <t>SKÅNE LÄN</t>
        </is>
      </c>
      <c r="E1366" t="inlineStr">
        <is>
          <t>HÄSSLEHOLM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62055-2023</t>
        </is>
      </c>
      <c r="B1367" s="1" t="n">
        <v>45266.70287037037</v>
      </c>
      <c r="C1367" s="1" t="n">
        <v>45914</v>
      </c>
      <c r="D1367" t="inlineStr">
        <is>
          <t>SKÅNE LÄN</t>
        </is>
      </c>
      <c r="E1367" t="inlineStr">
        <is>
          <t>HÄSSLEHOLM</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27177-2024</t>
        </is>
      </c>
      <c r="B1368" s="1" t="n">
        <v>45471.57201388889</v>
      </c>
      <c r="C1368" s="1" t="n">
        <v>45914</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42428-2022</t>
        </is>
      </c>
      <c r="B1369" s="1" t="n">
        <v>44831</v>
      </c>
      <c r="C1369" s="1" t="n">
        <v>45914</v>
      </c>
      <c r="D1369" t="inlineStr">
        <is>
          <t>SKÅNE LÄN</t>
        </is>
      </c>
      <c r="E1369" t="inlineStr">
        <is>
          <t>HÄSSLEHOLM</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19454-2024</t>
        </is>
      </c>
      <c r="B1370" s="1" t="n">
        <v>45429</v>
      </c>
      <c r="C1370" s="1" t="n">
        <v>45914</v>
      </c>
      <c r="D1370" t="inlineStr">
        <is>
          <t>SKÅNE LÄN</t>
        </is>
      </c>
      <c r="E1370" t="inlineStr">
        <is>
          <t>TOMELILLA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22595-2024</t>
        </is>
      </c>
      <c r="B1371" s="1" t="n">
        <v>45447.61053240741</v>
      </c>
      <c r="C1371" s="1" t="n">
        <v>45914</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17110-2025</t>
        </is>
      </c>
      <c r="B1372" s="1" t="n">
        <v>45755</v>
      </c>
      <c r="C1372" s="1" t="n">
        <v>45914</v>
      </c>
      <c r="D1372" t="inlineStr">
        <is>
          <t>SKÅNE LÄN</t>
        </is>
      </c>
      <c r="E1372" t="inlineStr">
        <is>
          <t>SIMRISHAMN</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25603-2024</t>
        </is>
      </c>
      <c r="B1373" s="1" t="n">
        <v>45463</v>
      </c>
      <c r="C1373" s="1" t="n">
        <v>45914</v>
      </c>
      <c r="D1373" t="inlineStr">
        <is>
          <t>SKÅNE LÄN</t>
        </is>
      </c>
      <c r="E1373" t="inlineStr">
        <is>
          <t>SVEDALA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55833-2023</t>
        </is>
      </c>
      <c r="B1374" s="1" t="n">
        <v>45239</v>
      </c>
      <c r="C1374" s="1" t="n">
        <v>45914</v>
      </c>
      <c r="D1374" t="inlineStr">
        <is>
          <t>SKÅNE LÄN</t>
        </is>
      </c>
      <c r="E1374" t="inlineStr">
        <is>
          <t>KLIPPAN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62138-2023</t>
        </is>
      </c>
      <c r="B1375" s="1" t="n">
        <v>45267.36788194445</v>
      </c>
      <c r="C1375" s="1" t="n">
        <v>45914</v>
      </c>
      <c r="D1375" t="inlineStr">
        <is>
          <t>SKÅNE LÄN</t>
        </is>
      </c>
      <c r="E1375" t="inlineStr">
        <is>
          <t>ÖSTRA GÖINGE</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20623-2025</t>
        </is>
      </c>
      <c r="B1376" s="1" t="n">
        <v>45776.32377314815</v>
      </c>
      <c r="C1376" s="1" t="n">
        <v>45914</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38148-2022</t>
        </is>
      </c>
      <c r="B1377" s="1" t="n">
        <v>44811</v>
      </c>
      <c r="C1377" s="1" t="n">
        <v>45914</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38156-2022</t>
        </is>
      </c>
      <c r="B1378" s="1" t="n">
        <v>44812.37135416667</v>
      </c>
      <c r="C1378" s="1" t="n">
        <v>45914</v>
      </c>
      <c r="D1378" t="inlineStr">
        <is>
          <t>SKÅNE LÄN</t>
        </is>
      </c>
      <c r="E1378" t="inlineStr">
        <is>
          <t>KLIPPAN</t>
        </is>
      </c>
      <c r="G1378" t="n">
        <v>0</v>
      </c>
      <c r="H1378" t="n">
        <v>0</v>
      </c>
      <c r="I1378" t="n">
        <v>0</v>
      </c>
      <c r="J1378" t="n">
        <v>0</v>
      </c>
      <c r="K1378" t="n">
        <v>0</v>
      </c>
      <c r="L1378" t="n">
        <v>0</v>
      </c>
      <c r="M1378" t="n">
        <v>0</v>
      </c>
      <c r="N1378" t="n">
        <v>0</v>
      </c>
      <c r="O1378" t="n">
        <v>0</v>
      </c>
      <c r="P1378" t="n">
        <v>0</v>
      </c>
      <c r="Q1378" t="n">
        <v>0</v>
      </c>
      <c r="R1378" s="2" t="inlineStr"/>
    </row>
    <row r="1379" ht="15" customHeight="1">
      <c r="A1379" t="inlineStr">
        <is>
          <t>A 44885-2022</t>
        </is>
      </c>
      <c r="B1379" s="1" t="n">
        <v>44841</v>
      </c>
      <c r="C1379" s="1" t="n">
        <v>45914</v>
      </c>
      <c r="D1379" t="inlineStr">
        <is>
          <t>SKÅNE LÄN</t>
        </is>
      </c>
      <c r="E1379" t="inlineStr">
        <is>
          <t>KLIPPAN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22653-2024</t>
        </is>
      </c>
      <c r="B1380" s="1" t="n">
        <v>45447.91608796296</v>
      </c>
      <c r="C1380" s="1" t="n">
        <v>45914</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58642-2021</t>
        </is>
      </c>
      <c r="B1381" s="1" t="n">
        <v>44489.36314814815</v>
      </c>
      <c r="C1381" s="1" t="n">
        <v>45914</v>
      </c>
      <c r="D1381" t="inlineStr">
        <is>
          <t>SKÅNE LÄN</t>
        </is>
      </c>
      <c r="E1381" t="inlineStr">
        <is>
          <t>KLIPPAN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18046-2024</t>
        </is>
      </c>
      <c r="B1382" s="1" t="n">
        <v>45420</v>
      </c>
      <c r="C1382" s="1" t="n">
        <v>45914</v>
      </c>
      <c r="D1382" t="inlineStr">
        <is>
          <t>SKÅNE LÄN</t>
        </is>
      </c>
      <c r="E1382" t="inlineStr">
        <is>
          <t>KRISTIANSTAD</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47258-2021</t>
        </is>
      </c>
      <c r="B1383" s="1" t="n">
        <v>44446</v>
      </c>
      <c r="C1383" s="1" t="n">
        <v>45914</v>
      </c>
      <c r="D1383" t="inlineStr">
        <is>
          <t>SKÅNE LÄN</t>
        </is>
      </c>
      <c r="E1383" t="inlineStr">
        <is>
          <t>PERSTORP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35742-2024</t>
        </is>
      </c>
      <c r="B1384" s="1" t="n">
        <v>45532</v>
      </c>
      <c r="C1384" s="1" t="n">
        <v>45914</v>
      </c>
      <c r="D1384" t="inlineStr">
        <is>
          <t>SKÅNE LÄN</t>
        </is>
      </c>
      <c r="E1384" t="inlineStr">
        <is>
          <t>TOMELILLA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14278-2024</t>
        </is>
      </c>
      <c r="B1385" s="1" t="n">
        <v>45393.60961805555</v>
      </c>
      <c r="C1385" s="1" t="n">
        <v>45914</v>
      </c>
      <c r="D1385" t="inlineStr">
        <is>
          <t>SKÅNE LÄN</t>
        </is>
      </c>
      <c r="E1385" t="inlineStr">
        <is>
          <t>KLIPPAN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7804-2025</t>
        </is>
      </c>
      <c r="B1386" s="1" t="n">
        <v>45706</v>
      </c>
      <c r="C1386" s="1" t="n">
        <v>45914</v>
      </c>
      <c r="D1386" t="inlineStr">
        <is>
          <t>SKÅNE LÄN</t>
        </is>
      </c>
      <c r="E1386" t="inlineStr">
        <is>
          <t>ÖSTRA GÖINGE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34859-2021</t>
        </is>
      </c>
      <c r="B1387" s="1" t="n">
        <v>44382</v>
      </c>
      <c r="C1387" s="1" t="n">
        <v>45914</v>
      </c>
      <c r="D1387" t="inlineStr">
        <is>
          <t>SKÅNE LÄN</t>
        </is>
      </c>
      <c r="E1387" t="inlineStr">
        <is>
          <t>SVALÖV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61186-2022</t>
        </is>
      </c>
      <c r="B1388" s="1" t="n">
        <v>44915.50745370371</v>
      </c>
      <c r="C1388" s="1" t="n">
        <v>45914</v>
      </c>
      <c r="D1388" t="inlineStr">
        <is>
          <t>SKÅNE LÄN</t>
        </is>
      </c>
      <c r="E1388" t="inlineStr">
        <is>
          <t>HÄSSLEHOLM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13140-2024</t>
        </is>
      </c>
      <c r="B1389" s="1" t="n">
        <v>45386.34684027778</v>
      </c>
      <c r="C1389" s="1" t="n">
        <v>45914</v>
      </c>
      <c r="D1389" t="inlineStr">
        <is>
          <t>SKÅNE LÄN</t>
        </is>
      </c>
      <c r="E1389" t="inlineStr">
        <is>
          <t>ÖSTRA GÖINGE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26989-2023</t>
        </is>
      </c>
      <c r="B1390" s="1" t="n">
        <v>45093.91768518519</v>
      </c>
      <c r="C1390" s="1" t="n">
        <v>45914</v>
      </c>
      <c r="D1390" t="inlineStr">
        <is>
          <t>SKÅNE LÄN</t>
        </is>
      </c>
      <c r="E1390" t="inlineStr">
        <is>
          <t>OSBY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57976-2023</t>
        </is>
      </c>
      <c r="B1391" s="1" t="n">
        <v>45247.58837962963</v>
      </c>
      <c r="C1391" s="1" t="n">
        <v>45914</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29994-2023</t>
        </is>
      </c>
      <c r="B1392" s="1" t="n">
        <v>45109.60038194444</v>
      </c>
      <c r="C1392" s="1" t="n">
        <v>45914</v>
      </c>
      <c r="D1392" t="inlineStr">
        <is>
          <t>SKÅNE LÄN</t>
        </is>
      </c>
      <c r="E1392" t="inlineStr">
        <is>
          <t>HÄSSLEHOLM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13018-2024</t>
        </is>
      </c>
      <c r="B1393" s="1" t="n">
        <v>45385.58274305556</v>
      </c>
      <c r="C1393" s="1" t="n">
        <v>45914</v>
      </c>
      <c r="D1393" t="inlineStr">
        <is>
          <t>SKÅNE LÄN</t>
        </is>
      </c>
      <c r="E1393" t="inlineStr">
        <is>
          <t>HÄSSLEHOLM</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14849-2024</t>
        </is>
      </c>
      <c r="B1394" s="1" t="n">
        <v>45398</v>
      </c>
      <c r="C1394" s="1" t="n">
        <v>45914</v>
      </c>
      <c r="D1394" t="inlineStr">
        <is>
          <t>SKÅNE LÄN</t>
        </is>
      </c>
      <c r="E1394" t="inlineStr">
        <is>
          <t>HÖÖR</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24887-2024</t>
        </is>
      </c>
      <c r="B1395" s="1" t="n">
        <v>45461.56512731482</v>
      </c>
      <c r="C1395" s="1" t="n">
        <v>45914</v>
      </c>
      <c r="D1395" t="inlineStr">
        <is>
          <t>SKÅNE LÄN</t>
        </is>
      </c>
      <c r="E1395" t="inlineStr">
        <is>
          <t>KRISTIANSTAD</t>
        </is>
      </c>
      <c r="F1395" t="inlineStr">
        <is>
          <t>Sveaskog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20714-2025</t>
        </is>
      </c>
      <c r="B1396" s="1" t="n">
        <v>45776</v>
      </c>
      <c r="C1396" s="1" t="n">
        <v>45914</v>
      </c>
      <c r="D1396" t="inlineStr">
        <is>
          <t>SKÅNE LÄN</t>
        </is>
      </c>
      <c r="E1396" t="inlineStr">
        <is>
          <t>KRISTIANSTAD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52855-2021</t>
        </is>
      </c>
      <c r="B1397" s="1" t="n">
        <v>44467.4494675926</v>
      </c>
      <c r="C1397" s="1" t="n">
        <v>45914</v>
      </c>
      <c r="D1397" t="inlineStr">
        <is>
          <t>SKÅNE LÄN</t>
        </is>
      </c>
      <c r="E1397" t="inlineStr">
        <is>
          <t>ÖSTRA GÖINGE</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20872-2025</t>
        </is>
      </c>
      <c r="B1398" s="1" t="n">
        <v>45777.34688657407</v>
      </c>
      <c r="C1398" s="1" t="n">
        <v>45914</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34342-2021</t>
        </is>
      </c>
      <c r="B1399" s="1" t="n">
        <v>44379</v>
      </c>
      <c r="C1399" s="1" t="n">
        <v>45914</v>
      </c>
      <c r="D1399" t="inlineStr">
        <is>
          <t>SKÅNE LÄN</t>
        </is>
      </c>
      <c r="E1399" t="inlineStr">
        <is>
          <t>HÄSSLEHOLM</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4386-2024</t>
        </is>
      </c>
      <c r="B1400" s="1" t="n">
        <v>45327</v>
      </c>
      <c r="C1400" s="1" t="n">
        <v>45914</v>
      </c>
      <c r="D1400" t="inlineStr">
        <is>
          <t>SKÅNE LÄN</t>
        </is>
      </c>
      <c r="E1400" t="inlineStr">
        <is>
          <t>ÖSTRA GÖINGE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63996-2020</t>
        </is>
      </c>
      <c r="B1401" s="1" t="n">
        <v>44167</v>
      </c>
      <c r="C1401" s="1" t="n">
        <v>45914</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6349-2024</t>
        </is>
      </c>
      <c r="B1402" s="1" t="n">
        <v>45338</v>
      </c>
      <c r="C1402" s="1" t="n">
        <v>45914</v>
      </c>
      <c r="D1402" t="inlineStr">
        <is>
          <t>SKÅNE LÄN</t>
        </is>
      </c>
      <c r="E1402" t="inlineStr">
        <is>
          <t>KRISTIANSTAD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30275-2023</t>
        </is>
      </c>
      <c r="B1403" s="1" t="n">
        <v>45110</v>
      </c>
      <c r="C1403" s="1" t="n">
        <v>45914</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16399-2025</t>
        </is>
      </c>
      <c r="B1404" s="1" t="n">
        <v>45751</v>
      </c>
      <c r="C1404" s="1" t="n">
        <v>45914</v>
      </c>
      <c r="D1404" t="inlineStr">
        <is>
          <t>SKÅNE LÄN</t>
        </is>
      </c>
      <c r="E1404" t="inlineStr">
        <is>
          <t>KLIPPAN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32103-2023</t>
        </is>
      </c>
      <c r="B1405" s="1" t="n">
        <v>45119</v>
      </c>
      <c r="C1405" s="1" t="n">
        <v>45914</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52972-2023</t>
        </is>
      </c>
      <c r="B1406" s="1" t="n">
        <v>45222</v>
      </c>
      <c r="C1406" s="1" t="n">
        <v>45914</v>
      </c>
      <c r="D1406" t="inlineStr">
        <is>
          <t>SKÅNE LÄN</t>
        </is>
      </c>
      <c r="E1406" t="inlineStr">
        <is>
          <t>BROMÖLLA</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26857-2025</t>
        </is>
      </c>
      <c r="B1407" s="1" t="n">
        <v>45810</v>
      </c>
      <c r="C1407" s="1" t="n">
        <v>45914</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13555-2025</t>
        </is>
      </c>
      <c r="B1408" s="1" t="n">
        <v>45736</v>
      </c>
      <c r="C1408" s="1" t="n">
        <v>45914</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20891-2025</t>
        </is>
      </c>
      <c r="B1409" s="1" t="n">
        <v>45777.38359953704</v>
      </c>
      <c r="C1409" s="1" t="n">
        <v>45914</v>
      </c>
      <c r="D1409" t="inlineStr">
        <is>
          <t>SKÅNE LÄN</t>
        </is>
      </c>
      <c r="E1409" t="inlineStr">
        <is>
          <t>KRISTIANSTAD</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20894-2025</t>
        </is>
      </c>
      <c r="B1410" s="1" t="n">
        <v>45777.39721064815</v>
      </c>
      <c r="C1410" s="1" t="n">
        <v>45914</v>
      </c>
      <c r="D1410" t="inlineStr">
        <is>
          <t>SKÅNE LÄN</t>
        </is>
      </c>
      <c r="E1410" t="inlineStr">
        <is>
          <t>OSBY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15657-2025</t>
        </is>
      </c>
      <c r="B1411" s="1" t="n">
        <v>45748</v>
      </c>
      <c r="C1411" s="1" t="n">
        <v>45914</v>
      </c>
      <c r="D1411" t="inlineStr">
        <is>
          <t>SKÅNE LÄN</t>
        </is>
      </c>
      <c r="E1411" t="inlineStr">
        <is>
          <t>HÖÖR</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63720-2023</t>
        </is>
      </c>
      <c r="B1412" s="1" t="n">
        <v>45275</v>
      </c>
      <c r="C1412" s="1" t="n">
        <v>45914</v>
      </c>
      <c r="D1412" t="inlineStr">
        <is>
          <t>SKÅNE LÄN</t>
        </is>
      </c>
      <c r="E1412" t="inlineStr">
        <is>
          <t>KLIPPAN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13804-2024</t>
        </is>
      </c>
      <c r="B1413" s="1" t="n">
        <v>45391</v>
      </c>
      <c r="C1413" s="1" t="n">
        <v>45914</v>
      </c>
      <c r="D1413" t="inlineStr">
        <is>
          <t>SKÅNE LÄN</t>
        </is>
      </c>
      <c r="E1413" t="inlineStr">
        <is>
          <t>HÖRBY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16860-2025</t>
        </is>
      </c>
      <c r="B1414" s="1" t="n">
        <v>45751</v>
      </c>
      <c r="C1414" s="1" t="n">
        <v>45914</v>
      </c>
      <c r="D1414" t="inlineStr">
        <is>
          <t>SKÅNE LÄN</t>
        </is>
      </c>
      <c r="E1414" t="inlineStr">
        <is>
          <t>HÄSSLEHOLM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28619-2025</t>
        </is>
      </c>
      <c r="B1415" s="1" t="n">
        <v>45819</v>
      </c>
      <c r="C1415" s="1" t="n">
        <v>45914</v>
      </c>
      <c r="D1415" t="inlineStr">
        <is>
          <t>SKÅNE LÄN</t>
        </is>
      </c>
      <c r="E1415" t="inlineStr">
        <is>
          <t>ÖSTRA GÖINGE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42776-2021</t>
        </is>
      </c>
      <c r="B1416" s="1" t="n">
        <v>44428</v>
      </c>
      <c r="C1416" s="1" t="n">
        <v>45914</v>
      </c>
      <c r="D1416" t="inlineStr">
        <is>
          <t>SKÅNE LÄN</t>
        </is>
      </c>
      <c r="E1416" t="inlineStr">
        <is>
          <t>HÄSSLEHOLM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4018-2024</t>
        </is>
      </c>
      <c r="B1417" s="1" t="n">
        <v>45323</v>
      </c>
      <c r="C1417" s="1" t="n">
        <v>45914</v>
      </c>
      <c r="D1417" t="inlineStr">
        <is>
          <t>SKÅNE LÄN</t>
        </is>
      </c>
      <c r="E1417" t="inlineStr">
        <is>
          <t>TOMELILLA</t>
        </is>
      </c>
      <c r="F1417" t="inlineStr">
        <is>
          <t>Övriga Aktiebolag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60840-2020</t>
        </is>
      </c>
      <c r="B1418" s="1" t="n">
        <v>44154</v>
      </c>
      <c r="C1418" s="1" t="n">
        <v>45914</v>
      </c>
      <c r="D1418" t="inlineStr">
        <is>
          <t>SKÅNE LÄN</t>
        </is>
      </c>
      <c r="E1418" t="inlineStr">
        <is>
          <t>ÖSTRA GÖINGE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531-2025</t>
        </is>
      </c>
      <c r="B1419" s="1" t="n">
        <v>45664.50216435185</v>
      </c>
      <c r="C1419" s="1" t="n">
        <v>45914</v>
      </c>
      <c r="D1419" t="inlineStr">
        <is>
          <t>SKÅNE LÄN</t>
        </is>
      </c>
      <c r="E1419" t="inlineStr">
        <is>
          <t>HÖÖR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27948-2023</t>
        </is>
      </c>
      <c r="B1420" s="1" t="n">
        <v>45098.66982638889</v>
      </c>
      <c r="C1420" s="1" t="n">
        <v>45914</v>
      </c>
      <c r="D1420" t="inlineStr">
        <is>
          <t>SKÅNE LÄN</t>
        </is>
      </c>
      <c r="E1420" t="inlineStr">
        <is>
          <t>KRISTIANSTAD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45914</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28654-2024</t>
        </is>
      </c>
      <c r="B1422" s="1" t="n">
        <v>45478</v>
      </c>
      <c r="C1422" s="1" t="n">
        <v>45914</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48952-2022</t>
        </is>
      </c>
      <c r="B1423" s="1" t="n">
        <v>44859</v>
      </c>
      <c r="C1423" s="1" t="n">
        <v>45914</v>
      </c>
      <c r="D1423" t="inlineStr">
        <is>
          <t>SKÅNE LÄN</t>
        </is>
      </c>
      <c r="E1423" t="inlineStr">
        <is>
          <t>ÖSTRA GÖINGE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28599-2024</t>
        </is>
      </c>
      <c r="B1424" s="1" t="n">
        <v>45478.4247800926</v>
      </c>
      <c r="C1424" s="1" t="n">
        <v>45914</v>
      </c>
      <c r="D1424" t="inlineStr">
        <is>
          <t>SKÅNE LÄN</t>
        </is>
      </c>
      <c r="E1424" t="inlineStr">
        <is>
          <t>HÄSSLEHOLM</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21570-2025</t>
        </is>
      </c>
      <c r="B1425" s="1" t="n">
        <v>45782.75386574074</v>
      </c>
      <c r="C1425" s="1" t="n">
        <v>45914</v>
      </c>
      <c r="D1425" t="inlineStr">
        <is>
          <t>SKÅNE LÄN</t>
        </is>
      </c>
      <c r="E1425" t="inlineStr">
        <is>
          <t>OSBY</t>
        </is>
      </c>
      <c r="G1425" t="n">
        <v>15.1</v>
      </c>
      <c r="H1425" t="n">
        <v>0</v>
      </c>
      <c r="I1425" t="n">
        <v>0</v>
      </c>
      <c r="J1425" t="n">
        <v>0</v>
      </c>
      <c r="K1425" t="n">
        <v>0</v>
      </c>
      <c r="L1425" t="n">
        <v>0</v>
      </c>
      <c r="M1425" t="n">
        <v>0</v>
      </c>
      <c r="N1425" t="n">
        <v>0</v>
      </c>
      <c r="O1425" t="n">
        <v>0</v>
      </c>
      <c r="P1425" t="n">
        <v>0</v>
      </c>
      <c r="Q1425" t="n">
        <v>0</v>
      </c>
      <c r="R1425" s="2" t="inlineStr"/>
    </row>
    <row r="1426" ht="15" customHeight="1">
      <c r="A1426" t="inlineStr">
        <is>
          <t>A 16743-2024</t>
        </is>
      </c>
      <c r="B1426" s="1" t="n">
        <v>45410</v>
      </c>
      <c r="C1426" s="1" t="n">
        <v>45914</v>
      </c>
      <c r="D1426" t="inlineStr">
        <is>
          <t>SKÅNE LÄN</t>
        </is>
      </c>
      <c r="E1426" t="inlineStr">
        <is>
          <t>ÖSTRA GÖINGE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5374-2024</t>
        </is>
      </c>
      <c r="B1427" s="1" t="n">
        <v>45331.48893518518</v>
      </c>
      <c r="C1427" s="1" t="n">
        <v>45914</v>
      </c>
      <c r="D1427" t="inlineStr">
        <is>
          <t>SKÅNE LÄN</t>
        </is>
      </c>
      <c r="E1427" t="inlineStr">
        <is>
          <t>ÖSTRA GÖINGE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30738-2021</t>
        </is>
      </c>
      <c r="B1428" s="1" t="n">
        <v>44365.45446759259</v>
      </c>
      <c r="C1428" s="1" t="n">
        <v>45914</v>
      </c>
      <c r="D1428" t="inlineStr">
        <is>
          <t>SKÅNE LÄN</t>
        </is>
      </c>
      <c r="E1428" t="inlineStr">
        <is>
          <t>KLIPPAN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21208-2023</t>
        </is>
      </c>
      <c r="B1429" s="1" t="n">
        <v>45062.50630787037</v>
      </c>
      <c r="C1429" s="1" t="n">
        <v>45914</v>
      </c>
      <c r="D1429" t="inlineStr">
        <is>
          <t>SKÅNE LÄN</t>
        </is>
      </c>
      <c r="E1429" t="inlineStr">
        <is>
          <t>PERSTORP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21091-2025</t>
        </is>
      </c>
      <c r="B1430" s="1" t="n">
        <v>45777</v>
      </c>
      <c r="C1430" s="1" t="n">
        <v>45914</v>
      </c>
      <c r="D1430" t="inlineStr">
        <is>
          <t>SKÅNE LÄN</t>
        </is>
      </c>
      <c r="E1430" t="inlineStr">
        <is>
          <t>HÄSSLEHOLM</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21507-2025</t>
        </is>
      </c>
      <c r="B1431" s="1" t="n">
        <v>45782.61987268519</v>
      </c>
      <c r="C1431" s="1" t="n">
        <v>45914</v>
      </c>
      <c r="D1431" t="inlineStr">
        <is>
          <t>SKÅNE LÄN</t>
        </is>
      </c>
      <c r="E1431" t="inlineStr">
        <is>
          <t>SVALÖV</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4989-2022</t>
        </is>
      </c>
      <c r="B1432" s="1" t="n">
        <v>44593</v>
      </c>
      <c r="C1432" s="1" t="n">
        <v>45914</v>
      </c>
      <c r="D1432" t="inlineStr">
        <is>
          <t>SKÅNE LÄN</t>
        </is>
      </c>
      <c r="E1432" t="inlineStr">
        <is>
          <t>PERSTORP</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50294-2024</t>
        </is>
      </c>
      <c r="B1433" s="1" t="n">
        <v>45600.62240740741</v>
      </c>
      <c r="C1433" s="1" t="n">
        <v>45914</v>
      </c>
      <c r="D1433" t="inlineStr">
        <is>
          <t>SKÅNE LÄN</t>
        </is>
      </c>
      <c r="E1433" t="inlineStr">
        <is>
          <t>KRISTIANSTAD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25833-2024</t>
        </is>
      </c>
      <c r="B1434" s="1" t="n">
        <v>45463</v>
      </c>
      <c r="C1434" s="1" t="n">
        <v>45914</v>
      </c>
      <c r="D1434" t="inlineStr">
        <is>
          <t>SKÅNE LÄN</t>
        </is>
      </c>
      <c r="E1434" t="inlineStr">
        <is>
          <t>HÖRBY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51276-2024</t>
        </is>
      </c>
      <c r="B1435" s="1" t="n">
        <v>45603</v>
      </c>
      <c r="C1435" s="1" t="n">
        <v>45914</v>
      </c>
      <c r="D1435" t="inlineStr">
        <is>
          <t>SKÅNE LÄN</t>
        </is>
      </c>
      <c r="E1435" t="inlineStr">
        <is>
          <t>KLIPPAN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21206-2025</t>
        </is>
      </c>
      <c r="B1436" s="1" t="n">
        <v>45779.48318287037</v>
      </c>
      <c r="C1436" s="1" t="n">
        <v>45914</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21556-2025</t>
        </is>
      </c>
      <c r="B1437" s="1" t="n">
        <v>45782.67826388889</v>
      </c>
      <c r="C1437" s="1" t="n">
        <v>45914</v>
      </c>
      <c r="D1437" t="inlineStr">
        <is>
          <t>SKÅNE LÄN</t>
        </is>
      </c>
      <c r="E1437" t="inlineStr">
        <is>
          <t>SVALÖV</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18355-2025</t>
        </is>
      </c>
      <c r="B1438" s="1" t="n">
        <v>45762.55292824074</v>
      </c>
      <c r="C1438" s="1" t="n">
        <v>45914</v>
      </c>
      <c r="D1438" t="inlineStr">
        <is>
          <t>SKÅNE LÄN</t>
        </is>
      </c>
      <c r="E1438" t="inlineStr">
        <is>
          <t>ÖSTRA GÖINGE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45814-2020</t>
        </is>
      </c>
      <c r="B1439" s="1" t="n">
        <v>44090.8908912037</v>
      </c>
      <c r="C1439" s="1" t="n">
        <v>45914</v>
      </c>
      <c r="D1439" t="inlineStr">
        <is>
          <t>SKÅNE LÄN</t>
        </is>
      </c>
      <c r="E1439" t="inlineStr">
        <is>
          <t>HÄSSLEHOLM</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45815-2020</t>
        </is>
      </c>
      <c r="B1440" s="1" t="n">
        <v>44090.9071875</v>
      </c>
      <c r="C1440" s="1" t="n">
        <v>45914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26262-2024</t>
        </is>
      </c>
      <c r="B1441" s="1" t="n">
        <v>45468.66077546297</v>
      </c>
      <c r="C1441" s="1" t="n">
        <v>45914</v>
      </c>
      <c r="D1441" t="inlineStr">
        <is>
          <t>SKÅNE LÄN</t>
        </is>
      </c>
      <c r="E1441" t="inlineStr">
        <is>
          <t>ÅSTORP</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35712-2024</t>
        </is>
      </c>
      <c r="B1442" s="1" t="n">
        <v>45532</v>
      </c>
      <c r="C1442" s="1" t="n">
        <v>45914</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21541-2025</t>
        </is>
      </c>
      <c r="B1443" s="1" t="n">
        <v>45782.66538194445</v>
      </c>
      <c r="C1443" s="1" t="n">
        <v>45914</v>
      </c>
      <c r="D1443" t="inlineStr">
        <is>
          <t>SKÅNE LÄN</t>
        </is>
      </c>
      <c r="E1443" t="inlineStr">
        <is>
          <t>SVALÖV</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61859-2023</t>
        </is>
      </c>
      <c r="B1444" s="1" t="n">
        <v>45265</v>
      </c>
      <c r="C1444" s="1" t="n">
        <v>45914</v>
      </c>
      <c r="D1444" t="inlineStr">
        <is>
          <t>SKÅNE LÄN</t>
        </is>
      </c>
      <c r="E1444" t="inlineStr">
        <is>
          <t>PERSTORP</t>
        </is>
      </c>
      <c r="F1444" t="inlineStr">
        <is>
          <t>Övriga Aktiebolag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12780-2024</t>
        </is>
      </c>
      <c r="B1445" s="1" t="n">
        <v>45384.59726851852</v>
      </c>
      <c r="C1445" s="1" t="n">
        <v>45914</v>
      </c>
      <c r="D1445" t="inlineStr">
        <is>
          <t>SKÅNE LÄN</t>
        </is>
      </c>
      <c r="E1445" t="inlineStr">
        <is>
          <t>HÄSSLEHOLM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56818-2022</t>
        </is>
      </c>
      <c r="B1446" s="1" t="n">
        <v>44894</v>
      </c>
      <c r="C1446" s="1" t="n">
        <v>45914</v>
      </c>
      <c r="D1446" t="inlineStr">
        <is>
          <t>SKÅNE LÄN</t>
        </is>
      </c>
      <c r="E1446" t="inlineStr">
        <is>
          <t>HÖRBY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21713-2025</t>
        </is>
      </c>
      <c r="B1447" s="1" t="n">
        <v>45783.53788194444</v>
      </c>
      <c r="C1447" s="1" t="n">
        <v>45914</v>
      </c>
      <c r="D1447" t="inlineStr">
        <is>
          <t>SKÅNE LÄN</t>
        </is>
      </c>
      <c r="E1447" t="inlineStr">
        <is>
          <t>HÖRBY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20635-2024</t>
        </is>
      </c>
      <c r="B1448" s="1" t="n">
        <v>45436</v>
      </c>
      <c r="C1448" s="1" t="n">
        <v>45914</v>
      </c>
      <c r="D1448" t="inlineStr">
        <is>
          <t>SKÅNE LÄN</t>
        </is>
      </c>
      <c r="E1448" t="inlineStr">
        <is>
          <t>ÄNGELHOLM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5907-2024</t>
        </is>
      </c>
      <c r="B1449" s="1" t="n">
        <v>45335</v>
      </c>
      <c r="C1449" s="1" t="n">
        <v>45914</v>
      </c>
      <c r="D1449" t="inlineStr">
        <is>
          <t>SKÅNE LÄN</t>
        </is>
      </c>
      <c r="E1449" t="inlineStr">
        <is>
          <t>KRISTIANSTAD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28457-2024</t>
        </is>
      </c>
      <c r="B1450" s="1" t="n">
        <v>45477.68884259259</v>
      </c>
      <c r="C1450" s="1" t="n">
        <v>45914</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28923-2023</t>
        </is>
      </c>
      <c r="B1451" s="1" t="n">
        <v>45104</v>
      </c>
      <c r="C1451" s="1" t="n">
        <v>45914</v>
      </c>
      <c r="D1451" t="inlineStr">
        <is>
          <t>SKÅNE LÄN</t>
        </is>
      </c>
      <c r="E1451" t="inlineStr">
        <is>
          <t>SJÖBO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13070-2023</t>
        </is>
      </c>
      <c r="B1452" s="1" t="n">
        <v>45002</v>
      </c>
      <c r="C1452" s="1" t="n">
        <v>45914</v>
      </c>
      <c r="D1452" t="inlineStr">
        <is>
          <t>SKÅNE LÄN</t>
        </is>
      </c>
      <c r="E1452" t="inlineStr">
        <is>
          <t>KRISTIANSTAD</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13138-2023</t>
        </is>
      </c>
      <c r="B1453" s="1" t="n">
        <v>45002</v>
      </c>
      <c r="C1453" s="1" t="n">
        <v>45914</v>
      </c>
      <c r="D1453" t="inlineStr">
        <is>
          <t>SKÅNE LÄN</t>
        </is>
      </c>
      <c r="E1453" t="inlineStr">
        <is>
          <t>OSBY</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13143-2023</t>
        </is>
      </c>
      <c r="B1454" s="1" t="n">
        <v>45002</v>
      </c>
      <c r="C1454" s="1" t="n">
        <v>45914</v>
      </c>
      <c r="D1454" t="inlineStr">
        <is>
          <t>SKÅNE LÄN</t>
        </is>
      </c>
      <c r="E1454" t="inlineStr">
        <is>
          <t>OSBY</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36645-2022</t>
        </is>
      </c>
      <c r="B1455" s="1" t="n">
        <v>44804.7465625</v>
      </c>
      <c r="C1455" s="1" t="n">
        <v>45914</v>
      </c>
      <c r="D1455" t="inlineStr">
        <is>
          <t>SKÅNE LÄN</t>
        </is>
      </c>
      <c r="E1455" t="inlineStr">
        <is>
          <t>OSBY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33466-2024</t>
        </is>
      </c>
      <c r="B1456" s="1" t="n">
        <v>45519</v>
      </c>
      <c r="C1456" s="1" t="n">
        <v>45914</v>
      </c>
      <c r="D1456" t="inlineStr">
        <is>
          <t>SKÅNE LÄN</t>
        </is>
      </c>
      <c r="E1456" t="inlineStr">
        <is>
          <t>HÄSSLEHOLM</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23813-2024</t>
        </is>
      </c>
      <c r="B1457" s="1" t="n">
        <v>45455</v>
      </c>
      <c r="C1457" s="1" t="n">
        <v>45914</v>
      </c>
      <c r="D1457" t="inlineStr">
        <is>
          <t>SKÅNE LÄN</t>
        </is>
      </c>
      <c r="E1457" t="inlineStr">
        <is>
          <t>TOMELILLA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47843-2024</t>
        </is>
      </c>
      <c r="B1458" s="1" t="n">
        <v>45588.65604166667</v>
      </c>
      <c r="C1458" s="1" t="n">
        <v>45914</v>
      </c>
      <c r="D1458" t="inlineStr">
        <is>
          <t>SKÅNE LÄN</t>
        </is>
      </c>
      <c r="E1458" t="inlineStr">
        <is>
          <t>OSBY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26397-2023</t>
        </is>
      </c>
      <c r="B1459" s="1" t="n">
        <v>45087</v>
      </c>
      <c r="C1459" s="1" t="n">
        <v>45914</v>
      </c>
      <c r="D1459" t="inlineStr">
        <is>
          <t>SKÅNE LÄN</t>
        </is>
      </c>
      <c r="E1459" t="inlineStr">
        <is>
          <t>HÄSSLEHOLM</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32201-2024</t>
        </is>
      </c>
      <c r="B1460" s="1" t="n">
        <v>45511.66358796296</v>
      </c>
      <c r="C1460" s="1" t="n">
        <v>45914</v>
      </c>
      <c r="D1460" t="inlineStr">
        <is>
          <t>SKÅNE LÄN</t>
        </is>
      </c>
      <c r="E1460" t="inlineStr">
        <is>
          <t>PERSTORP</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13651-2023</t>
        </is>
      </c>
      <c r="B1461" s="1" t="n">
        <v>45006</v>
      </c>
      <c r="C1461" s="1" t="n">
        <v>45914</v>
      </c>
      <c r="D1461" t="inlineStr">
        <is>
          <t>SKÅNE LÄN</t>
        </is>
      </c>
      <c r="E1461" t="inlineStr">
        <is>
          <t>HELSINGBORG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27175-2024</t>
        </is>
      </c>
      <c r="B1462" s="1" t="n">
        <v>45471.57111111111</v>
      </c>
      <c r="C1462" s="1" t="n">
        <v>45914</v>
      </c>
      <c r="D1462" t="inlineStr">
        <is>
          <t>SKÅNE LÄN</t>
        </is>
      </c>
      <c r="E1462" t="inlineStr">
        <is>
          <t>HÄSSLEHOLM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29845-2024</t>
        </is>
      </c>
      <c r="B1463" s="1" t="n">
        <v>45485.6212037037</v>
      </c>
      <c r="C1463" s="1" t="n">
        <v>45914</v>
      </c>
      <c r="D1463" t="inlineStr">
        <is>
          <t>SKÅNE LÄN</t>
        </is>
      </c>
      <c r="E1463" t="inlineStr">
        <is>
          <t>HÄSSLEHOLM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20006-2025</t>
        </is>
      </c>
      <c r="B1464" s="1" t="n">
        <v>45772.05032407407</v>
      </c>
      <c r="C1464" s="1" t="n">
        <v>45914</v>
      </c>
      <c r="D1464" t="inlineStr">
        <is>
          <t>SKÅNE LÄN</t>
        </is>
      </c>
      <c r="E1464" t="inlineStr">
        <is>
          <t>HÄSSLEHOLM</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35802-2023</t>
        </is>
      </c>
      <c r="B1465" s="1" t="n">
        <v>45148</v>
      </c>
      <c r="C1465" s="1" t="n">
        <v>45914</v>
      </c>
      <c r="D1465" t="inlineStr">
        <is>
          <t>SKÅNE LÄN</t>
        </is>
      </c>
      <c r="E1465" t="inlineStr">
        <is>
          <t>BROMÖLLA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61533-2024</t>
        </is>
      </c>
      <c r="B1466" s="1" t="n">
        <v>45646</v>
      </c>
      <c r="C1466" s="1" t="n">
        <v>45914</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15733-2024</t>
        </is>
      </c>
      <c r="B1467" s="1" t="n">
        <v>45404.5447337963</v>
      </c>
      <c r="C1467" s="1" t="n">
        <v>45914</v>
      </c>
      <c r="D1467" t="inlineStr">
        <is>
          <t>SKÅNE LÄN</t>
        </is>
      </c>
      <c r="E1467" t="inlineStr">
        <is>
          <t>OSBY</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61537-2024</t>
        </is>
      </c>
      <c r="B1468" s="1" t="n">
        <v>45646</v>
      </c>
      <c r="C1468" s="1" t="n">
        <v>45914</v>
      </c>
      <c r="D1468" t="inlineStr">
        <is>
          <t>SKÅNE LÄN</t>
        </is>
      </c>
      <c r="E1468" t="inlineStr">
        <is>
          <t>HÄSSLEHOLM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21638-2025</t>
        </is>
      </c>
      <c r="B1469" s="1" t="n">
        <v>45783.43087962963</v>
      </c>
      <c r="C1469" s="1" t="n">
        <v>45914</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1197-2024</t>
        </is>
      </c>
      <c r="B1470" s="1" t="n">
        <v>45302</v>
      </c>
      <c r="C1470" s="1" t="n">
        <v>45914</v>
      </c>
      <c r="D1470" t="inlineStr">
        <is>
          <t>SKÅNE LÄN</t>
        </is>
      </c>
      <c r="E1470" t="inlineStr">
        <is>
          <t>HÄSSLEHOLM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21654-2024</t>
        </is>
      </c>
      <c r="B1471" s="1" t="n">
        <v>45442</v>
      </c>
      <c r="C1471" s="1" t="n">
        <v>45914</v>
      </c>
      <c r="D1471" t="inlineStr">
        <is>
          <t>SKÅNE LÄN</t>
        </is>
      </c>
      <c r="E1471" t="inlineStr">
        <is>
          <t>KLIPPAN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21774-2024</t>
        </is>
      </c>
      <c r="B1472" s="1" t="n">
        <v>45442</v>
      </c>
      <c r="C1472" s="1" t="n">
        <v>45914</v>
      </c>
      <c r="D1472" t="inlineStr">
        <is>
          <t>SKÅNE LÄN</t>
        </is>
      </c>
      <c r="E1472" t="inlineStr">
        <is>
          <t>SVALÖV</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24248-2024</t>
        </is>
      </c>
      <c r="B1473" s="1" t="n">
        <v>45457</v>
      </c>
      <c r="C1473" s="1" t="n">
        <v>45914</v>
      </c>
      <c r="D1473" t="inlineStr">
        <is>
          <t>SKÅNE LÄN</t>
        </is>
      </c>
      <c r="E1473" t="inlineStr">
        <is>
          <t>TOMELILLA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35715-2024</t>
        </is>
      </c>
      <c r="B1474" s="1" t="n">
        <v>45532</v>
      </c>
      <c r="C1474" s="1" t="n">
        <v>45914</v>
      </c>
      <c r="D1474" t="inlineStr">
        <is>
          <t>SKÅNE LÄN</t>
        </is>
      </c>
      <c r="E1474" t="inlineStr">
        <is>
          <t>TOMELILLA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7818-2024</t>
        </is>
      </c>
      <c r="B1475" s="1" t="n">
        <v>45349.68872685185</v>
      </c>
      <c r="C1475" s="1" t="n">
        <v>45914</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48097-2024</t>
        </is>
      </c>
      <c r="B1476" s="1" t="n">
        <v>45589.61413194444</v>
      </c>
      <c r="C1476" s="1" t="n">
        <v>45914</v>
      </c>
      <c r="D1476" t="inlineStr">
        <is>
          <t>SKÅNE LÄN</t>
        </is>
      </c>
      <c r="E1476" t="inlineStr">
        <is>
          <t>HÄSSLEHOLM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21867-2025</t>
        </is>
      </c>
      <c r="B1477" s="1" t="n">
        <v>45784.37122685185</v>
      </c>
      <c r="C1477" s="1" t="n">
        <v>45914</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52959-2024</t>
        </is>
      </c>
      <c r="B1478" s="1" t="n">
        <v>45611</v>
      </c>
      <c r="C1478" s="1" t="n">
        <v>45914</v>
      </c>
      <c r="D1478" t="inlineStr">
        <is>
          <t>SKÅNE LÄN</t>
        </is>
      </c>
      <c r="E1478" t="inlineStr">
        <is>
          <t>SJÖBO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168-2025</t>
        </is>
      </c>
      <c r="B1479" s="1" t="n">
        <v>45659.64137731482</v>
      </c>
      <c r="C1479" s="1" t="n">
        <v>45914</v>
      </c>
      <c r="D1479" t="inlineStr">
        <is>
          <t>SKÅNE LÄN</t>
        </is>
      </c>
      <c r="E1479" t="inlineStr">
        <is>
          <t>ÖRKELLJUNGA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48126-2024</t>
        </is>
      </c>
      <c r="B1480" s="1" t="n">
        <v>45589.6418287037</v>
      </c>
      <c r="C1480" s="1" t="n">
        <v>45914</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22594-2024</t>
        </is>
      </c>
      <c r="B1481" s="1" t="n">
        <v>45447.60892361111</v>
      </c>
      <c r="C1481" s="1" t="n">
        <v>45914</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53077-2022</t>
        </is>
      </c>
      <c r="B1482" s="1" t="n">
        <v>44873</v>
      </c>
      <c r="C1482" s="1" t="n">
        <v>45914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23813-2023</t>
        </is>
      </c>
      <c r="B1483" s="1" t="n">
        <v>45078</v>
      </c>
      <c r="C1483" s="1" t="n">
        <v>45914</v>
      </c>
      <c r="D1483" t="inlineStr">
        <is>
          <t>SKÅNE LÄN</t>
        </is>
      </c>
      <c r="E1483" t="inlineStr">
        <is>
          <t>OSBY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23816-2023</t>
        </is>
      </c>
      <c r="B1484" s="1" t="n">
        <v>45078.39329861111</v>
      </c>
      <c r="C1484" s="1" t="n">
        <v>45914</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15768-2021</t>
        </is>
      </c>
      <c r="B1485" s="1" t="n">
        <v>44286</v>
      </c>
      <c r="C1485" s="1" t="n">
        <v>45914</v>
      </c>
      <c r="D1485" t="inlineStr">
        <is>
          <t>SKÅNE LÄN</t>
        </is>
      </c>
      <c r="E1485" t="inlineStr">
        <is>
          <t>HÖRBY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49362-2024</t>
        </is>
      </c>
      <c r="B1486" s="1" t="n">
        <v>45595.62802083333</v>
      </c>
      <c r="C1486" s="1" t="n">
        <v>45914</v>
      </c>
      <c r="D1486" t="inlineStr">
        <is>
          <t>SKÅNE LÄN</t>
        </is>
      </c>
      <c r="E1486" t="inlineStr">
        <is>
          <t>ÖRKELLJUNGA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39111-2023</t>
        </is>
      </c>
      <c r="B1487" s="1" t="n">
        <v>45164.87140046297</v>
      </c>
      <c r="C1487" s="1" t="n">
        <v>45914</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55056-2021</t>
        </is>
      </c>
      <c r="B1488" s="1" t="n">
        <v>44474.62072916667</v>
      </c>
      <c r="C1488" s="1" t="n">
        <v>45914</v>
      </c>
      <c r="D1488" t="inlineStr">
        <is>
          <t>SKÅNE LÄN</t>
        </is>
      </c>
      <c r="E1488" t="inlineStr">
        <is>
          <t>HÄSSLEHOLM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11676-2023</t>
        </is>
      </c>
      <c r="B1489" s="1" t="n">
        <v>44992</v>
      </c>
      <c r="C1489" s="1" t="n">
        <v>45914</v>
      </c>
      <c r="D1489" t="inlineStr">
        <is>
          <t>SKÅNE LÄN</t>
        </is>
      </c>
      <c r="E1489" t="inlineStr">
        <is>
          <t>KLIPPAN</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11705-2023</t>
        </is>
      </c>
      <c r="B1490" s="1" t="n">
        <v>44992</v>
      </c>
      <c r="C1490" s="1" t="n">
        <v>45914</v>
      </c>
      <c r="D1490" t="inlineStr">
        <is>
          <t>SKÅNE LÄN</t>
        </is>
      </c>
      <c r="E1490" t="inlineStr">
        <is>
          <t>KLIPPAN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4370-2024</t>
        </is>
      </c>
      <c r="B1491" s="1" t="n">
        <v>45326</v>
      </c>
      <c r="C1491" s="1" t="n">
        <v>45914</v>
      </c>
      <c r="D1491" t="inlineStr">
        <is>
          <t>SKÅNE LÄN</t>
        </is>
      </c>
      <c r="E1491" t="inlineStr">
        <is>
          <t>KRISTIANSTAD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21973-2025</t>
        </is>
      </c>
      <c r="B1492" s="1" t="n">
        <v>45784.6365162037</v>
      </c>
      <c r="C1492" s="1" t="n">
        <v>45914</v>
      </c>
      <c r="D1492" t="inlineStr">
        <is>
          <t>SKÅNE LÄN</t>
        </is>
      </c>
      <c r="E1492" t="inlineStr">
        <is>
          <t>SJÖBO</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21976-2025</t>
        </is>
      </c>
      <c r="B1493" s="1" t="n">
        <v>45784.64052083333</v>
      </c>
      <c r="C1493" s="1" t="n">
        <v>45914</v>
      </c>
      <c r="D1493" t="inlineStr">
        <is>
          <t>SKÅNE LÄN</t>
        </is>
      </c>
      <c r="E1493" t="inlineStr">
        <is>
          <t>SJÖBO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60851-2024</t>
        </is>
      </c>
      <c r="B1494" s="1" t="n">
        <v>45644.66182870371</v>
      </c>
      <c r="C1494" s="1" t="n">
        <v>45914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56089-2021</t>
        </is>
      </c>
      <c r="B1495" s="1" t="n">
        <v>44477</v>
      </c>
      <c r="C1495" s="1" t="n">
        <v>45914</v>
      </c>
      <c r="D1495" t="inlineStr">
        <is>
          <t>SKÅNE LÄN</t>
        </is>
      </c>
      <c r="E1495" t="inlineStr">
        <is>
          <t>KLIPPAN</t>
        </is>
      </c>
      <c r="G1495" t="n">
        <v>20.9</v>
      </c>
      <c r="H1495" t="n">
        <v>0</v>
      </c>
      <c r="I1495" t="n">
        <v>0</v>
      </c>
      <c r="J1495" t="n">
        <v>0</v>
      </c>
      <c r="K1495" t="n">
        <v>0</v>
      </c>
      <c r="L1495" t="n">
        <v>0</v>
      </c>
      <c r="M1495" t="n">
        <v>0</v>
      </c>
      <c r="N1495" t="n">
        <v>0</v>
      </c>
      <c r="O1495" t="n">
        <v>0</v>
      </c>
      <c r="P1495" t="n">
        <v>0</v>
      </c>
      <c r="Q1495" t="n">
        <v>0</v>
      </c>
      <c r="R1495" s="2" t="inlineStr"/>
    </row>
    <row r="1496" ht="15" customHeight="1">
      <c r="A1496" t="inlineStr">
        <is>
          <t>A 16438-2023</t>
        </is>
      </c>
      <c r="B1496" s="1" t="n">
        <v>45029</v>
      </c>
      <c r="C1496" s="1" t="n">
        <v>45914</v>
      </c>
      <c r="D1496" t="inlineStr">
        <is>
          <t>SKÅNE LÄN</t>
        </is>
      </c>
      <c r="E1496" t="inlineStr">
        <is>
          <t>ÖSTRA GÖINGE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52310-2023</t>
        </is>
      </c>
      <c r="B1497" s="1" t="n">
        <v>45224.62993055556</v>
      </c>
      <c r="C1497" s="1" t="n">
        <v>45914</v>
      </c>
      <c r="D1497" t="inlineStr">
        <is>
          <t>SKÅNE LÄN</t>
        </is>
      </c>
      <c r="E1497" t="inlineStr">
        <is>
          <t>HÖRBY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46606-2020</t>
        </is>
      </c>
      <c r="B1498" s="1" t="n">
        <v>44092</v>
      </c>
      <c r="C1498" s="1" t="n">
        <v>45914</v>
      </c>
      <c r="D1498" t="inlineStr">
        <is>
          <t>SKÅNE LÄN</t>
        </is>
      </c>
      <c r="E1498" t="inlineStr">
        <is>
          <t>ÖSTRA GÖINGE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18476-2025</t>
        </is>
      </c>
      <c r="B1499" s="1" t="n">
        <v>45762.7953587963</v>
      </c>
      <c r="C1499" s="1" t="n">
        <v>45914</v>
      </c>
      <c r="D1499" t="inlineStr">
        <is>
          <t>SKÅNE LÄN</t>
        </is>
      </c>
      <c r="E1499" t="inlineStr">
        <is>
          <t>KRISTIANSTAD</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317-2025</t>
        </is>
      </c>
      <c r="B1500" s="1" t="n">
        <v>45660</v>
      </c>
      <c r="C1500" s="1" t="n">
        <v>45914</v>
      </c>
      <c r="D1500" t="inlineStr">
        <is>
          <t>SKÅNE LÄN</t>
        </is>
      </c>
      <c r="E1500" t="inlineStr">
        <is>
          <t>HÄSSLEHOLM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4042-2023</t>
        </is>
      </c>
      <c r="B1501" s="1" t="n">
        <v>44952.59950231481</v>
      </c>
      <c r="C1501" s="1" t="n">
        <v>45914</v>
      </c>
      <c r="D1501" t="inlineStr">
        <is>
          <t>SKÅNE LÄN</t>
        </is>
      </c>
      <c r="E1501" t="inlineStr">
        <is>
          <t>HÄSSLEHOLM</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21625-2025</t>
        </is>
      </c>
      <c r="B1502" s="1" t="n">
        <v>45783.41252314814</v>
      </c>
      <c r="C1502" s="1" t="n">
        <v>45914</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23260-2023</t>
        </is>
      </c>
      <c r="B1503" s="1" t="n">
        <v>45075.87199074074</v>
      </c>
      <c r="C1503" s="1" t="n">
        <v>45914</v>
      </c>
      <c r="D1503" t="inlineStr">
        <is>
          <t>SKÅNE LÄN</t>
        </is>
      </c>
      <c r="E1503" t="inlineStr">
        <is>
          <t>KLIPPAN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14674-2024</t>
        </is>
      </c>
      <c r="B1504" s="1" t="n">
        <v>45397</v>
      </c>
      <c r="C1504" s="1" t="n">
        <v>45914</v>
      </c>
      <c r="D1504" t="inlineStr">
        <is>
          <t>SKÅNE LÄN</t>
        </is>
      </c>
      <c r="E1504" t="inlineStr">
        <is>
          <t>BJUV</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31701-2023</t>
        </is>
      </c>
      <c r="B1505" s="1" t="n">
        <v>45117</v>
      </c>
      <c r="C1505" s="1" t="n">
        <v>45914</v>
      </c>
      <c r="D1505" t="inlineStr">
        <is>
          <t>SKÅNE LÄN</t>
        </is>
      </c>
      <c r="E1505" t="inlineStr">
        <is>
          <t>SVEDALA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21814-2025</t>
        </is>
      </c>
      <c r="B1506" s="1" t="n">
        <v>45783.72201388889</v>
      </c>
      <c r="C1506" s="1" t="n">
        <v>45914</v>
      </c>
      <c r="D1506" t="inlineStr">
        <is>
          <t>SKÅNE LÄN</t>
        </is>
      </c>
      <c r="E1506" t="inlineStr">
        <is>
          <t>SVALÖV</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19196-2021</t>
        </is>
      </c>
      <c r="B1507" s="1" t="n">
        <v>44308</v>
      </c>
      <c r="C1507" s="1" t="n">
        <v>45914</v>
      </c>
      <c r="D1507" t="inlineStr">
        <is>
          <t>SKÅNE LÄN</t>
        </is>
      </c>
      <c r="E1507" t="inlineStr">
        <is>
          <t>HÖÖR</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21992-2024</t>
        </is>
      </c>
      <c r="B1508" s="1" t="n">
        <v>45443.55804398148</v>
      </c>
      <c r="C1508" s="1" t="n">
        <v>45914</v>
      </c>
      <c r="D1508" t="inlineStr">
        <is>
          <t>SKÅNE LÄN</t>
        </is>
      </c>
      <c r="E1508" t="inlineStr">
        <is>
          <t>KRISTIANSTAD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9691-2023</t>
        </is>
      </c>
      <c r="B1509" s="1" t="n">
        <v>44984</v>
      </c>
      <c r="C1509" s="1" t="n">
        <v>45914</v>
      </c>
      <c r="D1509" t="inlineStr">
        <is>
          <t>SKÅNE LÄN</t>
        </is>
      </c>
      <c r="E1509" t="inlineStr">
        <is>
          <t>ÖRKELLJUNGA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74016-2021</t>
        </is>
      </c>
      <c r="B1510" s="1" t="n">
        <v>44557</v>
      </c>
      <c r="C1510" s="1" t="n">
        <v>45914</v>
      </c>
      <c r="D1510" t="inlineStr">
        <is>
          <t>SKÅNE LÄN</t>
        </is>
      </c>
      <c r="E1510" t="inlineStr">
        <is>
          <t>OSBY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3123-2023</t>
        </is>
      </c>
      <c r="B1511" s="1" t="n">
        <v>44946.4925</v>
      </c>
      <c r="C1511" s="1" t="n">
        <v>45914</v>
      </c>
      <c r="D1511" t="inlineStr">
        <is>
          <t>SKÅNE LÄN</t>
        </is>
      </c>
      <c r="E1511" t="inlineStr">
        <is>
          <t>HÄSSLEHOLM</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10275-2024</t>
        </is>
      </c>
      <c r="B1512" s="1" t="n">
        <v>45365</v>
      </c>
      <c r="C1512" s="1" t="n">
        <v>45914</v>
      </c>
      <c r="D1512" t="inlineStr">
        <is>
          <t>SKÅNE LÄN</t>
        </is>
      </c>
      <c r="E1512" t="inlineStr">
        <is>
          <t>BROMÖLLA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3126-2023</t>
        </is>
      </c>
      <c r="B1513" s="1" t="n">
        <v>44946.49570601852</v>
      </c>
      <c r="C1513" s="1" t="n">
        <v>45914</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22391-2024</t>
        </is>
      </c>
      <c r="B1514" s="1" t="n">
        <v>45446</v>
      </c>
      <c r="C1514" s="1" t="n">
        <v>45914</v>
      </c>
      <c r="D1514" t="inlineStr">
        <is>
          <t>SKÅNE LÄN</t>
        </is>
      </c>
      <c r="E1514" t="inlineStr">
        <is>
          <t>ÖRKELLJUNGA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61137-2021</t>
        </is>
      </c>
      <c r="B1515" s="1" t="n">
        <v>44497</v>
      </c>
      <c r="C1515" s="1" t="n">
        <v>45914</v>
      </c>
      <c r="D1515" t="inlineStr">
        <is>
          <t>SKÅNE LÄN</t>
        </is>
      </c>
      <c r="E1515" t="inlineStr">
        <is>
          <t>KRISTIANSTAD</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52176-2023</t>
        </is>
      </c>
      <c r="B1516" s="1" t="n">
        <v>45217</v>
      </c>
      <c r="C1516" s="1" t="n">
        <v>45914</v>
      </c>
      <c r="D1516" t="inlineStr">
        <is>
          <t>SKÅNE LÄN</t>
        </is>
      </c>
      <c r="E1516" t="inlineStr">
        <is>
          <t>KRISTIANSTAD</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8989-2024</t>
        </is>
      </c>
      <c r="B1517" s="1" t="n">
        <v>45356</v>
      </c>
      <c r="C1517" s="1" t="n">
        <v>45914</v>
      </c>
      <c r="D1517" t="inlineStr">
        <is>
          <t>SKÅNE LÄN</t>
        </is>
      </c>
      <c r="E1517" t="inlineStr">
        <is>
          <t>OSBY</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9002-2024</t>
        </is>
      </c>
      <c r="B1518" s="1" t="n">
        <v>45357</v>
      </c>
      <c r="C1518" s="1" t="n">
        <v>45914</v>
      </c>
      <c r="D1518" t="inlineStr">
        <is>
          <t>SKÅNE LÄN</t>
        </is>
      </c>
      <c r="E1518" t="inlineStr">
        <is>
          <t>KRISTIANSTAD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19010-2024</t>
        </is>
      </c>
      <c r="B1519" s="1" t="n">
        <v>45427.64561342593</v>
      </c>
      <c r="C1519" s="1" t="n">
        <v>45914</v>
      </c>
      <c r="D1519" t="inlineStr">
        <is>
          <t>SKÅNE LÄN</t>
        </is>
      </c>
      <c r="E1519" t="inlineStr">
        <is>
          <t>OSBY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25213-2023</t>
        </is>
      </c>
      <c r="B1520" s="1" t="n">
        <v>45086.60010416667</v>
      </c>
      <c r="C1520" s="1" t="n">
        <v>45914</v>
      </c>
      <c r="D1520" t="inlineStr">
        <is>
          <t>SKÅNE LÄN</t>
        </is>
      </c>
      <c r="E1520" t="inlineStr">
        <is>
          <t>HÄSSLEHOLM</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60920-2024</t>
        </is>
      </c>
      <c r="B1521" s="1" t="n">
        <v>45645.34442129629</v>
      </c>
      <c r="C1521" s="1" t="n">
        <v>45914</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19020-2024</t>
        </is>
      </c>
      <c r="B1522" s="1" t="n">
        <v>45427.66167824074</v>
      </c>
      <c r="C1522" s="1" t="n">
        <v>45914</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4822-2023</t>
        </is>
      </c>
      <c r="B1523" s="1" t="n">
        <v>44957</v>
      </c>
      <c r="C1523" s="1" t="n">
        <v>45914</v>
      </c>
      <c r="D1523" t="inlineStr">
        <is>
          <t>SKÅNE LÄN</t>
        </is>
      </c>
      <c r="E1523" t="inlineStr">
        <is>
          <t>BÅSTAD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30092-2025</t>
        </is>
      </c>
      <c r="B1524" s="1" t="n">
        <v>45826</v>
      </c>
      <c r="C1524" s="1" t="n">
        <v>45914</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52912-2022</t>
        </is>
      </c>
      <c r="B1525" s="1" t="n">
        <v>44872</v>
      </c>
      <c r="C1525" s="1" t="n">
        <v>45914</v>
      </c>
      <c r="D1525" t="inlineStr">
        <is>
          <t>SKÅNE LÄN</t>
        </is>
      </c>
      <c r="E1525" t="inlineStr">
        <is>
          <t>HÄSSLEHOLM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24640-2023</t>
        </is>
      </c>
      <c r="B1526" s="1" t="n">
        <v>45084.43181712963</v>
      </c>
      <c r="C1526" s="1" t="n">
        <v>45914</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22535-2024</t>
        </is>
      </c>
      <c r="B1527" s="1" t="n">
        <v>45447</v>
      </c>
      <c r="C1527" s="1" t="n">
        <v>45914</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51287-2022</t>
        </is>
      </c>
      <c r="B1528" s="1" t="n">
        <v>44868.83146990741</v>
      </c>
      <c r="C1528" s="1" t="n">
        <v>45914</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33254-2024</t>
        </is>
      </c>
      <c r="B1529" s="1" t="n">
        <v>45518</v>
      </c>
      <c r="C1529" s="1" t="n">
        <v>45914</v>
      </c>
      <c r="D1529" t="inlineStr">
        <is>
          <t>SKÅNE LÄN</t>
        </is>
      </c>
      <c r="E1529" t="inlineStr">
        <is>
          <t>OSBY</t>
        </is>
      </c>
      <c r="F1529" t="inlineStr">
        <is>
          <t>Naturvårdsverket</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33359-2023</t>
        </is>
      </c>
      <c r="B1530" s="1" t="n">
        <v>45128</v>
      </c>
      <c r="C1530" s="1" t="n">
        <v>45914</v>
      </c>
      <c r="D1530" t="inlineStr">
        <is>
          <t>SKÅNE LÄN</t>
        </is>
      </c>
      <c r="E1530" t="inlineStr">
        <is>
          <t>HÖRBY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1703-2025</t>
        </is>
      </c>
      <c r="B1531" s="1" t="n">
        <v>45670.80732638889</v>
      </c>
      <c r="C1531" s="1" t="n">
        <v>45914</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74033-2021</t>
        </is>
      </c>
      <c r="B1532" s="1" t="n">
        <v>44557.46721064814</v>
      </c>
      <c r="C1532" s="1" t="n">
        <v>45914</v>
      </c>
      <c r="D1532" t="inlineStr">
        <is>
          <t>SKÅNE LÄN</t>
        </is>
      </c>
      <c r="E1532" t="inlineStr">
        <is>
          <t>OSBY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74050-2021</t>
        </is>
      </c>
      <c r="B1533" s="1" t="n">
        <v>44557.49318287037</v>
      </c>
      <c r="C1533" s="1" t="n">
        <v>45914</v>
      </c>
      <c r="D1533" t="inlineStr">
        <is>
          <t>SKÅNE LÄN</t>
        </is>
      </c>
      <c r="E1533" t="inlineStr">
        <is>
          <t>OSBY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74094-2021</t>
        </is>
      </c>
      <c r="B1534" s="1" t="n">
        <v>44557.62873842593</v>
      </c>
      <c r="C1534" s="1" t="n">
        <v>45914</v>
      </c>
      <c r="D1534" t="inlineStr">
        <is>
          <t>SKÅNE LÄN</t>
        </is>
      </c>
      <c r="E1534" t="inlineStr">
        <is>
          <t>ÖSTRA GÖINGE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39650-2023</t>
        </is>
      </c>
      <c r="B1535" s="1" t="n">
        <v>45167.55505787037</v>
      </c>
      <c r="C1535" s="1" t="n">
        <v>45914</v>
      </c>
      <c r="D1535" t="inlineStr">
        <is>
          <t>SKÅNE LÄN</t>
        </is>
      </c>
      <c r="E1535" t="inlineStr">
        <is>
          <t>ÖRKELLJUNGA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28332-2024</t>
        </is>
      </c>
      <c r="B1536" s="1" t="n">
        <v>45477</v>
      </c>
      <c r="C1536" s="1" t="n">
        <v>45914</v>
      </c>
      <c r="D1536" t="inlineStr">
        <is>
          <t>SKÅNE LÄN</t>
        </is>
      </c>
      <c r="E1536" t="inlineStr">
        <is>
          <t>HÖÖR</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22256-2022</t>
        </is>
      </c>
      <c r="B1537" s="1" t="n">
        <v>44712</v>
      </c>
      <c r="C1537" s="1" t="n">
        <v>45914</v>
      </c>
      <c r="D1537" t="inlineStr">
        <is>
          <t>SKÅNE LÄN</t>
        </is>
      </c>
      <c r="E1537" t="inlineStr">
        <is>
          <t>BJUV</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30007-2023</t>
        </is>
      </c>
      <c r="B1538" s="1" t="n">
        <v>45109.80349537037</v>
      </c>
      <c r="C1538" s="1" t="n">
        <v>45914</v>
      </c>
      <c r="D1538" t="inlineStr">
        <is>
          <t>SKÅNE LÄN</t>
        </is>
      </c>
      <c r="E1538" t="inlineStr">
        <is>
          <t>HÄSSLEHOLM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28352-2024</t>
        </is>
      </c>
      <c r="B1539" s="1" t="n">
        <v>45477</v>
      </c>
      <c r="C1539" s="1" t="n">
        <v>45914</v>
      </c>
      <c r="D1539" t="inlineStr">
        <is>
          <t>SKÅNE LÄN</t>
        </is>
      </c>
      <c r="E1539" t="inlineStr">
        <is>
          <t>HÖÖR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50356-2023</t>
        </is>
      </c>
      <c r="B1540" s="1" t="n">
        <v>45209</v>
      </c>
      <c r="C1540" s="1" t="n">
        <v>45914</v>
      </c>
      <c r="D1540" t="inlineStr">
        <is>
          <t>SKÅNE LÄN</t>
        </is>
      </c>
      <c r="E1540" t="inlineStr">
        <is>
          <t>ÖSTRA GÖINGE</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22024-2025</t>
        </is>
      </c>
      <c r="B1541" s="1" t="n">
        <v>45784.85322916666</v>
      </c>
      <c r="C1541" s="1" t="n">
        <v>45914</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7211-2025</t>
        </is>
      </c>
      <c r="B1542" s="1" t="n">
        <v>45702.47258101852</v>
      </c>
      <c r="C1542" s="1" t="n">
        <v>45914</v>
      </c>
      <c r="D1542" t="inlineStr">
        <is>
          <t>SKÅNE LÄN</t>
        </is>
      </c>
      <c r="E1542" t="inlineStr">
        <is>
          <t>OSBY</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37983-2024</t>
        </is>
      </c>
      <c r="B1543" s="1" t="n">
        <v>45544</v>
      </c>
      <c r="C1543" s="1" t="n">
        <v>45914</v>
      </c>
      <c r="D1543" t="inlineStr">
        <is>
          <t>SKÅNE LÄN</t>
        </is>
      </c>
      <c r="E1543" t="inlineStr">
        <is>
          <t>KRISTIANSTAD</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1289-2024</t>
        </is>
      </c>
      <c r="B1544" s="1" t="n">
        <v>45303.32234953704</v>
      </c>
      <c r="C1544" s="1" t="n">
        <v>45914</v>
      </c>
      <c r="D1544" t="inlineStr">
        <is>
          <t>SKÅNE LÄN</t>
        </is>
      </c>
      <c r="E1544" t="inlineStr">
        <is>
          <t>HÄSSLEHOLM</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62144-2023</t>
        </is>
      </c>
      <c r="B1545" s="1" t="n">
        <v>45267.37601851852</v>
      </c>
      <c r="C1545" s="1" t="n">
        <v>45914</v>
      </c>
      <c r="D1545" t="inlineStr">
        <is>
          <t>SKÅNE LÄN</t>
        </is>
      </c>
      <c r="E1545" t="inlineStr">
        <is>
          <t>ÖSTRA GÖINGE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29274-2023</t>
        </is>
      </c>
      <c r="B1546" s="1" t="n">
        <v>45105</v>
      </c>
      <c r="C1546" s="1" t="n">
        <v>45914</v>
      </c>
      <c r="D1546" t="inlineStr">
        <is>
          <t>SKÅNE LÄN</t>
        </is>
      </c>
      <c r="E1546" t="inlineStr">
        <is>
          <t>HÄSSLEHOLM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54095-2022</t>
        </is>
      </c>
      <c r="B1547" s="1" t="n">
        <v>44879</v>
      </c>
      <c r="C1547" s="1" t="n">
        <v>45914</v>
      </c>
      <c r="D1547" t="inlineStr">
        <is>
          <t>SKÅNE LÄN</t>
        </is>
      </c>
      <c r="E1547" t="inlineStr">
        <is>
          <t>PERSTORP</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30292-2021</t>
        </is>
      </c>
      <c r="B1548" s="1" t="n">
        <v>44364.33482638889</v>
      </c>
      <c r="C1548" s="1" t="n">
        <v>45914</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34890-2023</t>
        </is>
      </c>
      <c r="B1549" s="1" t="n">
        <v>45142.39475694444</v>
      </c>
      <c r="C1549" s="1" t="n">
        <v>45914</v>
      </c>
      <c r="D1549" t="inlineStr">
        <is>
          <t>SKÅNE LÄN</t>
        </is>
      </c>
      <c r="E1549" t="inlineStr">
        <is>
          <t>HÄSSLEHOLM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3886-2024</t>
        </is>
      </c>
      <c r="B1550" s="1" t="n">
        <v>45322.44539351852</v>
      </c>
      <c r="C1550" s="1" t="n">
        <v>45914</v>
      </c>
      <c r="D1550" t="inlineStr">
        <is>
          <t>SKÅNE LÄN</t>
        </is>
      </c>
      <c r="E1550" t="inlineStr">
        <is>
          <t>HÄSSLEHOLM</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11701-2023</t>
        </is>
      </c>
      <c r="B1551" s="1" t="n">
        <v>44992</v>
      </c>
      <c r="C1551" s="1" t="n">
        <v>45914</v>
      </c>
      <c r="D1551" t="inlineStr">
        <is>
          <t>SKÅNE LÄN</t>
        </is>
      </c>
      <c r="E1551" t="inlineStr">
        <is>
          <t>PERSTORP</t>
        </is>
      </c>
      <c r="F1551" t="inlineStr">
        <is>
          <t>Övriga Aktiebolag</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22272-2024</t>
        </is>
      </c>
      <c r="B1552" s="1" t="n">
        <v>45446</v>
      </c>
      <c r="C1552" s="1" t="n">
        <v>45914</v>
      </c>
      <c r="D1552" t="inlineStr">
        <is>
          <t>SKÅNE LÄN</t>
        </is>
      </c>
      <c r="E1552" t="inlineStr">
        <is>
          <t>KRISTIANSTAD</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73544-2021</t>
        </is>
      </c>
      <c r="B1553" s="1" t="n">
        <v>44551</v>
      </c>
      <c r="C1553" s="1" t="n">
        <v>45914</v>
      </c>
      <c r="D1553" t="inlineStr">
        <is>
          <t>SKÅNE LÄN</t>
        </is>
      </c>
      <c r="E1553" t="inlineStr">
        <is>
          <t>HÖÖR</t>
        </is>
      </c>
      <c r="F1553" t="inlineStr">
        <is>
          <t>Övriga statliga verk och myndigheter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55961-2023</t>
        </is>
      </c>
      <c r="B1554" s="1" t="n">
        <v>45233</v>
      </c>
      <c r="C1554" s="1" t="n">
        <v>45914</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17270-2024</t>
        </is>
      </c>
      <c r="B1555" s="1" t="n">
        <v>45414.43387731481</v>
      </c>
      <c r="C1555" s="1" t="n">
        <v>45914</v>
      </c>
      <c r="D1555" t="inlineStr">
        <is>
          <t>SKÅNE LÄN</t>
        </is>
      </c>
      <c r="E1555" t="inlineStr">
        <is>
          <t>KRISTIANSTAD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35948-2024</t>
        </is>
      </c>
      <c r="B1556" s="1" t="n">
        <v>45533</v>
      </c>
      <c r="C1556" s="1" t="n">
        <v>45914</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61932-2023</t>
        </is>
      </c>
      <c r="B1557" s="1" t="n">
        <v>45266.53761574074</v>
      </c>
      <c r="C1557" s="1" t="n">
        <v>45914</v>
      </c>
      <c r="D1557" t="inlineStr">
        <is>
          <t>SKÅNE LÄN</t>
        </is>
      </c>
      <c r="E1557" t="inlineStr">
        <is>
          <t>HÄSSLEHOLM</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13149-2024</t>
        </is>
      </c>
      <c r="B1558" s="1" t="n">
        <v>45386</v>
      </c>
      <c r="C1558" s="1" t="n">
        <v>45914</v>
      </c>
      <c r="D1558" t="inlineStr">
        <is>
          <t>SKÅNE LÄN</t>
        </is>
      </c>
      <c r="E1558" t="inlineStr">
        <is>
          <t>HÄSSLEHOLM</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11715-2023</t>
        </is>
      </c>
      <c r="B1559" s="1" t="n">
        <v>44992</v>
      </c>
      <c r="C1559" s="1" t="n">
        <v>45914</v>
      </c>
      <c r="D1559" t="inlineStr">
        <is>
          <t>SKÅNE LÄN</t>
        </is>
      </c>
      <c r="E1559" t="inlineStr">
        <is>
          <t>HÄSSLEHOLM</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24934-2024</t>
        </is>
      </c>
      <c r="B1560" s="1" t="n">
        <v>45461.61667824074</v>
      </c>
      <c r="C1560" s="1" t="n">
        <v>45914</v>
      </c>
      <c r="D1560" t="inlineStr">
        <is>
          <t>SKÅNE LÄN</t>
        </is>
      </c>
      <c r="E1560" t="inlineStr">
        <is>
          <t>TOMELILLA</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65018-2023</t>
        </is>
      </c>
      <c r="B1561" s="1" t="n">
        <v>45287</v>
      </c>
      <c r="C1561" s="1" t="n">
        <v>45914</v>
      </c>
      <c r="D1561" t="inlineStr">
        <is>
          <t>SKÅNE LÄN</t>
        </is>
      </c>
      <c r="E1561" t="inlineStr">
        <is>
          <t>KÄVLINGE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43469-2024</t>
        </is>
      </c>
      <c r="B1562" s="1" t="n">
        <v>45568.72523148148</v>
      </c>
      <c r="C1562" s="1" t="n">
        <v>45914</v>
      </c>
      <c r="D1562" t="inlineStr">
        <is>
          <t>SKÅNE LÄN</t>
        </is>
      </c>
      <c r="E1562" t="inlineStr">
        <is>
          <t>HÖÖR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25606-2024</t>
        </is>
      </c>
      <c r="B1563" s="1" t="n">
        <v>45463.63179398148</v>
      </c>
      <c r="C1563" s="1" t="n">
        <v>45914</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36921-2024</t>
        </is>
      </c>
      <c r="B1564" s="1" t="n">
        <v>45538.65402777777</v>
      </c>
      <c r="C1564" s="1" t="n">
        <v>45914</v>
      </c>
      <c r="D1564" t="inlineStr">
        <is>
          <t>SKÅNE LÄN</t>
        </is>
      </c>
      <c r="E1564" t="inlineStr">
        <is>
          <t>ÖSTRA GÖINGE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5523-2022</t>
        </is>
      </c>
      <c r="B1565" s="1" t="n">
        <v>44593</v>
      </c>
      <c r="C1565" s="1" t="n">
        <v>45914</v>
      </c>
      <c r="D1565" t="inlineStr">
        <is>
          <t>SKÅNE LÄN</t>
        </is>
      </c>
      <c r="E1565" t="inlineStr">
        <is>
          <t>KLIPPAN</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24865-2024</t>
        </is>
      </c>
      <c r="B1566" s="1" t="n">
        <v>45461.48974537037</v>
      </c>
      <c r="C1566" s="1" t="n">
        <v>45914</v>
      </c>
      <c r="D1566" t="inlineStr">
        <is>
          <t>SKÅNE LÄN</t>
        </is>
      </c>
      <c r="E1566" t="inlineStr">
        <is>
          <t>HÄSSLEHOLM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24927-2024</t>
        </is>
      </c>
      <c r="B1567" s="1" t="n">
        <v>45461.61268518519</v>
      </c>
      <c r="C1567" s="1" t="n">
        <v>45914</v>
      </c>
      <c r="D1567" t="inlineStr">
        <is>
          <t>SKÅNE LÄN</t>
        </is>
      </c>
      <c r="E1567" t="inlineStr">
        <is>
          <t>KRISTIANSTAD</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61875-2023</t>
        </is>
      </c>
      <c r="B1568" s="1" t="n">
        <v>45265</v>
      </c>
      <c r="C1568" s="1" t="n">
        <v>45914</v>
      </c>
      <c r="D1568" t="inlineStr">
        <is>
          <t>SKÅNE LÄN</t>
        </is>
      </c>
      <c r="E1568" t="inlineStr">
        <is>
          <t>SJÖBO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64469-2021</t>
        </is>
      </c>
      <c r="B1569" s="1" t="n">
        <v>44511</v>
      </c>
      <c r="C1569" s="1" t="n">
        <v>45914</v>
      </c>
      <c r="D1569" t="inlineStr">
        <is>
          <t>SKÅNE LÄN</t>
        </is>
      </c>
      <c r="E1569" t="inlineStr">
        <is>
          <t>OSBY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33486-2022</t>
        </is>
      </c>
      <c r="B1570" s="1" t="n">
        <v>44788</v>
      </c>
      <c r="C1570" s="1" t="n">
        <v>45914</v>
      </c>
      <c r="D1570" t="inlineStr">
        <is>
          <t>SKÅNE LÄN</t>
        </is>
      </c>
      <c r="E1570" t="inlineStr">
        <is>
          <t>OSBY</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40661-2022</t>
        </is>
      </c>
      <c r="B1571" s="1" t="n">
        <v>44824.37194444444</v>
      </c>
      <c r="C1571" s="1" t="n">
        <v>45914</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32701-2023</t>
        </is>
      </c>
      <c r="B1572" s="1" t="n">
        <v>45121.80873842593</v>
      </c>
      <c r="C1572" s="1" t="n">
        <v>45914</v>
      </c>
      <c r="D1572" t="inlineStr">
        <is>
          <t>SKÅNE LÄN</t>
        </is>
      </c>
      <c r="E1572" t="inlineStr">
        <is>
          <t>KRISTIANSTAD</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11037-2024</t>
        </is>
      </c>
      <c r="B1573" s="1" t="n">
        <v>45370</v>
      </c>
      <c r="C1573" s="1" t="n">
        <v>45914</v>
      </c>
      <c r="D1573" t="inlineStr">
        <is>
          <t>SKÅNE LÄN</t>
        </is>
      </c>
      <c r="E1573" t="inlineStr">
        <is>
          <t>KRISTIANSTAD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1538-2024</t>
        </is>
      </c>
      <c r="B1574" s="1" t="n">
        <v>45306</v>
      </c>
      <c r="C1574" s="1" t="n">
        <v>45914</v>
      </c>
      <c r="D1574" t="inlineStr">
        <is>
          <t>SKÅNE LÄN</t>
        </is>
      </c>
      <c r="E1574" t="inlineStr">
        <is>
          <t>HÄSSLEHOLM</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5869-2023</t>
        </is>
      </c>
      <c r="B1575" s="1" t="n">
        <v>44958</v>
      </c>
      <c r="C1575" s="1" t="n">
        <v>45914</v>
      </c>
      <c r="D1575" t="inlineStr">
        <is>
          <t>SKÅNE LÄN</t>
        </is>
      </c>
      <c r="E1575" t="inlineStr">
        <is>
          <t>ESLÖV</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64626-2023</t>
        </is>
      </c>
      <c r="B1576" s="1" t="n">
        <v>45281</v>
      </c>
      <c r="C1576" s="1" t="n">
        <v>45914</v>
      </c>
      <c r="D1576" t="inlineStr">
        <is>
          <t>SKÅNE LÄN</t>
        </is>
      </c>
      <c r="E1576" t="inlineStr">
        <is>
          <t>KRISTIANSTAD</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53466-2024</t>
        </is>
      </c>
      <c r="B1577" s="1" t="n">
        <v>45614.55304398148</v>
      </c>
      <c r="C1577" s="1" t="n">
        <v>45914</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6886-2024</t>
        </is>
      </c>
      <c r="B1578" s="1" t="n">
        <v>45342</v>
      </c>
      <c r="C1578" s="1" t="n">
        <v>45914</v>
      </c>
      <c r="D1578" t="inlineStr">
        <is>
          <t>SKÅNE LÄN</t>
        </is>
      </c>
      <c r="E1578" t="inlineStr">
        <is>
          <t>HÖRBY</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6941-2024</t>
        </is>
      </c>
      <c r="B1579" s="1" t="n">
        <v>45343.41258101852</v>
      </c>
      <c r="C1579" s="1" t="n">
        <v>45914</v>
      </c>
      <c r="D1579" t="inlineStr">
        <is>
          <t>SKÅNE LÄN</t>
        </is>
      </c>
      <c r="E1579" t="inlineStr">
        <is>
          <t>HÖÖR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6944-2024</t>
        </is>
      </c>
      <c r="B1580" s="1" t="n">
        <v>45343.42164351852</v>
      </c>
      <c r="C1580" s="1" t="n">
        <v>45914</v>
      </c>
      <c r="D1580" t="inlineStr">
        <is>
          <t>SKÅNE LÄN</t>
        </is>
      </c>
      <c r="E1580" t="inlineStr">
        <is>
          <t>HÖÖR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25533-2024</t>
        </is>
      </c>
      <c r="B1581" s="1" t="n">
        <v>45463</v>
      </c>
      <c r="C1581" s="1" t="n">
        <v>45914</v>
      </c>
      <c r="D1581" t="inlineStr">
        <is>
          <t>SKÅNE LÄN</t>
        </is>
      </c>
      <c r="E1581" t="inlineStr">
        <is>
          <t>HÄSSLEHOLM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10673-2025</t>
        </is>
      </c>
      <c r="B1582" s="1" t="n">
        <v>45721.84422453704</v>
      </c>
      <c r="C1582" s="1" t="n">
        <v>45914</v>
      </c>
      <c r="D1582" t="inlineStr">
        <is>
          <t>SKÅNE LÄN</t>
        </is>
      </c>
      <c r="E1582" t="inlineStr">
        <is>
          <t>OSBY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2548-2024</t>
        </is>
      </c>
      <c r="B1583" s="1" t="n">
        <v>45313</v>
      </c>
      <c r="C1583" s="1" t="n">
        <v>45914</v>
      </c>
      <c r="D1583" t="inlineStr">
        <is>
          <t>SKÅNE LÄN</t>
        </is>
      </c>
      <c r="E1583" t="inlineStr">
        <is>
          <t>TOMELILLA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62425-2023</t>
        </is>
      </c>
      <c r="B1584" s="1" t="n">
        <v>45268.41516203704</v>
      </c>
      <c r="C1584" s="1" t="n">
        <v>45914</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72100-2021</t>
        </is>
      </c>
      <c r="B1585" s="1" t="n">
        <v>44544.54547453704</v>
      </c>
      <c r="C1585" s="1" t="n">
        <v>45914</v>
      </c>
      <c r="D1585" t="inlineStr">
        <is>
          <t>SKÅNE LÄN</t>
        </is>
      </c>
      <c r="E1585" t="inlineStr">
        <is>
          <t>KRISTIANSTAD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17907-2024</t>
        </is>
      </c>
      <c r="B1586" s="1" t="n">
        <v>45419.50770833333</v>
      </c>
      <c r="C1586" s="1" t="n">
        <v>45914</v>
      </c>
      <c r="D1586" t="inlineStr">
        <is>
          <t>SKÅNE LÄN</t>
        </is>
      </c>
      <c r="E1586" t="inlineStr">
        <is>
          <t>TOMELILLA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58130-2022</t>
        </is>
      </c>
      <c r="B1587" s="1" t="n">
        <v>44900</v>
      </c>
      <c r="C1587" s="1" t="n">
        <v>45914</v>
      </c>
      <c r="D1587" t="inlineStr">
        <is>
          <t>SKÅNE LÄN</t>
        </is>
      </c>
      <c r="E1587" t="inlineStr">
        <is>
          <t>ÖRKELLJUNGA</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41322-2021</t>
        </is>
      </c>
      <c r="B1588" s="1" t="n">
        <v>44424</v>
      </c>
      <c r="C1588" s="1" t="n">
        <v>45914</v>
      </c>
      <c r="D1588" t="inlineStr">
        <is>
          <t>SKÅNE LÄN</t>
        </is>
      </c>
      <c r="E1588" t="inlineStr">
        <is>
          <t>OSBY</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13522-2024</t>
        </is>
      </c>
      <c r="B1589" s="1" t="n">
        <v>45387</v>
      </c>
      <c r="C1589" s="1" t="n">
        <v>45914</v>
      </c>
      <c r="D1589" t="inlineStr">
        <is>
          <t>SKÅNE LÄN</t>
        </is>
      </c>
      <c r="E1589" t="inlineStr">
        <is>
          <t>KRISTIANSTAD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10230-2025</t>
        </is>
      </c>
      <c r="B1590" s="1" t="n">
        <v>45720</v>
      </c>
      <c r="C1590" s="1" t="n">
        <v>45914</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30109-2025</t>
        </is>
      </c>
      <c r="B1591" s="1" t="n">
        <v>45826</v>
      </c>
      <c r="C1591" s="1" t="n">
        <v>45914</v>
      </c>
      <c r="D1591" t="inlineStr">
        <is>
          <t>SKÅNE LÄN</t>
        </is>
      </c>
      <c r="E1591" t="inlineStr">
        <is>
          <t>HÄSSLEHOLM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53956-2023</t>
        </is>
      </c>
      <c r="B1592" s="1" t="n">
        <v>45231</v>
      </c>
      <c r="C1592" s="1" t="n">
        <v>45914</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31934-2024</t>
        </is>
      </c>
      <c r="B1593" s="1" t="n">
        <v>45510.41177083334</v>
      </c>
      <c r="C1593" s="1" t="n">
        <v>45914</v>
      </c>
      <c r="D1593" t="inlineStr">
        <is>
          <t>SKÅNE LÄN</t>
        </is>
      </c>
      <c r="E1593" t="inlineStr">
        <is>
          <t>HÄSSLEHOLM</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33927-2021</t>
        </is>
      </c>
      <c r="B1594" s="1" t="n">
        <v>44378</v>
      </c>
      <c r="C1594" s="1" t="n">
        <v>45914</v>
      </c>
      <c r="D1594" t="inlineStr">
        <is>
          <t>SKÅNE LÄN</t>
        </is>
      </c>
      <c r="E1594" t="inlineStr">
        <is>
          <t>HÄSSLEHOLM</t>
        </is>
      </c>
      <c r="G1594" t="n">
        <v>16.7</v>
      </c>
      <c r="H1594" t="n">
        <v>0</v>
      </c>
      <c r="I1594" t="n">
        <v>0</v>
      </c>
      <c r="J1594" t="n">
        <v>0</v>
      </c>
      <c r="K1594" t="n">
        <v>0</v>
      </c>
      <c r="L1594" t="n">
        <v>0</v>
      </c>
      <c r="M1594" t="n">
        <v>0</v>
      </c>
      <c r="N1594" t="n">
        <v>0</v>
      </c>
      <c r="O1594" t="n">
        <v>0</v>
      </c>
      <c r="P1594" t="n">
        <v>0</v>
      </c>
      <c r="Q1594" t="n">
        <v>0</v>
      </c>
      <c r="R1594" s="2" t="inlineStr"/>
    </row>
    <row r="1595" ht="15" customHeight="1">
      <c r="A1595" t="inlineStr">
        <is>
          <t>A 33985-2021</t>
        </is>
      </c>
      <c r="B1595" s="1" t="n">
        <v>44378</v>
      </c>
      <c r="C1595" s="1" t="n">
        <v>45914</v>
      </c>
      <c r="D1595" t="inlineStr">
        <is>
          <t>SKÅNE LÄN</t>
        </is>
      </c>
      <c r="E1595" t="inlineStr">
        <is>
          <t>LUND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29847-2024</t>
        </is>
      </c>
      <c r="B1596" s="1" t="n">
        <v>45485.6278587963</v>
      </c>
      <c r="C1596" s="1" t="n">
        <v>45914</v>
      </c>
      <c r="D1596" t="inlineStr">
        <is>
          <t>SKÅNE LÄN</t>
        </is>
      </c>
      <c r="E1596" t="inlineStr">
        <is>
          <t>HÄSSLEHOLM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14471-2024</t>
        </is>
      </c>
      <c r="B1597" s="1" t="n">
        <v>45394</v>
      </c>
      <c r="C1597" s="1" t="n">
        <v>45914</v>
      </c>
      <c r="D1597" t="inlineStr">
        <is>
          <t>SKÅNE LÄN</t>
        </is>
      </c>
      <c r="E1597" t="inlineStr">
        <is>
          <t>KRISTIANSTAD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68592-2021</t>
        </is>
      </c>
      <c r="B1598" s="1" t="n">
        <v>44529.54512731481</v>
      </c>
      <c r="C1598" s="1" t="n">
        <v>45914</v>
      </c>
      <c r="D1598" t="inlineStr">
        <is>
          <t>SKÅNE LÄN</t>
        </is>
      </c>
      <c r="E1598" t="inlineStr">
        <is>
          <t>OSBY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25057-2024</t>
        </is>
      </c>
      <c r="B1599" s="1" t="n">
        <v>45462</v>
      </c>
      <c r="C1599" s="1" t="n">
        <v>45914</v>
      </c>
      <c r="D1599" t="inlineStr">
        <is>
          <t>SKÅNE LÄN</t>
        </is>
      </c>
      <c r="E1599" t="inlineStr">
        <is>
          <t>HÄSSLEHOLM</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7584-2024</t>
        </is>
      </c>
      <c r="B1600" s="1" t="n">
        <v>45348</v>
      </c>
      <c r="C1600" s="1" t="n">
        <v>45914</v>
      </c>
      <c r="D1600" t="inlineStr">
        <is>
          <t>SKÅNE LÄN</t>
        </is>
      </c>
      <c r="E1600" t="inlineStr">
        <is>
          <t>SIMRISHAMN</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19149-2024</t>
        </is>
      </c>
      <c r="B1601" s="1" t="n">
        <v>45428.43583333334</v>
      </c>
      <c r="C1601" s="1" t="n">
        <v>45914</v>
      </c>
      <c r="D1601" t="inlineStr">
        <is>
          <t>SKÅNE LÄN</t>
        </is>
      </c>
      <c r="E1601" t="inlineStr">
        <is>
          <t>ÖSTRA GÖINGE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7994-2023</t>
        </is>
      </c>
      <c r="B1602" s="1" t="n">
        <v>44973.77732638889</v>
      </c>
      <c r="C1602" s="1" t="n">
        <v>45914</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7653-2024</t>
        </is>
      </c>
      <c r="B1603" s="1" t="n">
        <v>45348.69043981482</v>
      </c>
      <c r="C1603" s="1" t="n">
        <v>45914</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35692-2024</t>
        </is>
      </c>
      <c r="B1604" s="1" t="n">
        <v>45532</v>
      </c>
      <c r="C1604" s="1" t="n">
        <v>45914</v>
      </c>
      <c r="D1604" t="inlineStr">
        <is>
          <t>SKÅNE LÄN</t>
        </is>
      </c>
      <c r="E1604" t="inlineStr">
        <is>
          <t>SIMRISHAMN</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52740-2024</t>
        </is>
      </c>
      <c r="B1605" s="1" t="n">
        <v>45610</v>
      </c>
      <c r="C1605" s="1" t="n">
        <v>45914</v>
      </c>
      <c r="D1605" t="inlineStr">
        <is>
          <t>SKÅNE LÄN</t>
        </is>
      </c>
      <c r="E1605" t="inlineStr">
        <is>
          <t>PERSTORP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57807-2020</t>
        </is>
      </c>
      <c r="B1606" s="1" t="n">
        <v>44141</v>
      </c>
      <c r="C1606" s="1" t="n">
        <v>45914</v>
      </c>
      <c r="D1606" t="inlineStr">
        <is>
          <t>SKÅNE LÄN</t>
        </is>
      </c>
      <c r="E1606" t="inlineStr">
        <is>
          <t>HÄSSLEHOLM</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27486-2024</t>
        </is>
      </c>
      <c r="B1607" s="1" t="n">
        <v>45474.48015046296</v>
      </c>
      <c r="C1607" s="1" t="n">
        <v>45914</v>
      </c>
      <c r="D1607" t="inlineStr">
        <is>
          <t>SKÅNE LÄN</t>
        </is>
      </c>
      <c r="E1607" t="inlineStr">
        <is>
          <t>ÖRKELLJUNGA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58175-2021</t>
        </is>
      </c>
      <c r="B1608" s="1" t="n">
        <v>44487</v>
      </c>
      <c r="C1608" s="1" t="n">
        <v>45914</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25958-2023</t>
        </is>
      </c>
      <c r="B1609" s="1" t="n">
        <v>45090</v>
      </c>
      <c r="C1609" s="1" t="n">
        <v>45914</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10028-2024</t>
        </is>
      </c>
      <c r="B1610" s="1" t="n">
        <v>45363.97292824074</v>
      </c>
      <c r="C1610" s="1" t="n">
        <v>45914</v>
      </c>
      <c r="D1610" t="inlineStr">
        <is>
          <t>SKÅNE LÄN</t>
        </is>
      </c>
      <c r="E1610" t="inlineStr">
        <is>
          <t>HÄSSLEHOLM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54869-2023</t>
        </is>
      </c>
      <c r="B1611" s="1" t="n">
        <v>45229</v>
      </c>
      <c r="C1611" s="1" t="n">
        <v>45914</v>
      </c>
      <c r="D1611" t="inlineStr">
        <is>
          <t>SKÅNE LÄN</t>
        </is>
      </c>
      <c r="E1611" t="inlineStr">
        <is>
          <t>ÖSTRA GÖINGE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19735-2023</t>
        </is>
      </c>
      <c r="B1612" s="1" t="n">
        <v>45051.52199074074</v>
      </c>
      <c r="C1612" s="1" t="n">
        <v>45914</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54894-2023</t>
        </is>
      </c>
      <c r="B1613" s="1" t="n">
        <v>45236.63965277778</v>
      </c>
      <c r="C1613" s="1" t="n">
        <v>45914</v>
      </c>
      <c r="D1613" t="inlineStr">
        <is>
          <t>SKÅNE LÄN</t>
        </is>
      </c>
      <c r="E1613" t="inlineStr">
        <is>
          <t>HÖRBY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48797-2023</t>
        </is>
      </c>
      <c r="B1614" s="1" t="n">
        <v>45209.24986111111</v>
      </c>
      <c r="C1614" s="1" t="n">
        <v>45914</v>
      </c>
      <c r="D1614" t="inlineStr">
        <is>
          <t>SKÅNE LÄN</t>
        </is>
      </c>
      <c r="E1614" t="inlineStr">
        <is>
          <t>HÄSSLEHOLM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32705-2023</t>
        </is>
      </c>
      <c r="B1615" s="1" t="n">
        <v>45121</v>
      </c>
      <c r="C1615" s="1" t="n">
        <v>45914</v>
      </c>
      <c r="D1615" t="inlineStr">
        <is>
          <t>SKÅNE LÄN</t>
        </is>
      </c>
      <c r="E1615" t="inlineStr">
        <is>
          <t>KRISTIANSTAD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35022-2023</t>
        </is>
      </c>
      <c r="B1616" s="1" t="n">
        <v>45144</v>
      </c>
      <c r="C1616" s="1" t="n">
        <v>45914</v>
      </c>
      <c r="D1616" t="inlineStr">
        <is>
          <t>SKÅNE LÄN</t>
        </is>
      </c>
      <c r="E1616" t="inlineStr">
        <is>
          <t>KRISTIANSTAD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35023-2023</t>
        </is>
      </c>
      <c r="B1617" s="1" t="n">
        <v>45144</v>
      </c>
      <c r="C1617" s="1" t="n">
        <v>45914</v>
      </c>
      <c r="D1617" t="inlineStr">
        <is>
          <t>SKÅNE LÄN</t>
        </is>
      </c>
      <c r="E1617" t="inlineStr">
        <is>
          <t>KRISTIANSTAD</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18214-2023</t>
        </is>
      </c>
      <c r="B1618" s="1" t="n">
        <v>45040</v>
      </c>
      <c r="C1618" s="1" t="n">
        <v>45914</v>
      </c>
      <c r="D1618" t="inlineStr">
        <is>
          <t>SKÅNE LÄN</t>
        </is>
      </c>
      <c r="E1618" t="inlineStr">
        <is>
          <t>KLIPPAN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4493-2024</t>
        </is>
      </c>
      <c r="B1619" s="1" t="n">
        <v>45327</v>
      </c>
      <c r="C1619" s="1" t="n">
        <v>45914</v>
      </c>
      <c r="D1619" t="inlineStr">
        <is>
          <t>SKÅNE LÄN</t>
        </is>
      </c>
      <c r="E1619" t="inlineStr">
        <is>
          <t>BÅSTAD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5532-2025</t>
        </is>
      </c>
      <c r="B1620" s="1" t="n">
        <v>45693</v>
      </c>
      <c r="C1620" s="1" t="n">
        <v>45914</v>
      </c>
      <c r="D1620" t="inlineStr">
        <is>
          <t>SKÅNE LÄN</t>
        </is>
      </c>
      <c r="E1620" t="inlineStr">
        <is>
          <t>HÄSSLEHOLM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7746-2024</t>
        </is>
      </c>
      <c r="B1621" s="1" t="n">
        <v>45349</v>
      </c>
      <c r="C1621" s="1" t="n">
        <v>45914</v>
      </c>
      <c r="D1621" t="inlineStr">
        <is>
          <t>SKÅNE LÄN</t>
        </is>
      </c>
      <c r="E1621" t="inlineStr">
        <is>
          <t>KLIPPAN</t>
        </is>
      </c>
      <c r="F1621" t="inlineStr">
        <is>
          <t>Övriga Aktiebolag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2950-2023</t>
        </is>
      </c>
      <c r="B1622" s="1" t="n">
        <v>44945.62488425926</v>
      </c>
      <c r="C1622" s="1" t="n">
        <v>45914</v>
      </c>
      <c r="D1622" t="inlineStr">
        <is>
          <t>SKÅNE LÄN</t>
        </is>
      </c>
      <c r="E1622" t="inlineStr">
        <is>
          <t>PERSTORP</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6451-2024</t>
        </is>
      </c>
      <c r="B1623" s="1" t="n">
        <v>45338</v>
      </c>
      <c r="C1623" s="1" t="n">
        <v>45914</v>
      </c>
      <c r="D1623" t="inlineStr">
        <is>
          <t>SKÅNE LÄN</t>
        </is>
      </c>
      <c r="E1623" t="inlineStr">
        <is>
          <t>KRISTIANSTAD</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55662-2022</t>
        </is>
      </c>
      <c r="B1624" s="1" t="n">
        <v>44883</v>
      </c>
      <c r="C1624" s="1" t="n">
        <v>45914</v>
      </c>
      <c r="D1624" t="inlineStr">
        <is>
          <t>SKÅNE LÄN</t>
        </is>
      </c>
      <c r="E1624" t="inlineStr">
        <is>
          <t>HÄSSLEHOLM</t>
        </is>
      </c>
      <c r="F1624" t="inlineStr">
        <is>
          <t>Övriga Aktiebolag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61158-2022</t>
        </is>
      </c>
      <c r="B1625" s="1" t="n">
        <v>44915.47112268519</v>
      </c>
      <c r="C1625" s="1" t="n">
        <v>45914</v>
      </c>
      <c r="D1625" t="inlineStr">
        <is>
          <t>SKÅNE LÄN</t>
        </is>
      </c>
      <c r="E1625" t="inlineStr">
        <is>
          <t>HÄSSLEHOLM</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52012-2024</t>
        </is>
      </c>
      <c r="B1626" s="1" t="n">
        <v>45607.78569444444</v>
      </c>
      <c r="C1626" s="1" t="n">
        <v>45914</v>
      </c>
      <c r="D1626" t="inlineStr">
        <is>
          <t>SKÅNE LÄN</t>
        </is>
      </c>
      <c r="E1626" t="inlineStr">
        <is>
          <t>KRISTIANSTAD</t>
        </is>
      </c>
      <c r="F1626" t="inlineStr">
        <is>
          <t>Övriga Aktiebolag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7782-2022</t>
        </is>
      </c>
      <c r="B1627" s="1" t="n">
        <v>44608</v>
      </c>
      <c r="C1627" s="1" t="n">
        <v>45914</v>
      </c>
      <c r="D1627" t="inlineStr">
        <is>
          <t>SKÅNE LÄN</t>
        </is>
      </c>
      <c r="E1627" t="inlineStr">
        <is>
          <t>HÖÖR</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12570-2023</t>
        </is>
      </c>
      <c r="B1628" s="1" t="n">
        <v>44999</v>
      </c>
      <c r="C1628" s="1" t="n">
        <v>45914</v>
      </c>
      <c r="D1628" t="inlineStr">
        <is>
          <t>SKÅNE LÄN</t>
        </is>
      </c>
      <c r="E1628" t="inlineStr">
        <is>
          <t>HÄSSLEHOLM</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12468-2024</t>
        </is>
      </c>
      <c r="B1629" s="1" t="n">
        <v>45379</v>
      </c>
      <c r="C1629" s="1" t="n">
        <v>45914</v>
      </c>
      <c r="D1629" t="inlineStr">
        <is>
          <t>SKÅNE LÄN</t>
        </is>
      </c>
      <c r="E1629" t="inlineStr">
        <is>
          <t>HÄSSLEHOLM</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6335-2022</t>
        </is>
      </c>
      <c r="B1630" s="1" t="n">
        <v>44600</v>
      </c>
      <c r="C1630" s="1" t="n">
        <v>45914</v>
      </c>
      <c r="D1630" t="inlineStr">
        <is>
          <t>SKÅNE LÄN</t>
        </is>
      </c>
      <c r="E1630" t="inlineStr">
        <is>
          <t>SVALÖV</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4193-2024</t>
        </is>
      </c>
      <c r="B1631" s="1" t="n">
        <v>45324</v>
      </c>
      <c r="C1631" s="1" t="n">
        <v>45914</v>
      </c>
      <c r="D1631" t="inlineStr">
        <is>
          <t>SKÅNE LÄN</t>
        </is>
      </c>
      <c r="E1631" t="inlineStr">
        <is>
          <t>SIMRISHAMN</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9368-2023</t>
        </is>
      </c>
      <c r="B1632" s="1" t="n">
        <v>44981</v>
      </c>
      <c r="C1632" s="1" t="n">
        <v>45914</v>
      </c>
      <c r="D1632" t="inlineStr">
        <is>
          <t>SKÅNE LÄN</t>
        </is>
      </c>
      <c r="E1632" t="inlineStr">
        <is>
          <t>PERSTORP</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29743-2021</t>
        </is>
      </c>
      <c r="B1633" s="1" t="n">
        <v>44362</v>
      </c>
      <c r="C1633" s="1" t="n">
        <v>45914</v>
      </c>
      <c r="D1633" t="inlineStr">
        <is>
          <t>SKÅNE LÄN</t>
        </is>
      </c>
      <c r="E1633" t="inlineStr">
        <is>
          <t>PERSTORP</t>
        </is>
      </c>
      <c r="F1633" t="inlineStr">
        <is>
          <t>Övriga Aktiebolag</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45494-2024</t>
        </is>
      </c>
      <c r="B1634" s="1" t="n">
        <v>45577.78651620371</v>
      </c>
      <c r="C1634" s="1" t="n">
        <v>45914</v>
      </c>
      <c r="D1634" t="inlineStr">
        <is>
          <t>SKÅNE LÄN</t>
        </is>
      </c>
      <c r="E1634" t="inlineStr">
        <is>
          <t>KRISTIANSTAD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27521-2021</t>
        </is>
      </c>
      <c r="B1635" s="1" t="n">
        <v>44351</v>
      </c>
      <c r="C1635" s="1" t="n">
        <v>45914</v>
      </c>
      <c r="D1635" t="inlineStr">
        <is>
          <t>SKÅNE LÄN</t>
        </is>
      </c>
      <c r="E1635" t="inlineStr">
        <is>
          <t>ÖRKELLJUNGA</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60778-2023</t>
        </is>
      </c>
      <c r="B1636" s="1" t="n">
        <v>45260</v>
      </c>
      <c r="C1636" s="1" t="n">
        <v>45914</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13820-2023</t>
        </is>
      </c>
      <c r="B1637" s="1" t="n">
        <v>45007.58128472222</v>
      </c>
      <c r="C1637" s="1" t="n">
        <v>45914</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14912-2024</t>
        </is>
      </c>
      <c r="B1638" s="1" t="n">
        <v>45398.59821759259</v>
      </c>
      <c r="C1638" s="1" t="n">
        <v>45914</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28335-2024</t>
        </is>
      </c>
      <c r="B1639" s="1" t="n">
        <v>45477</v>
      </c>
      <c r="C1639" s="1" t="n">
        <v>45914</v>
      </c>
      <c r="D1639" t="inlineStr">
        <is>
          <t>SKÅNE LÄN</t>
        </is>
      </c>
      <c r="E1639" t="inlineStr">
        <is>
          <t>HÖÖR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14926-2024</t>
        </is>
      </c>
      <c r="B1640" s="1" t="n">
        <v>45398</v>
      </c>
      <c r="C1640" s="1" t="n">
        <v>45914</v>
      </c>
      <c r="D1640" t="inlineStr">
        <is>
          <t>SKÅNE LÄN</t>
        </is>
      </c>
      <c r="E1640" t="inlineStr">
        <is>
          <t>HÄSSLEHOLM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2688-2024</t>
        </is>
      </c>
      <c r="B1641" s="1" t="n">
        <v>45314</v>
      </c>
      <c r="C1641" s="1" t="n">
        <v>45914</v>
      </c>
      <c r="D1641" t="inlineStr">
        <is>
          <t>SKÅNE LÄN</t>
        </is>
      </c>
      <c r="E1641" t="inlineStr">
        <is>
          <t>HÄSSLEHOLM</t>
        </is>
      </c>
      <c r="F1641" t="inlineStr">
        <is>
          <t>Övriga Aktiebolag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26243-2024</t>
        </is>
      </c>
      <c r="B1642" s="1" t="n">
        <v>45468</v>
      </c>
      <c r="C1642" s="1" t="n">
        <v>45914</v>
      </c>
      <c r="D1642" t="inlineStr">
        <is>
          <t>SKÅNE LÄN</t>
        </is>
      </c>
      <c r="E1642" t="inlineStr">
        <is>
          <t>KRISTIANSTAD</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22064-2025</t>
        </is>
      </c>
      <c r="B1643" s="1" t="n">
        <v>45785</v>
      </c>
      <c r="C1643" s="1" t="n">
        <v>45914</v>
      </c>
      <c r="D1643" t="inlineStr">
        <is>
          <t>SKÅNE LÄN</t>
        </is>
      </c>
      <c r="E1643" t="inlineStr">
        <is>
          <t>OSBY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40173-2024</t>
        </is>
      </c>
      <c r="B1644" s="1" t="n">
        <v>45554.55435185185</v>
      </c>
      <c r="C1644" s="1" t="n">
        <v>45914</v>
      </c>
      <c r="D1644" t="inlineStr">
        <is>
          <t>SKÅNE LÄN</t>
        </is>
      </c>
      <c r="E1644" t="inlineStr">
        <is>
          <t>KLIPPAN</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3924-2024</t>
        </is>
      </c>
      <c r="B1645" s="1" t="n">
        <v>45322.57806712963</v>
      </c>
      <c r="C1645" s="1" t="n">
        <v>45914</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29844-2024</t>
        </is>
      </c>
      <c r="B1646" s="1" t="n">
        <v>45485</v>
      </c>
      <c r="C1646" s="1" t="n">
        <v>45914</v>
      </c>
      <c r="D1646" t="inlineStr">
        <is>
          <t>SKÅNE LÄN</t>
        </is>
      </c>
      <c r="E1646" t="inlineStr">
        <is>
          <t>HÄSSLEHOLM</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30407-2024</t>
        </is>
      </c>
      <c r="B1647" s="1" t="n">
        <v>45491.60534722222</v>
      </c>
      <c r="C1647" s="1" t="n">
        <v>45914</v>
      </c>
      <c r="D1647" t="inlineStr">
        <is>
          <t>SKÅNE LÄN</t>
        </is>
      </c>
      <c r="E1647" t="inlineStr">
        <is>
          <t>BROMÖLLA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40536-2024</t>
        </is>
      </c>
      <c r="B1648" s="1" t="n">
        <v>45555.61314814815</v>
      </c>
      <c r="C1648" s="1" t="n">
        <v>45914</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36713-2023</t>
        </is>
      </c>
      <c r="B1649" s="1" t="n">
        <v>45153</v>
      </c>
      <c r="C1649" s="1" t="n">
        <v>45914</v>
      </c>
      <c r="D1649" t="inlineStr">
        <is>
          <t>SKÅNE LÄN</t>
        </is>
      </c>
      <c r="E1649" t="inlineStr">
        <is>
          <t>LANDSKRONA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4009-2024</t>
        </is>
      </c>
      <c r="B1650" s="1" t="n">
        <v>45323</v>
      </c>
      <c r="C1650" s="1" t="n">
        <v>45914</v>
      </c>
      <c r="D1650" t="inlineStr">
        <is>
          <t>SKÅNE LÄN</t>
        </is>
      </c>
      <c r="E1650" t="inlineStr">
        <is>
          <t>HÄSSLEHOLM</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36733-2023</t>
        </is>
      </c>
      <c r="B1651" s="1" t="n">
        <v>45153.69989583334</v>
      </c>
      <c r="C1651" s="1" t="n">
        <v>45914</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3402-2024</t>
        </is>
      </c>
      <c r="B1652" s="1" t="n">
        <v>45318</v>
      </c>
      <c r="C1652" s="1" t="n">
        <v>45914</v>
      </c>
      <c r="D1652" t="inlineStr">
        <is>
          <t>SKÅNE LÄN</t>
        </is>
      </c>
      <c r="E1652" t="inlineStr">
        <is>
          <t>SIMRISHAMN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3407-2024</t>
        </is>
      </c>
      <c r="B1653" s="1" t="n">
        <v>45318</v>
      </c>
      <c r="C1653" s="1" t="n">
        <v>45914</v>
      </c>
      <c r="D1653" t="inlineStr">
        <is>
          <t>SKÅNE LÄN</t>
        </is>
      </c>
      <c r="E1653" t="inlineStr">
        <is>
          <t>HÖÖR</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60848-2022</t>
        </is>
      </c>
      <c r="B1654" s="1" t="n">
        <v>44914</v>
      </c>
      <c r="C1654" s="1" t="n">
        <v>45914</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64728-2023</t>
        </is>
      </c>
      <c r="B1655" s="1" t="n">
        <v>45281</v>
      </c>
      <c r="C1655" s="1" t="n">
        <v>45914</v>
      </c>
      <c r="D1655" t="inlineStr">
        <is>
          <t>SKÅNE LÄN</t>
        </is>
      </c>
      <c r="E1655" t="inlineStr">
        <is>
          <t>ÄNGELHOLM</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3183-2023</t>
        </is>
      </c>
      <c r="B1656" s="1" t="n">
        <v>44944</v>
      </c>
      <c r="C1656" s="1" t="n">
        <v>45914</v>
      </c>
      <c r="D1656" t="inlineStr">
        <is>
          <t>SKÅNE LÄN</t>
        </is>
      </c>
      <c r="E1656" t="inlineStr">
        <is>
          <t>KLIPPAN</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27281-2023</t>
        </is>
      </c>
      <c r="B1657" s="1" t="n">
        <v>45096</v>
      </c>
      <c r="C1657" s="1" t="n">
        <v>45914</v>
      </c>
      <c r="D1657" t="inlineStr">
        <is>
          <t>SKÅNE LÄN</t>
        </is>
      </c>
      <c r="E1657" t="inlineStr">
        <is>
          <t>OSBY</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23005-2024</t>
        </is>
      </c>
      <c r="B1658" s="1" t="n">
        <v>45450.32965277778</v>
      </c>
      <c r="C1658" s="1" t="n">
        <v>45914</v>
      </c>
      <c r="D1658" t="inlineStr">
        <is>
          <t>SKÅNE LÄN</t>
        </is>
      </c>
      <c r="E1658" t="inlineStr">
        <is>
          <t>HÖÖR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11806-2025</t>
        </is>
      </c>
      <c r="B1659" s="1" t="n">
        <v>45727.88857638889</v>
      </c>
      <c r="C1659" s="1" t="n">
        <v>45914</v>
      </c>
      <c r="D1659" t="inlineStr">
        <is>
          <t>SKÅNE LÄN</t>
        </is>
      </c>
      <c r="E1659" t="inlineStr">
        <is>
          <t>TOMELILLA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2170-2025</t>
        </is>
      </c>
      <c r="B1660" s="1" t="n">
        <v>45673.31113425926</v>
      </c>
      <c r="C1660" s="1" t="n">
        <v>45914</v>
      </c>
      <c r="D1660" t="inlineStr">
        <is>
          <t>SKÅNE LÄN</t>
        </is>
      </c>
      <c r="E1660" t="inlineStr">
        <is>
          <t>HÖRBY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28227-2021</t>
        </is>
      </c>
      <c r="B1661" s="1" t="n">
        <v>44355.65476851852</v>
      </c>
      <c r="C1661" s="1" t="n">
        <v>45914</v>
      </c>
      <c r="D1661" t="inlineStr">
        <is>
          <t>SKÅNE LÄN</t>
        </is>
      </c>
      <c r="E1661" t="inlineStr">
        <is>
          <t>OSBY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11970-2022</t>
        </is>
      </c>
      <c r="B1662" s="1" t="n">
        <v>44635</v>
      </c>
      <c r="C1662" s="1" t="n">
        <v>45914</v>
      </c>
      <c r="D1662" t="inlineStr">
        <is>
          <t>SKÅNE LÄN</t>
        </is>
      </c>
      <c r="E1662" t="inlineStr">
        <is>
          <t>ÖRKELLJUNGA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51052-2020</t>
        </is>
      </c>
      <c r="B1663" s="1" t="n">
        <v>44112</v>
      </c>
      <c r="C1663" s="1" t="n">
        <v>45914</v>
      </c>
      <c r="D1663" t="inlineStr">
        <is>
          <t>SKÅNE LÄN</t>
        </is>
      </c>
      <c r="E1663" t="inlineStr">
        <is>
          <t>KLIPPAN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33266-2024</t>
        </is>
      </c>
      <c r="B1664" s="1" t="n">
        <v>45518</v>
      </c>
      <c r="C1664" s="1" t="n">
        <v>45914</v>
      </c>
      <c r="D1664" t="inlineStr">
        <is>
          <t>SKÅNE LÄN</t>
        </is>
      </c>
      <c r="E1664" t="inlineStr">
        <is>
          <t>HÄSSLEHOLM</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44538-2024</t>
        </is>
      </c>
      <c r="B1665" s="1" t="n">
        <v>45574</v>
      </c>
      <c r="C1665" s="1" t="n">
        <v>45914</v>
      </c>
      <c r="D1665" t="inlineStr">
        <is>
          <t>SKÅNE LÄN</t>
        </is>
      </c>
      <c r="E1665" t="inlineStr">
        <is>
          <t>KRISTIANSTAD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1106-2023</t>
        </is>
      </c>
      <c r="B1666" s="1" t="n">
        <v>44935</v>
      </c>
      <c r="C1666" s="1" t="n">
        <v>45914</v>
      </c>
      <c r="D1666" t="inlineStr">
        <is>
          <t>SKÅNE LÄN</t>
        </is>
      </c>
      <c r="E1666" t="inlineStr">
        <is>
          <t>HÖRBY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26258-2024</t>
        </is>
      </c>
      <c r="B1667" s="1" t="n">
        <v>45468</v>
      </c>
      <c r="C1667" s="1" t="n">
        <v>45914</v>
      </c>
      <c r="D1667" t="inlineStr">
        <is>
          <t>SKÅNE LÄN</t>
        </is>
      </c>
      <c r="E1667" t="inlineStr">
        <is>
          <t>KRISTIANSTAD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57856-2024</t>
        </is>
      </c>
      <c r="B1668" s="1" t="n">
        <v>45630</v>
      </c>
      <c r="C1668" s="1" t="n">
        <v>45914</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47874-2023</t>
        </is>
      </c>
      <c r="B1669" s="1" t="n">
        <v>45204</v>
      </c>
      <c r="C1669" s="1" t="n">
        <v>45914</v>
      </c>
      <c r="D1669" t="inlineStr">
        <is>
          <t>SKÅNE LÄN</t>
        </is>
      </c>
      <c r="E1669" t="inlineStr">
        <is>
          <t>SIMRISHAMN</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27584-2024</t>
        </is>
      </c>
      <c r="B1670" s="1" t="n">
        <v>45474.65922453703</v>
      </c>
      <c r="C1670" s="1" t="n">
        <v>45914</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8244-2023</t>
        </is>
      </c>
      <c r="B1671" s="1" t="n">
        <v>44974</v>
      </c>
      <c r="C1671" s="1" t="n">
        <v>45914</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8246-2023</t>
        </is>
      </c>
      <c r="B1672" s="1" t="n">
        <v>44974</v>
      </c>
      <c r="C1672" s="1" t="n">
        <v>45914</v>
      </c>
      <c r="D1672" t="inlineStr">
        <is>
          <t>SKÅNE LÄN</t>
        </is>
      </c>
      <c r="E1672" t="inlineStr">
        <is>
          <t>HÄSSLEHOLM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22203-2025</t>
        </is>
      </c>
      <c r="B1673" s="1" t="n">
        <v>45785.65381944444</v>
      </c>
      <c r="C1673" s="1" t="n">
        <v>45914</v>
      </c>
      <c r="D1673" t="inlineStr">
        <is>
          <t>SKÅNE LÄN</t>
        </is>
      </c>
      <c r="E1673" t="inlineStr">
        <is>
          <t>SVALÖV</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42319-2024</t>
        </is>
      </c>
      <c r="B1674" s="1" t="n">
        <v>45562.64549768518</v>
      </c>
      <c r="C1674" s="1" t="n">
        <v>45914</v>
      </c>
      <c r="D1674" t="inlineStr">
        <is>
          <t>SKÅNE LÄN</t>
        </is>
      </c>
      <c r="E1674" t="inlineStr">
        <is>
          <t>ÖSTRA GÖINGE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19643-2024</t>
        </is>
      </c>
      <c r="B1675" s="1" t="n">
        <v>45432</v>
      </c>
      <c r="C1675" s="1" t="n">
        <v>45914</v>
      </c>
      <c r="D1675" t="inlineStr">
        <is>
          <t>SKÅNE LÄN</t>
        </is>
      </c>
      <c r="E1675" t="inlineStr">
        <is>
          <t>ÖRKELLJUNGA</t>
        </is>
      </c>
      <c r="F1675" t="inlineStr">
        <is>
          <t>Kommuner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22406-2024</t>
        </is>
      </c>
      <c r="B1676" s="1" t="n">
        <v>45446</v>
      </c>
      <c r="C1676" s="1" t="n">
        <v>45914</v>
      </c>
      <c r="D1676" t="inlineStr">
        <is>
          <t>SKÅNE LÄN</t>
        </is>
      </c>
      <c r="E1676" t="inlineStr">
        <is>
          <t>ÖRKELLJUNGA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34834-2023</t>
        </is>
      </c>
      <c r="B1677" s="1" t="n">
        <v>45141.7199537037</v>
      </c>
      <c r="C1677" s="1" t="n">
        <v>45914</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56386-2023</t>
        </is>
      </c>
      <c r="B1678" s="1" t="n">
        <v>45243</v>
      </c>
      <c r="C1678" s="1" t="n">
        <v>45914</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28260-2023</t>
        </is>
      </c>
      <c r="B1679" s="1" t="n">
        <v>45099</v>
      </c>
      <c r="C1679" s="1" t="n">
        <v>45914</v>
      </c>
      <c r="D1679" t="inlineStr">
        <is>
          <t>SKÅNE LÄN</t>
        </is>
      </c>
      <c r="E1679" t="inlineStr">
        <is>
          <t>BÅSTAD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27514-2024</t>
        </is>
      </c>
      <c r="B1680" s="1" t="n">
        <v>45474</v>
      </c>
      <c r="C1680" s="1" t="n">
        <v>45914</v>
      </c>
      <c r="D1680" t="inlineStr">
        <is>
          <t>SKÅNE LÄN</t>
        </is>
      </c>
      <c r="E1680" t="inlineStr">
        <is>
          <t>OSBY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29284-2023</t>
        </is>
      </c>
      <c r="B1681" s="1" t="n">
        <v>45105</v>
      </c>
      <c r="C1681" s="1" t="n">
        <v>45914</v>
      </c>
      <c r="D1681" t="inlineStr">
        <is>
          <t>SKÅNE LÄN</t>
        </is>
      </c>
      <c r="E1681" t="inlineStr">
        <is>
          <t>ÖSTRA GÖINGE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21656-2023</t>
        </is>
      </c>
      <c r="B1682" s="1" t="n">
        <v>45063.80594907407</v>
      </c>
      <c r="C1682" s="1" t="n">
        <v>45914</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24647-2023</t>
        </is>
      </c>
      <c r="B1683" s="1" t="n">
        <v>45084</v>
      </c>
      <c r="C1683" s="1" t="n">
        <v>45914</v>
      </c>
      <c r="D1683" t="inlineStr">
        <is>
          <t>SKÅNE LÄN</t>
        </is>
      </c>
      <c r="E1683" t="inlineStr">
        <is>
          <t>KLIPPAN</t>
        </is>
      </c>
      <c r="F1683" t="inlineStr">
        <is>
          <t>Övriga Aktiebolag</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7661-2025</t>
        </is>
      </c>
      <c r="B1684" s="1" t="n">
        <v>45706</v>
      </c>
      <c r="C1684" s="1" t="n">
        <v>45914</v>
      </c>
      <c r="D1684" t="inlineStr">
        <is>
          <t>SKÅNE LÄN</t>
        </is>
      </c>
      <c r="E1684" t="inlineStr">
        <is>
          <t>KLIPPAN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24679-2023</t>
        </is>
      </c>
      <c r="B1685" s="1" t="n">
        <v>45084</v>
      </c>
      <c r="C1685" s="1" t="n">
        <v>45914</v>
      </c>
      <c r="D1685" t="inlineStr">
        <is>
          <t>SKÅNE LÄN</t>
        </is>
      </c>
      <c r="E1685" t="inlineStr">
        <is>
          <t>HÄSSLEHOLM</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6698-2023</t>
        </is>
      </c>
      <c r="B1686" s="1" t="n">
        <v>44966</v>
      </c>
      <c r="C1686" s="1" t="n">
        <v>45914</v>
      </c>
      <c r="D1686" t="inlineStr">
        <is>
          <t>SKÅNE LÄN</t>
        </is>
      </c>
      <c r="E1686" t="inlineStr">
        <is>
          <t>OSBY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2490-2024</t>
        </is>
      </c>
      <c r="B1687" s="1" t="n">
        <v>45313.43649305555</v>
      </c>
      <c r="C1687" s="1" t="n">
        <v>45914</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57539-2022</t>
        </is>
      </c>
      <c r="B1688" s="1" t="n">
        <v>44896.69921296297</v>
      </c>
      <c r="C1688" s="1" t="n">
        <v>45914</v>
      </c>
      <c r="D1688" t="inlineStr">
        <is>
          <t>SKÅNE LÄN</t>
        </is>
      </c>
      <c r="E1688" t="inlineStr">
        <is>
          <t>ÖSTRA GÖINGE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57547-2022</t>
        </is>
      </c>
      <c r="B1689" s="1" t="n">
        <v>44896.7287037037</v>
      </c>
      <c r="C1689" s="1" t="n">
        <v>45914</v>
      </c>
      <c r="D1689" t="inlineStr">
        <is>
          <t>SKÅNE LÄN</t>
        </is>
      </c>
      <c r="E1689" t="inlineStr">
        <is>
          <t>ÖSTRA GÖINGE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57649-2022</t>
        </is>
      </c>
      <c r="B1690" s="1" t="n">
        <v>44897.42755787037</v>
      </c>
      <c r="C1690" s="1" t="n">
        <v>45914</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20047-2024</t>
        </is>
      </c>
      <c r="B1691" s="1" t="n">
        <v>45434.37376157408</v>
      </c>
      <c r="C1691" s="1" t="n">
        <v>45914</v>
      </c>
      <c r="D1691" t="inlineStr">
        <is>
          <t>SKÅNE LÄN</t>
        </is>
      </c>
      <c r="E1691" t="inlineStr">
        <is>
          <t>SVALÖV</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50244-2024</t>
        </is>
      </c>
      <c r="B1692" s="1" t="n">
        <v>45600.56502314815</v>
      </c>
      <c r="C1692" s="1" t="n">
        <v>45914</v>
      </c>
      <c r="D1692" t="inlineStr">
        <is>
          <t>SKÅNE LÄN</t>
        </is>
      </c>
      <c r="E1692" t="inlineStr">
        <is>
          <t>HÄSSLEHOLM</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57665-2022</t>
        </is>
      </c>
      <c r="B1693" s="1" t="n">
        <v>44897.4494212963</v>
      </c>
      <c r="C1693" s="1" t="n">
        <v>45914</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57676-2022</t>
        </is>
      </c>
      <c r="B1694" s="1" t="n">
        <v>44897</v>
      </c>
      <c r="C1694" s="1" t="n">
        <v>45914</v>
      </c>
      <c r="D1694" t="inlineStr">
        <is>
          <t>SKÅNE LÄN</t>
        </is>
      </c>
      <c r="E1694" t="inlineStr">
        <is>
          <t>HÄSSLEHOLM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49137-2024</t>
        </is>
      </c>
      <c r="B1695" s="1" t="n">
        <v>45594</v>
      </c>
      <c r="C1695" s="1" t="n">
        <v>45914</v>
      </c>
      <c r="D1695" t="inlineStr">
        <is>
          <t>SKÅNE LÄN</t>
        </is>
      </c>
      <c r="E1695" t="inlineStr">
        <is>
          <t>ESLÖV</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57710-2024</t>
        </is>
      </c>
      <c r="B1696" s="1" t="n">
        <v>45630</v>
      </c>
      <c r="C1696" s="1" t="n">
        <v>45914</v>
      </c>
      <c r="D1696" t="inlineStr">
        <is>
          <t>SKÅNE LÄN</t>
        </is>
      </c>
      <c r="E1696" t="inlineStr">
        <is>
          <t>OSBY</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1935-2024</t>
        </is>
      </c>
      <c r="B1697" s="1" t="n">
        <v>45308</v>
      </c>
      <c r="C1697" s="1" t="n">
        <v>45914</v>
      </c>
      <c r="D1697" t="inlineStr">
        <is>
          <t>SKÅNE LÄN</t>
        </is>
      </c>
      <c r="E1697" t="inlineStr">
        <is>
          <t>ÖRKELLJUNGA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42248-2023</t>
        </is>
      </c>
      <c r="B1698" s="1" t="n">
        <v>45180</v>
      </c>
      <c r="C1698" s="1" t="n">
        <v>45914</v>
      </c>
      <c r="D1698" t="inlineStr">
        <is>
          <t>SKÅNE LÄN</t>
        </is>
      </c>
      <c r="E1698" t="inlineStr">
        <is>
          <t>KRISTIANSTAD</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24986-2023</t>
        </is>
      </c>
      <c r="B1699" s="1" t="n">
        <v>45085</v>
      </c>
      <c r="C1699" s="1" t="n">
        <v>45914</v>
      </c>
      <c r="D1699" t="inlineStr">
        <is>
          <t>SKÅNE LÄN</t>
        </is>
      </c>
      <c r="E1699" t="inlineStr">
        <is>
          <t>ÖSTRA GÖINGE</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9924-2025</t>
        </is>
      </c>
      <c r="B1700" s="1" t="n">
        <v>45717.72505787037</v>
      </c>
      <c r="C1700" s="1" t="n">
        <v>45914</v>
      </c>
      <c r="D1700" t="inlineStr">
        <is>
          <t>SKÅNE LÄN</t>
        </is>
      </c>
      <c r="E1700" t="inlineStr">
        <is>
          <t>HÄSSLEHOLM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11810-2025</t>
        </is>
      </c>
      <c r="B1701" s="1" t="n">
        <v>45727.90560185185</v>
      </c>
      <c r="C1701" s="1" t="n">
        <v>45914</v>
      </c>
      <c r="D1701" t="inlineStr">
        <is>
          <t>SKÅNE LÄN</t>
        </is>
      </c>
      <c r="E1701" t="inlineStr">
        <is>
          <t>TOMELILLA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50880-2022</t>
        </is>
      </c>
      <c r="B1702" s="1" t="n">
        <v>44867.57969907407</v>
      </c>
      <c r="C1702" s="1" t="n">
        <v>45914</v>
      </c>
      <c r="D1702" t="inlineStr">
        <is>
          <t>SKÅNE LÄN</t>
        </is>
      </c>
      <c r="E1702" t="inlineStr">
        <is>
          <t>OSBY</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18109-2025</t>
        </is>
      </c>
      <c r="B1703" s="1" t="n">
        <v>45761</v>
      </c>
      <c r="C1703" s="1" t="n">
        <v>45914</v>
      </c>
      <c r="D1703" t="inlineStr">
        <is>
          <t>SKÅNE LÄN</t>
        </is>
      </c>
      <c r="E1703" t="inlineStr">
        <is>
          <t>HÄSSLEHOLM</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47880-2024</t>
        </is>
      </c>
      <c r="B1704" s="1" t="n">
        <v>45588.7440625</v>
      </c>
      <c r="C1704" s="1" t="n">
        <v>45914</v>
      </c>
      <c r="D1704" t="inlineStr">
        <is>
          <t>SKÅNE LÄN</t>
        </is>
      </c>
      <c r="E1704" t="inlineStr">
        <is>
          <t>OSBY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50663-2024</t>
        </is>
      </c>
      <c r="B1705" s="1" t="n">
        <v>45601.74481481482</v>
      </c>
      <c r="C1705" s="1" t="n">
        <v>45914</v>
      </c>
      <c r="D1705" t="inlineStr">
        <is>
          <t>SKÅNE LÄN</t>
        </is>
      </c>
      <c r="E1705" t="inlineStr">
        <is>
          <t>ÖSTRA GÖINGE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54671-2022</t>
        </is>
      </c>
      <c r="B1706" s="1" t="n">
        <v>44883</v>
      </c>
      <c r="C1706" s="1" t="n">
        <v>45914</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22634-2025</t>
        </is>
      </c>
      <c r="B1707" s="1" t="n">
        <v>45789.44635416667</v>
      </c>
      <c r="C1707" s="1" t="n">
        <v>45914</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51576-2020</t>
        </is>
      </c>
      <c r="B1708" s="1" t="n">
        <v>44113</v>
      </c>
      <c r="C1708" s="1" t="n">
        <v>45914</v>
      </c>
      <c r="D1708" t="inlineStr">
        <is>
          <t>SKÅNE LÄN</t>
        </is>
      </c>
      <c r="E1708" t="inlineStr">
        <is>
          <t>OSBY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72261-2021</t>
        </is>
      </c>
      <c r="B1709" s="1" t="n">
        <v>44545.31795138889</v>
      </c>
      <c r="C1709" s="1" t="n">
        <v>45914</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40417-2022</t>
        </is>
      </c>
      <c r="B1710" s="1" t="n">
        <v>44823</v>
      </c>
      <c r="C1710" s="1" t="n">
        <v>45914</v>
      </c>
      <c r="D1710" t="inlineStr">
        <is>
          <t>SKÅNE LÄN</t>
        </is>
      </c>
      <c r="E1710" t="inlineStr">
        <is>
          <t>YSTAD</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60380-2024</t>
        </is>
      </c>
      <c r="B1711" s="1" t="n">
        <v>45643</v>
      </c>
      <c r="C1711" s="1" t="n">
        <v>45914</v>
      </c>
      <c r="D1711" t="inlineStr">
        <is>
          <t>SKÅNE LÄN</t>
        </is>
      </c>
      <c r="E1711" t="inlineStr">
        <is>
          <t>KRISTIANSTAD</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60271-2024</t>
        </is>
      </c>
      <c r="B1712" s="1" t="n">
        <v>45642</v>
      </c>
      <c r="C1712" s="1" t="n">
        <v>45914</v>
      </c>
      <c r="D1712" t="inlineStr">
        <is>
          <t>SKÅNE LÄN</t>
        </is>
      </c>
      <c r="E1712" t="inlineStr">
        <is>
          <t>ÖRKELLJUNGA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13007-2024</t>
        </is>
      </c>
      <c r="B1713" s="1" t="n">
        <v>45385.57092592592</v>
      </c>
      <c r="C1713" s="1" t="n">
        <v>45914</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19439-2024</t>
        </is>
      </c>
      <c r="B1714" s="1" t="n">
        <v>45429</v>
      </c>
      <c r="C1714" s="1" t="n">
        <v>45914</v>
      </c>
      <c r="D1714" t="inlineStr">
        <is>
          <t>SKÅNE LÄN</t>
        </is>
      </c>
      <c r="E1714" t="inlineStr">
        <is>
          <t>SIMRISHAMN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53887-2023</t>
        </is>
      </c>
      <c r="B1715" s="1" t="n">
        <v>45231.52675925926</v>
      </c>
      <c r="C1715" s="1" t="n">
        <v>45914</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15508-2023</t>
        </is>
      </c>
      <c r="B1716" s="1" t="n">
        <v>45020.50045138889</v>
      </c>
      <c r="C1716" s="1" t="n">
        <v>45914</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36158-2023</t>
        </is>
      </c>
      <c r="B1717" s="1" t="n">
        <v>45149.61890046296</v>
      </c>
      <c r="C1717" s="1" t="n">
        <v>45914</v>
      </c>
      <c r="D1717" t="inlineStr">
        <is>
          <t>SKÅNE LÄN</t>
        </is>
      </c>
      <c r="E1717" t="inlineStr">
        <is>
          <t>KRISTIANSTAD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23980-2024</t>
        </is>
      </c>
      <c r="B1718" s="1" t="n">
        <v>45456</v>
      </c>
      <c r="C1718" s="1" t="n">
        <v>45914</v>
      </c>
      <c r="D1718" t="inlineStr">
        <is>
          <t>SKÅNE LÄN</t>
        </is>
      </c>
      <c r="E1718" t="inlineStr">
        <is>
          <t>ÄNGELHOLM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34649-2023</t>
        </is>
      </c>
      <c r="B1719" s="1" t="n">
        <v>45139</v>
      </c>
      <c r="C1719" s="1" t="n">
        <v>45914</v>
      </c>
      <c r="D1719" t="inlineStr">
        <is>
          <t>SKÅNE LÄN</t>
        </is>
      </c>
      <c r="E1719" t="inlineStr">
        <is>
          <t>ÖSTRA GÖINGE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1235-2022</t>
        </is>
      </c>
      <c r="B1720" s="1" t="n">
        <v>44572.58090277778</v>
      </c>
      <c r="C1720" s="1" t="n">
        <v>45914</v>
      </c>
      <c r="D1720" t="inlineStr">
        <is>
          <t>SKÅNE LÄN</t>
        </is>
      </c>
      <c r="E1720" t="inlineStr">
        <is>
          <t>SJÖBO</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27544-2024</t>
        </is>
      </c>
      <c r="B1721" s="1" t="n">
        <v>45474</v>
      </c>
      <c r="C1721" s="1" t="n">
        <v>45914</v>
      </c>
      <c r="D1721" t="inlineStr">
        <is>
          <t>SKÅNE LÄN</t>
        </is>
      </c>
      <c r="E1721" t="inlineStr">
        <is>
          <t>ÄNGELHOLM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49167-2022</t>
        </is>
      </c>
      <c r="B1722" s="1" t="n">
        <v>44860</v>
      </c>
      <c r="C1722" s="1" t="n">
        <v>45914</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23007-2025</t>
        </is>
      </c>
      <c r="B1723" s="1" t="n">
        <v>45790</v>
      </c>
      <c r="C1723" s="1" t="n">
        <v>45914</v>
      </c>
      <c r="D1723" t="inlineStr">
        <is>
          <t>SKÅNE LÄN</t>
        </is>
      </c>
      <c r="E1723" t="inlineStr">
        <is>
          <t>HÄSSLEHOLM</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982-2025</t>
        </is>
      </c>
      <c r="B1724" s="1" t="n">
        <v>45666.41855324074</v>
      </c>
      <c r="C1724" s="1" t="n">
        <v>45914</v>
      </c>
      <c r="D1724" t="inlineStr">
        <is>
          <t>SKÅNE LÄN</t>
        </is>
      </c>
      <c r="E1724" t="inlineStr">
        <is>
          <t>PERSTORP</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28071-2023</t>
        </is>
      </c>
      <c r="B1725" s="1" t="n">
        <v>45099.37755787037</v>
      </c>
      <c r="C1725" s="1" t="n">
        <v>45914</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25051-2021</t>
        </is>
      </c>
      <c r="B1726" s="1" t="n">
        <v>44341</v>
      </c>
      <c r="C1726" s="1" t="n">
        <v>45914</v>
      </c>
      <c r="D1726" t="inlineStr">
        <is>
          <t>SKÅNE LÄN</t>
        </is>
      </c>
      <c r="E1726" t="inlineStr">
        <is>
          <t>KRISTIANSTAD</t>
        </is>
      </c>
      <c r="F1726" t="inlineStr">
        <is>
          <t>Övriga Aktiebolag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27007-2024</t>
        </is>
      </c>
      <c r="B1727" s="1" t="n">
        <v>45471.39863425926</v>
      </c>
      <c r="C1727" s="1" t="n">
        <v>45914</v>
      </c>
      <c r="D1727" t="inlineStr">
        <is>
          <t>SKÅNE LÄN</t>
        </is>
      </c>
      <c r="E1727" t="inlineStr">
        <is>
          <t>OSBY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7221-2025</t>
        </is>
      </c>
      <c r="B1728" s="1" t="n">
        <v>45701</v>
      </c>
      <c r="C1728" s="1" t="n">
        <v>45914</v>
      </c>
      <c r="D1728" t="inlineStr">
        <is>
          <t>SKÅNE LÄN</t>
        </is>
      </c>
      <c r="E1728" t="inlineStr">
        <is>
          <t>HÄSSLEHOLM</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55748-2024</t>
        </is>
      </c>
      <c r="B1729" s="1" t="n">
        <v>45623.3237962963</v>
      </c>
      <c r="C1729" s="1" t="n">
        <v>45914</v>
      </c>
      <c r="D1729" t="inlineStr">
        <is>
          <t>SKÅNE LÄN</t>
        </is>
      </c>
      <c r="E1729" t="inlineStr">
        <is>
          <t>ÄNGELHOLM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2252-2025</t>
        </is>
      </c>
      <c r="B1730" s="1" t="n">
        <v>45673</v>
      </c>
      <c r="C1730" s="1" t="n">
        <v>45914</v>
      </c>
      <c r="D1730" t="inlineStr">
        <is>
          <t>SKÅNE LÄN</t>
        </is>
      </c>
      <c r="E1730" t="inlineStr">
        <is>
          <t>KLIPPAN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22661-2025</t>
        </is>
      </c>
      <c r="B1731" s="1" t="n">
        <v>45789</v>
      </c>
      <c r="C1731" s="1" t="n">
        <v>45914</v>
      </c>
      <c r="D1731" t="inlineStr">
        <is>
          <t>SKÅNE LÄN</t>
        </is>
      </c>
      <c r="E1731" t="inlineStr">
        <is>
          <t>KRISTIANSTAD</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60400-2024</t>
        </is>
      </c>
      <c r="B1732" s="1" t="n">
        <v>45643.49901620371</v>
      </c>
      <c r="C1732" s="1" t="n">
        <v>45914</v>
      </c>
      <c r="D1732" t="inlineStr">
        <is>
          <t>SKÅNE LÄN</t>
        </is>
      </c>
      <c r="E1732" t="inlineStr">
        <is>
          <t>OSBY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25714-2025</t>
        </is>
      </c>
      <c r="B1733" s="1" t="n">
        <v>45803</v>
      </c>
      <c r="C1733" s="1" t="n">
        <v>45914</v>
      </c>
      <c r="D1733" t="inlineStr">
        <is>
          <t>SKÅNE LÄN</t>
        </is>
      </c>
      <c r="E1733" t="inlineStr">
        <is>
          <t>KRISTIANSTAD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74030-2021</t>
        </is>
      </c>
      <c r="B1734" s="1" t="n">
        <v>44553</v>
      </c>
      <c r="C1734" s="1" t="n">
        <v>45914</v>
      </c>
      <c r="D1734" t="inlineStr">
        <is>
          <t>SKÅNE LÄN</t>
        </is>
      </c>
      <c r="E1734" t="inlineStr">
        <is>
          <t>HÄSSLEHOLM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3489-2024</t>
        </is>
      </c>
      <c r="B1735" s="1" t="n">
        <v>45320</v>
      </c>
      <c r="C1735" s="1" t="n">
        <v>45914</v>
      </c>
      <c r="D1735" t="inlineStr">
        <is>
          <t>SKÅNE LÄN</t>
        </is>
      </c>
      <c r="E1735" t="inlineStr">
        <is>
          <t>KLIPPAN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61356-2023</t>
        </is>
      </c>
      <c r="B1736" s="1" t="n">
        <v>45260</v>
      </c>
      <c r="C1736" s="1" t="n">
        <v>45914</v>
      </c>
      <c r="D1736" t="inlineStr">
        <is>
          <t>SKÅNE LÄN</t>
        </is>
      </c>
      <c r="E1736" t="inlineStr">
        <is>
          <t>KRISTIANSTAD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34187-2023</t>
        </is>
      </c>
      <c r="B1737" s="1" t="n">
        <v>45138</v>
      </c>
      <c r="C1737" s="1" t="n">
        <v>45914</v>
      </c>
      <c r="D1737" t="inlineStr">
        <is>
          <t>SKÅNE LÄN</t>
        </is>
      </c>
      <c r="E1737" t="inlineStr">
        <is>
          <t>HÄSSLEHOLM</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3507-2024</t>
        </is>
      </c>
      <c r="B1738" s="1" t="n">
        <v>45320.4906712963</v>
      </c>
      <c r="C1738" s="1" t="n">
        <v>45914</v>
      </c>
      <c r="D1738" t="inlineStr">
        <is>
          <t>SKÅNE LÄN</t>
        </is>
      </c>
      <c r="E1738" t="inlineStr">
        <is>
          <t>HÄSSLEHOLM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4080-2024</t>
        </is>
      </c>
      <c r="B1739" s="1" t="n">
        <v>45323</v>
      </c>
      <c r="C1739" s="1" t="n">
        <v>45914</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27606-2024</t>
        </is>
      </c>
      <c r="B1740" s="1" t="n">
        <v>45474</v>
      </c>
      <c r="C1740" s="1" t="n">
        <v>45914</v>
      </c>
      <c r="D1740" t="inlineStr">
        <is>
          <t>SKÅNE LÄN</t>
        </is>
      </c>
      <c r="E1740" t="inlineStr">
        <is>
          <t>HÄSSLEHOLM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34808-2024</t>
        </is>
      </c>
      <c r="B1741" s="1" t="n">
        <v>45526.69388888889</v>
      </c>
      <c r="C1741" s="1" t="n">
        <v>45914</v>
      </c>
      <c r="D1741" t="inlineStr">
        <is>
          <t>SKÅNE LÄN</t>
        </is>
      </c>
      <c r="E1741" t="inlineStr">
        <is>
          <t>SVALÖV</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4088-2024</t>
        </is>
      </c>
      <c r="B1742" s="1" t="n">
        <v>45323</v>
      </c>
      <c r="C1742" s="1" t="n">
        <v>45914</v>
      </c>
      <c r="D1742" t="inlineStr">
        <is>
          <t>SKÅNE LÄN</t>
        </is>
      </c>
      <c r="E1742" t="inlineStr">
        <is>
          <t>ÄNGELHOLM</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21891-2024</t>
        </is>
      </c>
      <c r="B1743" s="1" t="n">
        <v>45443.38305555555</v>
      </c>
      <c r="C1743" s="1" t="n">
        <v>45914</v>
      </c>
      <c r="D1743" t="inlineStr">
        <is>
          <t>SKÅNE LÄN</t>
        </is>
      </c>
      <c r="E1743" t="inlineStr">
        <is>
          <t>OSBY</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4119-2024</t>
        </is>
      </c>
      <c r="B1744" s="1" t="n">
        <v>45323.67920138889</v>
      </c>
      <c r="C1744" s="1" t="n">
        <v>45914</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4120-2024</t>
        </is>
      </c>
      <c r="B1745" s="1" t="n">
        <v>45323.67927083333</v>
      </c>
      <c r="C1745" s="1" t="n">
        <v>45914</v>
      </c>
      <c r="D1745" t="inlineStr">
        <is>
          <t>SKÅNE LÄN</t>
        </is>
      </c>
      <c r="E1745" t="inlineStr">
        <is>
          <t>HÖÖR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33305-2023</t>
        </is>
      </c>
      <c r="B1746" s="1" t="n">
        <v>45117</v>
      </c>
      <c r="C1746" s="1" t="n">
        <v>45914</v>
      </c>
      <c r="D1746" t="inlineStr">
        <is>
          <t>SKÅNE LÄN</t>
        </is>
      </c>
      <c r="E1746" t="inlineStr">
        <is>
          <t>ÖSTRA GÖINGE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16261-2023</t>
        </is>
      </c>
      <c r="B1747" s="1" t="n">
        <v>45022</v>
      </c>
      <c r="C1747" s="1" t="n">
        <v>45914</v>
      </c>
      <c r="D1747" t="inlineStr">
        <is>
          <t>SKÅNE LÄN</t>
        </is>
      </c>
      <c r="E1747" t="inlineStr">
        <is>
          <t>ÖSTRA GÖINGE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10007-2022</t>
        </is>
      </c>
      <c r="B1748" s="1" t="n">
        <v>44621</v>
      </c>
      <c r="C1748" s="1" t="n">
        <v>45914</v>
      </c>
      <c r="D1748" t="inlineStr">
        <is>
          <t>SKÅNE LÄN</t>
        </is>
      </c>
      <c r="E1748" t="inlineStr">
        <is>
          <t>HÖÖR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47232-2024</t>
        </is>
      </c>
      <c r="B1749" s="1" t="n">
        <v>45586</v>
      </c>
      <c r="C1749" s="1" t="n">
        <v>45914</v>
      </c>
      <c r="D1749" t="inlineStr">
        <is>
          <t>SKÅNE LÄN</t>
        </is>
      </c>
      <c r="E1749" t="inlineStr">
        <is>
          <t>KRISTIANSTAD</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48877-2024</t>
        </is>
      </c>
      <c r="B1750" s="1" t="n">
        <v>45594.31729166667</v>
      </c>
      <c r="C1750" s="1" t="n">
        <v>45914</v>
      </c>
      <c r="D1750" t="inlineStr">
        <is>
          <t>SKÅNE LÄN</t>
        </is>
      </c>
      <c r="E1750" t="inlineStr">
        <is>
          <t>HÄSSLEHOLM</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6154-2024</t>
        </is>
      </c>
      <c r="B1751" s="1" t="n">
        <v>45337</v>
      </c>
      <c r="C1751" s="1" t="n">
        <v>45914</v>
      </c>
      <c r="D1751" t="inlineStr">
        <is>
          <t>SKÅNE LÄN</t>
        </is>
      </c>
      <c r="E1751" t="inlineStr">
        <is>
          <t>ÖSTRA GÖINGE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45914</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1619-2022</t>
        </is>
      </c>
      <c r="B1753" s="1" t="n">
        <v>44573</v>
      </c>
      <c r="C1753" s="1" t="n">
        <v>45914</v>
      </c>
      <c r="D1753" t="inlineStr">
        <is>
          <t>SKÅNE LÄN</t>
        </is>
      </c>
      <c r="E1753" t="inlineStr">
        <is>
          <t>HÄSSLEHOLM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45914</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45914</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39935-2023</t>
        </is>
      </c>
      <c r="B1756" s="1" t="n">
        <v>45168.51060185185</v>
      </c>
      <c r="C1756" s="1" t="n">
        <v>45914</v>
      </c>
      <c r="D1756" t="inlineStr">
        <is>
          <t>SKÅNE LÄN</t>
        </is>
      </c>
      <c r="E1756" t="inlineStr">
        <is>
          <t>KRISTIANSTAD</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31649-2023</t>
        </is>
      </c>
      <c r="B1757" s="1" t="n">
        <v>45117.60016203704</v>
      </c>
      <c r="C1757" s="1" t="n">
        <v>45914</v>
      </c>
      <c r="D1757" t="inlineStr">
        <is>
          <t>SKÅNE LÄN</t>
        </is>
      </c>
      <c r="E1757" t="inlineStr">
        <is>
          <t>BROMÖLLA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11019-2025</t>
        </is>
      </c>
      <c r="B1758" s="1" t="n">
        <v>45723</v>
      </c>
      <c r="C1758" s="1" t="n">
        <v>45914</v>
      </c>
      <c r="D1758" t="inlineStr">
        <is>
          <t>SKÅNE LÄN</t>
        </is>
      </c>
      <c r="E1758" t="inlineStr">
        <is>
          <t>HÄSSLEHOLM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56062-2024</t>
        </is>
      </c>
      <c r="B1759" s="1" t="n">
        <v>45624.37105324074</v>
      </c>
      <c r="C1759" s="1" t="n">
        <v>45914</v>
      </c>
      <c r="D1759" t="inlineStr">
        <is>
          <t>SKÅNE LÄN</t>
        </is>
      </c>
      <c r="E1759" t="inlineStr">
        <is>
          <t>HÄSSLEHOLM</t>
        </is>
      </c>
      <c r="F1759" t="inlineStr">
        <is>
          <t>Övriga Aktiebolag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45299-2024</t>
        </is>
      </c>
      <c r="B1760" s="1" t="n">
        <v>45576.40599537037</v>
      </c>
      <c r="C1760" s="1" t="n">
        <v>45914</v>
      </c>
      <c r="D1760" t="inlineStr">
        <is>
          <t>SKÅNE LÄN</t>
        </is>
      </c>
      <c r="E1760" t="inlineStr">
        <is>
          <t>HÄSSLEHOLM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17073-2023</t>
        </is>
      </c>
      <c r="B1761" s="1" t="n">
        <v>45034</v>
      </c>
      <c r="C1761" s="1" t="n">
        <v>45914</v>
      </c>
      <c r="D1761" t="inlineStr">
        <is>
          <t>SKÅNE LÄN</t>
        </is>
      </c>
      <c r="E1761" t="inlineStr">
        <is>
          <t>HÖRBY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34369-2023</t>
        </is>
      </c>
      <c r="B1762" s="1" t="n">
        <v>45139.47817129629</v>
      </c>
      <c r="C1762" s="1" t="n">
        <v>45914</v>
      </c>
      <c r="D1762" t="inlineStr">
        <is>
          <t>SKÅNE LÄN</t>
        </is>
      </c>
      <c r="E1762" t="inlineStr">
        <is>
          <t>HÄSSLEHOLM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16789-2025</t>
        </is>
      </c>
      <c r="B1763" s="1" t="n">
        <v>45754.60923611111</v>
      </c>
      <c r="C1763" s="1" t="n">
        <v>45914</v>
      </c>
      <c r="D1763" t="inlineStr">
        <is>
          <t>SKÅNE LÄN</t>
        </is>
      </c>
      <c r="E1763" t="inlineStr">
        <is>
          <t>HÖÖR</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45914</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9538-2023</t>
        </is>
      </c>
      <c r="B1765" s="1" t="n">
        <v>44981.74542824074</v>
      </c>
      <c r="C1765" s="1" t="n">
        <v>45914</v>
      </c>
      <c r="D1765" t="inlineStr">
        <is>
          <t>SKÅNE LÄN</t>
        </is>
      </c>
      <c r="E1765" t="inlineStr">
        <is>
          <t>ÖSTRA GÖINGE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27297-2023</t>
        </is>
      </c>
      <c r="B1766" s="1" t="n">
        <v>45096</v>
      </c>
      <c r="C1766" s="1" t="n">
        <v>45914</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45914</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34810-2023</t>
        </is>
      </c>
      <c r="B1768" s="1" t="n">
        <v>45141</v>
      </c>
      <c r="C1768" s="1" t="n">
        <v>45914</v>
      </c>
      <c r="D1768" t="inlineStr">
        <is>
          <t>SKÅNE LÄN</t>
        </is>
      </c>
      <c r="E1768" t="inlineStr">
        <is>
          <t>SVALÖV</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20125-2024</t>
        </is>
      </c>
      <c r="B1769" s="1" t="n">
        <v>45434.55394675926</v>
      </c>
      <c r="C1769" s="1" t="n">
        <v>45914</v>
      </c>
      <c r="D1769" t="inlineStr">
        <is>
          <t>SKÅNE LÄN</t>
        </is>
      </c>
      <c r="E1769" t="inlineStr">
        <is>
          <t>SVALÖV</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3904-2022</t>
        </is>
      </c>
      <c r="B1770" s="1" t="n">
        <v>44587</v>
      </c>
      <c r="C1770" s="1" t="n">
        <v>45914</v>
      </c>
      <c r="D1770" t="inlineStr">
        <is>
          <t>SKÅNE LÄN</t>
        </is>
      </c>
      <c r="E1770" t="inlineStr">
        <is>
          <t>KRISTIANSTAD</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14232-2023</t>
        </is>
      </c>
      <c r="B1771" s="1" t="n">
        <v>45009.64487268519</v>
      </c>
      <c r="C1771" s="1" t="n">
        <v>45914</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56735-2024</t>
        </is>
      </c>
      <c r="B1772" s="1" t="n">
        <v>45628.36234953703</v>
      </c>
      <c r="C1772" s="1" t="n">
        <v>45914</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34966-2023</t>
        </is>
      </c>
      <c r="B1773" s="1" t="n">
        <v>45141</v>
      </c>
      <c r="C1773" s="1" t="n">
        <v>45914</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14254-2023</t>
        </is>
      </c>
      <c r="B1774" s="1" t="n">
        <v>45009.90423611111</v>
      </c>
      <c r="C1774" s="1" t="n">
        <v>45914</v>
      </c>
      <c r="D1774" t="inlineStr">
        <is>
          <t>SKÅNE LÄN</t>
        </is>
      </c>
      <c r="E1774" t="inlineStr">
        <is>
          <t>ÖRKELLJUNGA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59145-2020</t>
        </is>
      </c>
      <c r="B1775" s="1" t="n">
        <v>44147</v>
      </c>
      <c r="C1775" s="1" t="n">
        <v>45914</v>
      </c>
      <c r="D1775" t="inlineStr">
        <is>
          <t>SKÅNE LÄN</t>
        </is>
      </c>
      <c r="E1775" t="inlineStr">
        <is>
          <t>HÖÖR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2621-2025</t>
        </is>
      </c>
      <c r="B1776" s="1" t="n">
        <v>45675.60765046296</v>
      </c>
      <c r="C1776" s="1" t="n">
        <v>45914</v>
      </c>
      <c r="D1776" t="inlineStr">
        <is>
          <t>SKÅNE LÄN</t>
        </is>
      </c>
      <c r="E1776" t="inlineStr">
        <is>
          <t>HÄSSLEHOLM</t>
        </is>
      </c>
      <c r="F1776" t="inlineStr">
        <is>
          <t>Kommuner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41529-2023</t>
        </is>
      </c>
      <c r="B1777" s="1" t="n">
        <v>45175.55418981481</v>
      </c>
      <c r="C1777" s="1" t="n">
        <v>45914</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26907-2024</t>
        </is>
      </c>
      <c r="B1778" s="1" t="n">
        <v>45470</v>
      </c>
      <c r="C1778" s="1" t="n">
        <v>45914</v>
      </c>
      <c r="D1778" t="inlineStr">
        <is>
          <t>SKÅNE LÄN</t>
        </is>
      </c>
      <c r="E1778" t="inlineStr">
        <is>
          <t>KRISTIANSTAD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6858-2025</t>
        </is>
      </c>
      <c r="B1779" s="1" t="n">
        <v>45700</v>
      </c>
      <c r="C1779" s="1" t="n">
        <v>45914</v>
      </c>
      <c r="D1779" t="inlineStr">
        <is>
          <t>SKÅNE LÄN</t>
        </is>
      </c>
      <c r="E1779" t="inlineStr">
        <is>
          <t>KRISTIANSTAD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69505-2020</t>
        </is>
      </c>
      <c r="B1780" s="1" t="n">
        <v>44194</v>
      </c>
      <c r="C1780" s="1" t="n">
        <v>45914</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51463-2020</t>
        </is>
      </c>
      <c r="B1781" s="1" t="n">
        <v>44109</v>
      </c>
      <c r="C1781" s="1" t="n">
        <v>45914</v>
      </c>
      <c r="D1781" t="inlineStr">
        <is>
          <t>SKÅNE LÄN</t>
        </is>
      </c>
      <c r="E1781" t="inlineStr">
        <is>
          <t>ÖRKELLJUNGA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45914</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66666-2020</t>
        </is>
      </c>
      <c r="B1783" s="1" t="n">
        <v>44179</v>
      </c>
      <c r="C1783" s="1" t="n">
        <v>45914</v>
      </c>
      <c r="D1783" t="inlineStr">
        <is>
          <t>SKÅNE LÄN</t>
        </is>
      </c>
      <c r="E1783" t="inlineStr">
        <is>
          <t>PERSTORP</t>
        </is>
      </c>
      <c r="F1783" t="inlineStr">
        <is>
          <t>Kyrkan</t>
        </is>
      </c>
      <c r="G1783" t="n">
        <v>18.4</v>
      </c>
      <c r="H1783" t="n">
        <v>0</v>
      </c>
      <c r="I1783" t="n">
        <v>0</v>
      </c>
      <c r="J1783" t="n">
        <v>0</v>
      </c>
      <c r="K1783" t="n">
        <v>0</v>
      </c>
      <c r="L1783" t="n">
        <v>0</v>
      </c>
      <c r="M1783" t="n">
        <v>0</v>
      </c>
      <c r="N1783" t="n">
        <v>0</v>
      </c>
      <c r="O1783" t="n">
        <v>0</v>
      </c>
      <c r="P1783" t="n">
        <v>0</v>
      </c>
      <c r="Q1783" t="n">
        <v>0</v>
      </c>
      <c r="R1783" s="2" t="inlineStr"/>
    </row>
    <row r="1784" ht="15" customHeight="1">
      <c r="A1784" t="inlineStr">
        <is>
          <t>A 40366-2021</t>
        </is>
      </c>
      <c r="B1784" s="1" t="n">
        <v>44419</v>
      </c>
      <c r="C1784" s="1" t="n">
        <v>45914</v>
      </c>
      <c r="D1784" t="inlineStr">
        <is>
          <t>SKÅNE LÄN</t>
        </is>
      </c>
      <c r="E1784" t="inlineStr">
        <is>
          <t>KRISTIANSTAD</t>
        </is>
      </c>
      <c r="F1784" t="inlineStr">
        <is>
          <t>Kommuner</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45914</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47136-2022</t>
        </is>
      </c>
      <c r="B1786" s="1" t="n">
        <v>44848</v>
      </c>
      <c r="C1786" s="1" t="n">
        <v>45914</v>
      </c>
      <c r="D1786" t="inlineStr">
        <is>
          <t>SKÅNE LÄN</t>
        </is>
      </c>
      <c r="E1786" t="inlineStr">
        <is>
          <t>HÖÖR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61605-2023</t>
        </is>
      </c>
      <c r="B1787" s="1" t="n">
        <v>45265</v>
      </c>
      <c r="C1787" s="1" t="n">
        <v>45914</v>
      </c>
      <c r="D1787" t="inlineStr">
        <is>
          <t>SKÅNE LÄN</t>
        </is>
      </c>
      <c r="E1787" t="inlineStr">
        <is>
          <t>KRISTIANSTAD</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10081-2021</t>
        </is>
      </c>
      <c r="B1788" s="1" t="n">
        <v>44256</v>
      </c>
      <c r="C1788" s="1" t="n">
        <v>45914</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62114-2024</t>
        </is>
      </c>
      <c r="B1789" s="1" t="n">
        <v>45656.54815972222</v>
      </c>
      <c r="C1789" s="1" t="n">
        <v>45914</v>
      </c>
      <c r="D1789" t="inlineStr">
        <is>
          <t>SKÅNE LÄN</t>
        </is>
      </c>
      <c r="E1789" t="inlineStr">
        <is>
          <t>OSBY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5816-2022</t>
        </is>
      </c>
      <c r="B1790" s="1" t="n">
        <v>44596</v>
      </c>
      <c r="C1790" s="1" t="n">
        <v>45914</v>
      </c>
      <c r="D1790" t="inlineStr">
        <is>
          <t>SKÅNE LÄN</t>
        </is>
      </c>
      <c r="E1790" t="inlineStr">
        <is>
          <t>BROMÖLLA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17387-2021</t>
        </is>
      </c>
      <c r="B1791" s="1" t="n">
        <v>44298</v>
      </c>
      <c r="C1791" s="1" t="n">
        <v>45914</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2979-2024</t>
        </is>
      </c>
      <c r="B1792" s="1" t="n">
        <v>45315</v>
      </c>
      <c r="C1792" s="1" t="n">
        <v>45914</v>
      </c>
      <c r="D1792" t="inlineStr">
        <is>
          <t>SKÅNE LÄN</t>
        </is>
      </c>
      <c r="E1792" t="inlineStr">
        <is>
          <t>HÖRBY</t>
        </is>
      </c>
      <c r="F1792" t="inlineStr">
        <is>
          <t>Kyrkan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38485-2023</t>
        </is>
      </c>
      <c r="B1793" s="1" t="n">
        <v>45162.47829861111</v>
      </c>
      <c r="C1793" s="1" t="n">
        <v>45914</v>
      </c>
      <c r="D1793" t="inlineStr">
        <is>
          <t>SKÅNE LÄN</t>
        </is>
      </c>
      <c r="E1793" t="inlineStr">
        <is>
          <t>OSBY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8367-2023</t>
        </is>
      </c>
      <c r="B1794" s="1" t="n">
        <v>44977</v>
      </c>
      <c r="C1794" s="1" t="n">
        <v>45914</v>
      </c>
      <c r="D1794" t="inlineStr">
        <is>
          <t>SKÅNE LÄN</t>
        </is>
      </c>
      <c r="E1794" t="inlineStr">
        <is>
          <t>ÖSTRA GÖINGE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8378-2023</t>
        </is>
      </c>
      <c r="B1795" s="1" t="n">
        <v>44971</v>
      </c>
      <c r="C1795" s="1" t="n">
        <v>45914</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37620-2023</t>
        </is>
      </c>
      <c r="B1796" s="1" t="n">
        <v>45159.4530787037</v>
      </c>
      <c r="C1796" s="1" t="n">
        <v>45914</v>
      </c>
      <c r="D1796" t="inlineStr">
        <is>
          <t>SKÅNE LÄN</t>
        </is>
      </c>
      <c r="E1796" t="inlineStr">
        <is>
          <t>ÖRKELLJUNGA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7508-2025</t>
        </is>
      </c>
      <c r="B1797" s="1" t="n">
        <v>45702</v>
      </c>
      <c r="C1797" s="1" t="n">
        <v>45914</v>
      </c>
      <c r="D1797" t="inlineStr">
        <is>
          <t>SKÅNE LÄN</t>
        </is>
      </c>
      <c r="E1797" t="inlineStr">
        <is>
          <t>PERSTORP</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7510-2025</t>
        </is>
      </c>
      <c r="B1798" s="1" t="n">
        <v>45702</v>
      </c>
      <c r="C1798" s="1" t="n">
        <v>45914</v>
      </c>
      <c r="D1798" t="inlineStr">
        <is>
          <t>SKÅNE LÄN</t>
        </is>
      </c>
      <c r="E1798" t="inlineStr">
        <is>
          <t>PERSTORP</t>
        </is>
      </c>
      <c r="F1798" t="inlineStr">
        <is>
          <t>Övriga Aktiebolag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71637-2021</t>
        </is>
      </c>
      <c r="B1799" s="1" t="n">
        <v>44543.32719907408</v>
      </c>
      <c r="C1799" s="1" t="n">
        <v>45914</v>
      </c>
      <c r="D1799" t="inlineStr">
        <is>
          <t>SKÅNE LÄN</t>
        </is>
      </c>
      <c r="E1799" t="inlineStr">
        <is>
          <t>ÖRKELLJUNGA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40896-2024</t>
        </is>
      </c>
      <c r="B1800" s="1" t="n">
        <v>45558.61697916667</v>
      </c>
      <c r="C1800" s="1" t="n">
        <v>45914</v>
      </c>
      <c r="D1800" t="inlineStr">
        <is>
          <t>SKÅNE LÄN</t>
        </is>
      </c>
      <c r="E1800" t="inlineStr">
        <is>
          <t>KRISTIANSTAD</t>
        </is>
      </c>
      <c r="F1800" t="inlineStr">
        <is>
          <t>Övriga Aktiebolag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52652-2023</t>
        </is>
      </c>
      <c r="B1801" s="1" t="n">
        <v>45225</v>
      </c>
      <c r="C1801" s="1" t="n">
        <v>45914</v>
      </c>
      <c r="D1801" t="inlineStr">
        <is>
          <t>SKÅNE LÄN</t>
        </is>
      </c>
      <c r="E1801" t="inlineStr">
        <is>
          <t>ESLÖV</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8737-2025</t>
        </is>
      </c>
      <c r="B1802" s="1" t="n">
        <v>45712.54578703704</v>
      </c>
      <c r="C1802" s="1" t="n">
        <v>45914</v>
      </c>
      <c r="D1802" t="inlineStr">
        <is>
          <t>SKÅNE LÄN</t>
        </is>
      </c>
      <c r="E1802" t="inlineStr">
        <is>
          <t>HÄSSLEHOLM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26058-2024</t>
        </is>
      </c>
      <c r="B1803" s="1" t="n">
        <v>45468</v>
      </c>
      <c r="C1803" s="1" t="n">
        <v>45914</v>
      </c>
      <c r="D1803" t="inlineStr">
        <is>
          <t>SKÅNE LÄN</t>
        </is>
      </c>
      <c r="E1803" t="inlineStr">
        <is>
          <t>ÖRKELLJUNGA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40903-2024</t>
        </is>
      </c>
      <c r="B1804" s="1" t="n">
        <v>45558.62166666667</v>
      </c>
      <c r="C1804" s="1" t="n">
        <v>45914</v>
      </c>
      <c r="D1804" t="inlineStr">
        <is>
          <t>SKÅNE LÄN</t>
        </is>
      </c>
      <c r="E1804" t="inlineStr">
        <is>
          <t>KRISTIANSTAD</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22587-2025</t>
        </is>
      </c>
      <c r="B1805" s="1" t="n">
        <v>45789.39974537037</v>
      </c>
      <c r="C1805" s="1" t="n">
        <v>45914</v>
      </c>
      <c r="D1805" t="inlineStr">
        <is>
          <t>SKÅNE LÄN</t>
        </is>
      </c>
      <c r="E1805" t="inlineStr">
        <is>
          <t>HÄSSLEHOLM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45789.40502314815</v>
      </c>
      <c r="C1806" s="1" t="n">
        <v>45914</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3451-2023</t>
        </is>
      </c>
      <c r="B1807" s="1" t="n">
        <v>44949.61746527778</v>
      </c>
      <c r="C1807" s="1" t="n">
        <v>45914</v>
      </c>
      <c r="D1807" t="inlineStr">
        <is>
          <t>SKÅNE LÄN</t>
        </is>
      </c>
      <c r="E1807" t="inlineStr">
        <is>
          <t>OSBY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43871-2022</t>
        </is>
      </c>
      <c r="B1808" s="1" t="n">
        <v>44838</v>
      </c>
      <c r="C1808" s="1" t="n">
        <v>45914</v>
      </c>
      <c r="D1808" t="inlineStr">
        <is>
          <t>SKÅNE LÄN</t>
        </is>
      </c>
      <c r="E1808" t="inlineStr">
        <is>
          <t>HÖÖR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43884-2022</t>
        </is>
      </c>
      <c r="B1809" s="1" t="n">
        <v>44838</v>
      </c>
      <c r="C1809" s="1" t="n">
        <v>45914</v>
      </c>
      <c r="D1809" t="inlineStr">
        <is>
          <t>SKÅNE LÄN</t>
        </is>
      </c>
      <c r="E1809" t="inlineStr">
        <is>
          <t>HÖÖR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41623-2023</t>
        </is>
      </c>
      <c r="B1810" s="1" t="n">
        <v>45175.68952546296</v>
      </c>
      <c r="C1810" s="1" t="n">
        <v>45914</v>
      </c>
      <c r="D1810" t="inlineStr">
        <is>
          <t>SKÅNE LÄN</t>
        </is>
      </c>
      <c r="E1810" t="inlineStr">
        <is>
          <t>HÖÖR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34722-2023</t>
        </is>
      </c>
      <c r="B1811" s="1" t="n">
        <v>45139</v>
      </c>
      <c r="C1811" s="1" t="n">
        <v>45914</v>
      </c>
      <c r="D1811" t="inlineStr">
        <is>
          <t>SKÅNE LÄN</t>
        </is>
      </c>
      <c r="E1811" t="inlineStr">
        <is>
          <t>ÖSTRA GÖINGE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51248-2024</t>
        </is>
      </c>
      <c r="B1812" s="1" t="n">
        <v>45603.68197916666</v>
      </c>
      <c r="C1812" s="1" t="n">
        <v>45914</v>
      </c>
      <c r="D1812" t="inlineStr">
        <is>
          <t>SKÅNE LÄN</t>
        </is>
      </c>
      <c r="E1812" t="inlineStr">
        <is>
          <t>KRISTIANSTAD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31393-2021</t>
        </is>
      </c>
      <c r="B1813" s="1" t="n">
        <v>44368</v>
      </c>
      <c r="C1813" s="1" t="n">
        <v>45914</v>
      </c>
      <c r="D1813" t="inlineStr">
        <is>
          <t>SKÅNE LÄN</t>
        </is>
      </c>
      <c r="E1813" t="inlineStr">
        <is>
          <t>SVEDALA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60704-2023</t>
        </is>
      </c>
      <c r="B1814" s="1" t="n">
        <v>45260.51340277777</v>
      </c>
      <c r="C1814" s="1" t="n">
        <v>45914</v>
      </c>
      <c r="D1814" t="inlineStr">
        <is>
          <t>SKÅNE LÄN</t>
        </is>
      </c>
      <c r="E1814" t="inlineStr">
        <is>
          <t>HÄSSLEHOLM</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61569-2023</t>
        </is>
      </c>
      <c r="B1815" s="1" t="n">
        <v>45265</v>
      </c>
      <c r="C1815" s="1" t="n">
        <v>45914</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47871-2022</t>
        </is>
      </c>
      <c r="B1816" s="1" t="n">
        <v>44855.43434027778</v>
      </c>
      <c r="C1816" s="1" t="n">
        <v>45914</v>
      </c>
      <c r="D1816" t="inlineStr">
        <is>
          <t>SKÅNE LÄN</t>
        </is>
      </c>
      <c r="E1816" t="inlineStr">
        <is>
          <t>ÖRKELLJUNGA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24930-2024</t>
        </is>
      </c>
      <c r="B1817" s="1" t="n">
        <v>45461.61435185185</v>
      </c>
      <c r="C1817" s="1" t="n">
        <v>45914</v>
      </c>
      <c r="D1817" t="inlineStr">
        <is>
          <t>SKÅNE LÄN</t>
        </is>
      </c>
      <c r="E1817" t="inlineStr">
        <is>
          <t>KRISTIANSTAD</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23052-2025</t>
        </is>
      </c>
      <c r="B1818" s="1" t="n">
        <v>45790.71023148148</v>
      </c>
      <c r="C1818" s="1" t="n">
        <v>45914</v>
      </c>
      <c r="D1818" t="inlineStr">
        <is>
          <t>SKÅNE LÄN</t>
        </is>
      </c>
      <c r="E1818" t="inlineStr">
        <is>
          <t>SIMRISHAMN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25762-2024</t>
        </is>
      </c>
      <c r="B1819" s="1" t="n">
        <v>45465.76983796297</v>
      </c>
      <c r="C1819" s="1" t="n">
        <v>45914</v>
      </c>
      <c r="D1819" t="inlineStr">
        <is>
          <t>SKÅNE LÄN</t>
        </is>
      </c>
      <c r="E1819" t="inlineStr">
        <is>
          <t>KRISTIANSTAD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25763-2024</t>
        </is>
      </c>
      <c r="B1820" s="1" t="n">
        <v>45465.77428240741</v>
      </c>
      <c r="C1820" s="1" t="n">
        <v>45914</v>
      </c>
      <c r="D1820" t="inlineStr">
        <is>
          <t>SKÅNE LÄN</t>
        </is>
      </c>
      <c r="E1820" t="inlineStr">
        <is>
          <t>KRISTIANSTAD</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42373-2024</t>
        </is>
      </c>
      <c r="B1821" s="1" t="n">
        <v>45564.54063657407</v>
      </c>
      <c r="C1821" s="1" t="n">
        <v>45914</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12000-2025</t>
        </is>
      </c>
      <c r="B1822" s="1" t="n">
        <v>45728.61288194444</v>
      </c>
      <c r="C1822" s="1" t="n">
        <v>45914</v>
      </c>
      <c r="D1822" t="inlineStr">
        <is>
          <t>SKÅNE LÄN</t>
        </is>
      </c>
      <c r="E1822" t="inlineStr">
        <is>
          <t>SIMRISHAMN</t>
        </is>
      </c>
      <c r="F1822" t="inlineStr">
        <is>
          <t>Övriga Aktiebolag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22794-2021</t>
        </is>
      </c>
      <c r="B1823" s="1" t="n">
        <v>44327.98402777778</v>
      </c>
      <c r="C1823" s="1" t="n">
        <v>45914</v>
      </c>
      <c r="D1823" t="inlineStr">
        <is>
          <t>SKÅNE LÄN</t>
        </is>
      </c>
      <c r="E1823" t="inlineStr">
        <is>
          <t>ÖSTRA GÖINGE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24712-2021</t>
        </is>
      </c>
      <c r="B1824" s="1" t="n">
        <v>44340.5113425926</v>
      </c>
      <c r="C1824" s="1" t="n">
        <v>45914</v>
      </c>
      <c r="D1824" t="inlineStr">
        <is>
          <t>SKÅNE LÄN</t>
        </is>
      </c>
      <c r="E1824" t="inlineStr">
        <is>
          <t>ÖRKELLJUNGA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35194-2023</t>
        </is>
      </c>
      <c r="B1825" s="1" t="n">
        <v>45145.61299768519</v>
      </c>
      <c r="C1825" s="1" t="n">
        <v>45914</v>
      </c>
      <c r="D1825" t="inlineStr">
        <is>
          <t>SKÅNE LÄN</t>
        </is>
      </c>
      <c r="E1825" t="inlineStr">
        <is>
          <t>PERSTORP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755-2025</t>
        </is>
      </c>
      <c r="B1826" s="1" t="n">
        <v>45665.44717592592</v>
      </c>
      <c r="C1826" s="1" t="n">
        <v>45914</v>
      </c>
      <c r="D1826" t="inlineStr">
        <is>
          <t>SKÅNE LÄN</t>
        </is>
      </c>
      <c r="E1826" t="inlineStr">
        <is>
          <t>KRISTIANSTAD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66449-2021</t>
        </is>
      </c>
      <c r="B1827" s="1" t="n">
        <v>44518.83491898148</v>
      </c>
      <c r="C1827" s="1" t="n">
        <v>45914</v>
      </c>
      <c r="D1827" t="inlineStr">
        <is>
          <t>SKÅNE LÄN</t>
        </is>
      </c>
      <c r="E1827" t="inlineStr">
        <is>
          <t>KRISTIANSTAD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19581-2021</t>
        </is>
      </c>
      <c r="B1828" s="1" t="n">
        <v>44312.55366898148</v>
      </c>
      <c r="C1828" s="1" t="n">
        <v>45914</v>
      </c>
      <c r="D1828" t="inlineStr">
        <is>
          <t>SKÅNE LÄN</t>
        </is>
      </c>
      <c r="E1828" t="inlineStr">
        <is>
          <t>HÖRBY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11732-2025</t>
        </is>
      </c>
      <c r="B1829" s="1" t="n">
        <v>45727</v>
      </c>
      <c r="C1829" s="1" t="n">
        <v>45914</v>
      </c>
      <c r="D1829" t="inlineStr">
        <is>
          <t>SKÅNE LÄN</t>
        </is>
      </c>
      <c r="E1829" t="inlineStr">
        <is>
          <t>ESLÖV</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44880-2022</t>
        </is>
      </c>
      <c r="B1830" s="1" t="n">
        <v>44841</v>
      </c>
      <c r="C1830" s="1" t="n">
        <v>45914</v>
      </c>
      <c r="D1830" t="inlineStr">
        <is>
          <t>SKÅNE LÄN</t>
        </is>
      </c>
      <c r="E1830" t="inlineStr">
        <is>
          <t>ÖRKELLJUNGA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60404-2024</t>
        </is>
      </c>
      <c r="B1831" s="1" t="n">
        <v>45643.50313657407</v>
      </c>
      <c r="C1831" s="1" t="n">
        <v>45914</v>
      </c>
      <c r="D1831" t="inlineStr">
        <is>
          <t>SKÅNE LÄN</t>
        </is>
      </c>
      <c r="E1831" t="inlineStr">
        <is>
          <t>OSBY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17171-2025</t>
        </is>
      </c>
      <c r="B1832" s="1" t="n">
        <v>45755</v>
      </c>
      <c r="C1832" s="1" t="n">
        <v>45914</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22540-2025</t>
        </is>
      </c>
      <c r="B1833" s="1" t="n">
        <v>45788.30451388889</v>
      </c>
      <c r="C1833" s="1" t="n">
        <v>45914</v>
      </c>
      <c r="D1833" t="inlineStr">
        <is>
          <t>SKÅNE LÄN</t>
        </is>
      </c>
      <c r="E1833" t="inlineStr">
        <is>
          <t>KLIPPAN</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57208-2022</t>
        </is>
      </c>
      <c r="B1834" s="1" t="n">
        <v>44895</v>
      </c>
      <c r="C1834" s="1" t="n">
        <v>45914</v>
      </c>
      <c r="D1834" t="inlineStr">
        <is>
          <t>SKÅNE LÄN</t>
        </is>
      </c>
      <c r="E1834" t="inlineStr">
        <is>
          <t>ÖRKELLJUNGA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44891-2022</t>
        </is>
      </c>
      <c r="B1835" s="1" t="n">
        <v>44841</v>
      </c>
      <c r="C1835" s="1" t="n">
        <v>45914</v>
      </c>
      <c r="D1835" t="inlineStr">
        <is>
          <t>SKÅNE LÄN</t>
        </is>
      </c>
      <c r="E1835" t="inlineStr">
        <is>
          <t>KLIPPAN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39603-2023</t>
        </is>
      </c>
      <c r="B1836" s="1" t="n">
        <v>45167.46493055556</v>
      </c>
      <c r="C1836" s="1" t="n">
        <v>45914</v>
      </c>
      <c r="D1836" t="inlineStr">
        <is>
          <t>SKÅNE LÄN</t>
        </is>
      </c>
      <c r="E1836" t="inlineStr">
        <is>
          <t>HÖÖR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57218-2022</t>
        </is>
      </c>
      <c r="B1837" s="1" t="n">
        <v>44895.65883101852</v>
      </c>
      <c r="C1837" s="1" t="n">
        <v>45914</v>
      </c>
      <c r="D1837" t="inlineStr">
        <is>
          <t>SKÅNE LÄN</t>
        </is>
      </c>
      <c r="E1837" t="inlineStr">
        <is>
          <t>OSBY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38328-2023</t>
        </is>
      </c>
      <c r="B1838" s="1" t="n">
        <v>45161.78365740741</v>
      </c>
      <c r="C1838" s="1" t="n">
        <v>45914</v>
      </c>
      <c r="D1838" t="inlineStr">
        <is>
          <t>SKÅNE LÄN</t>
        </is>
      </c>
      <c r="E1838" t="inlineStr">
        <is>
          <t>PERSTORP</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22132-2024</t>
        </is>
      </c>
      <c r="B1839" s="1" t="n">
        <v>45444.37234953704</v>
      </c>
      <c r="C1839" s="1" t="n">
        <v>45914</v>
      </c>
      <c r="D1839" t="inlineStr">
        <is>
          <t>SKÅNE LÄN</t>
        </is>
      </c>
      <c r="E1839" t="inlineStr">
        <is>
          <t>HÄSSLEHOLM</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54171-2022</t>
        </is>
      </c>
      <c r="B1840" s="1" t="n">
        <v>44881</v>
      </c>
      <c r="C1840" s="1" t="n">
        <v>45914</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31596-2023</t>
        </is>
      </c>
      <c r="B1841" s="1" t="n">
        <v>45117</v>
      </c>
      <c r="C1841" s="1" t="n">
        <v>45914</v>
      </c>
      <c r="D1841" t="inlineStr">
        <is>
          <t>SKÅNE LÄN</t>
        </is>
      </c>
      <c r="E1841" t="inlineStr">
        <is>
          <t>HÖRBY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31624-2023</t>
        </is>
      </c>
      <c r="B1842" s="1" t="n">
        <v>45117.55719907407</v>
      </c>
      <c r="C1842" s="1" t="n">
        <v>45914</v>
      </c>
      <c r="D1842" t="inlineStr">
        <is>
          <t>SKÅNE LÄN</t>
        </is>
      </c>
      <c r="E1842" t="inlineStr">
        <is>
          <t>OSBY</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31627-2023</t>
        </is>
      </c>
      <c r="B1843" s="1" t="n">
        <v>45117.56052083334</v>
      </c>
      <c r="C1843" s="1" t="n">
        <v>45914</v>
      </c>
      <c r="D1843" t="inlineStr">
        <is>
          <t>SKÅNE LÄN</t>
        </is>
      </c>
      <c r="E1843" t="inlineStr">
        <is>
          <t>ÖSTRA GÖINGE</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8861-2025</t>
        </is>
      </c>
      <c r="B1844" s="1" t="n">
        <v>45713</v>
      </c>
      <c r="C1844" s="1" t="n">
        <v>45914</v>
      </c>
      <c r="D1844" t="inlineStr">
        <is>
          <t>SKÅNE LÄN</t>
        </is>
      </c>
      <c r="E1844" t="inlineStr">
        <is>
          <t>SJÖBO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5167-2024</t>
        </is>
      </c>
      <c r="B1845" s="1" t="n">
        <v>45330</v>
      </c>
      <c r="C1845" s="1" t="n">
        <v>45914</v>
      </c>
      <c r="D1845" t="inlineStr">
        <is>
          <t>SKÅNE LÄN</t>
        </is>
      </c>
      <c r="E1845" t="inlineStr">
        <is>
          <t>SVALÖV</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22902-2024</t>
        </is>
      </c>
      <c r="B1846" s="1" t="n">
        <v>45448</v>
      </c>
      <c r="C1846" s="1" t="n">
        <v>45914</v>
      </c>
      <c r="D1846" t="inlineStr">
        <is>
          <t>SKÅNE LÄN</t>
        </is>
      </c>
      <c r="E1846" t="inlineStr">
        <is>
          <t>OSBY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40037-2022</t>
        </is>
      </c>
      <c r="B1847" s="1" t="n">
        <v>44818</v>
      </c>
      <c r="C1847" s="1" t="n">
        <v>45914</v>
      </c>
      <c r="D1847" t="inlineStr">
        <is>
          <t>SKÅNE LÄN</t>
        </is>
      </c>
      <c r="E1847" t="inlineStr">
        <is>
          <t>KRISTIANSTAD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12631-2021</t>
        </is>
      </c>
      <c r="B1848" s="1" t="n">
        <v>44270</v>
      </c>
      <c r="C1848" s="1" t="n">
        <v>45914</v>
      </c>
      <c r="D1848" t="inlineStr">
        <is>
          <t>SKÅNE LÄN</t>
        </is>
      </c>
      <c r="E1848" t="inlineStr">
        <is>
          <t>ÖRKELLJUNGA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13954-2023</t>
        </is>
      </c>
      <c r="B1849" s="1" t="n">
        <v>45008</v>
      </c>
      <c r="C1849" s="1" t="n">
        <v>45914</v>
      </c>
      <c r="D1849" t="inlineStr">
        <is>
          <t>SKÅNE LÄN</t>
        </is>
      </c>
      <c r="E1849" t="inlineStr">
        <is>
          <t>HÄSSLEHOLM</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31693-2023</t>
        </is>
      </c>
      <c r="B1850" s="1" t="n">
        <v>45117</v>
      </c>
      <c r="C1850" s="1" t="n">
        <v>45914</v>
      </c>
      <c r="D1850" t="inlineStr">
        <is>
          <t>SKÅNE LÄN</t>
        </is>
      </c>
      <c r="E1850" t="inlineStr">
        <is>
          <t>SVEDALA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63931-2023</t>
        </is>
      </c>
      <c r="B1851" s="1" t="n">
        <v>45278</v>
      </c>
      <c r="C1851" s="1" t="n">
        <v>45914</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31720-2023</t>
        </is>
      </c>
      <c r="B1852" s="1" t="n">
        <v>45117.89738425926</v>
      </c>
      <c r="C1852" s="1" t="n">
        <v>45914</v>
      </c>
      <c r="D1852" t="inlineStr">
        <is>
          <t>SKÅNE LÄN</t>
        </is>
      </c>
      <c r="E1852" t="inlineStr">
        <is>
          <t>ÄNGELHOLM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20239-2025</t>
        </is>
      </c>
      <c r="B1853" s="1" t="n">
        <v>45772</v>
      </c>
      <c r="C1853" s="1" t="n">
        <v>45914</v>
      </c>
      <c r="D1853" t="inlineStr">
        <is>
          <t>SKÅNE LÄN</t>
        </is>
      </c>
      <c r="E1853" t="inlineStr">
        <is>
          <t>BJUV</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15359-2023</t>
        </is>
      </c>
      <c r="B1854" s="1" t="n">
        <v>45019</v>
      </c>
      <c r="C1854" s="1" t="n">
        <v>45914</v>
      </c>
      <c r="D1854" t="inlineStr">
        <is>
          <t>SKÅNE LÄN</t>
        </is>
      </c>
      <c r="E1854" t="inlineStr">
        <is>
          <t>OSBY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25669-2024</t>
        </is>
      </c>
      <c r="B1855" s="1" t="n">
        <v>45463.71800925926</v>
      </c>
      <c r="C1855" s="1" t="n">
        <v>45914</v>
      </c>
      <c r="D1855" t="inlineStr">
        <is>
          <t>SKÅNE LÄN</t>
        </is>
      </c>
      <c r="E1855" t="inlineStr">
        <is>
          <t>ÄNGELHOLM</t>
        </is>
      </c>
      <c r="G1855" t="n">
        <v>17.9</v>
      </c>
      <c r="H1855" t="n">
        <v>0</v>
      </c>
      <c r="I1855" t="n">
        <v>0</v>
      </c>
      <c r="J1855" t="n">
        <v>0</v>
      </c>
      <c r="K1855" t="n">
        <v>0</v>
      </c>
      <c r="L1855" t="n">
        <v>0</v>
      </c>
      <c r="M1855" t="n">
        <v>0</v>
      </c>
      <c r="N1855" t="n">
        <v>0</v>
      </c>
      <c r="O1855" t="n">
        <v>0</v>
      </c>
      <c r="P1855" t="n">
        <v>0</v>
      </c>
      <c r="Q1855" t="n">
        <v>0</v>
      </c>
      <c r="R1855" s="2" t="inlineStr"/>
    </row>
    <row r="1856" ht="15" customHeight="1">
      <c r="A1856" t="inlineStr">
        <is>
          <t>A 4324-2024</t>
        </is>
      </c>
      <c r="B1856" s="1" t="n">
        <v>45324.67409722223</v>
      </c>
      <c r="C1856" s="1" t="n">
        <v>45914</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36572-2021</t>
        </is>
      </c>
      <c r="B1857" s="1" t="n">
        <v>44391.58083333333</v>
      </c>
      <c r="C1857" s="1" t="n">
        <v>45914</v>
      </c>
      <c r="D1857" t="inlineStr">
        <is>
          <t>SKÅNE LÄN</t>
        </is>
      </c>
      <c r="E1857" t="inlineStr">
        <is>
          <t>ÖRKELLJUNGA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4651-2024</t>
        </is>
      </c>
      <c r="B1858" s="1" t="n">
        <v>45328</v>
      </c>
      <c r="C1858" s="1" t="n">
        <v>45914</v>
      </c>
      <c r="D1858" t="inlineStr">
        <is>
          <t>SKÅNE LÄN</t>
        </is>
      </c>
      <c r="E1858" t="inlineStr">
        <is>
          <t>TOMELILLA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17925-2024</t>
        </is>
      </c>
      <c r="B1859" s="1" t="n">
        <v>45419</v>
      </c>
      <c r="C1859" s="1" t="n">
        <v>45914</v>
      </c>
      <c r="D1859" t="inlineStr">
        <is>
          <t>SKÅNE LÄN</t>
        </is>
      </c>
      <c r="E1859" t="inlineStr">
        <is>
          <t>KRISTIANSTAD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41294-2022</t>
        </is>
      </c>
      <c r="B1860" s="1" t="n">
        <v>44825</v>
      </c>
      <c r="C1860" s="1" t="n">
        <v>45914</v>
      </c>
      <c r="D1860" t="inlineStr">
        <is>
          <t>SKÅNE LÄN</t>
        </is>
      </c>
      <c r="E1860" t="inlineStr">
        <is>
          <t>KLIPPAN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62783-2023</t>
        </is>
      </c>
      <c r="B1861" s="1" t="n">
        <v>45271.67439814815</v>
      </c>
      <c r="C1861" s="1" t="n">
        <v>45914</v>
      </c>
      <c r="D1861" t="inlineStr">
        <is>
          <t>SKÅNE LÄN</t>
        </is>
      </c>
      <c r="E1861" t="inlineStr">
        <is>
          <t>ÖSTRA GÖINGE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315-2022</t>
        </is>
      </c>
      <c r="B1862" s="1" t="n">
        <v>44565.55630787037</v>
      </c>
      <c r="C1862" s="1" t="n">
        <v>45914</v>
      </c>
      <c r="D1862" t="inlineStr">
        <is>
          <t>SKÅNE LÄN</t>
        </is>
      </c>
      <c r="E1862" t="inlineStr">
        <is>
          <t>HÄSSLEHOLM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3245-2022</t>
        </is>
      </c>
      <c r="B1863" s="1" t="n">
        <v>44583.39136574074</v>
      </c>
      <c r="C1863" s="1" t="n">
        <v>45914</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51018-2023</t>
        </is>
      </c>
      <c r="B1864" s="1" t="n">
        <v>45218</v>
      </c>
      <c r="C1864" s="1" t="n">
        <v>45914</v>
      </c>
      <c r="D1864" t="inlineStr">
        <is>
          <t>SKÅNE LÄN</t>
        </is>
      </c>
      <c r="E1864" t="inlineStr">
        <is>
          <t>HÄSSLEHOLM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32546-2021</t>
        </is>
      </c>
      <c r="B1865" s="1" t="n">
        <v>44374.9483912037</v>
      </c>
      <c r="C1865" s="1" t="n">
        <v>45914</v>
      </c>
      <c r="D1865" t="inlineStr">
        <is>
          <t>SKÅNE LÄN</t>
        </is>
      </c>
      <c r="E1865" t="inlineStr">
        <is>
          <t>HÖRBY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55613-2022</t>
        </is>
      </c>
      <c r="B1866" s="1" t="n">
        <v>44883</v>
      </c>
      <c r="C1866" s="1" t="n">
        <v>45914</v>
      </c>
      <c r="D1866" t="inlineStr">
        <is>
          <t>SKÅNE LÄN</t>
        </is>
      </c>
      <c r="E1866" t="inlineStr">
        <is>
          <t>KLIPPAN</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40152-2024</t>
        </is>
      </c>
      <c r="B1867" s="1" t="n">
        <v>45554</v>
      </c>
      <c r="C1867" s="1" t="n">
        <v>45914</v>
      </c>
      <c r="D1867" t="inlineStr">
        <is>
          <t>SKÅNE LÄN</t>
        </is>
      </c>
      <c r="E1867" t="inlineStr">
        <is>
          <t>HÄSSLEHOLM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36689-2024</t>
        </is>
      </c>
      <c r="B1868" s="1" t="n">
        <v>45537</v>
      </c>
      <c r="C1868" s="1" t="n">
        <v>45914</v>
      </c>
      <c r="D1868" t="inlineStr">
        <is>
          <t>SKÅNE LÄN</t>
        </is>
      </c>
      <c r="E1868" t="inlineStr">
        <is>
          <t>HÖRBY</t>
        </is>
      </c>
      <c r="F1868" t="inlineStr">
        <is>
          <t>Sveaskog</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20599-2024</t>
        </is>
      </c>
      <c r="B1869" s="1" t="n">
        <v>45436.43516203704</v>
      </c>
      <c r="C1869" s="1" t="n">
        <v>45914</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32984-2024</t>
        </is>
      </c>
      <c r="B1870" s="1" t="n">
        <v>45517</v>
      </c>
      <c r="C1870" s="1" t="n">
        <v>45914</v>
      </c>
      <c r="D1870" t="inlineStr">
        <is>
          <t>SKÅNE LÄN</t>
        </is>
      </c>
      <c r="E1870" t="inlineStr">
        <is>
          <t>ESLÖV</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31254-2024</t>
        </is>
      </c>
      <c r="B1871" s="1" t="n">
        <v>45503</v>
      </c>
      <c r="C1871" s="1" t="n">
        <v>45914</v>
      </c>
      <c r="D1871" t="inlineStr">
        <is>
          <t>SKÅNE LÄN</t>
        </is>
      </c>
      <c r="E1871" t="inlineStr">
        <is>
          <t>HÄSSLEHOLM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27825-2024</t>
        </is>
      </c>
      <c r="B1872" s="1" t="n">
        <v>45475</v>
      </c>
      <c r="C1872" s="1" t="n">
        <v>45914</v>
      </c>
      <c r="D1872" t="inlineStr">
        <is>
          <t>SKÅNE LÄN</t>
        </is>
      </c>
      <c r="E1872" t="inlineStr">
        <is>
          <t>HÄSSLEHOLM</t>
        </is>
      </c>
      <c r="F1872" t="inlineStr">
        <is>
          <t>Kommuner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31161-2024</t>
        </is>
      </c>
      <c r="B1873" s="1" t="n">
        <v>45503</v>
      </c>
      <c r="C1873" s="1" t="n">
        <v>45914</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30040-2024</t>
        </is>
      </c>
      <c r="B1874" s="1" t="n">
        <v>45488</v>
      </c>
      <c r="C1874" s="1" t="n">
        <v>45914</v>
      </c>
      <c r="D1874" t="inlineStr">
        <is>
          <t>SKÅNE LÄN</t>
        </is>
      </c>
      <c r="E1874" t="inlineStr">
        <is>
          <t>TOMELILLA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33067-2024</t>
        </is>
      </c>
      <c r="B1875" s="1" t="n">
        <v>45517.6520949074</v>
      </c>
      <c r="C1875" s="1" t="n">
        <v>45914</v>
      </c>
      <c r="D1875" t="inlineStr">
        <is>
          <t>SKÅNE LÄN</t>
        </is>
      </c>
      <c r="E1875" t="inlineStr">
        <is>
          <t>HÄSSLEHOLM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9270-2022</t>
        </is>
      </c>
      <c r="B1876" s="1" t="n">
        <v>44616</v>
      </c>
      <c r="C1876" s="1" t="n">
        <v>45914</v>
      </c>
      <c r="D1876" t="inlineStr">
        <is>
          <t>SKÅNE LÄN</t>
        </is>
      </c>
      <c r="E1876" t="inlineStr">
        <is>
          <t>KLIPPAN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11753-2025</t>
        </is>
      </c>
      <c r="B1877" s="1" t="n">
        <v>45727</v>
      </c>
      <c r="C1877" s="1" t="n">
        <v>45914</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4191-2023</t>
        </is>
      </c>
      <c r="B1878" s="1" t="n">
        <v>44953.42472222223</v>
      </c>
      <c r="C1878" s="1" t="n">
        <v>45914</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23251-2025</t>
        </is>
      </c>
      <c r="B1879" s="1" t="n">
        <v>45791</v>
      </c>
      <c r="C1879" s="1" t="n">
        <v>45914</v>
      </c>
      <c r="D1879" t="inlineStr">
        <is>
          <t>SKÅNE LÄN</t>
        </is>
      </c>
      <c r="E1879" t="inlineStr">
        <is>
          <t>OSBY</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17458-2023</t>
        </is>
      </c>
      <c r="B1880" s="1" t="n">
        <v>45034</v>
      </c>
      <c r="C1880" s="1" t="n">
        <v>45914</v>
      </c>
      <c r="D1880" t="inlineStr">
        <is>
          <t>SKÅNE LÄN</t>
        </is>
      </c>
      <c r="E1880" t="inlineStr">
        <is>
          <t>ÖRKELLJUNGA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8665-2022</t>
        </is>
      </c>
      <c r="B1881" s="1" t="n">
        <v>44613</v>
      </c>
      <c r="C1881" s="1" t="n">
        <v>45914</v>
      </c>
      <c r="D1881" t="inlineStr">
        <is>
          <t>SKÅNE LÄN</t>
        </is>
      </c>
      <c r="E1881" t="inlineStr">
        <is>
          <t>ÄNGELHOLM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43856-2021</t>
        </is>
      </c>
      <c r="B1882" s="1" t="n">
        <v>44434</v>
      </c>
      <c r="C1882" s="1" t="n">
        <v>45914</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37764-2022</t>
        </is>
      </c>
      <c r="B1883" s="1" t="n">
        <v>44810</v>
      </c>
      <c r="C1883" s="1" t="n">
        <v>45914</v>
      </c>
      <c r="D1883" t="inlineStr">
        <is>
          <t>SKÅNE LÄN</t>
        </is>
      </c>
      <c r="E1883" t="inlineStr">
        <is>
          <t>HÄSSLEHOLM</t>
        </is>
      </c>
      <c r="F1883" t="inlineStr">
        <is>
          <t>Kyrkan</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54711-2024</t>
        </is>
      </c>
      <c r="B1884" s="1" t="n">
        <v>45618</v>
      </c>
      <c r="C1884" s="1" t="n">
        <v>45914</v>
      </c>
      <c r="D1884" t="inlineStr">
        <is>
          <t>SKÅNE LÄN</t>
        </is>
      </c>
      <c r="E1884" t="inlineStr">
        <is>
          <t>HÖÖR</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43321-2023</t>
        </is>
      </c>
      <c r="B1885" s="1" t="n">
        <v>45183</v>
      </c>
      <c r="C1885" s="1" t="n">
        <v>45914</v>
      </c>
      <c r="D1885" t="inlineStr">
        <is>
          <t>SKÅNE LÄN</t>
        </is>
      </c>
      <c r="E1885" t="inlineStr">
        <is>
          <t>KRISTIANSTAD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60474-2022</t>
        </is>
      </c>
      <c r="B1886" s="1" t="n">
        <v>44904</v>
      </c>
      <c r="C1886" s="1" t="n">
        <v>45914</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39238-2023</t>
        </is>
      </c>
      <c r="B1887" s="1" t="n">
        <v>45162</v>
      </c>
      <c r="C1887" s="1" t="n">
        <v>45914</v>
      </c>
      <c r="D1887" t="inlineStr">
        <is>
          <t>SKÅNE LÄN</t>
        </is>
      </c>
      <c r="E1887" t="inlineStr">
        <is>
          <t>SIMRISHAMN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23469-2025</t>
        </is>
      </c>
      <c r="B1888" s="1" t="n">
        <v>45792.43915509259</v>
      </c>
      <c r="C1888" s="1" t="n">
        <v>45914</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22223-2024</t>
        </is>
      </c>
      <c r="B1889" s="1" t="n">
        <v>45446.41148148148</v>
      </c>
      <c r="C1889" s="1" t="n">
        <v>45914</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9466-2025</t>
        </is>
      </c>
      <c r="B1890" s="1" t="n">
        <v>45715.46888888889</v>
      </c>
      <c r="C1890" s="1" t="n">
        <v>45914</v>
      </c>
      <c r="D1890" t="inlineStr">
        <is>
          <t>SKÅNE LÄN</t>
        </is>
      </c>
      <c r="E1890" t="inlineStr">
        <is>
          <t>HÖÖR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9987-2025</t>
        </is>
      </c>
      <c r="B1891" s="1" t="n">
        <v>45719.42331018519</v>
      </c>
      <c r="C1891" s="1" t="n">
        <v>45914</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22794-2024</t>
        </is>
      </c>
      <c r="B1892" s="1" t="n">
        <v>45448.49752314815</v>
      </c>
      <c r="C1892" s="1" t="n">
        <v>45914</v>
      </c>
      <c r="D1892" t="inlineStr">
        <is>
          <t>SKÅNE LÄN</t>
        </is>
      </c>
      <c r="E1892" t="inlineStr">
        <is>
          <t>SVALÖV</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28736-2024</t>
        </is>
      </c>
      <c r="B1893" s="1" t="n">
        <v>45478.56774305556</v>
      </c>
      <c r="C1893" s="1" t="n">
        <v>45914</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38080-2024</t>
        </is>
      </c>
      <c r="B1894" s="1" t="n">
        <v>45545.31652777778</v>
      </c>
      <c r="C1894" s="1" t="n">
        <v>45914</v>
      </c>
      <c r="D1894" t="inlineStr">
        <is>
          <t>SKÅNE LÄN</t>
        </is>
      </c>
      <c r="E1894" t="inlineStr">
        <is>
          <t>HÖRBY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13267-2023</t>
        </is>
      </c>
      <c r="B1895" s="1" t="n">
        <v>45003</v>
      </c>
      <c r="C1895" s="1" t="n">
        <v>45914</v>
      </c>
      <c r="D1895" t="inlineStr">
        <is>
          <t>SKÅNE LÄN</t>
        </is>
      </c>
      <c r="E1895" t="inlineStr">
        <is>
          <t>PERSTORP</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40962-2024</t>
        </is>
      </c>
      <c r="B1896" s="1" t="n">
        <v>45558.66828703704</v>
      </c>
      <c r="C1896" s="1" t="n">
        <v>45914</v>
      </c>
      <c r="D1896" t="inlineStr">
        <is>
          <t>SKÅNE LÄN</t>
        </is>
      </c>
      <c r="E1896" t="inlineStr">
        <is>
          <t>KRISTIANSTAD</t>
        </is>
      </c>
      <c r="F1896" t="inlineStr">
        <is>
          <t>Övriga Aktiebolag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38182-2024</t>
        </is>
      </c>
      <c r="B1897" s="1" t="n">
        <v>45545.47888888889</v>
      </c>
      <c r="C1897" s="1" t="n">
        <v>45914</v>
      </c>
      <c r="D1897" t="inlineStr">
        <is>
          <t>SKÅNE LÄN</t>
        </is>
      </c>
      <c r="E1897" t="inlineStr">
        <is>
          <t>BJUV</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14307-2023</t>
        </is>
      </c>
      <c r="B1898" s="1" t="n">
        <v>45011</v>
      </c>
      <c r="C1898" s="1" t="n">
        <v>45914</v>
      </c>
      <c r="D1898" t="inlineStr">
        <is>
          <t>SKÅNE LÄN</t>
        </is>
      </c>
      <c r="E1898" t="inlineStr">
        <is>
          <t>OSBY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38888-2023</t>
        </is>
      </c>
      <c r="B1899" s="1" t="n">
        <v>45161</v>
      </c>
      <c r="C1899" s="1" t="n">
        <v>45914</v>
      </c>
      <c r="D1899" t="inlineStr">
        <is>
          <t>SKÅNE LÄN</t>
        </is>
      </c>
      <c r="E1899" t="inlineStr">
        <is>
          <t>HÄSSLEHOLM</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42061-2024</t>
        </is>
      </c>
      <c r="B1900" s="1" t="n">
        <v>45561</v>
      </c>
      <c r="C1900" s="1" t="n">
        <v>45914</v>
      </c>
      <c r="D1900" t="inlineStr">
        <is>
          <t>SKÅNE LÄN</t>
        </is>
      </c>
      <c r="E1900" t="inlineStr">
        <is>
          <t>KRISTIANSTAD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31255-2024</t>
        </is>
      </c>
      <c r="B1901" s="1" t="n">
        <v>45503.69114583333</v>
      </c>
      <c r="C1901" s="1" t="n">
        <v>45914</v>
      </c>
      <c r="D1901" t="inlineStr">
        <is>
          <t>SKÅNE LÄN</t>
        </is>
      </c>
      <c r="E1901" t="inlineStr">
        <is>
          <t>HÄSSLEHOLM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34306-2024</t>
        </is>
      </c>
      <c r="B1902" s="1" t="n">
        <v>45524</v>
      </c>
      <c r="C1902" s="1" t="n">
        <v>45914</v>
      </c>
      <c r="D1902" t="inlineStr">
        <is>
          <t>SKÅNE LÄN</t>
        </is>
      </c>
      <c r="E1902" t="inlineStr">
        <is>
          <t>OSBY</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48223-2020</t>
        </is>
      </c>
      <c r="B1903" s="1" t="n">
        <v>44102</v>
      </c>
      <c r="C1903" s="1" t="n">
        <v>45914</v>
      </c>
      <c r="D1903" t="inlineStr">
        <is>
          <t>SKÅNE LÄN</t>
        </is>
      </c>
      <c r="E1903" t="inlineStr">
        <is>
          <t>OSBY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48693-2024</t>
        </is>
      </c>
      <c r="B1904" s="1" t="n">
        <v>45593</v>
      </c>
      <c r="C1904" s="1" t="n">
        <v>45914</v>
      </c>
      <c r="D1904" t="inlineStr">
        <is>
          <t>SKÅNE LÄN</t>
        </is>
      </c>
      <c r="E1904" t="inlineStr">
        <is>
          <t>KRISTIANSTAD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66984-2021</t>
        </is>
      </c>
      <c r="B1905" s="1" t="n">
        <v>44522.61341435185</v>
      </c>
      <c r="C1905" s="1" t="n">
        <v>45914</v>
      </c>
      <c r="D1905" t="inlineStr">
        <is>
          <t>SKÅNE LÄN</t>
        </is>
      </c>
      <c r="E1905" t="inlineStr">
        <is>
          <t>OSBY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54348-2022</t>
        </is>
      </c>
      <c r="B1906" s="1" t="n">
        <v>44882</v>
      </c>
      <c r="C1906" s="1" t="n">
        <v>45914</v>
      </c>
      <c r="D1906" t="inlineStr">
        <is>
          <t>SKÅNE LÄN</t>
        </is>
      </c>
      <c r="E1906" t="inlineStr">
        <is>
          <t>KLIPPAN</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42374-2023</t>
        </is>
      </c>
      <c r="B1907" s="1" t="n">
        <v>45180.5609375</v>
      </c>
      <c r="C1907" s="1" t="n">
        <v>45914</v>
      </c>
      <c r="D1907" t="inlineStr">
        <is>
          <t>SKÅNE LÄN</t>
        </is>
      </c>
      <c r="E1907" t="inlineStr">
        <is>
          <t>SIMRISHAMN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40668-2024</t>
        </is>
      </c>
      <c r="B1908" s="1" t="n">
        <v>45558.35518518519</v>
      </c>
      <c r="C1908" s="1" t="n">
        <v>45914</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18713-2024</t>
        </is>
      </c>
      <c r="B1909" s="1" t="n">
        <v>45426</v>
      </c>
      <c r="C1909" s="1" t="n">
        <v>45914</v>
      </c>
      <c r="D1909" t="inlineStr">
        <is>
          <t>SKÅNE LÄN</t>
        </is>
      </c>
      <c r="E1909" t="inlineStr">
        <is>
          <t>ESLÖV</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18888-2024</t>
        </is>
      </c>
      <c r="B1910" s="1" t="n">
        <v>45427</v>
      </c>
      <c r="C1910" s="1" t="n">
        <v>45914</v>
      </c>
      <c r="D1910" t="inlineStr">
        <is>
          <t>SKÅNE LÄN</t>
        </is>
      </c>
      <c r="E1910" t="inlineStr">
        <is>
          <t>SVEDALA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47508-2024</t>
        </is>
      </c>
      <c r="B1911" s="1" t="n">
        <v>45587.6075</v>
      </c>
      <c r="C1911" s="1" t="n">
        <v>45914</v>
      </c>
      <c r="D1911" t="inlineStr">
        <is>
          <t>SKÅNE LÄN</t>
        </is>
      </c>
      <c r="E1911" t="inlineStr">
        <is>
          <t>OSBY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64091-2023</t>
        </is>
      </c>
      <c r="B1912" s="1" t="n">
        <v>45279</v>
      </c>
      <c r="C1912" s="1" t="n">
        <v>45914</v>
      </c>
      <c r="D1912" t="inlineStr">
        <is>
          <t>SKÅNE LÄN</t>
        </is>
      </c>
      <c r="E1912" t="inlineStr">
        <is>
          <t>ÖRKELLJUNGA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27251-2024</t>
        </is>
      </c>
      <c r="B1913" s="1" t="n">
        <v>45471</v>
      </c>
      <c r="C1913" s="1" t="n">
        <v>45914</v>
      </c>
      <c r="D1913" t="inlineStr">
        <is>
          <t>SKÅNE LÄN</t>
        </is>
      </c>
      <c r="E1913" t="inlineStr">
        <is>
          <t>HÖÖR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27005-2024</t>
        </is>
      </c>
      <c r="B1914" s="1" t="n">
        <v>45471.39585648148</v>
      </c>
      <c r="C1914" s="1" t="n">
        <v>45914</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7904-2022</t>
        </is>
      </c>
      <c r="B1915" s="1" t="n">
        <v>44607</v>
      </c>
      <c r="C1915" s="1" t="n">
        <v>45914</v>
      </c>
      <c r="D1915" t="inlineStr">
        <is>
          <t>SKÅNE LÄN</t>
        </is>
      </c>
      <c r="E1915" t="inlineStr">
        <is>
          <t>HÄSSLEHOLM</t>
        </is>
      </c>
      <c r="F1915" t="inlineStr">
        <is>
          <t>Kyrkan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9453-2021</t>
        </is>
      </c>
      <c r="B1916" s="1" t="n">
        <v>44251</v>
      </c>
      <c r="C1916" s="1" t="n">
        <v>45914</v>
      </c>
      <c r="D1916" t="inlineStr">
        <is>
          <t>SKÅNE LÄN</t>
        </is>
      </c>
      <c r="E1916" t="inlineStr">
        <is>
          <t>HÄSSLEHOLM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23116-2025</t>
        </is>
      </c>
      <c r="B1917" s="1" t="n">
        <v>45791.37001157407</v>
      </c>
      <c r="C1917" s="1" t="n">
        <v>45914</v>
      </c>
      <c r="D1917" t="inlineStr">
        <is>
          <t>SKÅNE LÄN</t>
        </is>
      </c>
      <c r="E1917" t="inlineStr">
        <is>
          <t>HÖÖR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28370-2024</t>
        </is>
      </c>
      <c r="B1918" s="1" t="n">
        <v>45477.58034722223</v>
      </c>
      <c r="C1918" s="1" t="n">
        <v>45914</v>
      </c>
      <c r="D1918" t="inlineStr">
        <is>
          <t>SKÅNE LÄN</t>
        </is>
      </c>
      <c r="E1918" t="inlineStr">
        <is>
          <t>PERSTORP</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6521-2025</t>
        </is>
      </c>
      <c r="B1919" s="1" t="n">
        <v>45699</v>
      </c>
      <c r="C1919" s="1" t="n">
        <v>45914</v>
      </c>
      <c r="D1919" t="inlineStr">
        <is>
          <t>SKÅNE LÄN</t>
        </is>
      </c>
      <c r="E1919" t="inlineStr">
        <is>
          <t>ÖSTRA GÖINGE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5992-2022</t>
        </is>
      </c>
      <c r="B1920" s="1" t="n">
        <v>44599</v>
      </c>
      <c r="C1920" s="1" t="n">
        <v>45914</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23185-2025</t>
        </is>
      </c>
      <c r="B1921" s="1" t="n">
        <v>45791</v>
      </c>
      <c r="C1921" s="1" t="n">
        <v>45914</v>
      </c>
      <c r="D1921" t="inlineStr">
        <is>
          <t>SKÅNE LÄN</t>
        </is>
      </c>
      <c r="E1921" t="inlineStr">
        <is>
          <t>TOMELILLA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3454-2022</t>
        </is>
      </c>
      <c r="B1922" s="1" t="n">
        <v>44585.57111111111</v>
      </c>
      <c r="C1922" s="1" t="n">
        <v>45914</v>
      </c>
      <c r="D1922" t="inlineStr">
        <is>
          <t>SKÅNE LÄN</t>
        </is>
      </c>
      <c r="E1922" t="inlineStr">
        <is>
          <t>OSBY</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37486-2024</t>
        </is>
      </c>
      <c r="B1923" s="1" t="n">
        <v>45541</v>
      </c>
      <c r="C1923" s="1" t="n">
        <v>45914</v>
      </c>
      <c r="D1923" t="inlineStr">
        <is>
          <t>SKÅNE LÄN</t>
        </is>
      </c>
      <c r="E1923" t="inlineStr">
        <is>
          <t>HÄSSLEHOLM</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44838-2023</t>
        </is>
      </c>
      <c r="B1924" s="1" t="n">
        <v>45190</v>
      </c>
      <c r="C1924" s="1" t="n">
        <v>45914</v>
      </c>
      <c r="D1924" t="inlineStr">
        <is>
          <t>SKÅNE LÄN</t>
        </is>
      </c>
      <c r="E1924" t="inlineStr">
        <is>
          <t>HÄSSLEHOLM</t>
        </is>
      </c>
      <c r="F1924" t="inlineStr">
        <is>
          <t>Kommuner</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3480-2022</t>
        </is>
      </c>
      <c r="B1925" s="1" t="n">
        <v>44585.62603009259</v>
      </c>
      <c r="C1925" s="1" t="n">
        <v>45914</v>
      </c>
      <c r="D1925" t="inlineStr">
        <is>
          <t>SKÅNE LÄN</t>
        </is>
      </c>
      <c r="E1925" t="inlineStr">
        <is>
          <t>HÖÖR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32990-2024</t>
        </is>
      </c>
      <c r="B1926" s="1" t="n">
        <v>45517</v>
      </c>
      <c r="C1926" s="1" t="n">
        <v>45914</v>
      </c>
      <c r="D1926" t="inlineStr">
        <is>
          <t>SKÅNE LÄN</t>
        </is>
      </c>
      <c r="E1926" t="inlineStr">
        <is>
          <t>KRISTIANSTAD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7250-2022</t>
        </is>
      </c>
      <c r="B1927" s="1" t="n">
        <v>44606</v>
      </c>
      <c r="C1927" s="1" t="n">
        <v>45914</v>
      </c>
      <c r="D1927" t="inlineStr">
        <is>
          <t>SKÅNE LÄN</t>
        </is>
      </c>
      <c r="E1927" t="inlineStr">
        <is>
          <t>HÄSSLEHOLM</t>
        </is>
      </c>
      <c r="F1927" t="inlineStr">
        <is>
          <t>Övriga Aktiebolag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11240-2023</t>
        </is>
      </c>
      <c r="B1928" s="1" t="n">
        <v>44992</v>
      </c>
      <c r="C1928" s="1" t="n">
        <v>45914</v>
      </c>
      <c r="D1928" t="inlineStr">
        <is>
          <t>SKÅNE LÄN</t>
        </is>
      </c>
      <c r="E1928" t="inlineStr">
        <is>
          <t>HÄSSLEHOLM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45641-2022</t>
        </is>
      </c>
      <c r="B1929" s="1" t="n">
        <v>44845</v>
      </c>
      <c r="C1929" s="1" t="n">
        <v>45914</v>
      </c>
      <c r="D1929" t="inlineStr">
        <is>
          <t>SKÅNE LÄN</t>
        </is>
      </c>
      <c r="E1929" t="inlineStr">
        <is>
          <t>KLIPPAN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69383-2021</t>
        </is>
      </c>
      <c r="B1930" s="1" t="n">
        <v>44531</v>
      </c>
      <c r="C1930" s="1" t="n">
        <v>45914</v>
      </c>
      <c r="D1930" t="inlineStr">
        <is>
          <t>SKÅNE LÄN</t>
        </is>
      </c>
      <c r="E1930" t="inlineStr">
        <is>
          <t>ÖSTRA GÖINGE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69390-2021</t>
        </is>
      </c>
      <c r="B1931" s="1" t="n">
        <v>44531</v>
      </c>
      <c r="C1931" s="1" t="n">
        <v>45914</v>
      </c>
      <c r="D1931" t="inlineStr">
        <is>
          <t>SKÅNE LÄN</t>
        </is>
      </c>
      <c r="E1931" t="inlineStr">
        <is>
          <t>ÖSTRA GÖINGE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31143-2024</t>
        </is>
      </c>
      <c r="B1932" s="1" t="n">
        <v>45502</v>
      </c>
      <c r="C1932" s="1" t="n">
        <v>45914</v>
      </c>
      <c r="D1932" t="inlineStr">
        <is>
          <t>SKÅNE LÄN</t>
        </is>
      </c>
      <c r="E1932" t="inlineStr">
        <is>
          <t>ÄNGELHOLM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4787-2023</t>
        </is>
      </c>
      <c r="B1933" s="1" t="n">
        <v>44957.60079861111</v>
      </c>
      <c r="C1933" s="1" t="n">
        <v>45914</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3248-2022</t>
        </is>
      </c>
      <c r="B1934" s="1" t="n">
        <v>44583</v>
      </c>
      <c r="C1934" s="1" t="n">
        <v>45914</v>
      </c>
      <c r="D1934" t="inlineStr">
        <is>
          <t>SKÅNE LÄN</t>
        </is>
      </c>
      <c r="E1934" t="inlineStr">
        <is>
          <t>HÄSSLEHOLM</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4788-2023</t>
        </is>
      </c>
      <c r="B1935" s="1" t="n">
        <v>44957.60130787037</v>
      </c>
      <c r="C1935" s="1" t="n">
        <v>45914</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54669-2023</t>
        </is>
      </c>
      <c r="B1936" s="1" t="n">
        <v>45235.63085648148</v>
      </c>
      <c r="C1936" s="1" t="n">
        <v>45914</v>
      </c>
      <c r="D1936" t="inlineStr">
        <is>
          <t>SKÅNE LÄN</t>
        </is>
      </c>
      <c r="E1936" t="inlineStr">
        <is>
          <t>ÖRKELLJUNGA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18571-2025</t>
        </is>
      </c>
      <c r="B1937" s="1" t="n">
        <v>45763</v>
      </c>
      <c r="C1937" s="1" t="n">
        <v>45914</v>
      </c>
      <c r="D1937" t="inlineStr">
        <is>
          <t>SKÅNE LÄN</t>
        </is>
      </c>
      <c r="E1937" t="inlineStr">
        <is>
          <t>ÄNGELHOLM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20054-2024</t>
        </is>
      </c>
      <c r="B1938" s="1" t="n">
        <v>45434</v>
      </c>
      <c r="C1938" s="1" t="n">
        <v>45914</v>
      </c>
      <c r="D1938" t="inlineStr">
        <is>
          <t>SKÅNE LÄN</t>
        </is>
      </c>
      <c r="E1938" t="inlineStr">
        <is>
          <t>BJUV</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12028-2025</t>
        </is>
      </c>
      <c r="B1939" s="1" t="n">
        <v>45728.64225694445</v>
      </c>
      <c r="C1939" s="1" t="n">
        <v>45914</v>
      </c>
      <c r="D1939" t="inlineStr">
        <is>
          <t>SKÅNE LÄN</t>
        </is>
      </c>
      <c r="E1939" t="inlineStr">
        <is>
          <t>HÖÖR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607-2024</t>
        </is>
      </c>
      <c r="B1940" s="1" t="n">
        <v>45299</v>
      </c>
      <c r="C1940" s="1" t="n">
        <v>45914</v>
      </c>
      <c r="D1940" t="inlineStr">
        <is>
          <t>SKÅNE LÄN</t>
        </is>
      </c>
      <c r="E1940" t="inlineStr">
        <is>
          <t>ÄNGELHOLM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666-2024</t>
        </is>
      </c>
      <c r="B1941" s="1" t="n">
        <v>45300.32600694444</v>
      </c>
      <c r="C1941" s="1" t="n">
        <v>45914</v>
      </c>
      <c r="D1941" t="inlineStr">
        <is>
          <t>SKÅNE LÄN</t>
        </is>
      </c>
      <c r="E1941" t="inlineStr">
        <is>
          <t>HÖRBY</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29355-2024</t>
        </is>
      </c>
      <c r="B1942" s="1" t="n">
        <v>45483.51128472222</v>
      </c>
      <c r="C1942" s="1" t="n">
        <v>45914</v>
      </c>
      <c r="D1942" t="inlineStr">
        <is>
          <t>SKÅNE LÄN</t>
        </is>
      </c>
      <c r="E1942" t="inlineStr">
        <is>
          <t>ÖSTRA GÖINGE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4425-2025</t>
        </is>
      </c>
      <c r="B1943" s="1" t="n">
        <v>45686.48164351852</v>
      </c>
      <c r="C1943" s="1" t="n">
        <v>45914</v>
      </c>
      <c r="D1943" t="inlineStr">
        <is>
          <t>SKÅNE LÄN</t>
        </is>
      </c>
      <c r="E1943" t="inlineStr">
        <is>
          <t>ÖSTRA GÖINGE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33320-2023</t>
        </is>
      </c>
      <c r="B1944" s="1" t="n">
        <v>45127</v>
      </c>
      <c r="C1944" s="1" t="n">
        <v>45914</v>
      </c>
      <c r="D1944" t="inlineStr">
        <is>
          <t>SKÅNE LÄN</t>
        </is>
      </c>
      <c r="E1944" t="inlineStr">
        <is>
          <t>KRISTIANSTAD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34256-2023</t>
        </is>
      </c>
      <c r="B1945" s="1" t="n">
        <v>45138.58577546296</v>
      </c>
      <c r="C1945" s="1" t="n">
        <v>45914</v>
      </c>
      <c r="D1945" t="inlineStr">
        <is>
          <t>SKÅNE LÄN</t>
        </is>
      </c>
      <c r="E1945" t="inlineStr">
        <is>
          <t>ÖSTRA GÖINGE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6310-2025</t>
        </is>
      </c>
      <c r="B1946" s="1" t="n">
        <v>45698</v>
      </c>
      <c r="C1946" s="1" t="n">
        <v>45914</v>
      </c>
      <c r="D1946" t="inlineStr">
        <is>
          <t>SKÅNE LÄN</t>
        </is>
      </c>
      <c r="E1946" t="inlineStr">
        <is>
          <t>HÄSSLEHOLM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15072-2024</t>
        </is>
      </c>
      <c r="B1947" s="1" t="n">
        <v>45399.5996875</v>
      </c>
      <c r="C1947" s="1" t="n">
        <v>45914</v>
      </c>
      <c r="D1947" t="inlineStr">
        <is>
          <t>SKÅNE LÄN</t>
        </is>
      </c>
      <c r="E1947" t="inlineStr">
        <is>
          <t>HÄSSLEHOLM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5619-2024</t>
        </is>
      </c>
      <c r="B1948" s="1" t="n">
        <v>45334</v>
      </c>
      <c r="C1948" s="1" t="n">
        <v>45914</v>
      </c>
      <c r="D1948" t="inlineStr">
        <is>
          <t>SKÅNE LÄN</t>
        </is>
      </c>
      <c r="E1948" t="inlineStr">
        <is>
          <t>HÖRBY</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16930-2024</t>
        </is>
      </c>
      <c r="B1949" s="1" t="n">
        <v>45411</v>
      </c>
      <c r="C1949" s="1" t="n">
        <v>45914</v>
      </c>
      <c r="D1949" t="inlineStr">
        <is>
          <t>SKÅNE LÄN</t>
        </is>
      </c>
      <c r="E1949" t="inlineStr">
        <is>
          <t>HÄSSLEHOLM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32210-2024</t>
        </is>
      </c>
      <c r="B1950" s="1" t="n">
        <v>45511.67777777778</v>
      </c>
      <c r="C1950" s="1" t="n">
        <v>45914</v>
      </c>
      <c r="D1950" t="inlineStr">
        <is>
          <t>SKÅNE LÄN</t>
        </is>
      </c>
      <c r="E1950" t="inlineStr">
        <is>
          <t>HÄSSLEHOLM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52930-2021</t>
        </is>
      </c>
      <c r="B1951" s="1" t="n">
        <v>44467</v>
      </c>
      <c r="C1951" s="1" t="n">
        <v>45914</v>
      </c>
      <c r="D1951" t="inlineStr">
        <is>
          <t>SKÅNE LÄN</t>
        </is>
      </c>
      <c r="E1951" t="inlineStr">
        <is>
          <t>ÖSTRA GÖINGE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59431-2023</t>
        </is>
      </c>
      <c r="B1952" s="1" t="n">
        <v>45254.29207175926</v>
      </c>
      <c r="C1952" s="1" t="n">
        <v>45914</v>
      </c>
      <c r="D1952" t="inlineStr">
        <is>
          <t>SKÅNE LÄN</t>
        </is>
      </c>
      <c r="E1952" t="inlineStr">
        <is>
          <t>HÄSSLEHOLM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59433-2023</t>
        </is>
      </c>
      <c r="B1953" s="1" t="n">
        <v>45254.29768518519</v>
      </c>
      <c r="C1953" s="1" t="n">
        <v>45914</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60504-2024</t>
        </is>
      </c>
      <c r="B1954" s="1" t="n">
        <v>45643</v>
      </c>
      <c r="C1954" s="1" t="n">
        <v>45914</v>
      </c>
      <c r="D1954" t="inlineStr">
        <is>
          <t>SKÅNE LÄN</t>
        </is>
      </c>
      <c r="E1954" t="inlineStr">
        <is>
          <t>ÖSTRA GÖINGE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11262-2025</t>
        </is>
      </c>
      <c r="B1955" s="1" t="n">
        <v>45726</v>
      </c>
      <c r="C1955" s="1" t="n">
        <v>45914</v>
      </c>
      <c r="D1955" t="inlineStr">
        <is>
          <t>SKÅNE LÄN</t>
        </is>
      </c>
      <c r="E1955" t="inlineStr">
        <is>
          <t>HÄSSLEHOLM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5395-2024</t>
        </is>
      </c>
      <c r="B1956" s="1" t="n">
        <v>45331</v>
      </c>
      <c r="C1956" s="1" t="n">
        <v>45914</v>
      </c>
      <c r="D1956" t="inlineStr">
        <is>
          <t>SKÅNE LÄN</t>
        </is>
      </c>
      <c r="E1956" t="inlineStr">
        <is>
          <t>HÄSSLEHOLM</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11460-2025</t>
        </is>
      </c>
      <c r="B1957" s="1" t="n">
        <v>45726</v>
      </c>
      <c r="C1957" s="1" t="n">
        <v>45914</v>
      </c>
      <c r="D1957" t="inlineStr">
        <is>
          <t>SKÅNE LÄN</t>
        </is>
      </c>
      <c r="E1957" t="inlineStr">
        <is>
          <t>ÖRKELLJUNGA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36232-2024</t>
        </is>
      </c>
      <c r="B1958" s="1" t="n">
        <v>45534.49101851852</v>
      </c>
      <c r="C1958" s="1" t="n">
        <v>45914</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38440-2024</t>
        </is>
      </c>
      <c r="B1959" s="1" t="n">
        <v>45546</v>
      </c>
      <c r="C1959" s="1" t="n">
        <v>45914</v>
      </c>
      <c r="D1959" t="inlineStr">
        <is>
          <t>SKÅNE LÄN</t>
        </is>
      </c>
      <c r="E1959" t="inlineStr">
        <is>
          <t>KRISTIANSTAD</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31704-2023</t>
        </is>
      </c>
      <c r="B1960" s="1" t="n">
        <v>45117</v>
      </c>
      <c r="C1960" s="1" t="n">
        <v>45914</v>
      </c>
      <c r="D1960" t="inlineStr">
        <is>
          <t>SKÅNE LÄN</t>
        </is>
      </c>
      <c r="E1960" t="inlineStr">
        <is>
          <t>ÖRKELLJUNGA</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45353-2024</t>
        </is>
      </c>
      <c r="B1961" s="1" t="n">
        <v>45576.47909722223</v>
      </c>
      <c r="C1961" s="1" t="n">
        <v>45914</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56069-2024</t>
        </is>
      </c>
      <c r="B1962" s="1" t="n">
        <v>45624.38006944444</v>
      </c>
      <c r="C1962" s="1" t="n">
        <v>45914</v>
      </c>
      <c r="D1962" t="inlineStr">
        <is>
          <t>SKÅNE LÄN</t>
        </is>
      </c>
      <c r="E1962" t="inlineStr">
        <is>
          <t>HÄSSLEHOLM</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2974-2024</t>
        </is>
      </c>
      <c r="B1963" s="1" t="n">
        <v>45315</v>
      </c>
      <c r="C1963" s="1" t="n">
        <v>45914</v>
      </c>
      <c r="D1963" t="inlineStr">
        <is>
          <t>SKÅNE LÄN</t>
        </is>
      </c>
      <c r="E1963" t="inlineStr">
        <is>
          <t>KRISTIANSTAD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31709-2023</t>
        </is>
      </c>
      <c r="B1964" s="1" t="n">
        <v>45117</v>
      </c>
      <c r="C1964" s="1" t="n">
        <v>45914</v>
      </c>
      <c r="D1964" t="inlineStr">
        <is>
          <t>SKÅNE LÄN</t>
        </is>
      </c>
      <c r="E1964" t="inlineStr">
        <is>
          <t>ÄNGELHOLM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37074-2024</t>
        </is>
      </c>
      <c r="B1965" s="1" t="n">
        <v>45539</v>
      </c>
      <c r="C1965" s="1" t="n">
        <v>45914</v>
      </c>
      <c r="D1965" t="inlineStr">
        <is>
          <t>SKÅNE LÄN</t>
        </is>
      </c>
      <c r="E1965" t="inlineStr">
        <is>
          <t>HÖÖR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31400-2025</t>
        </is>
      </c>
      <c r="B1966" s="1" t="n">
        <v>45833</v>
      </c>
      <c r="C1966" s="1" t="n">
        <v>45914</v>
      </c>
      <c r="D1966" t="inlineStr">
        <is>
          <t>SKÅNE LÄN</t>
        </is>
      </c>
      <c r="E1966" t="inlineStr">
        <is>
          <t>KRISTIANSTAD</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48197-2024</t>
        </is>
      </c>
      <c r="B1967" s="1" t="n">
        <v>45590</v>
      </c>
      <c r="C1967" s="1" t="n">
        <v>45914</v>
      </c>
      <c r="D1967" t="inlineStr">
        <is>
          <t>SKÅNE LÄN</t>
        </is>
      </c>
      <c r="E1967" t="inlineStr">
        <is>
          <t>ÄNGELHOLM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31773-2023</t>
        </is>
      </c>
      <c r="B1968" s="1" t="n">
        <v>45118</v>
      </c>
      <c r="C1968" s="1" t="n">
        <v>45914</v>
      </c>
      <c r="D1968" t="inlineStr">
        <is>
          <t>SKÅNE LÄN</t>
        </is>
      </c>
      <c r="E1968" t="inlineStr">
        <is>
          <t>LUND</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36606-2024</t>
        </is>
      </c>
      <c r="B1969" s="1" t="n">
        <v>45537.56913194444</v>
      </c>
      <c r="C1969" s="1" t="n">
        <v>45914</v>
      </c>
      <c r="D1969" t="inlineStr">
        <is>
          <t>SKÅNE LÄN</t>
        </is>
      </c>
      <c r="E1969" t="inlineStr">
        <is>
          <t>KLIPPAN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50250-2024</t>
        </is>
      </c>
      <c r="B1970" s="1" t="n">
        <v>45600.57039351852</v>
      </c>
      <c r="C1970" s="1" t="n">
        <v>45914</v>
      </c>
      <c r="D1970" t="inlineStr">
        <is>
          <t>SKÅNE LÄN</t>
        </is>
      </c>
      <c r="E1970" t="inlineStr">
        <is>
          <t>HÖÖR</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60797-2024</t>
        </is>
      </c>
      <c r="B1971" s="1" t="n">
        <v>45644</v>
      </c>
      <c r="C1971" s="1" t="n">
        <v>45914</v>
      </c>
      <c r="D1971" t="inlineStr">
        <is>
          <t>SKÅNE LÄN</t>
        </is>
      </c>
      <c r="E1971" t="inlineStr">
        <is>
          <t>HÄSSLEHOLM</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31404-2025</t>
        </is>
      </c>
      <c r="B1972" s="1" t="n">
        <v>45833</v>
      </c>
      <c r="C1972" s="1" t="n">
        <v>45914</v>
      </c>
      <c r="D1972" t="inlineStr">
        <is>
          <t>SKÅNE LÄN</t>
        </is>
      </c>
      <c r="E1972" t="inlineStr">
        <is>
          <t>BROMÖLLA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39097-2024</t>
        </is>
      </c>
      <c r="B1973" s="1" t="n">
        <v>45548.56422453704</v>
      </c>
      <c r="C1973" s="1" t="n">
        <v>45914</v>
      </c>
      <c r="D1973" t="inlineStr">
        <is>
          <t>SKÅNE LÄN</t>
        </is>
      </c>
      <c r="E1973" t="inlineStr">
        <is>
          <t>KLIPPAN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7707-2024</t>
        </is>
      </c>
      <c r="B1974" s="1" t="n">
        <v>45349.35894675926</v>
      </c>
      <c r="C1974" s="1" t="n">
        <v>45914</v>
      </c>
      <c r="D1974" t="inlineStr">
        <is>
          <t>SKÅNE LÄN</t>
        </is>
      </c>
      <c r="E1974" t="inlineStr">
        <is>
          <t>ÖRKELLJUNGA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16474-2025</t>
        </is>
      </c>
      <c r="B1975" s="1" t="n">
        <v>45751.56834490741</v>
      </c>
      <c r="C1975" s="1" t="n">
        <v>45914</v>
      </c>
      <c r="D1975" t="inlineStr">
        <is>
          <t>SKÅNE LÄN</t>
        </is>
      </c>
      <c r="E1975" t="inlineStr">
        <is>
          <t>HÄSSLEHOLM</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17023-2025</t>
        </is>
      </c>
      <c r="B1976" s="1" t="n">
        <v>45755</v>
      </c>
      <c r="C1976" s="1" t="n">
        <v>45914</v>
      </c>
      <c r="D1976" t="inlineStr">
        <is>
          <t>SKÅNE LÄN</t>
        </is>
      </c>
      <c r="E1976" t="inlineStr">
        <is>
          <t>KRISTIANSTAD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17024-2025</t>
        </is>
      </c>
      <c r="B1977" s="1" t="n">
        <v>45755</v>
      </c>
      <c r="C1977" s="1" t="n">
        <v>45914</v>
      </c>
      <c r="D1977" t="inlineStr">
        <is>
          <t>SKÅNE LÄN</t>
        </is>
      </c>
      <c r="E1977" t="inlineStr">
        <is>
          <t>KRISTIANSTAD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17026-2025</t>
        </is>
      </c>
      <c r="B1978" s="1" t="n">
        <v>45755</v>
      </c>
      <c r="C1978" s="1" t="n">
        <v>45914</v>
      </c>
      <c r="D1978" t="inlineStr">
        <is>
          <t>SKÅNE LÄN</t>
        </is>
      </c>
      <c r="E1978" t="inlineStr">
        <is>
          <t>KRISTIANSTAD</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8524-2024</t>
        </is>
      </c>
      <c r="B1979" s="1" t="n">
        <v>45355.48570601852</v>
      </c>
      <c r="C1979" s="1" t="n">
        <v>45914</v>
      </c>
      <c r="D1979" t="inlineStr">
        <is>
          <t>SKÅNE LÄN</t>
        </is>
      </c>
      <c r="E1979" t="inlineStr">
        <is>
          <t>HÄSSLEHOLM</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36229-2024</t>
        </is>
      </c>
      <c r="B1980" s="1" t="n">
        <v>45534.48851851852</v>
      </c>
      <c r="C1980" s="1" t="n">
        <v>45914</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22157-2024</t>
        </is>
      </c>
      <c r="B1981" s="1" t="n">
        <v>45445.85290509259</v>
      </c>
      <c r="C1981" s="1" t="n">
        <v>45914</v>
      </c>
      <c r="D1981" t="inlineStr">
        <is>
          <t>SKÅNE LÄN</t>
        </is>
      </c>
      <c r="E1981" t="inlineStr">
        <is>
          <t>HÄSSLEHOLM</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22174-2024</t>
        </is>
      </c>
      <c r="B1982" s="1" t="n">
        <v>45446.31069444444</v>
      </c>
      <c r="C1982" s="1" t="n">
        <v>45914</v>
      </c>
      <c r="D1982" t="inlineStr">
        <is>
          <t>SKÅNE LÄN</t>
        </is>
      </c>
      <c r="E1982" t="inlineStr">
        <is>
          <t>OSBY</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32814-2023</t>
        </is>
      </c>
      <c r="B1983" s="1" t="n">
        <v>45124</v>
      </c>
      <c r="C1983" s="1" t="n">
        <v>45914</v>
      </c>
      <c r="D1983" t="inlineStr">
        <is>
          <t>SKÅNE LÄN</t>
        </is>
      </c>
      <c r="E1983" t="inlineStr">
        <is>
          <t>KRISTIANSTAD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23864-2024</t>
        </is>
      </c>
      <c r="B1984" s="1" t="n">
        <v>45455</v>
      </c>
      <c r="C1984" s="1" t="n">
        <v>45914</v>
      </c>
      <c r="D1984" t="inlineStr">
        <is>
          <t>SKÅNE LÄN</t>
        </is>
      </c>
      <c r="E1984" t="inlineStr">
        <is>
          <t>HÄSSLEHOLM</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64835-2023</t>
        </is>
      </c>
      <c r="B1985" s="1" t="n">
        <v>45282</v>
      </c>
      <c r="C1985" s="1" t="n">
        <v>45914</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14145-2023</t>
        </is>
      </c>
      <c r="B1986" s="1" t="n">
        <v>45009</v>
      </c>
      <c r="C1986" s="1" t="n">
        <v>45914</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14777-2025</t>
        </is>
      </c>
      <c r="B1987" s="1" t="n">
        <v>45742.69731481482</v>
      </c>
      <c r="C1987" s="1" t="n">
        <v>45914</v>
      </c>
      <c r="D1987" t="inlineStr">
        <is>
          <t>SKÅNE LÄN</t>
        </is>
      </c>
      <c r="E1987" t="inlineStr">
        <is>
          <t>OSBY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14514-2023</t>
        </is>
      </c>
      <c r="B1988" s="1" t="n">
        <v>45012</v>
      </c>
      <c r="C1988" s="1" t="n">
        <v>45914</v>
      </c>
      <c r="D1988" t="inlineStr">
        <is>
          <t>SKÅNE LÄN</t>
        </is>
      </c>
      <c r="E1988" t="inlineStr">
        <is>
          <t>HÖÖR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14516-2023</t>
        </is>
      </c>
      <c r="B1989" s="1" t="n">
        <v>45012.86600694444</v>
      </c>
      <c r="C1989" s="1" t="n">
        <v>45914</v>
      </c>
      <c r="D1989" t="inlineStr">
        <is>
          <t>SKÅNE LÄN</t>
        </is>
      </c>
      <c r="E1989" t="inlineStr">
        <is>
          <t>ÅSTORP</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51895-2021</t>
        </is>
      </c>
      <c r="B1990" s="1" t="n">
        <v>44462</v>
      </c>
      <c r="C1990" s="1" t="n">
        <v>45914</v>
      </c>
      <c r="D1990" t="inlineStr">
        <is>
          <t>SKÅNE LÄN</t>
        </is>
      </c>
      <c r="E1990" t="inlineStr">
        <is>
          <t>HÄSSLEHOLM</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25822-2022</t>
        </is>
      </c>
      <c r="B1991" s="1" t="n">
        <v>44733.56212962963</v>
      </c>
      <c r="C1991" s="1" t="n">
        <v>45914</v>
      </c>
      <c r="D1991" t="inlineStr">
        <is>
          <t>SKÅNE LÄN</t>
        </is>
      </c>
      <c r="E1991" t="inlineStr">
        <is>
          <t>SIMRISHAMN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10196-2025</t>
        </is>
      </c>
      <c r="B1992" s="1" t="n">
        <v>45719</v>
      </c>
      <c r="C1992" s="1" t="n">
        <v>45914</v>
      </c>
      <c r="D1992" t="inlineStr">
        <is>
          <t>SKÅNE LÄN</t>
        </is>
      </c>
      <c r="E1992" t="inlineStr">
        <is>
          <t>SVALÖV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51898-2024</t>
        </is>
      </c>
      <c r="B1993" s="1" t="n">
        <v>45607.58175925926</v>
      </c>
      <c r="C1993" s="1" t="n">
        <v>45914</v>
      </c>
      <c r="D1993" t="inlineStr">
        <is>
          <t>SKÅNE LÄN</t>
        </is>
      </c>
      <c r="E1993" t="inlineStr">
        <is>
          <t>KRISTIANSTAD</t>
        </is>
      </c>
      <c r="F1993" t="inlineStr">
        <is>
          <t>Övriga Aktiebolag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24034-2025</t>
        </is>
      </c>
      <c r="B1994" s="1" t="n">
        <v>45796.48251157408</v>
      </c>
      <c r="C1994" s="1" t="n">
        <v>45914</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40814-2023</t>
        </is>
      </c>
      <c r="B1995" s="1" t="n">
        <v>45171.54957175926</v>
      </c>
      <c r="C1995" s="1" t="n">
        <v>45914</v>
      </c>
      <c r="D1995" t="inlineStr">
        <is>
          <t>SKÅNE LÄN</t>
        </is>
      </c>
      <c r="E1995" t="inlineStr">
        <is>
          <t>ÖRKELLJUNGA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30951-2023</t>
        </is>
      </c>
      <c r="B1996" s="1" t="n">
        <v>45113</v>
      </c>
      <c r="C1996" s="1" t="n">
        <v>45914</v>
      </c>
      <c r="D1996" t="inlineStr">
        <is>
          <t>SKÅNE LÄN</t>
        </is>
      </c>
      <c r="E1996" t="inlineStr">
        <is>
          <t>HÖÖR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40017-2023</t>
        </is>
      </c>
      <c r="B1997" s="1" t="n">
        <v>45168</v>
      </c>
      <c r="C1997" s="1" t="n">
        <v>45914</v>
      </c>
      <c r="D1997" t="inlineStr">
        <is>
          <t>SKÅNE LÄN</t>
        </is>
      </c>
      <c r="E1997" t="inlineStr">
        <is>
          <t>ÖRKELLJUNGA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8208-2025</t>
        </is>
      </c>
      <c r="B1998" s="1" t="n">
        <v>45708.44246527777</v>
      </c>
      <c r="C1998" s="1" t="n">
        <v>45914</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65640-2021</t>
        </is>
      </c>
      <c r="B1999" s="1" t="n">
        <v>44516</v>
      </c>
      <c r="C1999" s="1" t="n">
        <v>45914</v>
      </c>
      <c r="D1999" t="inlineStr">
        <is>
          <t>SKÅNE LÄN</t>
        </is>
      </c>
      <c r="E1999" t="inlineStr">
        <is>
          <t>TRELLEBORG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54174-2022</t>
        </is>
      </c>
      <c r="B2000" s="1" t="n">
        <v>44881</v>
      </c>
      <c r="C2000" s="1" t="n">
        <v>45914</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52235-2021</t>
        </is>
      </c>
      <c r="B2001" s="1" t="n">
        <v>44463.60085648148</v>
      </c>
      <c r="C2001" s="1" t="n">
        <v>45914</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24039-2025</t>
        </is>
      </c>
      <c r="B2002" s="1" t="n">
        <v>45796.48675925926</v>
      </c>
      <c r="C2002" s="1" t="n">
        <v>45914</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6309-2025</t>
        </is>
      </c>
      <c r="B2003" s="1" t="n">
        <v>45698</v>
      </c>
      <c r="C2003" s="1" t="n">
        <v>45914</v>
      </c>
      <c r="D2003" t="inlineStr">
        <is>
          <t>SKÅNE LÄN</t>
        </is>
      </c>
      <c r="E2003" t="inlineStr">
        <is>
          <t>HÄSSLEHOLM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17371-2024</t>
        </is>
      </c>
      <c r="B2004" s="1" t="n">
        <v>45414.63265046296</v>
      </c>
      <c r="C2004" s="1" t="n">
        <v>45914</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5853-2022</t>
        </is>
      </c>
      <c r="B2005" s="1" t="n">
        <v>44596</v>
      </c>
      <c r="C2005" s="1" t="n">
        <v>45914</v>
      </c>
      <c r="D2005" t="inlineStr">
        <is>
          <t>SKÅNE LÄN</t>
        </is>
      </c>
      <c r="E2005" t="inlineStr">
        <is>
          <t>KRISTIANSTAD</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35037-2024</t>
        </is>
      </c>
      <c r="B2006" s="1" t="n">
        <v>45527</v>
      </c>
      <c r="C2006" s="1" t="n">
        <v>45914</v>
      </c>
      <c r="D2006" t="inlineStr">
        <is>
          <t>SKÅNE LÄN</t>
        </is>
      </c>
      <c r="E2006" t="inlineStr">
        <is>
          <t>ÖSTRA GÖINGE</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60319-2024</t>
        </is>
      </c>
      <c r="B2007" s="1" t="n">
        <v>45643.36903935186</v>
      </c>
      <c r="C2007" s="1" t="n">
        <v>45914</v>
      </c>
      <c r="D2007" t="inlineStr">
        <is>
          <t>SKÅNE LÄN</t>
        </is>
      </c>
      <c r="E2007" t="inlineStr">
        <is>
          <t>OSBY</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31616-2024</t>
        </is>
      </c>
      <c r="B2008" s="1" t="n">
        <v>45506</v>
      </c>
      <c r="C2008" s="1" t="n">
        <v>45914</v>
      </c>
      <c r="D2008" t="inlineStr">
        <is>
          <t>SKÅNE LÄN</t>
        </is>
      </c>
      <c r="E2008" t="inlineStr">
        <is>
          <t>KRISTIANSTAD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4481-2024</t>
        </is>
      </c>
      <c r="B2009" s="1" t="n">
        <v>45327</v>
      </c>
      <c r="C2009" s="1" t="n">
        <v>45914</v>
      </c>
      <c r="D2009" t="inlineStr">
        <is>
          <t>SKÅNE LÄN</t>
        </is>
      </c>
      <c r="E2009" t="inlineStr">
        <is>
          <t>BÅSTAD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51844-2023</t>
        </is>
      </c>
      <c r="B2010" s="1" t="n">
        <v>45223</v>
      </c>
      <c r="C2010" s="1" t="n">
        <v>45914</v>
      </c>
      <c r="D2010" t="inlineStr">
        <is>
          <t>SKÅNE LÄN</t>
        </is>
      </c>
      <c r="E2010" t="inlineStr">
        <is>
          <t>KLIPPAN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53302-2022</t>
        </is>
      </c>
      <c r="B2011" s="1" t="n">
        <v>44877</v>
      </c>
      <c r="C2011" s="1" t="n">
        <v>45914</v>
      </c>
      <c r="D2011" t="inlineStr">
        <is>
          <t>SKÅNE LÄN</t>
        </is>
      </c>
      <c r="E2011" t="inlineStr">
        <is>
          <t>HÄSSLEHOLM</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28746-2024</t>
        </is>
      </c>
      <c r="B2012" s="1" t="n">
        <v>45478</v>
      </c>
      <c r="C2012" s="1" t="n">
        <v>45914</v>
      </c>
      <c r="D2012" t="inlineStr">
        <is>
          <t>SKÅNE LÄN</t>
        </is>
      </c>
      <c r="E2012" t="inlineStr">
        <is>
          <t>HÖRBY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23227-2023</t>
        </is>
      </c>
      <c r="B2013" s="1" t="n">
        <v>45075</v>
      </c>
      <c r="C2013" s="1" t="n">
        <v>45914</v>
      </c>
      <c r="D2013" t="inlineStr">
        <is>
          <t>SKÅNE LÄN</t>
        </is>
      </c>
      <c r="E2013" t="inlineStr">
        <is>
          <t>ÄNGELHOLM</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5950-2024</t>
        </is>
      </c>
      <c r="B2014" s="1" t="n">
        <v>45335</v>
      </c>
      <c r="C2014" s="1" t="n">
        <v>45914</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40719-2022</t>
        </is>
      </c>
      <c r="B2015" s="1" t="n">
        <v>44824</v>
      </c>
      <c r="C2015" s="1" t="n">
        <v>45914</v>
      </c>
      <c r="D2015" t="inlineStr">
        <is>
          <t>SKÅNE LÄN</t>
        </is>
      </c>
      <c r="E2015" t="inlineStr">
        <is>
          <t>BROMÖLLA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1424-2025</t>
        </is>
      </c>
      <c r="B2016" s="1" t="n">
        <v>45668.65929398148</v>
      </c>
      <c r="C2016" s="1" t="n">
        <v>45914</v>
      </c>
      <c r="D2016" t="inlineStr">
        <is>
          <t>SKÅNE LÄN</t>
        </is>
      </c>
      <c r="E2016" t="inlineStr">
        <is>
          <t>KRISTIANSTAD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863-2025</t>
        </is>
      </c>
      <c r="B2017" s="1" t="n">
        <v>45665.61969907407</v>
      </c>
      <c r="C2017" s="1" t="n">
        <v>45914</v>
      </c>
      <c r="D2017" t="inlineStr">
        <is>
          <t>SKÅNE LÄN</t>
        </is>
      </c>
      <c r="E2017" t="inlineStr">
        <is>
          <t>OSBY</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872-2025</t>
        </is>
      </c>
      <c r="B2018" s="1" t="n">
        <v>45665.6306712963</v>
      </c>
      <c r="C2018" s="1" t="n">
        <v>45914</v>
      </c>
      <c r="D2018" t="inlineStr">
        <is>
          <t>SKÅNE LÄN</t>
        </is>
      </c>
      <c r="E2018" t="inlineStr">
        <is>
          <t>OSBY</t>
        </is>
      </c>
      <c r="F2018" t="inlineStr">
        <is>
          <t>Sveaskog</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12344-2023</t>
        </is>
      </c>
      <c r="B2019" s="1" t="n">
        <v>44999</v>
      </c>
      <c r="C2019" s="1" t="n">
        <v>45914</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19066-2021</t>
        </is>
      </c>
      <c r="B2020" s="1" t="n">
        <v>44308</v>
      </c>
      <c r="C2020" s="1" t="n">
        <v>45914</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52642-2021</t>
        </is>
      </c>
      <c r="B2021" s="1" t="n">
        <v>44466.64298611111</v>
      </c>
      <c r="C2021" s="1" t="n">
        <v>45914</v>
      </c>
      <c r="D2021" t="inlineStr">
        <is>
          <t>SKÅNE LÄN</t>
        </is>
      </c>
      <c r="E2021" t="inlineStr">
        <is>
          <t>HÄSSLEHOLM</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29850-2024</t>
        </is>
      </c>
      <c r="B2022" s="1" t="n">
        <v>45485.64620370371</v>
      </c>
      <c r="C2022" s="1" t="n">
        <v>45914</v>
      </c>
      <c r="D2022" t="inlineStr">
        <is>
          <t>SKÅNE LÄN</t>
        </is>
      </c>
      <c r="E2022" t="inlineStr">
        <is>
          <t>HÄSSLEHOLM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58272-2024</t>
        </is>
      </c>
      <c r="B2023" s="1" t="n">
        <v>45632.57025462963</v>
      </c>
      <c r="C2023" s="1" t="n">
        <v>45914</v>
      </c>
      <c r="D2023" t="inlineStr">
        <is>
          <t>SKÅNE LÄN</t>
        </is>
      </c>
      <c r="E2023" t="inlineStr">
        <is>
          <t>HÄSSLEHOLM</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61137-2024</t>
        </is>
      </c>
      <c r="B2024" s="1" t="n">
        <v>45645</v>
      </c>
      <c r="C2024" s="1" t="n">
        <v>45914</v>
      </c>
      <c r="D2024" t="inlineStr">
        <is>
          <t>SKÅNE LÄN</t>
        </is>
      </c>
      <c r="E2024" t="inlineStr">
        <is>
          <t>ÖSTRA GÖINGE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58293-2024</t>
        </is>
      </c>
      <c r="B2025" s="1" t="n">
        <v>45632.59363425926</v>
      </c>
      <c r="C2025" s="1" t="n">
        <v>45914</v>
      </c>
      <c r="D2025" t="inlineStr">
        <is>
          <t>SKÅNE LÄN</t>
        </is>
      </c>
      <c r="E2025" t="inlineStr">
        <is>
          <t>OSBY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62117-2022</t>
        </is>
      </c>
      <c r="B2026" s="1" t="n">
        <v>44921.55061342593</v>
      </c>
      <c r="C2026" s="1" t="n">
        <v>45914</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13754-2022</t>
        </is>
      </c>
      <c r="B2027" s="1" t="n">
        <v>44649</v>
      </c>
      <c r="C2027" s="1" t="n">
        <v>45914</v>
      </c>
      <c r="D2027" t="inlineStr">
        <is>
          <t>SKÅNE LÄN</t>
        </is>
      </c>
      <c r="E2027" t="inlineStr">
        <is>
          <t>LUND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54959-2022</t>
        </is>
      </c>
      <c r="B2028" s="1" t="n">
        <v>44886</v>
      </c>
      <c r="C2028" s="1" t="n">
        <v>45914</v>
      </c>
      <c r="D2028" t="inlineStr">
        <is>
          <t>SKÅNE LÄN</t>
        </is>
      </c>
      <c r="E2028" t="inlineStr">
        <is>
          <t>SJÖBO</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17760-2025</t>
        </is>
      </c>
      <c r="B2029" s="1" t="n">
        <v>45758</v>
      </c>
      <c r="C2029" s="1" t="n">
        <v>45914</v>
      </c>
      <c r="D2029" t="inlineStr">
        <is>
          <t>SKÅNE LÄN</t>
        </is>
      </c>
      <c r="E2029" t="inlineStr">
        <is>
          <t>TOMELILLA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5224-2024</t>
        </is>
      </c>
      <c r="B2030" s="1" t="n">
        <v>45330</v>
      </c>
      <c r="C2030" s="1" t="n">
        <v>45914</v>
      </c>
      <c r="D2030" t="inlineStr">
        <is>
          <t>SKÅNE LÄN</t>
        </is>
      </c>
      <c r="E2030" t="inlineStr">
        <is>
          <t>SIMRISHAMN</t>
        </is>
      </c>
      <c r="F2030" t="inlineStr">
        <is>
          <t>Övriga Aktiebolag</t>
        </is>
      </c>
      <c r="G2030" t="n">
        <v>18.4</v>
      </c>
      <c r="H2030" t="n">
        <v>0</v>
      </c>
      <c r="I2030" t="n">
        <v>0</v>
      </c>
      <c r="J2030" t="n">
        <v>0</v>
      </c>
      <c r="K2030" t="n">
        <v>0</v>
      </c>
      <c r="L2030" t="n">
        <v>0</v>
      </c>
      <c r="M2030" t="n">
        <v>0</v>
      </c>
      <c r="N2030" t="n">
        <v>0</v>
      </c>
      <c r="O2030" t="n">
        <v>0</v>
      </c>
      <c r="P2030" t="n">
        <v>0</v>
      </c>
      <c r="Q2030" t="n">
        <v>0</v>
      </c>
      <c r="R2030" s="2" t="inlineStr"/>
    </row>
    <row r="2031" ht="15" customHeight="1">
      <c r="A2031" t="inlineStr">
        <is>
          <t>A 35711-2024</t>
        </is>
      </c>
      <c r="B2031" s="1" t="n">
        <v>45532</v>
      </c>
      <c r="C2031" s="1" t="n">
        <v>45914</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6596-2021</t>
        </is>
      </c>
      <c r="B2032" s="1" t="n">
        <v>44236</v>
      </c>
      <c r="C2032" s="1" t="n">
        <v>45914</v>
      </c>
      <c r="D2032" t="inlineStr">
        <is>
          <t>SKÅNE LÄN</t>
        </is>
      </c>
      <c r="E2032" t="inlineStr">
        <is>
          <t>HÄSSLEHOLM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7681-2025</t>
        </is>
      </c>
      <c r="B2033" s="1" t="n">
        <v>45706.36758101852</v>
      </c>
      <c r="C2033" s="1" t="n">
        <v>45914</v>
      </c>
      <c r="D2033" t="inlineStr">
        <is>
          <t>SKÅNE LÄN</t>
        </is>
      </c>
      <c r="E2033" t="inlineStr">
        <is>
          <t>HÄSSLEHOLM</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22345-2021</t>
        </is>
      </c>
      <c r="B2034" s="1" t="n">
        <v>44326</v>
      </c>
      <c r="C2034" s="1" t="n">
        <v>45914</v>
      </c>
      <c r="D2034" t="inlineStr">
        <is>
          <t>SKÅNE LÄN</t>
        </is>
      </c>
      <c r="E2034" t="inlineStr">
        <is>
          <t>KRISTIANSTAD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60877-2024</t>
        </is>
      </c>
      <c r="B2035" s="1" t="n">
        <v>45644.80398148148</v>
      </c>
      <c r="C2035" s="1" t="n">
        <v>45914</v>
      </c>
      <c r="D2035" t="inlineStr">
        <is>
          <t>SKÅNE LÄN</t>
        </is>
      </c>
      <c r="E2035" t="inlineStr">
        <is>
          <t>KRISTIANSTAD</t>
        </is>
      </c>
      <c r="F2035" t="inlineStr">
        <is>
          <t>Övriga Aktiebolag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57394-2024</t>
        </is>
      </c>
      <c r="B2036" s="1" t="n">
        <v>45629.6907175926</v>
      </c>
      <c r="C2036" s="1" t="n">
        <v>45914</v>
      </c>
      <c r="D2036" t="inlineStr">
        <is>
          <t>SKÅNE LÄN</t>
        </is>
      </c>
      <c r="E2036" t="inlineStr">
        <is>
          <t>BJUV</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45914</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12315-2025</t>
        </is>
      </c>
      <c r="B2038" s="1" t="n">
        <v>45729.81550925926</v>
      </c>
      <c r="C2038" s="1" t="n">
        <v>45914</v>
      </c>
      <c r="D2038" t="inlineStr">
        <is>
          <t>SKÅNE LÄN</t>
        </is>
      </c>
      <c r="E2038" t="inlineStr">
        <is>
          <t>KRISTIANSTAD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24032-2025</t>
        </is>
      </c>
      <c r="B2039" s="1" t="n">
        <v>45796.478125</v>
      </c>
      <c r="C2039" s="1" t="n">
        <v>45914</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57181-2024</t>
        </is>
      </c>
      <c r="B2040" s="1" t="n">
        <v>45629.44629629629</v>
      </c>
      <c r="C2040" s="1" t="n">
        <v>45914</v>
      </c>
      <c r="D2040" t="inlineStr">
        <is>
          <t>SKÅNE LÄN</t>
        </is>
      </c>
      <c r="E2040" t="inlineStr">
        <is>
          <t>BROMÖLLA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58297-2020</t>
        </is>
      </c>
      <c r="B2041" s="1" t="n">
        <v>44144</v>
      </c>
      <c r="C2041" s="1" t="n">
        <v>45914</v>
      </c>
      <c r="D2041" t="inlineStr">
        <is>
          <t>SKÅNE LÄN</t>
        </is>
      </c>
      <c r="E2041" t="inlineStr">
        <is>
          <t>KRISTIANSTAD</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54647-2023</t>
        </is>
      </c>
      <c r="B2042" s="1" t="n">
        <v>45235.41175925926</v>
      </c>
      <c r="C2042" s="1" t="n">
        <v>45914</v>
      </c>
      <c r="D2042" t="inlineStr">
        <is>
          <t>SKÅNE LÄN</t>
        </is>
      </c>
      <c r="E2042" t="inlineStr">
        <is>
          <t>PERSTORP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51153-2024</t>
        </is>
      </c>
      <c r="B2043" s="1" t="n">
        <v>45603.57090277778</v>
      </c>
      <c r="C2043" s="1" t="n">
        <v>45914</v>
      </c>
      <c r="D2043" t="inlineStr">
        <is>
          <t>SKÅNE LÄN</t>
        </is>
      </c>
      <c r="E2043" t="inlineStr">
        <is>
          <t>SJÖBO</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31391-2023</t>
        </is>
      </c>
      <c r="B2044" s="1" t="n">
        <v>45114.56143518518</v>
      </c>
      <c r="C2044" s="1" t="n">
        <v>45914</v>
      </c>
      <c r="D2044" t="inlineStr">
        <is>
          <t>SKÅNE LÄN</t>
        </is>
      </c>
      <c r="E2044" t="inlineStr">
        <is>
          <t>HÄSSLEHOLM</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31403-2023</t>
        </is>
      </c>
      <c r="B2045" s="1" t="n">
        <v>45114</v>
      </c>
      <c r="C2045" s="1" t="n">
        <v>45914</v>
      </c>
      <c r="D2045" t="inlineStr">
        <is>
          <t>SKÅNE LÄN</t>
        </is>
      </c>
      <c r="E2045" t="inlineStr">
        <is>
          <t>SJÖBO</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54709-2023</t>
        </is>
      </c>
      <c r="B2046" s="1" t="n">
        <v>45236.34621527778</v>
      </c>
      <c r="C2046" s="1" t="n">
        <v>45914</v>
      </c>
      <c r="D2046" t="inlineStr">
        <is>
          <t>SKÅNE LÄN</t>
        </is>
      </c>
      <c r="E2046" t="inlineStr">
        <is>
          <t>ÄNGELHOLM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20113-2024</t>
        </is>
      </c>
      <c r="B2047" s="1" t="n">
        <v>45434.52386574074</v>
      </c>
      <c r="C2047" s="1" t="n">
        <v>45914</v>
      </c>
      <c r="D2047" t="inlineStr">
        <is>
          <t>SKÅNE LÄN</t>
        </is>
      </c>
      <c r="E2047" t="inlineStr">
        <is>
          <t>OSBY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50652-2023</t>
        </is>
      </c>
      <c r="B2048" s="1" t="n">
        <v>45210</v>
      </c>
      <c r="C2048" s="1" t="n">
        <v>45914</v>
      </c>
      <c r="D2048" t="inlineStr">
        <is>
          <t>SKÅNE LÄN</t>
        </is>
      </c>
      <c r="E2048" t="inlineStr">
        <is>
          <t>ÄNGELHOLM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45361-2023</t>
        </is>
      </c>
      <c r="B2049" s="1" t="n">
        <v>45192.49068287037</v>
      </c>
      <c r="C2049" s="1" t="n">
        <v>45914</v>
      </c>
      <c r="D2049" t="inlineStr">
        <is>
          <t>SKÅNE LÄN</t>
        </is>
      </c>
      <c r="E2049" t="inlineStr">
        <is>
          <t>HÄSSLEHOLM</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50728-2023</t>
        </is>
      </c>
      <c r="B2050" s="1" t="n">
        <v>45217.57601851852</v>
      </c>
      <c r="C2050" s="1" t="n">
        <v>45914</v>
      </c>
      <c r="D2050" t="inlineStr">
        <is>
          <t>SKÅNE LÄN</t>
        </is>
      </c>
      <c r="E2050" t="inlineStr">
        <is>
          <t>OSBY</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62041-2022</t>
        </is>
      </c>
      <c r="B2051" s="1" t="n">
        <v>44918.55743055556</v>
      </c>
      <c r="C2051" s="1" t="n">
        <v>45914</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17737-2022</t>
        </is>
      </c>
      <c r="B2052" s="1" t="n">
        <v>44680.95025462963</v>
      </c>
      <c r="C2052" s="1" t="n">
        <v>45914</v>
      </c>
      <c r="D2052" t="inlineStr">
        <is>
          <t>SKÅNE LÄN</t>
        </is>
      </c>
      <c r="E2052" t="inlineStr">
        <is>
          <t>ÖSTRA GÖINGE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21072-2022</t>
        </is>
      </c>
      <c r="B2053" s="1" t="n">
        <v>44704</v>
      </c>
      <c r="C2053" s="1" t="n">
        <v>45914</v>
      </c>
      <c r="D2053" t="inlineStr">
        <is>
          <t>SKÅNE LÄN</t>
        </is>
      </c>
      <c r="E2053" t="inlineStr">
        <is>
          <t>SVEDALA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30893-2024</t>
        </is>
      </c>
      <c r="B2054" s="1" t="n">
        <v>45498</v>
      </c>
      <c r="C2054" s="1" t="n">
        <v>45914</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13344-2023</t>
        </is>
      </c>
      <c r="B2055" s="1" t="n">
        <v>45005</v>
      </c>
      <c r="C2055" s="1" t="n">
        <v>45914</v>
      </c>
      <c r="D2055" t="inlineStr">
        <is>
          <t>SKÅNE LÄN</t>
        </is>
      </c>
      <c r="E2055" t="inlineStr">
        <is>
          <t>SVEDALA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29832-2024</t>
        </is>
      </c>
      <c r="B2056" s="1" t="n">
        <v>45485.57604166667</v>
      </c>
      <c r="C2056" s="1" t="n">
        <v>45914</v>
      </c>
      <c r="D2056" t="inlineStr">
        <is>
          <t>SKÅNE LÄN</t>
        </is>
      </c>
      <c r="E2056" t="inlineStr">
        <is>
          <t>KRISTIANSTAD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13959-2025</t>
        </is>
      </c>
      <c r="B2057" s="1" t="n">
        <v>45737.90570601852</v>
      </c>
      <c r="C2057" s="1" t="n">
        <v>45914</v>
      </c>
      <c r="D2057" t="inlineStr">
        <is>
          <t>SKÅNE LÄN</t>
        </is>
      </c>
      <c r="E2057" t="inlineStr">
        <is>
          <t>OSBY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44675-2024</t>
        </is>
      </c>
      <c r="B2058" s="1" t="n">
        <v>45574.53934027778</v>
      </c>
      <c r="C2058" s="1" t="n">
        <v>45914</v>
      </c>
      <c r="D2058" t="inlineStr">
        <is>
          <t>SKÅNE LÄN</t>
        </is>
      </c>
      <c r="E2058" t="inlineStr">
        <is>
          <t>TOMELILLA</t>
        </is>
      </c>
      <c r="F2058" t="inlineStr">
        <is>
          <t>Sveaskog</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50134-2024</t>
        </is>
      </c>
      <c r="B2059" s="1" t="n">
        <v>45600.44069444444</v>
      </c>
      <c r="C2059" s="1" t="n">
        <v>45914</v>
      </c>
      <c r="D2059" t="inlineStr">
        <is>
          <t>SKÅNE LÄN</t>
        </is>
      </c>
      <c r="E2059" t="inlineStr">
        <is>
          <t>SIMRISHAMN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20950-2023</t>
        </is>
      </c>
      <c r="B2060" s="1" t="n">
        <v>45061</v>
      </c>
      <c r="C2060" s="1" t="n">
        <v>45914</v>
      </c>
      <c r="D2060" t="inlineStr">
        <is>
          <t>SKÅNE LÄN</t>
        </is>
      </c>
      <c r="E2060" t="inlineStr">
        <is>
          <t>SIMRISHAMN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45220-2023</t>
        </is>
      </c>
      <c r="B2061" s="1" t="n">
        <v>45191</v>
      </c>
      <c r="C2061" s="1" t="n">
        <v>45914</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38712-2024</t>
        </is>
      </c>
      <c r="B2062" s="1" t="n">
        <v>45547</v>
      </c>
      <c r="C2062" s="1" t="n">
        <v>45914</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5252-2025</t>
        </is>
      </c>
      <c r="B2063" s="1" t="n">
        <v>45692.3449537037</v>
      </c>
      <c r="C2063" s="1" t="n">
        <v>45914</v>
      </c>
      <c r="D2063" t="inlineStr">
        <is>
          <t>SKÅNE LÄN</t>
        </is>
      </c>
      <c r="E2063" t="inlineStr">
        <is>
          <t>HÄSSLEHOLM</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37082-2023</t>
        </is>
      </c>
      <c r="B2064" s="1" t="n">
        <v>45155</v>
      </c>
      <c r="C2064" s="1" t="n">
        <v>45914</v>
      </c>
      <c r="D2064" t="inlineStr">
        <is>
          <t>SKÅNE LÄN</t>
        </is>
      </c>
      <c r="E2064" t="inlineStr">
        <is>
          <t>HÖRBY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17673-2023</t>
        </is>
      </c>
      <c r="B2065" s="1" t="n">
        <v>45035</v>
      </c>
      <c r="C2065" s="1" t="n">
        <v>45914</v>
      </c>
      <c r="D2065" t="inlineStr">
        <is>
          <t>SKÅNE LÄN</t>
        </is>
      </c>
      <c r="E2065" t="inlineStr">
        <is>
          <t>OSBY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57647-2024</t>
        </is>
      </c>
      <c r="B2066" s="1" t="n">
        <v>45630</v>
      </c>
      <c r="C2066" s="1" t="n">
        <v>45914</v>
      </c>
      <c r="D2066" t="inlineStr">
        <is>
          <t>SKÅNE LÄN</t>
        </is>
      </c>
      <c r="E2066" t="inlineStr">
        <is>
          <t>HÄSSLEHOLM</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69387-2021</t>
        </is>
      </c>
      <c r="B2067" s="1" t="n">
        <v>44531</v>
      </c>
      <c r="C2067" s="1" t="n">
        <v>45914</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40584-2024</t>
        </is>
      </c>
      <c r="B2068" s="1" t="n">
        <v>45555.74299768519</v>
      </c>
      <c r="C2068" s="1" t="n">
        <v>45914</v>
      </c>
      <c r="D2068" t="inlineStr">
        <is>
          <t>SKÅNE LÄN</t>
        </is>
      </c>
      <c r="E2068" t="inlineStr">
        <is>
          <t>SIMRISHAMN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12833-2023</t>
        </is>
      </c>
      <c r="B2069" s="1" t="n">
        <v>45001</v>
      </c>
      <c r="C2069" s="1" t="n">
        <v>45914</v>
      </c>
      <c r="D2069" t="inlineStr">
        <is>
          <t>SKÅNE LÄN</t>
        </is>
      </c>
      <c r="E2069" t="inlineStr">
        <is>
          <t>HÖÖR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42653-2024</t>
        </is>
      </c>
      <c r="B2070" s="1" t="n">
        <v>45566.33113425926</v>
      </c>
      <c r="C2070" s="1" t="n">
        <v>45914</v>
      </c>
      <c r="D2070" t="inlineStr">
        <is>
          <t>SKÅNE LÄN</t>
        </is>
      </c>
      <c r="E2070" t="inlineStr">
        <is>
          <t>ÖRKELLJUNGA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6753-2025</t>
        </is>
      </c>
      <c r="B2071" s="1" t="n">
        <v>45700.61596064815</v>
      </c>
      <c r="C2071" s="1" t="n">
        <v>45914</v>
      </c>
      <c r="D2071" t="inlineStr">
        <is>
          <t>SKÅNE LÄN</t>
        </is>
      </c>
      <c r="E2071" t="inlineStr">
        <is>
          <t>ÖSTRA GÖINGE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24047-2025</t>
        </is>
      </c>
      <c r="B2072" s="1" t="n">
        <v>45796.49528935185</v>
      </c>
      <c r="C2072" s="1" t="n">
        <v>45914</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60789-2024</t>
        </is>
      </c>
      <c r="B2073" s="1" t="n">
        <v>45644</v>
      </c>
      <c r="C2073" s="1" t="n">
        <v>45914</v>
      </c>
      <c r="D2073" t="inlineStr">
        <is>
          <t>SKÅNE LÄN</t>
        </is>
      </c>
      <c r="E2073" t="inlineStr">
        <is>
          <t>HÄSSLEHOLM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61182-2024</t>
        </is>
      </c>
      <c r="B2074" s="1" t="n">
        <v>45645</v>
      </c>
      <c r="C2074" s="1" t="n">
        <v>45914</v>
      </c>
      <c r="D2074" t="inlineStr">
        <is>
          <t>SKÅNE LÄN</t>
        </is>
      </c>
      <c r="E2074" t="inlineStr">
        <is>
          <t>HÄSSLEHOLM</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40734-2024</t>
        </is>
      </c>
      <c r="B2075" s="1" t="n">
        <v>45558</v>
      </c>
      <c r="C2075" s="1" t="n">
        <v>45914</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40738-2024</t>
        </is>
      </c>
      <c r="B2076" s="1" t="n">
        <v>45558</v>
      </c>
      <c r="C2076" s="1" t="n">
        <v>45914</v>
      </c>
      <c r="D2076" t="inlineStr">
        <is>
          <t>SKÅNE LÄN</t>
        </is>
      </c>
      <c r="E2076" t="inlineStr">
        <is>
          <t>HÄSSLEHOLM</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46835-2023</t>
        </is>
      </c>
      <c r="B2077" s="1" t="n">
        <v>45199</v>
      </c>
      <c r="C2077" s="1" t="n">
        <v>45914</v>
      </c>
      <c r="D2077" t="inlineStr">
        <is>
          <t>SKÅNE LÄN</t>
        </is>
      </c>
      <c r="E2077" t="inlineStr">
        <is>
          <t>KLIPPAN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24029-2025</t>
        </is>
      </c>
      <c r="B2078" s="1" t="n">
        <v>45796.47552083333</v>
      </c>
      <c r="C2078" s="1" t="n">
        <v>45914</v>
      </c>
      <c r="D2078" t="inlineStr">
        <is>
          <t>SKÅNE LÄN</t>
        </is>
      </c>
      <c r="E2078" t="inlineStr">
        <is>
          <t>HÄSSLEHOLM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24038-2025</t>
        </is>
      </c>
      <c r="B2079" s="1" t="n">
        <v>45796.48542824074</v>
      </c>
      <c r="C2079" s="1" t="n">
        <v>45914</v>
      </c>
      <c r="D2079" t="inlineStr">
        <is>
          <t>SKÅNE LÄN</t>
        </is>
      </c>
      <c r="E2079" t="inlineStr">
        <is>
          <t>OSBY</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12058-2024</t>
        </is>
      </c>
      <c r="B2080" s="1" t="n">
        <v>45377.48920138889</v>
      </c>
      <c r="C2080" s="1" t="n">
        <v>45914</v>
      </c>
      <c r="D2080" t="inlineStr">
        <is>
          <t>SKÅNE LÄN</t>
        </is>
      </c>
      <c r="E2080" t="inlineStr">
        <is>
          <t>OSBY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219-2022</t>
        </is>
      </c>
      <c r="B2081" s="1" t="n">
        <v>44564</v>
      </c>
      <c r="C2081" s="1" t="n">
        <v>45914</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33796-2023</t>
        </is>
      </c>
      <c r="B2082" s="1" t="n">
        <v>45133.57142361111</v>
      </c>
      <c r="C2082" s="1" t="n">
        <v>45914</v>
      </c>
      <c r="D2082" t="inlineStr">
        <is>
          <t>SKÅNE LÄN</t>
        </is>
      </c>
      <c r="E2082" t="inlineStr">
        <is>
          <t>ÖRKELLJUNGA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52023-2020</t>
        </is>
      </c>
      <c r="B2083" s="1" t="n">
        <v>44116</v>
      </c>
      <c r="C2083" s="1" t="n">
        <v>45914</v>
      </c>
      <c r="D2083" t="inlineStr">
        <is>
          <t>SKÅNE LÄN</t>
        </is>
      </c>
      <c r="E2083" t="inlineStr">
        <is>
          <t>TOMELILLA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6137-2024</t>
        </is>
      </c>
      <c r="B2084" s="1" t="n">
        <v>45337</v>
      </c>
      <c r="C2084" s="1" t="n">
        <v>45914</v>
      </c>
      <c r="D2084" t="inlineStr">
        <is>
          <t>SKÅNE LÄN</t>
        </is>
      </c>
      <c r="E2084" t="inlineStr">
        <is>
          <t>ÖRKELLJUNGA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43724-2024</t>
        </is>
      </c>
      <c r="B2085" s="1" t="n">
        <v>45569.63178240741</v>
      </c>
      <c r="C2085" s="1" t="n">
        <v>45914</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58848-2020</t>
        </is>
      </c>
      <c r="B2086" s="1" t="n">
        <v>44146</v>
      </c>
      <c r="C2086" s="1" t="n">
        <v>45914</v>
      </c>
      <c r="D2086" t="inlineStr">
        <is>
          <t>SKÅNE LÄN</t>
        </is>
      </c>
      <c r="E2086" t="inlineStr">
        <is>
          <t>KRISTIANSTAD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44112-2023</t>
        </is>
      </c>
      <c r="B2087" s="1" t="n">
        <v>45188.4418287037</v>
      </c>
      <c r="C2087" s="1" t="n">
        <v>45914</v>
      </c>
      <c r="D2087" t="inlineStr">
        <is>
          <t>SKÅNE LÄN</t>
        </is>
      </c>
      <c r="E2087" t="inlineStr">
        <is>
          <t>SVALÖV</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51207-2022</t>
        </is>
      </c>
      <c r="B2088" s="1" t="n">
        <v>44868</v>
      </c>
      <c r="C2088" s="1" t="n">
        <v>45914</v>
      </c>
      <c r="D2088" t="inlineStr">
        <is>
          <t>SKÅNE LÄN</t>
        </is>
      </c>
      <c r="E2088" t="inlineStr">
        <is>
          <t>PERSTORP</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13990-2022</t>
        </is>
      </c>
      <c r="B2089" s="1" t="n">
        <v>44650</v>
      </c>
      <c r="C2089" s="1" t="n">
        <v>45914</v>
      </c>
      <c r="D2089" t="inlineStr">
        <is>
          <t>SKÅNE LÄN</t>
        </is>
      </c>
      <c r="E2089" t="inlineStr">
        <is>
          <t>HÄSSLEHOLM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58938-2024</t>
        </is>
      </c>
      <c r="B2090" s="1" t="n">
        <v>45636.53048611111</v>
      </c>
      <c r="C2090" s="1" t="n">
        <v>45914</v>
      </c>
      <c r="D2090" t="inlineStr">
        <is>
          <t>SKÅNE LÄN</t>
        </is>
      </c>
      <c r="E2090" t="inlineStr">
        <is>
          <t>ÖSTRA GÖINGE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9482-2023</t>
        </is>
      </c>
      <c r="B2091" s="1" t="n">
        <v>44981</v>
      </c>
      <c r="C2091" s="1" t="n">
        <v>45914</v>
      </c>
      <c r="D2091" t="inlineStr">
        <is>
          <t>SKÅNE LÄN</t>
        </is>
      </c>
      <c r="E2091" t="inlineStr">
        <is>
          <t>ESLÖV</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5730-2022</t>
        </is>
      </c>
      <c r="B2092" s="1" t="n">
        <v>44596</v>
      </c>
      <c r="C2092" s="1" t="n">
        <v>45914</v>
      </c>
      <c r="D2092" t="inlineStr">
        <is>
          <t>SKÅNE LÄN</t>
        </is>
      </c>
      <c r="E2092" t="inlineStr">
        <is>
          <t>HÖÖR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54184-2024</t>
        </is>
      </c>
      <c r="B2093" s="1" t="n">
        <v>45616.64002314815</v>
      </c>
      <c r="C2093" s="1" t="n">
        <v>45914</v>
      </c>
      <c r="D2093" t="inlineStr">
        <is>
          <t>SKÅNE LÄN</t>
        </is>
      </c>
      <c r="E2093" t="inlineStr">
        <is>
          <t>HÖRBY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45914</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23767-2025</t>
        </is>
      </c>
      <c r="B2095" s="1" t="n">
        <v>45793.47238425926</v>
      </c>
      <c r="C2095" s="1" t="n">
        <v>45914</v>
      </c>
      <c r="D2095" t="inlineStr">
        <is>
          <t>SKÅNE LÄN</t>
        </is>
      </c>
      <c r="E2095" t="inlineStr">
        <is>
          <t>ESLÖV</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23773-2025</t>
        </is>
      </c>
      <c r="B2096" s="1" t="n">
        <v>45793.48923611111</v>
      </c>
      <c r="C2096" s="1" t="n">
        <v>45914</v>
      </c>
      <c r="D2096" t="inlineStr">
        <is>
          <t>SKÅNE LÄN</t>
        </is>
      </c>
      <c r="E2096" t="inlineStr">
        <is>
          <t>ESLÖV</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31165-2024</t>
        </is>
      </c>
      <c r="B2097" s="1" t="n">
        <v>45503</v>
      </c>
      <c r="C2097" s="1" t="n">
        <v>45914</v>
      </c>
      <c r="D2097" t="inlineStr">
        <is>
          <t>SKÅNE LÄN</t>
        </is>
      </c>
      <c r="E2097" t="inlineStr">
        <is>
          <t>KRISTIANSTAD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10044-2025</t>
        </is>
      </c>
      <c r="B2098" s="1" t="n">
        <v>45719.50620370371</v>
      </c>
      <c r="C2098" s="1" t="n">
        <v>45914</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25219-2023</t>
        </is>
      </c>
      <c r="B2099" s="1" t="n">
        <v>45086.60541666667</v>
      </c>
      <c r="C2099" s="1" t="n">
        <v>45914</v>
      </c>
      <c r="D2099" t="inlineStr">
        <is>
          <t>SKÅNE LÄN</t>
        </is>
      </c>
      <c r="E2099" t="inlineStr">
        <is>
          <t>HÄSSLEHOLM</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9302-2025</t>
        </is>
      </c>
      <c r="B2100" s="1" t="n">
        <v>45714.67233796296</v>
      </c>
      <c r="C2100" s="1" t="n">
        <v>45914</v>
      </c>
      <c r="D2100" t="inlineStr">
        <is>
          <t>SKÅNE LÄN</t>
        </is>
      </c>
      <c r="E2100" t="inlineStr">
        <is>
          <t>HÄSSLEHOLM</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9322-2025</t>
        </is>
      </c>
      <c r="B2101" s="1" t="n">
        <v>45714.72241898148</v>
      </c>
      <c r="C2101" s="1" t="n">
        <v>45914</v>
      </c>
      <c r="D2101" t="inlineStr">
        <is>
          <t>SKÅNE LÄN</t>
        </is>
      </c>
      <c r="E2101" t="inlineStr">
        <is>
          <t>HÄSSLEHOLM</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47231-2024</t>
        </is>
      </c>
      <c r="B2102" s="1" t="n">
        <v>45586</v>
      </c>
      <c r="C2102" s="1" t="n">
        <v>45914</v>
      </c>
      <c r="D2102" t="inlineStr">
        <is>
          <t>SKÅNE LÄN</t>
        </is>
      </c>
      <c r="E2102" t="inlineStr">
        <is>
          <t>KRISTIANSTAD</t>
        </is>
      </c>
      <c r="F2102" t="inlineStr">
        <is>
          <t>Övriga Aktiebolag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47237-2024</t>
        </is>
      </c>
      <c r="B2103" s="1" t="n">
        <v>45586</v>
      </c>
      <c r="C2103" s="1" t="n">
        <v>45914</v>
      </c>
      <c r="D2103" t="inlineStr">
        <is>
          <t>SKÅNE LÄN</t>
        </is>
      </c>
      <c r="E2103" t="inlineStr">
        <is>
          <t>KRISTIANSTAD</t>
        </is>
      </c>
      <c r="F2103" t="inlineStr">
        <is>
          <t>Övriga Aktiebolag</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24675-2025</t>
        </is>
      </c>
      <c r="B2104" s="1" t="n">
        <v>45798.653125</v>
      </c>
      <c r="C2104" s="1" t="n">
        <v>45914</v>
      </c>
      <c r="D2104" t="inlineStr">
        <is>
          <t>SKÅNE LÄN</t>
        </is>
      </c>
      <c r="E2104" t="inlineStr">
        <is>
          <t>HÄSSLEHOLM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6152-2024</t>
        </is>
      </c>
      <c r="B2105" s="1" t="n">
        <v>45337</v>
      </c>
      <c r="C2105" s="1" t="n">
        <v>45914</v>
      </c>
      <c r="D2105" t="inlineStr">
        <is>
          <t>SKÅNE LÄN</t>
        </is>
      </c>
      <c r="E2105" t="inlineStr">
        <is>
          <t>ÖSTRA GÖINGE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20690-2022</t>
        </is>
      </c>
      <c r="B2106" s="1" t="n">
        <v>44700</v>
      </c>
      <c r="C2106" s="1" t="n">
        <v>45914</v>
      </c>
      <c r="D2106" t="inlineStr">
        <is>
          <t>SKÅNE LÄN</t>
        </is>
      </c>
      <c r="E2106" t="inlineStr">
        <is>
          <t>KLIPPAN</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24671-2025</t>
        </is>
      </c>
      <c r="B2107" s="1" t="n">
        <v>45798.65046296296</v>
      </c>
      <c r="C2107" s="1" t="n">
        <v>45914</v>
      </c>
      <c r="D2107" t="inlineStr">
        <is>
          <t>SKÅNE LÄN</t>
        </is>
      </c>
      <c r="E2107" t="inlineStr">
        <is>
          <t>ÖRKELLJUNGA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42751-2022</t>
        </is>
      </c>
      <c r="B2108" s="1" t="n">
        <v>44832</v>
      </c>
      <c r="C2108" s="1" t="n">
        <v>45914</v>
      </c>
      <c r="D2108" t="inlineStr">
        <is>
          <t>SKÅNE LÄN</t>
        </is>
      </c>
      <c r="E2108" t="inlineStr">
        <is>
          <t>OSBY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16665-2025</t>
        </is>
      </c>
      <c r="B2109" s="1" t="n">
        <v>45754.42253472222</v>
      </c>
      <c r="C2109" s="1" t="n">
        <v>45914</v>
      </c>
      <c r="D2109" t="inlineStr">
        <is>
          <t>SKÅNE LÄN</t>
        </is>
      </c>
      <c r="E2109" t="inlineStr">
        <is>
          <t>HÖRBY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35587-2024</t>
        </is>
      </c>
      <c r="B2110" s="1" t="n">
        <v>45531</v>
      </c>
      <c r="C2110" s="1" t="n">
        <v>45914</v>
      </c>
      <c r="D2110" t="inlineStr">
        <is>
          <t>SKÅNE LÄN</t>
        </is>
      </c>
      <c r="E2110" t="inlineStr">
        <is>
          <t>SVALÖV</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45914</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9537-2023</t>
        </is>
      </c>
      <c r="B2112" s="1" t="n">
        <v>44981</v>
      </c>
      <c r="C2112" s="1" t="n">
        <v>45914</v>
      </c>
      <c r="D2112" t="inlineStr">
        <is>
          <t>SKÅNE LÄN</t>
        </is>
      </c>
      <c r="E2112" t="inlineStr">
        <is>
          <t>ÖSTRA GÖINGE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37300-2023</t>
        </is>
      </c>
      <c r="B2113" s="1" t="n">
        <v>45156</v>
      </c>
      <c r="C2113" s="1" t="n">
        <v>45914</v>
      </c>
      <c r="D2113" t="inlineStr">
        <is>
          <t>SKÅNE LÄN</t>
        </is>
      </c>
      <c r="E2113" t="inlineStr">
        <is>
          <t>HÄSSLEHOLM</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10562-2025</t>
        </is>
      </c>
      <c r="B2114" s="1" t="n">
        <v>45721.52913194444</v>
      </c>
      <c r="C2114" s="1" t="n">
        <v>45914</v>
      </c>
      <c r="D2114" t="inlineStr">
        <is>
          <t>SKÅNE LÄN</t>
        </is>
      </c>
      <c r="E2114" t="inlineStr">
        <is>
          <t>HÄSSLEHOLM</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24674-2025</t>
        </is>
      </c>
      <c r="B2115" s="1" t="n">
        <v>45798.65300925926</v>
      </c>
      <c r="C2115" s="1" t="n">
        <v>45914</v>
      </c>
      <c r="D2115" t="inlineStr">
        <is>
          <t>SKÅNE LÄN</t>
        </is>
      </c>
      <c r="E2115" t="inlineStr">
        <is>
          <t>ÖRKELLJUNGA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24688-2025</t>
        </is>
      </c>
      <c r="B2116" s="1" t="n">
        <v>45798</v>
      </c>
      <c r="C2116" s="1" t="n">
        <v>45914</v>
      </c>
      <c r="D2116" t="inlineStr">
        <is>
          <t>SKÅNE LÄN</t>
        </is>
      </c>
      <c r="E2116" t="inlineStr">
        <is>
          <t>BROMÖLLA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41557-2022</t>
        </is>
      </c>
      <c r="B2117" s="1" t="n">
        <v>44827.39942129629</v>
      </c>
      <c r="C2117" s="1" t="n">
        <v>45914</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2088-2023</t>
        </is>
      </c>
      <c r="B2118" s="1" t="n">
        <v>44939</v>
      </c>
      <c r="C2118" s="1" t="n">
        <v>45914</v>
      </c>
      <c r="D2118" t="inlineStr">
        <is>
          <t>SKÅNE LÄN</t>
        </is>
      </c>
      <c r="E2118" t="inlineStr">
        <is>
          <t>ÖRKELLJUNGA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40916-2024</t>
        </is>
      </c>
      <c r="B2119" s="1" t="n">
        <v>45558.63395833333</v>
      </c>
      <c r="C2119" s="1" t="n">
        <v>45914</v>
      </c>
      <c r="D2119" t="inlineStr">
        <is>
          <t>SKÅNE LÄN</t>
        </is>
      </c>
      <c r="E2119" t="inlineStr">
        <is>
          <t>KRISTIANSTAD</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2092-2023</t>
        </is>
      </c>
      <c r="B2120" s="1" t="n">
        <v>44939</v>
      </c>
      <c r="C2120" s="1" t="n">
        <v>45914</v>
      </c>
      <c r="D2120" t="inlineStr">
        <is>
          <t>SKÅNE LÄN</t>
        </is>
      </c>
      <c r="E2120" t="inlineStr">
        <is>
          <t>ÖRKELLJUNGA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1222-2023</t>
        </is>
      </c>
      <c r="B2121" s="1" t="n">
        <v>44935.94474537037</v>
      </c>
      <c r="C2121" s="1" t="n">
        <v>45914</v>
      </c>
      <c r="D2121" t="inlineStr">
        <is>
          <t>SKÅNE LÄN</t>
        </is>
      </c>
      <c r="E2121" t="inlineStr">
        <is>
          <t>OSBY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10377-2021</t>
        </is>
      </c>
      <c r="B2122" s="1" t="n">
        <v>44257</v>
      </c>
      <c r="C2122" s="1" t="n">
        <v>45914</v>
      </c>
      <c r="D2122" t="inlineStr">
        <is>
          <t>SKÅNE LÄN</t>
        </is>
      </c>
      <c r="E2122" t="inlineStr">
        <is>
          <t>ÄNGELHOLM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6241-2024</t>
        </is>
      </c>
      <c r="B2123" s="1" t="n">
        <v>45337</v>
      </c>
      <c r="C2123" s="1" t="n">
        <v>45914</v>
      </c>
      <c r="D2123" t="inlineStr">
        <is>
          <t>SKÅNE LÄN</t>
        </is>
      </c>
      <c r="E2123" t="inlineStr">
        <is>
          <t>KRISTIANSTAD</t>
        </is>
      </c>
      <c r="F2123" t="inlineStr">
        <is>
          <t>Övriga Aktiebolag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38021-2023</t>
        </is>
      </c>
      <c r="B2124" s="1" t="n">
        <v>45159</v>
      </c>
      <c r="C2124" s="1" t="n">
        <v>45914</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32512-2024</t>
        </is>
      </c>
      <c r="B2125" s="1" t="n">
        <v>45513.45613425926</v>
      </c>
      <c r="C2125" s="1" t="n">
        <v>45914</v>
      </c>
      <c r="D2125" t="inlineStr">
        <is>
          <t>SKÅNE LÄN</t>
        </is>
      </c>
      <c r="E2125" t="inlineStr">
        <is>
          <t>HÄSSLEHOLM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26403-2024</t>
        </is>
      </c>
      <c r="B2126" s="1" t="n">
        <v>45469.44505787037</v>
      </c>
      <c r="C2126" s="1" t="n">
        <v>45914</v>
      </c>
      <c r="D2126" t="inlineStr">
        <is>
          <t>SKÅNE LÄN</t>
        </is>
      </c>
      <c r="E2126" t="inlineStr">
        <is>
          <t>HÄSSLEHOLM</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63891-2023</t>
        </is>
      </c>
      <c r="B2127" s="1" t="n">
        <v>45278</v>
      </c>
      <c r="C2127" s="1" t="n">
        <v>45914</v>
      </c>
      <c r="D2127" t="inlineStr">
        <is>
          <t>SKÅNE LÄN</t>
        </is>
      </c>
      <c r="E2127" t="inlineStr">
        <is>
          <t>ÖSTRA GÖINGE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45399-2022</t>
        </is>
      </c>
      <c r="B2128" s="1" t="n">
        <v>44844.70513888889</v>
      </c>
      <c r="C2128" s="1" t="n">
        <v>45914</v>
      </c>
      <c r="D2128" t="inlineStr">
        <is>
          <t>SKÅNE LÄN</t>
        </is>
      </c>
      <c r="E2128" t="inlineStr">
        <is>
          <t>HÄSSLEHOLM</t>
        </is>
      </c>
      <c r="G2128" t="n">
        <v>0</v>
      </c>
      <c r="H2128" t="n">
        <v>0</v>
      </c>
      <c r="I2128" t="n">
        <v>0</v>
      </c>
      <c r="J2128" t="n">
        <v>0</v>
      </c>
      <c r="K2128" t="n">
        <v>0</v>
      </c>
      <c r="L2128" t="n">
        <v>0</v>
      </c>
      <c r="M2128" t="n">
        <v>0</v>
      </c>
      <c r="N2128" t="n">
        <v>0</v>
      </c>
      <c r="O2128" t="n">
        <v>0</v>
      </c>
      <c r="P2128" t="n">
        <v>0</v>
      </c>
      <c r="Q2128" t="n">
        <v>0</v>
      </c>
      <c r="R2128" s="2" t="inlineStr"/>
    </row>
    <row r="2129" ht="15" customHeight="1">
      <c r="A2129" t="inlineStr">
        <is>
          <t>A 55522-2024</t>
        </is>
      </c>
      <c r="B2129" s="1" t="n">
        <v>45622</v>
      </c>
      <c r="C2129" s="1" t="n">
        <v>45914</v>
      </c>
      <c r="D2129" t="inlineStr">
        <is>
          <t>SKÅNE LÄN</t>
        </is>
      </c>
      <c r="E2129" t="inlineStr">
        <is>
          <t>HÄSSLEHOLM</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55586-2021</t>
        </is>
      </c>
      <c r="B2130" s="1" t="n">
        <v>44475.88427083333</v>
      </c>
      <c r="C2130" s="1" t="n">
        <v>45914</v>
      </c>
      <c r="D2130" t="inlineStr">
        <is>
          <t>SKÅNE LÄN</t>
        </is>
      </c>
      <c r="E2130" t="inlineStr">
        <is>
          <t>KLIPPAN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44582-2022</t>
        </is>
      </c>
      <c r="B2131" s="1" t="n">
        <v>44840</v>
      </c>
      <c r="C2131" s="1" t="n">
        <v>45914</v>
      </c>
      <c r="D2131" t="inlineStr">
        <is>
          <t>SKÅNE LÄN</t>
        </is>
      </c>
      <c r="E2131" t="inlineStr">
        <is>
          <t>KRISTIANSTAD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45572-2022</t>
        </is>
      </c>
      <c r="B2132" s="1" t="n">
        <v>44845</v>
      </c>
      <c r="C2132" s="1" t="n">
        <v>45914</v>
      </c>
      <c r="D2132" t="inlineStr">
        <is>
          <t>SKÅNE LÄN</t>
        </is>
      </c>
      <c r="E2132" t="inlineStr">
        <is>
          <t>ÖSTRA GÖINGE</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52528-2021</t>
        </is>
      </c>
      <c r="B2133" s="1" t="n">
        <v>44466.46428240741</v>
      </c>
      <c r="C2133" s="1" t="n">
        <v>45914</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5242-2025</t>
        </is>
      </c>
      <c r="B2134" s="1" t="n">
        <v>45692.32883101852</v>
      </c>
      <c r="C2134" s="1" t="n">
        <v>45914</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44893-2024</t>
        </is>
      </c>
      <c r="B2135" s="1" t="n">
        <v>45575.36310185185</v>
      </c>
      <c r="C2135" s="1" t="n">
        <v>45914</v>
      </c>
      <c r="D2135" t="inlineStr">
        <is>
          <t>SKÅNE LÄN</t>
        </is>
      </c>
      <c r="E2135" t="inlineStr">
        <is>
          <t>SJÖBO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61147-2021</t>
        </is>
      </c>
      <c r="B2136" s="1" t="n">
        <v>44497</v>
      </c>
      <c r="C2136" s="1" t="n">
        <v>45914</v>
      </c>
      <c r="D2136" t="inlineStr">
        <is>
          <t>SKÅNE LÄN</t>
        </is>
      </c>
      <c r="E2136" t="inlineStr">
        <is>
          <t>KRISTIANSTAD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28751-2024</t>
        </is>
      </c>
      <c r="B2137" s="1" t="n">
        <v>45478.57881944445</v>
      </c>
      <c r="C2137" s="1" t="n">
        <v>45914</v>
      </c>
      <c r="D2137" t="inlineStr">
        <is>
          <t>SKÅNE LÄN</t>
        </is>
      </c>
      <c r="E2137" t="inlineStr">
        <is>
          <t>PERSTORP</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40278-2023</t>
        </is>
      </c>
      <c r="B2138" s="1" t="n">
        <v>45169</v>
      </c>
      <c r="C2138" s="1" t="n">
        <v>45914</v>
      </c>
      <c r="D2138" t="inlineStr">
        <is>
          <t>SKÅNE LÄN</t>
        </is>
      </c>
      <c r="E2138" t="inlineStr">
        <is>
          <t>ÄNGELHOLM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39915-2023</t>
        </is>
      </c>
      <c r="B2139" s="1" t="n">
        <v>45168.4684375</v>
      </c>
      <c r="C2139" s="1" t="n">
        <v>45914</v>
      </c>
      <c r="D2139" t="inlineStr">
        <is>
          <t>SKÅNE LÄN</t>
        </is>
      </c>
      <c r="E2139" t="inlineStr">
        <is>
          <t>HÄSSLEHOLM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24664-2025</t>
        </is>
      </c>
      <c r="B2140" s="1" t="n">
        <v>45798.64627314815</v>
      </c>
      <c r="C2140" s="1" t="n">
        <v>45914</v>
      </c>
      <c r="D2140" t="inlineStr">
        <is>
          <t>SKÅNE LÄN</t>
        </is>
      </c>
      <c r="E2140" t="inlineStr">
        <is>
          <t>ÖRKELLJUNGA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6042-2022</t>
        </is>
      </c>
      <c r="B2141" s="1" t="n">
        <v>44599</v>
      </c>
      <c r="C2141" s="1" t="n">
        <v>45914</v>
      </c>
      <c r="D2141" t="inlineStr">
        <is>
          <t>SKÅNE LÄN</t>
        </is>
      </c>
      <c r="E2141" t="inlineStr">
        <is>
          <t>HÖÖR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6048-2022</t>
        </is>
      </c>
      <c r="B2142" s="1" t="n">
        <v>44599.5174537037</v>
      </c>
      <c r="C2142" s="1" t="n">
        <v>45914</v>
      </c>
      <c r="D2142" t="inlineStr">
        <is>
          <t>SKÅNE LÄN</t>
        </is>
      </c>
      <c r="E2142" t="inlineStr">
        <is>
          <t>HÄSSLEHOLM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49379-2021</t>
        </is>
      </c>
      <c r="B2143" s="1" t="n">
        <v>44454</v>
      </c>
      <c r="C2143" s="1" t="n">
        <v>45914</v>
      </c>
      <c r="D2143" t="inlineStr">
        <is>
          <t>SKÅNE LÄN</t>
        </is>
      </c>
      <c r="E2143" t="inlineStr">
        <is>
          <t>HÄSSLEHOLM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10372-2022</t>
        </is>
      </c>
      <c r="B2144" s="1" t="n">
        <v>44623.393125</v>
      </c>
      <c r="C2144" s="1" t="n">
        <v>45914</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32881-2024</t>
        </is>
      </c>
      <c r="B2145" s="1" t="n">
        <v>45516</v>
      </c>
      <c r="C2145" s="1" t="n">
        <v>45914</v>
      </c>
      <c r="D2145" t="inlineStr">
        <is>
          <t>SKÅNE LÄN</t>
        </is>
      </c>
      <c r="E2145" t="inlineStr">
        <is>
          <t>HÄSSLEHOLM</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2743-2023</t>
        </is>
      </c>
      <c r="B2146" s="1" t="n">
        <v>44944</v>
      </c>
      <c r="C2146" s="1" t="n">
        <v>45914</v>
      </c>
      <c r="D2146" t="inlineStr">
        <is>
          <t>SKÅNE LÄN</t>
        </is>
      </c>
      <c r="E2146" t="inlineStr">
        <is>
          <t>HÄSSLEHOLM</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2752-2023</t>
        </is>
      </c>
      <c r="B2147" s="1" t="n">
        <v>44944</v>
      </c>
      <c r="C2147" s="1" t="n">
        <v>45914</v>
      </c>
      <c r="D2147" t="inlineStr">
        <is>
          <t>SKÅNE LÄN</t>
        </is>
      </c>
      <c r="E2147" t="inlineStr">
        <is>
          <t>HÖRBY</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17321-2025</t>
        </is>
      </c>
      <c r="B2148" s="1" t="n">
        <v>45756</v>
      </c>
      <c r="C2148" s="1" t="n">
        <v>45914</v>
      </c>
      <c r="D2148" t="inlineStr">
        <is>
          <t>SKÅNE LÄN</t>
        </is>
      </c>
      <c r="E2148" t="inlineStr">
        <is>
          <t>PERSTORP</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48921-2024</t>
        </is>
      </c>
      <c r="B2149" s="1" t="n">
        <v>45594</v>
      </c>
      <c r="C2149" s="1" t="n">
        <v>45914</v>
      </c>
      <c r="D2149" t="inlineStr">
        <is>
          <t>SKÅNE LÄN</t>
        </is>
      </c>
      <c r="E2149" t="inlineStr">
        <is>
          <t>HÖÖR</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6347-2024</t>
        </is>
      </c>
      <c r="B2150" s="1" t="n">
        <v>45338</v>
      </c>
      <c r="C2150" s="1" t="n">
        <v>45914</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6357-2024</t>
        </is>
      </c>
      <c r="B2151" s="1" t="n">
        <v>45338</v>
      </c>
      <c r="C2151" s="1" t="n">
        <v>45914</v>
      </c>
      <c r="D2151" t="inlineStr">
        <is>
          <t>SKÅNE LÄN</t>
        </is>
      </c>
      <c r="E2151" t="inlineStr">
        <is>
          <t>TOMELILLA</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48621-2023</t>
        </is>
      </c>
      <c r="B2152" s="1" t="n">
        <v>45202</v>
      </c>
      <c r="C2152" s="1" t="n">
        <v>45914</v>
      </c>
      <c r="D2152" t="inlineStr">
        <is>
          <t>SKÅNE LÄN</t>
        </is>
      </c>
      <c r="E2152" t="inlineStr">
        <is>
          <t>ÖSTRA GÖINGE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24303-2025</t>
        </is>
      </c>
      <c r="B2153" s="1" t="n">
        <v>45797.48488425926</v>
      </c>
      <c r="C2153" s="1" t="n">
        <v>45914</v>
      </c>
      <c r="D2153" t="inlineStr">
        <is>
          <t>SKÅNE LÄN</t>
        </is>
      </c>
      <c r="E2153" t="inlineStr">
        <is>
          <t>KRISTIANSTAD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8838-2024</t>
        </is>
      </c>
      <c r="B2154" s="1" t="n">
        <v>45356.69465277778</v>
      </c>
      <c r="C2154" s="1" t="n">
        <v>45914</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37588-2024</t>
        </is>
      </c>
      <c r="B2155" s="1" t="n">
        <v>45541.46586805556</v>
      </c>
      <c r="C2155" s="1" t="n">
        <v>45914</v>
      </c>
      <c r="D2155" t="inlineStr">
        <is>
          <t>SKÅNE LÄN</t>
        </is>
      </c>
      <c r="E2155" t="inlineStr">
        <is>
          <t>ÖSTRA GÖINGE</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37593-2024</t>
        </is>
      </c>
      <c r="B2156" s="1" t="n">
        <v>45541.4724074074</v>
      </c>
      <c r="C2156" s="1" t="n">
        <v>45914</v>
      </c>
      <c r="D2156" t="inlineStr">
        <is>
          <t>SKÅNE LÄN</t>
        </is>
      </c>
      <c r="E2156" t="inlineStr">
        <is>
          <t>ÖSTRA GÖINGE</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53460-2022</t>
        </is>
      </c>
      <c r="B2157" s="1" t="n">
        <v>44879</v>
      </c>
      <c r="C2157" s="1" t="n">
        <v>45914</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42735-2024</t>
        </is>
      </c>
      <c r="B2158" s="1" t="n">
        <v>45566.47274305556</v>
      </c>
      <c r="C2158" s="1" t="n">
        <v>45914</v>
      </c>
      <c r="D2158" t="inlineStr">
        <is>
          <t>SKÅNE LÄN</t>
        </is>
      </c>
      <c r="E2158" t="inlineStr">
        <is>
          <t>HÄSSLEHOLM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52281-2024</t>
        </is>
      </c>
      <c r="B2159" s="1" t="n">
        <v>45608</v>
      </c>
      <c r="C2159" s="1" t="n">
        <v>45914</v>
      </c>
      <c r="D2159" t="inlineStr">
        <is>
          <t>SKÅNE LÄN</t>
        </is>
      </c>
      <c r="E2159" t="inlineStr">
        <is>
          <t>HÖÖR</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32158-2024</t>
        </is>
      </c>
      <c r="B2160" s="1" t="n">
        <v>45511.57498842593</v>
      </c>
      <c r="C2160" s="1" t="n">
        <v>45914</v>
      </c>
      <c r="D2160" t="inlineStr">
        <is>
          <t>SKÅNE LÄN</t>
        </is>
      </c>
      <c r="E2160" t="inlineStr">
        <is>
          <t>KRISTIANSTAD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53361-2024</t>
        </is>
      </c>
      <c r="B2161" s="1" t="n">
        <v>45614</v>
      </c>
      <c r="C2161" s="1" t="n">
        <v>45914</v>
      </c>
      <c r="D2161" t="inlineStr">
        <is>
          <t>SKÅNE LÄN</t>
        </is>
      </c>
      <c r="E2161" t="inlineStr">
        <is>
          <t>KÄVLINGE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53361-2024</t>
        </is>
      </c>
      <c r="B2162" s="1" t="n">
        <v>45614</v>
      </c>
      <c r="C2162" s="1" t="n">
        <v>45914</v>
      </c>
      <c r="D2162" t="inlineStr">
        <is>
          <t>SKÅNE LÄN</t>
        </is>
      </c>
      <c r="E2162" t="inlineStr">
        <is>
          <t>KÄVLINGE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48909-2024</t>
        </is>
      </c>
      <c r="B2163" s="1" t="n">
        <v>45594</v>
      </c>
      <c r="C2163" s="1" t="n">
        <v>45914</v>
      </c>
      <c r="D2163" t="inlineStr">
        <is>
          <t>SKÅNE LÄN</t>
        </is>
      </c>
      <c r="E2163" t="inlineStr">
        <is>
          <t>HÖÖR</t>
        </is>
      </c>
      <c r="G2163" t="n">
        <v>28.4</v>
      </c>
      <c r="H2163" t="n">
        <v>0</v>
      </c>
      <c r="I2163" t="n">
        <v>0</v>
      </c>
      <c r="J2163" t="n">
        <v>0</v>
      </c>
      <c r="K2163" t="n">
        <v>0</v>
      </c>
      <c r="L2163" t="n">
        <v>0</v>
      </c>
      <c r="M2163" t="n">
        <v>0</v>
      </c>
      <c r="N2163" t="n">
        <v>0</v>
      </c>
      <c r="O2163" t="n">
        <v>0</v>
      </c>
      <c r="P2163" t="n">
        <v>0</v>
      </c>
      <c r="Q2163" t="n">
        <v>0</v>
      </c>
      <c r="R2163" s="2" t="inlineStr"/>
    </row>
    <row r="2164" ht="15" customHeight="1">
      <c r="A2164" t="inlineStr">
        <is>
          <t>A 25711-2025</t>
        </is>
      </c>
      <c r="B2164" s="1" t="n">
        <v>45803</v>
      </c>
      <c r="C2164" s="1" t="n">
        <v>45914</v>
      </c>
      <c r="D2164" t="inlineStr">
        <is>
          <t>SKÅNE LÄN</t>
        </is>
      </c>
      <c r="E2164" t="inlineStr">
        <is>
          <t>KRISTIANSTAD</t>
        </is>
      </c>
      <c r="G2164" t="n">
        <v>18.8</v>
      </c>
      <c r="H2164" t="n">
        <v>0</v>
      </c>
      <c r="I2164" t="n">
        <v>0</v>
      </c>
      <c r="J2164" t="n">
        <v>0</v>
      </c>
      <c r="K2164" t="n">
        <v>0</v>
      </c>
      <c r="L2164" t="n">
        <v>0</v>
      </c>
      <c r="M2164" t="n">
        <v>0</v>
      </c>
      <c r="N2164" t="n">
        <v>0</v>
      </c>
      <c r="O2164" t="n">
        <v>0</v>
      </c>
      <c r="P2164" t="n">
        <v>0</v>
      </c>
      <c r="Q2164" t="n">
        <v>0</v>
      </c>
      <c r="R2164" s="2" t="inlineStr"/>
    </row>
    <row r="2165" ht="15" customHeight="1">
      <c r="A2165" t="inlineStr">
        <is>
          <t>A 24658-2025</t>
        </is>
      </c>
      <c r="B2165" s="1" t="n">
        <v>45798.64134259259</v>
      </c>
      <c r="C2165" s="1" t="n">
        <v>45914</v>
      </c>
      <c r="D2165" t="inlineStr">
        <is>
          <t>SKÅNE LÄN</t>
        </is>
      </c>
      <c r="E2165" t="inlineStr">
        <is>
          <t>HÄSSLEHOLM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7016-2025</t>
        </is>
      </c>
      <c r="B2166" s="1" t="n">
        <v>45701</v>
      </c>
      <c r="C2166" s="1" t="n">
        <v>45914</v>
      </c>
      <c r="D2166" t="inlineStr">
        <is>
          <t>SKÅNE LÄN</t>
        </is>
      </c>
      <c r="E2166" t="inlineStr">
        <is>
          <t>ESLÖV</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13109-2022</t>
        </is>
      </c>
      <c r="B2167" s="1" t="n">
        <v>44644.29711805555</v>
      </c>
      <c r="C2167" s="1" t="n">
        <v>45914</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24513-2025</t>
        </is>
      </c>
      <c r="B2168" s="1" t="n">
        <v>45798.40712962963</v>
      </c>
      <c r="C2168" s="1" t="n">
        <v>45914</v>
      </c>
      <c r="D2168" t="inlineStr">
        <is>
          <t>SKÅNE LÄN</t>
        </is>
      </c>
      <c r="E2168" t="inlineStr">
        <is>
          <t>SVALÖV</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10781-2022</t>
        </is>
      </c>
      <c r="B2169" s="1" t="n">
        <v>44627</v>
      </c>
      <c r="C2169" s="1" t="n">
        <v>45914</v>
      </c>
      <c r="D2169" t="inlineStr">
        <is>
          <t>SKÅNE LÄN</t>
        </is>
      </c>
      <c r="E2169" t="inlineStr">
        <is>
          <t>KRISTIANSTAD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5488-2024</t>
        </is>
      </c>
      <c r="B2170" s="1" t="n">
        <v>45334</v>
      </c>
      <c r="C2170" s="1" t="n">
        <v>45914</v>
      </c>
      <c r="D2170" t="inlineStr">
        <is>
          <t>SKÅNE LÄN</t>
        </is>
      </c>
      <c r="E2170" t="inlineStr">
        <is>
          <t>SIMRISHAMN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35937-2024</t>
        </is>
      </c>
      <c r="B2171" s="1" t="n">
        <v>45533</v>
      </c>
      <c r="C2171" s="1" t="n">
        <v>45914</v>
      </c>
      <c r="D2171" t="inlineStr">
        <is>
          <t>SKÅNE LÄN</t>
        </is>
      </c>
      <c r="E2171" t="inlineStr">
        <is>
          <t>KRISTIANSTAD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6262-2024</t>
        </is>
      </c>
      <c r="B2172" s="1" t="n">
        <v>45337</v>
      </c>
      <c r="C2172" s="1" t="n">
        <v>45914</v>
      </c>
      <c r="D2172" t="inlineStr">
        <is>
          <t>SKÅNE LÄN</t>
        </is>
      </c>
      <c r="E2172" t="inlineStr">
        <is>
          <t>TOMELILLA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24250-2025</t>
        </is>
      </c>
      <c r="B2173" s="1" t="n">
        <v>45797.40260416667</v>
      </c>
      <c r="C2173" s="1" t="n">
        <v>45914</v>
      </c>
      <c r="D2173" t="inlineStr">
        <is>
          <t>SKÅNE LÄN</t>
        </is>
      </c>
      <c r="E2173" t="inlineStr">
        <is>
          <t>HÄSSLEHOLM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25385-2023</t>
        </is>
      </c>
      <c r="B2174" s="1" t="n">
        <v>45089.33711805556</v>
      </c>
      <c r="C2174" s="1" t="n">
        <v>45914</v>
      </c>
      <c r="D2174" t="inlineStr">
        <is>
          <t>SKÅNE LÄN</t>
        </is>
      </c>
      <c r="E2174" t="inlineStr">
        <is>
          <t>ESLÖV</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24285-2025</t>
        </is>
      </c>
      <c r="B2175" s="1" t="n">
        <v>45797.4594212963</v>
      </c>
      <c r="C2175" s="1" t="n">
        <v>45914</v>
      </c>
      <c r="D2175" t="inlineStr">
        <is>
          <t>SKÅNE LÄN</t>
        </is>
      </c>
      <c r="E2175" t="inlineStr">
        <is>
          <t>ÖSTRA GÖINGE</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38998-2024</t>
        </is>
      </c>
      <c r="B2176" s="1" t="n">
        <v>45548.41568287037</v>
      </c>
      <c r="C2176" s="1" t="n">
        <v>45914</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24217-2025</t>
        </is>
      </c>
      <c r="B2177" s="1" t="n">
        <v>45797.35565972222</v>
      </c>
      <c r="C2177" s="1" t="n">
        <v>45914</v>
      </c>
      <c r="D2177" t="inlineStr">
        <is>
          <t>SKÅNE LÄN</t>
        </is>
      </c>
      <c r="E2177" t="inlineStr">
        <is>
          <t>KLIPPAN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13475-2024</t>
        </is>
      </c>
      <c r="B2178" s="1" t="n">
        <v>45387.58354166667</v>
      </c>
      <c r="C2178" s="1" t="n">
        <v>45914</v>
      </c>
      <c r="D2178" t="inlineStr">
        <is>
          <t>SKÅNE LÄN</t>
        </is>
      </c>
      <c r="E2178" t="inlineStr">
        <is>
          <t>HÖÖR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32826-2024</t>
        </is>
      </c>
      <c r="B2179" s="1" t="n">
        <v>45516.59056712963</v>
      </c>
      <c r="C2179" s="1" t="n">
        <v>45914</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67456-2021</t>
        </is>
      </c>
      <c r="B2180" s="1" t="n">
        <v>44524</v>
      </c>
      <c r="C2180" s="1" t="n">
        <v>45914</v>
      </c>
      <c r="D2180" t="inlineStr">
        <is>
          <t>SKÅNE LÄN</t>
        </is>
      </c>
      <c r="E2180" t="inlineStr">
        <is>
          <t>SVEDALA</t>
        </is>
      </c>
      <c r="G2180" t="n">
        <v>8.1</v>
      </c>
      <c r="H2180" t="n">
        <v>0</v>
      </c>
      <c r="I2180" t="n">
        <v>0</v>
      </c>
      <c r="J2180" t="n">
        <v>0</v>
      </c>
      <c r="K2180" t="n">
        <v>0</v>
      </c>
      <c r="L2180" t="n">
        <v>0</v>
      </c>
      <c r="M2180" t="n">
        <v>0</v>
      </c>
      <c r="N2180" t="n">
        <v>0</v>
      </c>
      <c r="O2180" t="n">
        <v>0</v>
      </c>
      <c r="P2180" t="n">
        <v>0</v>
      </c>
      <c r="Q2180" t="n">
        <v>0</v>
      </c>
      <c r="R2180" s="2" t="inlineStr"/>
    </row>
    <row r="2181" ht="15" customHeight="1">
      <c r="A2181" t="inlineStr">
        <is>
          <t>A 60425-2022</t>
        </is>
      </c>
      <c r="B2181" s="1" t="n">
        <v>44911</v>
      </c>
      <c r="C2181" s="1" t="n">
        <v>45914</v>
      </c>
      <c r="D2181" t="inlineStr">
        <is>
          <t>SKÅNE LÄN</t>
        </is>
      </c>
      <c r="E2181" t="inlineStr">
        <is>
          <t>HÖÖR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69375-2021</t>
        </is>
      </c>
      <c r="B2182" s="1" t="n">
        <v>44531</v>
      </c>
      <c r="C2182" s="1" t="n">
        <v>45914</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24914-2025</t>
        </is>
      </c>
      <c r="B2183" s="1" t="n">
        <v>45799</v>
      </c>
      <c r="C2183" s="1" t="n">
        <v>45914</v>
      </c>
      <c r="D2183" t="inlineStr">
        <is>
          <t>SKÅNE LÄN</t>
        </is>
      </c>
      <c r="E2183" t="inlineStr">
        <is>
          <t>SJÖBO</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69393-2021</t>
        </is>
      </c>
      <c r="B2184" s="1" t="n">
        <v>44531</v>
      </c>
      <c r="C2184" s="1" t="n">
        <v>45914</v>
      </c>
      <c r="D2184" t="inlineStr">
        <is>
          <t>SKÅNE LÄN</t>
        </is>
      </c>
      <c r="E2184" t="inlineStr">
        <is>
          <t>ÖSTRA GÖINGE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17316-2024</t>
        </is>
      </c>
      <c r="B2185" s="1" t="n">
        <v>45414</v>
      </c>
      <c r="C2185" s="1" t="n">
        <v>45914</v>
      </c>
      <c r="D2185" t="inlineStr">
        <is>
          <t>SKÅNE LÄN</t>
        </is>
      </c>
      <c r="E2185" t="inlineStr">
        <is>
          <t>TOMELILLA</t>
        </is>
      </c>
      <c r="F2185" t="inlineStr">
        <is>
          <t>Övriga Aktiebolag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3908-2022</t>
        </is>
      </c>
      <c r="B2186" s="1" t="n">
        <v>44587.49263888889</v>
      </c>
      <c r="C2186" s="1" t="n">
        <v>45914</v>
      </c>
      <c r="D2186" t="inlineStr">
        <is>
          <t>SKÅNE LÄN</t>
        </is>
      </c>
      <c r="E2186" t="inlineStr">
        <is>
          <t>KRISTIANSTAD</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24898-2025</t>
        </is>
      </c>
      <c r="B2187" s="1" t="n">
        <v>45799.51834490741</v>
      </c>
      <c r="C2187" s="1" t="n">
        <v>45914</v>
      </c>
      <c r="D2187" t="inlineStr">
        <is>
          <t>SKÅNE LÄN</t>
        </is>
      </c>
      <c r="E2187" t="inlineStr">
        <is>
          <t>OSBY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24985-2025</t>
        </is>
      </c>
      <c r="B2188" s="1" t="n">
        <v>45799.60256944445</v>
      </c>
      <c r="C2188" s="1" t="n">
        <v>45914</v>
      </c>
      <c r="D2188" t="inlineStr">
        <is>
          <t>SKÅNE LÄN</t>
        </is>
      </c>
      <c r="E2188" t="inlineStr">
        <is>
          <t>HÄSSLEHOLM</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44363-2024</t>
        </is>
      </c>
      <c r="B2189" s="1" t="n">
        <v>45573</v>
      </c>
      <c r="C2189" s="1" t="n">
        <v>45914</v>
      </c>
      <c r="D2189" t="inlineStr">
        <is>
          <t>SKÅNE LÄN</t>
        </is>
      </c>
      <c r="E2189" t="inlineStr">
        <is>
          <t>KRISTIANSTAD</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1531-2022</t>
        </is>
      </c>
      <c r="B2190" s="1" t="n">
        <v>44573</v>
      </c>
      <c r="C2190" s="1" t="n">
        <v>45914</v>
      </c>
      <c r="D2190" t="inlineStr">
        <is>
          <t>SKÅNE LÄN</t>
        </is>
      </c>
      <c r="E2190" t="inlineStr">
        <is>
          <t>BÅSTAD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49989-2024</t>
        </is>
      </c>
      <c r="B2191" s="1" t="n">
        <v>45597</v>
      </c>
      <c r="C2191" s="1" t="n">
        <v>45914</v>
      </c>
      <c r="D2191" t="inlineStr">
        <is>
          <t>SKÅNE LÄN</t>
        </is>
      </c>
      <c r="E2191" t="inlineStr">
        <is>
          <t>KLIPPAN</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60947-2024</t>
        </is>
      </c>
      <c r="B2192" s="1" t="n">
        <v>45645.38118055555</v>
      </c>
      <c r="C2192" s="1" t="n">
        <v>45914</v>
      </c>
      <c r="D2192" t="inlineStr">
        <is>
          <t>SKÅNE LÄN</t>
        </is>
      </c>
      <c r="E2192" t="inlineStr">
        <is>
          <t>SJÖBO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35890-2023</t>
        </is>
      </c>
      <c r="B2193" s="1" t="n">
        <v>45148</v>
      </c>
      <c r="C2193" s="1" t="n">
        <v>45914</v>
      </c>
      <c r="D2193" t="inlineStr">
        <is>
          <t>SKÅNE LÄN</t>
        </is>
      </c>
      <c r="E2193" t="inlineStr">
        <is>
          <t>HÄSSLEHOLM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35895-2023</t>
        </is>
      </c>
      <c r="B2194" s="1" t="n">
        <v>45148</v>
      </c>
      <c r="C2194" s="1" t="n">
        <v>45914</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35911-2023</t>
        </is>
      </c>
      <c r="B2195" s="1" t="n">
        <v>45148.64078703704</v>
      </c>
      <c r="C2195" s="1" t="n">
        <v>45914</v>
      </c>
      <c r="D2195" t="inlineStr">
        <is>
          <t>SKÅNE LÄN</t>
        </is>
      </c>
      <c r="E2195" t="inlineStr">
        <is>
          <t>SVALÖV</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12139-2022</t>
        </is>
      </c>
      <c r="B2196" s="1" t="n">
        <v>44636.62268518518</v>
      </c>
      <c r="C2196" s="1" t="n">
        <v>45914</v>
      </c>
      <c r="D2196" t="inlineStr">
        <is>
          <t>SKÅNE LÄN</t>
        </is>
      </c>
      <c r="E2196" t="inlineStr">
        <is>
          <t>ÖRKELLJUNGA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19257-2023</t>
        </is>
      </c>
      <c r="B2197" s="1" t="n">
        <v>45049</v>
      </c>
      <c r="C2197" s="1" t="n">
        <v>45914</v>
      </c>
      <c r="D2197" t="inlineStr">
        <is>
          <t>SKÅNE LÄN</t>
        </is>
      </c>
      <c r="E2197" t="inlineStr">
        <is>
          <t>KRISTIANSTAD</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38787-2024</t>
        </is>
      </c>
      <c r="B2198" s="1" t="n">
        <v>45547</v>
      </c>
      <c r="C2198" s="1" t="n">
        <v>45914</v>
      </c>
      <c r="D2198" t="inlineStr">
        <is>
          <t>SKÅNE LÄN</t>
        </is>
      </c>
      <c r="E2198" t="inlineStr">
        <is>
          <t>TOMELILLA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27837-2024</t>
        </is>
      </c>
      <c r="B2199" s="1" t="n">
        <v>45475</v>
      </c>
      <c r="C2199" s="1" t="n">
        <v>45914</v>
      </c>
      <c r="D2199" t="inlineStr">
        <is>
          <t>SKÅNE LÄN</t>
        </is>
      </c>
      <c r="E2199" t="inlineStr">
        <is>
          <t>HÄSSLEHOLM</t>
        </is>
      </c>
      <c r="F2199" t="inlineStr">
        <is>
          <t>Kommuner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4486-2024</t>
        </is>
      </c>
      <c r="B2200" s="1" t="n">
        <v>45327</v>
      </c>
      <c r="C2200" s="1" t="n">
        <v>45914</v>
      </c>
      <c r="D2200" t="inlineStr">
        <is>
          <t>SKÅNE LÄN</t>
        </is>
      </c>
      <c r="E2200" t="inlineStr">
        <is>
          <t>BÅSTAD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28844-2023</t>
        </is>
      </c>
      <c r="B2201" s="1" t="n">
        <v>45104</v>
      </c>
      <c r="C2201" s="1" t="n">
        <v>45914</v>
      </c>
      <c r="D2201" t="inlineStr">
        <is>
          <t>SKÅNE LÄN</t>
        </is>
      </c>
      <c r="E2201" t="inlineStr">
        <is>
          <t>KLIPPAN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28862-2023</t>
        </is>
      </c>
      <c r="B2202" s="1" t="n">
        <v>45104</v>
      </c>
      <c r="C2202" s="1" t="n">
        <v>45914</v>
      </c>
      <c r="D2202" t="inlineStr">
        <is>
          <t>SKÅNE LÄN</t>
        </is>
      </c>
      <c r="E2202" t="inlineStr">
        <is>
          <t>TOMELILLA</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29659-2024</t>
        </is>
      </c>
      <c r="B2203" s="1" t="n">
        <v>45484.92587962963</v>
      </c>
      <c r="C2203" s="1" t="n">
        <v>45914</v>
      </c>
      <c r="D2203" t="inlineStr">
        <is>
          <t>SKÅNE LÄN</t>
        </is>
      </c>
      <c r="E2203" t="inlineStr">
        <is>
          <t>HÄSSLEHOLM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62044-2022</t>
        </is>
      </c>
      <c r="B2204" s="1" t="n">
        <v>44918.55976851852</v>
      </c>
      <c r="C2204" s="1" t="n">
        <v>45914</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43932-2023</t>
        </is>
      </c>
      <c r="B2205" s="1" t="n">
        <v>45187</v>
      </c>
      <c r="C2205" s="1" t="n">
        <v>45914</v>
      </c>
      <c r="D2205" t="inlineStr">
        <is>
          <t>SKÅNE LÄN</t>
        </is>
      </c>
      <c r="E2205" t="inlineStr">
        <is>
          <t>HÖRBY</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43935-2023</t>
        </is>
      </c>
      <c r="B2206" s="1" t="n">
        <v>45187</v>
      </c>
      <c r="C2206" s="1" t="n">
        <v>45914</v>
      </c>
      <c r="D2206" t="inlineStr">
        <is>
          <t>SKÅNE LÄN</t>
        </is>
      </c>
      <c r="E2206" t="inlineStr">
        <is>
          <t>HÖRBY</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10695-2023</t>
        </is>
      </c>
      <c r="B2207" s="1" t="n">
        <v>44988</v>
      </c>
      <c r="C2207" s="1" t="n">
        <v>45914</v>
      </c>
      <c r="D2207" t="inlineStr">
        <is>
          <t>SKÅNE LÄN</t>
        </is>
      </c>
      <c r="E2207" t="inlineStr">
        <is>
          <t>KLIPPAN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35798-2023</t>
        </is>
      </c>
      <c r="B2208" s="1" t="n">
        <v>45148</v>
      </c>
      <c r="C2208" s="1" t="n">
        <v>45914</v>
      </c>
      <c r="D2208" t="inlineStr">
        <is>
          <t>SKÅNE LÄN</t>
        </is>
      </c>
      <c r="E2208" t="inlineStr">
        <is>
          <t>BROMÖLLA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55490-2022</t>
        </is>
      </c>
      <c r="B2209" s="1" t="n">
        <v>44887.68564814814</v>
      </c>
      <c r="C2209" s="1" t="n">
        <v>45914</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6164-2023</t>
        </is>
      </c>
      <c r="B2210" s="1" t="n">
        <v>44964.66871527778</v>
      </c>
      <c r="C2210" s="1" t="n">
        <v>45914</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11722-2023</t>
        </is>
      </c>
      <c r="B2211" s="1" t="n">
        <v>44992</v>
      </c>
      <c r="C2211" s="1" t="n">
        <v>45914</v>
      </c>
      <c r="D2211" t="inlineStr">
        <is>
          <t>SKÅNE LÄN</t>
        </is>
      </c>
      <c r="E2211" t="inlineStr">
        <is>
          <t>ÖSTRA GÖINGE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1421-2024</t>
        </is>
      </c>
      <c r="B2212" s="1" t="n">
        <v>45303</v>
      </c>
      <c r="C2212" s="1" t="n">
        <v>45914</v>
      </c>
      <c r="D2212" t="inlineStr">
        <is>
          <t>SKÅNE LÄN</t>
        </is>
      </c>
      <c r="E2212" t="inlineStr">
        <is>
          <t>KRISTIANSTAD</t>
        </is>
      </c>
      <c r="F2212" t="inlineStr">
        <is>
          <t>Övriga Aktiebolag</t>
        </is>
      </c>
      <c r="G2212" t="n">
        <v>19.7</v>
      </c>
      <c r="H2212" t="n">
        <v>0</v>
      </c>
      <c r="I2212" t="n">
        <v>0</v>
      </c>
      <c r="J2212" t="n">
        <v>0</v>
      </c>
      <c r="K2212" t="n">
        <v>0</v>
      </c>
      <c r="L2212" t="n">
        <v>0</v>
      </c>
      <c r="M2212" t="n">
        <v>0</v>
      </c>
      <c r="N2212" t="n">
        <v>0</v>
      </c>
      <c r="O2212" t="n">
        <v>0</v>
      </c>
      <c r="P2212" t="n">
        <v>0</v>
      </c>
      <c r="Q2212" t="n">
        <v>0</v>
      </c>
      <c r="R2212" s="2" t="inlineStr"/>
    </row>
    <row r="2213" ht="15" customHeight="1">
      <c r="A2213" t="inlineStr">
        <is>
          <t>A 8721-2023</t>
        </is>
      </c>
      <c r="B2213" s="1" t="n">
        <v>44978</v>
      </c>
      <c r="C2213" s="1" t="n">
        <v>45914</v>
      </c>
      <c r="D2213" t="inlineStr">
        <is>
          <t>SKÅNE LÄN</t>
        </is>
      </c>
      <c r="E2213" t="inlineStr">
        <is>
          <t>SIMRISHAMN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4750-2024</t>
        </is>
      </c>
      <c r="B2214" s="1" t="n">
        <v>45328</v>
      </c>
      <c r="C2214" s="1" t="n">
        <v>45914</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23956-2023</t>
        </is>
      </c>
      <c r="B2215" s="1" t="n">
        <v>45078.62302083334</v>
      </c>
      <c r="C2215" s="1" t="n">
        <v>45914</v>
      </c>
      <c r="D2215" t="inlineStr">
        <is>
          <t>SKÅNE LÄN</t>
        </is>
      </c>
      <c r="E2215" t="inlineStr">
        <is>
          <t>HÄSSLEHOLM</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44228-2024</t>
        </is>
      </c>
      <c r="B2216" s="1" t="n">
        <v>45573</v>
      </c>
      <c r="C2216" s="1" t="n">
        <v>45914</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30911-2024</t>
        </is>
      </c>
      <c r="B2217" s="1" t="n">
        <v>45498.5925</v>
      </c>
      <c r="C2217" s="1" t="n">
        <v>45914</v>
      </c>
      <c r="D2217" t="inlineStr">
        <is>
          <t>SKÅNE LÄN</t>
        </is>
      </c>
      <c r="E2217" t="inlineStr">
        <is>
          <t>SIMRISHAMN</t>
        </is>
      </c>
      <c r="F2217" t="inlineStr">
        <is>
          <t>Övriga Aktiebolag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39238-2022</t>
        </is>
      </c>
      <c r="B2218" s="1" t="n">
        <v>44817</v>
      </c>
      <c r="C2218" s="1" t="n">
        <v>45914</v>
      </c>
      <c r="D2218" t="inlineStr">
        <is>
          <t>SKÅNE LÄN</t>
        </is>
      </c>
      <c r="E2218" t="inlineStr">
        <is>
          <t>KLIPPAN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47011-2020</t>
        </is>
      </c>
      <c r="B2219" s="1" t="n">
        <v>44096</v>
      </c>
      <c r="C2219" s="1" t="n">
        <v>45914</v>
      </c>
      <c r="D2219" t="inlineStr">
        <is>
          <t>SKÅNE LÄN</t>
        </is>
      </c>
      <c r="E2219" t="inlineStr">
        <is>
          <t>YSTAD</t>
        </is>
      </c>
      <c r="G2219" t="n">
        <v>12.4</v>
      </c>
      <c r="H2219" t="n">
        <v>0</v>
      </c>
      <c r="I2219" t="n">
        <v>0</v>
      </c>
      <c r="J2219" t="n">
        <v>0</v>
      </c>
      <c r="K2219" t="n">
        <v>0</v>
      </c>
      <c r="L2219" t="n">
        <v>0</v>
      </c>
      <c r="M2219" t="n">
        <v>0</v>
      </c>
      <c r="N2219" t="n">
        <v>0</v>
      </c>
      <c r="O2219" t="n">
        <v>0</v>
      </c>
      <c r="P2219" t="n">
        <v>0</v>
      </c>
      <c r="Q2219" t="n">
        <v>0</v>
      </c>
      <c r="R2219" s="2" t="inlineStr"/>
    </row>
    <row r="2220" ht="15" customHeight="1">
      <c r="A2220" t="inlineStr">
        <is>
          <t>A 49865-2020</t>
        </is>
      </c>
      <c r="B2220" s="1" t="n">
        <v>44107</v>
      </c>
      <c r="C2220" s="1" t="n">
        <v>45914</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1679-2022</t>
        </is>
      </c>
      <c r="B2221" s="1" t="n">
        <v>44573</v>
      </c>
      <c r="C2221" s="1" t="n">
        <v>45914</v>
      </c>
      <c r="D2221" t="inlineStr">
        <is>
          <t>SKÅNE LÄN</t>
        </is>
      </c>
      <c r="E2221" t="inlineStr">
        <is>
          <t>HÄSSLEHOLM</t>
        </is>
      </c>
      <c r="F2221" t="inlineStr">
        <is>
          <t>Kyrkan</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8859-2025</t>
        </is>
      </c>
      <c r="B2222" s="1" t="n">
        <v>45713</v>
      </c>
      <c r="C2222" s="1" t="n">
        <v>45914</v>
      </c>
      <c r="D2222" t="inlineStr">
        <is>
          <t>SKÅNE LÄN</t>
        </is>
      </c>
      <c r="E2222" t="inlineStr">
        <is>
          <t>SJÖBO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49831-2022</t>
        </is>
      </c>
      <c r="B2223" s="1" t="n">
        <v>44862</v>
      </c>
      <c r="C2223" s="1" t="n">
        <v>45914</v>
      </c>
      <c r="D2223" t="inlineStr">
        <is>
          <t>SKÅNE LÄN</t>
        </is>
      </c>
      <c r="E2223" t="inlineStr">
        <is>
          <t>BROMÖLLA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44580-2023</t>
        </is>
      </c>
      <c r="B2224" s="1" t="n">
        <v>45189</v>
      </c>
      <c r="C2224" s="1" t="n">
        <v>45914</v>
      </c>
      <c r="D2224" t="inlineStr">
        <is>
          <t>SKÅNE LÄN</t>
        </is>
      </c>
      <c r="E2224" t="inlineStr">
        <is>
          <t>SJÖBO</t>
        </is>
      </c>
      <c r="F2224" t="inlineStr">
        <is>
          <t>Kommuner</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11642-2025</t>
        </is>
      </c>
      <c r="B2225" s="1" t="n">
        <v>45727</v>
      </c>
      <c r="C2225" s="1" t="n">
        <v>45914</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11708-2025</t>
        </is>
      </c>
      <c r="B2226" s="1" t="n">
        <v>45727.58626157408</v>
      </c>
      <c r="C2226" s="1" t="n">
        <v>45914</v>
      </c>
      <c r="D2226" t="inlineStr">
        <is>
          <t>SKÅNE LÄN</t>
        </is>
      </c>
      <c r="E2226" t="inlineStr">
        <is>
          <t>HÄSSLEHOLM</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1660-2025</t>
        </is>
      </c>
      <c r="B2227" s="1" t="n">
        <v>45670</v>
      </c>
      <c r="C2227" s="1" t="n">
        <v>45914</v>
      </c>
      <c r="D2227" t="inlineStr">
        <is>
          <t>SKÅNE LÄN</t>
        </is>
      </c>
      <c r="E2227" t="inlineStr">
        <is>
          <t>KRISTIANSTAD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8207-2025</t>
        </is>
      </c>
      <c r="B2228" s="1" t="n">
        <v>45708.44108796296</v>
      </c>
      <c r="C2228" s="1" t="n">
        <v>45914</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9668-2025</t>
        </is>
      </c>
      <c r="B2229" s="1" t="n">
        <v>45716.3278587963</v>
      </c>
      <c r="C2229" s="1" t="n">
        <v>45914</v>
      </c>
      <c r="D2229" t="inlineStr">
        <is>
          <t>SKÅNE LÄN</t>
        </is>
      </c>
      <c r="E2229" t="inlineStr">
        <is>
          <t>HÄSSLEHOLM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46279-2024</t>
        </is>
      </c>
      <c r="B2230" s="1" t="n">
        <v>45581.63439814815</v>
      </c>
      <c r="C2230" s="1" t="n">
        <v>45914</v>
      </c>
      <c r="D2230" t="inlineStr">
        <is>
          <t>SKÅNE LÄN</t>
        </is>
      </c>
      <c r="E2230" t="inlineStr">
        <is>
          <t>ÖSTRA GÖINGE</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425-2023</t>
        </is>
      </c>
      <c r="B2231" s="1" t="n">
        <v>44929</v>
      </c>
      <c r="C2231" s="1" t="n">
        <v>45914</v>
      </c>
      <c r="D2231" t="inlineStr">
        <is>
          <t>SKÅNE LÄN</t>
        </is>
      </c>
      <c r="E2231" t="inlineStr">
        <is>
          <t>ÖSTRA GÖINGE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7881-2025</t>
        </is>
      </c>
      <c r="B2232" s="1" t="n">
        <v>45706.79318287037</v>
      </c>
      <c r="C2232" s="1" t="n">
        <v>45914</v>
      </c>
      <c r="D2232" t="inlineStr">
        <is>
          <t>SKÅNE LÄN</t>
        </is>
      </c>
      <c r="E2232" t="inlineStr">
        <is>
          <t>OSBY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55544-2022</t>
        </is>
      </c>
      <c r="B2233" s="1" t="n">
        <v>44887</v>
      </c>
      <c r="C2233" s="1" t="n">
        <v>45914</v>
      </c>
      <c r="D2233" t="inlineStr">
        <is>
          <t>SKÅNE LÄN</t>
        </is>
      </c>
      <c r="E2233" t="inlineStr">
        <is>
          <t>ÄNGELHOLM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39015-2023</t>
        </is>
      </c>
      <c r="B2234" s="1" t="n">
        <v>45162</v>
      </c>
      <c r="C2234" s="1" t="n">
        <v>45914</v>
      </c>
      <c r="D2234" t="inlineStr">
        <is>
          <t>SKÅNE LÄN</t>
        </is>
      </c>
      <c r="E2234" t="inlineStr">
        <is>
          <t>SIMRISHAMN</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37318-2024</t>
        </is>
      </c>
      <c r="B2235" s="1" t="n">
        <v>45540</v>
      </c>
      <c r="C2235" s="1" t="n">
        <v>45914</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58891-2022</t>
        </is>
      </c>
      <c r="B2236" s="1" t="n">
        <v>44896</v>
      </c>
      <c r="C2236" s="1" t="n">
        <v>45914</v>
      </c>
      <c r="D2236" t="inlineStr">
        <is>
          <t>SKÅNE LÄN</t>
        </is>
      </c>
      <c r="E2236" t="inlineStr">
        <is>
          <t>HÄSSLEHOLM</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31115-2024</t>
        </is>
      </c>
      <c r="B2237" s="1" t="n">
        <v>45502</v>
      </c>
      <c r="C2237" s="1" t="n">
        <v>45914</v>
      </c>
      <c r="D2237" t="inlineStr">
        <is>
          <t>SKÅNE LÄN</t>
        </is>
      </c>
      <c r="E2237" t="inlineStr">
        <is>
          <t>HÖRBY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37324-2024</t>
        </is>
      </c>
      <c r="B2238" s="1" t="n">
        <v>45540.50104166667</v>
      </c>
      <c r="C2238" s="1" t="n">
        <v>45914</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259-2024</t>
        </is>
      </c>
      <c r="B2239" s="1" t="n">
        <v>45294</v>
      </c>
      <c r="C2239" s="1" t="n">
        <v>45914</v>
      </c>
      <c r="D2239" t="inlineStr">
        <is>
          <t>SKÅNE LÄN</t>
        </is>
      </c>
      <c r="E2239" t="inlineStr">
        <is>
          <t>HÄSSLEHOLM</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61087-2022</t>
        </is>
      </c>
      <c r="B2240" s="1" t="n">
        <v>44915</v>
      </c>
      <c r="C2240" s="1" t="n">
        <v>45914</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24776-2025</t>
        </is>
      </c>
      <c r="B2241" s="1" t="n">
        <v>45799.40640046296</v>
      </c>
      <c r="C2241" s="1" t="n">
        <v>45914</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45914</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15856-2022</t>
        </is>
      </c>
      <c r="B2243" s="1" t="n">
        <v>44664</v>
      </c>
      <c r="C2243" s="1" t="n">
        <v>45914</v>
      </c>
      <c r="D2243" t="inlineStr">
        <is>
          <t>SKÅNE LÄN</t>
        </is>
      </c>
      <c r="E2243" t="inlineStr">
        <is>
          <t>SJÖBO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31893-2021</t>
        </is>
      </c>
      <c r="B2244" s="1" t="n">
        <v>44370.45880787037</v>
      </c>
      <c r="C2244" s="1" t="n">
        <v>45914</v>
      </c>
      <c r="D2244" t="inlineStr">
        <is>
          <t>SKÅNE LÄN</t>
        </is>
      </c>
      <c r="E2244" t="inlineStr">
        <is>
          <t>KLIPPAN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20403-2024</t>
        </is>
      </c>
      <c r="B2245" s="1" t="n">
        <v>45435</v>
      </c>
      <c r="C2245" s="1" t="n">
        <v>45914</v>
      </c>
      <c r="D2245" t="inlineStr">
        <is>
          <t>SKÅNE LÄN</t>
        </is>
      </c>
      <c r="E2245" t="inlineStr">
        <is>
          <t>HÖRBY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32015-2023</t>
        </is>
      </c>
      <c r="B2246" s="1" t="n">
        <v>45119.4802662037</v>
      </c>
      <c r="C2246" s="1" t="n">
        <v>45914</v>
      </c>
      <c r="D2246" t="inlineStr">
        <is>
          <t>SKÅNE LÄN</t>
        </is>
      </c>
      <c r="E2246" t="inlineStr">
        <is>
          <t>KRISTIANSTAD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40419-2024</t>
        </is>
      </c>
      <c r="B2247" s="1" t="n">
        <v>45555</v>
      </c>
      <c r="C2247" s="1" t="n">
        <v>45914</v>
      </c>
      <c r="D2247" t="inlineStr">
        <is>
          <t>SKÅNE LÄN</t>
        </is>
      </c>
      <c r="E2247" t="inlineStr">
        <is>
          <t>KRISTIANSTAD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24795-2025</t>
        </is>
      </c>
      <c r="B2248" s="1" t="n">
        <v>45799.43543981481</v>
      </c>
      <c r="C2248" s="1" t="n">
        <v>45914</v>
      </c>
      <c r="D2248" t="inlineStr">
        <is>
          <t>SKÅNE LÄN</t>
        </is>
      </c>
      <c r="E2248" t="inlineStr">
        <is>
          <t>KRISTIANSTAD</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24833-2025</t>
        </is>
      </c>
      <c r="B2249" s="1" t="n">
        <v>45799.45917824074</v>
      </c>
      <c r="C2249" s="1" t="n">
        <v>45914</v>
      </c>
      <c r="D2249" t="inlineStr">
        <is>
          <t>SKÅNE LÄN</t>
        </is>
      </c>
      <c r="E2249" t="inlineStr">
        <is>
          <t>SJÖBO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24818-2025</t>
        </is>
      </c>
      <c r="B2250" s="1" t="n">
        <v>45799.45090277777</v>
      </c>
      <c r="C2250" s="1" t="n">
        <v>45914</v>
      </c>
      <c r="D2250" t="inlineStr">
        <is>
          <t>SKÅNE LÄN</t>
        </is>
      </c>
      <c r="E2250" t="inlineStr">
        <is>
          <t>KLIPPAN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23811-2023</t>
        </is>
      </c>
      <c r="B2251" s="1" t="n">
        <v>45078.38459490741</v>
      </c>
      <c r="C2251" s="1" t="n">
        <v>45914</v>
      </c>
      <c r="D2251" t="inlineStr">
        <is>
          <t>SKÅNE LÄN</t>
        </is>
      </c>
      <c r="E2251" t="inlineStr">
        <is>
          <t>OSBY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37675-2023</t>
        </is>
      </c>
      <c r="B2252" s="1" t="n">
        <v>45159.5582175926</v>
      </c>
      <c r="C2252" s="1" t="n">
        <v>45914</v>
      </c>
      <c r="D2252" t="inlineStr">
        <is>
          <t>SKÅNE LÄN</t>
        </is>
      </c>
      <c r="E2252" t="inlineStr">
        <is>
          <t>HÖÖR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48112-2024</t>
        </is>
      </c>
      <c r="B2253" s="1" t="n">
        <v>45589.6295949074</v>
      </c>
      <c r="C2253" s="1" t="n">
        <v>45914</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16792-2024</t>
        </is>
      </c>
      <c r="B2254" s="1" t="n">
        <v>45411</v>
      </c>
      <c r="C2254" s="1" t="n">
        <v>45914</v>
      </c>
      <c r="D2254" t="inlineStr">
        <is>
          <t>SKÅNE LÄN</t>
        </is>
      </c>
      <c r="E2254" t="inlineStr">
        <is>
          <t>ESLÖV</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55412-2022</t>
        </is>
      </c>
      <c r="B2255" s="1" t="n">
        <v>44882</v>
      </c>
      <c r="C2255" s="1" t="n">
        <v>45914</v>
      </c>
      <c r="D2255" t="inlineStr">
        <is>
          <t>SKÅNE LÄN</t>
        </is>
      </c>
      <c r="E2255" t="inlineStr">
        <is>
          <t>HÄSSLEHOLM</t>
        </is>
      </c>
      <c r="F2255" t="inlineStr">
        <is>
          <t>Övriga Aktiebolag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51859-2024</t>
        </is>
      </c>
      <c r="B2256" s="1" t="n">
        <v>45607</v>
      </c>
      <c r="C2256" s="1" t="n">
        <v>45914</v>
      </c>
      <c r="D2256" t="inlineStr">
        <is>
          <t>SKÅNE LÄN</t>
        </is>
      </c>
      <c r="E2256" t="inlineStr">
        <is>
          <t>OSBY</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44442-2023</t>
        </is>
      </c>
      <c r="B2257" s="1" t="n">
        <v>45189.37082175926</v>
      </c>
      <c r="C2257" s="1" t="n">
        <v>45914</v>
      </c>
      <c r="D2257" t="inlineStr">
        <is>
          <t>SKÅNE LÄN</t>
        </is>
      </c>
      <c r="E2257" t="inlineStr">
        <is>
          <t>KRISTIANSTAD</t>
        </is>
      </c>
      <c r="F2257" t="inlineStr">
        <is>
          <t>Sveaskog</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53576-2022</t>
        </is>
      </c>
      <c r="B2258" s="1" t="n">
        <v>44875</v>
      </c>
      <c r="C2258" s="1" t="n">
        <v>45914</v>
      </c>
      <c r="D2258" t="inlineStr">
        <is>
          <t>SKÅNE LÄN</t>
        </is>
      </c>
      <c r="E2258" t="inlineStr">
        <is>
          <t>HÄSSLEHOLM</t>
        </is>
      </c>
      <c r="F2258" t="inlineStr">
        <is>
          <t>Övriga Aktiebolag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30736-2025</t>
        </is>
      </c>
      <c r="B2259" s="1" t="n">
        <v>45831</v>
      </c>
      <c r="C2259" s="1" t="n">
        <v>45914</v>
      </c>
      <c r="D2259" t="inlineStr">
        <is>
          <t>SKÅNE LÄN</t>
        </is>
      </c>
      <c r="E2259" t="inlineStr">
        <is>
          <t>KRISTIANSTAD</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25372-2025</t>
        </is>
      </c>
      <c r="B2260" s="1" t="n">
        <v>45799</v>
      </c>
      <c r="C2260" s="1" t="n">
        <v>45914</v>
      </c>
      <c r="D2260" t="inlineStr">
        <is>
          <t>SKÅNE LÄN</t>
        </is>
      </c>
      <c r="E2260" t="inlineStr">
        <is>
          <t>HÄSSLEHOLM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9399-2025</t>
        </is>
      </c>
      <c r="B2261" s="1" t="n">
        <v>45715.37861111111</v>
      </c>
      <c r="C2261" s="1" t="n">
        <v>45914</v>
      </c>
      <c r="D2261" t="inlineStr">
        <is>
          <t>SKÅNE LÄN</t>
        </is>
      </c>
      <c r="E2261" t="inlineStr">
        <is>
          <t>HÄSSLEHOLM</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30673-2023</t>
        </is>
      </c>
      <c r="B2262" s="1" t="n">
        <v>45112</v>
      </c>
      <c r="C2262" s="1" t="n">
        <v>45914</v>
      </c>
      <c r="D2262" t="inlineStr">
        <is>
          <t>SKÅNE LÄN</t>
        </is>
      </c>
      <c r="E2262" t="inlineStr">
        <is>
          <t>TOMELILLA</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5046-2022</t>
        </is>
      </c>
      <c r="B2263" s="1" t="n">
        <v>44593.68116898148</v>
      </c>
      <c r="C2263" s="1" t="n">
        <v>45914</v>
      </c>
      <c r="D2263" t="inlineStr">
        <is>
          <t>SKÅNE LÄN</t>
        </is>
      </c>
      <c r="E2263" t="inlineStr">
        <is>
          <t>ÄNGELHOLM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20813-2023</t>
        </is>
      </c>
      <c r="B2264" s="1" t="n">
        <v>45055</v>
      </c>
      <c r="C2264" s="1" t="n">
        <v>45914</v>
      </c>
      <c r="D2264" t="inlineStr">
        <is>
          <t>SKÅNE LÄN</t>
        </is>
      </c>
      <c r="E2264" t="inlineStr">
        <is>
          <t>OSBY</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27310-2023</t>
        </is>
      </c>
      <c r="B2265" s="1" t="n">
        <v>45096.65549768518</v>
      </c>
      <c r="C2265" s="1" t="n">
        <v>45914</v>
      </c>
      <c r="D2265" t="inlineStr">
        <is>
          <t>SKÅNE LÄN</t>
        </is>
      </c>
      <c r="E2265" t="inlineStr">
        <is>
          <t>SVALÖV</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15181-2022</t>
        </is>
      </c>
      <c r="B2266" s="1" t="n">
        <v>44658.5822800926</v>
      </c>
      <c r="C2266" s="1" t="n">
        <v>45914</v>
      </c>
      <c r="D2266" t="inlineStr">
        <is>
          <t>SKÅNE LÄN</t>
        </is>
      </c>
      <c r="E2266" t="inlineStr">
        <is>
          <t>OSBY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51131-2021</t>
        </is>
      </c>
      <c r="B2267" s="1" t="n">
        <v>44461</v>
      </c>
      <c r="C2267" s="1" t="n">
        <v>45914</v>
      </c>
      <c r="D2267" t="inlineStr">
        <is>
          <t>SKÅNE LÄN</t>
        </is>
      </c>
      <c r="E2267" t="inlineStr">
        <is>
          <t>HÖÖR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69394-2021</t>
        </is>
      </c>
      <c r="B2268" s="1" t="n">
        <v>44531</v>
      </c>
      <c r="C2268" s="1" t="n">
        <v>45914</v>
      </c>
      <c r="D2268" t="inlineStr">
        <is>
          <t>SKÅNE LÄN</t>
        </is>
      </c>
      <c r="E2268" t="inlineStr">
        <is>
          <t>KLIPPAN</t>
        </is>
      </c>
      <c r="F2268" t="inlineStr">
        <is>
          <t>Övriga Aktiebolag</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3040-2024</t>
        </is>
      </c>
      <c r="B2269" s="1" t="n">
        <v>45316</v>
      </c>
      <c r="C2269" s="1" t="n">
        <v>45914</v>
      </c>
      <c r="D2269" t="inlineStr">
        <is>
          <t>SKÅNE LÄN</t>
        </is>
      </c>
      <c r="E2269" t="inlineStr">
        <is>
          <t>HÖRBY</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43711-2024</t>
        </is>
      </c>
      <c r="B2270" s="1" t="n">
        <v>45569</v>
      </c>
      <c r="C2270" s="1" t="n">
        <v>45914</v>
      </c>
      <c r="D2270" t="inlineStr">
        <is>
          <t>SKÅNE LÄN</t>
        </is>
      </c>
      <c r="E2270" t="inlineStr">
        <is>
          <t>HÖRBY</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3781-2024</t>
        </is>
      </c>
      <c r="B2271" s="1" t="n">
        <v>45321.59253472222</v>
      </c>
      <c r="C2271" s="1" t="n">
        <v>45914</v>
      </c>
      <c r="D2271" t="inlineStr">
        <is>
          <t>SKÅNE LÄN</t>
        </is>
      </c>
      <c r="E2271" t="inlineStr">
        <is>
          <t>ÖSTRA GÖINGE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35171-2024</t>
        </is>
      </c>
      <c r="B2272" s="1" t="n">
        <v>45530</v>
      </c>
      <c r="C2272" s="1" t="n">
        <v>45914</v>
      </c>
      <c r="D2272" t="inlineStr">
        <is>
          <t>SKÅNE LÄN</t>
        </is>
      </c>
      <c r="E2272" t="inlineStr">
        <is>
          <t>ÖSTRA GÖINGE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45729-2024</t>
        </is>
      </c>
      <c r="B2273" s="1" t="n">
        <v>45579</v>
      </c>
      <c r="C2273" s="1" t="n">
        <v>45914</v>
      </c>
      <c r="D2273" t="inlineStr">
        <is>
          <t>SKÅNE LÄN</t>
        </is>
      </c>
      <c r="E2273" t="inlineStr">
        <is>
          <t>TOMELILLA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9678-2025</t>
        </is>
      </c>
      <c r="B2274" s="1" t="n">
        <v>45716.34403935185</v>
      </c>
      <c r="C2274" s="1" t="n">
        <v>45914</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52882-2024</t>
        </is>
      </c>
      <c r="B2275" s="1" t="n">
        <v>45610</v>
      </c>
      <c r="C2275" s="1" t="n">
        <v>45914</v>
      </c>
      <c r="D2275" t="inlineStr">
        <is>
          <t>SKÅNE LÄN</t>
        </is>
      </c>
      <c r="E2275" t="inlineStr">
        <is>
          <t>KLIPPAN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24246-2023</t>
        </is>
      </c>
      <c r="B2276" s="1" t="n">
        <v>45079</v>
      </c>
      <c r="C2276" s="1" t="n">
        <v>45914</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24249-2023</t>
        </is>
      </c>
      <c r="B2277" s="1" t="n">
        <v>45079.62466435185</v>
      </c>
      <c r="C2277" s="1" t="n">
        <v>45914</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52548-2023</t>
        </is>
      </c>
      <c r="B2278" s="1" t="n">
        <v>45218</v>
      </c>
      <c r="C2278" s="1" t="n">
        <v>45914</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24797-2025</t>
        </is>
      </c>
      <c r="B2279" s="1" t="n">
        <v>45799.43565972222</v>
      </c>
      <c r="C2279" s="1" t="n">
        <v>45914</v>
      </c>
      <c r="D2279" t="inlineStr">
        <is>
          <t>SKÅNE LÄN</t>
        </is>
      </c>
      <c r="E2279" t="inlineStr">
        <is>
          <t>KRISTIANSTAD</t>
        </is>
      </c>
      <c r="F2279" t="inlineStr">
        <is>
          <t>Övriga Aktiebolag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24798-2025</t>
        </is>
      </c>
      <c r="B2280" s="1" t="n">
        <v>45799.43751157408</v>
      </c>
      <c r="C2280" s="1" t="n">
        <v>45914</v>
      </c>
      <c r="D2280" t="inlineStr">
        <is>
          <t>SKÅNE LÄN</t>
        </is>
      </c>
      <c r="E2280" t="inlineStr">
        <is>
          <t>KRISTIANSTAD</t>
        </is>
      </c>
      <c r="F2280" t="inlineStr">
        <is>
          <t>Övriga Aktiebolag</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24813-2025</t>
        </is>
      </c>
      <c r="B2281" s="1" t="n">
        <v>45799.44813657407</v>
      </c>
      <c r="C2281" s="1" t="n">
        <v>45914</v>
      </c>
      <c r="D2281" t="inlineStr">
        <is>
          <t>SKÅNE LÄN</t>
        </is>
      </c>
      <c r="E2281" t="inlineStr">
        <is>
          <t>KLIPPAN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24815-2025</t>
        </is>
      </c>
      <c r="B2282" s="1" t="n">
        <v>45799.44935185185</v>
      </c>
      <c r="C2282" s="1" t="n">
        <v>45914</v>
      </c>
      <c r="D2282" t="inlineStr">
        <is>
          <t>SKÅNE LÄN</t>
        </is>
      </c>
      <c r="E2282" t="inlineStr">
        <is>
          <t>KLIPPAN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24830-2025</t>
        </is>
      </c>
      <c r="B2283" s="1" t="n">
        <v>45799.45798611111</v>
      </c>
      <c r="C2283" s="1" t="n">
        <v>45914</v>
      </c>
      <c r="D2283" t="inlineStr">
        <is>
          <t>SKÅNE LÄN</t>
        </is>
      </c>
      <c r="E2283" t="inlineStr">
        <is>
          <t>SJÖBO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24720-2025</t>
        </is>
      </c>
      <c r="B2284" s="1" t="n">
        <v>45799.29619212963</v>
      </c>
      <c r="C2284" s="1" t="n">
        <v>45914</v>
      </c>
      <c r="D2284" t="inlineStr">
        <is>
          <t>SKÅNE LÄN</t>
        </is>
      </c>
      <c r="E2284" t="inlineStr">
        <is>
          <t>OSBY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51565-2023</t>
        </is>
      </c>
      <c r="B2285" s="1" t="n">
        <v>45222</v>
      </c>
      <c r="C2285" s="1" t="n">
        <v>45914</v>
      </c>
      <c r="D2285" t="inlineStr">
        <is>
          <t>SKÅNE LÄN</t>
        </is>
      </c>
      <c r="E2285" t="inlineStr">
        <is>
          <t>HÄSSLEHOLM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24803-2025</t>
        </is>
      </c>
      <c r="B2286" s="1" t="n">
        <v>45799.43972222223</v>
      </c>
      <c r="C2286" s="1" t="n">
        <v>45914</v>
      </c>
      <c r="D2286" t="inlineStr">
        <is>
          <t>SKÅNE LÄN</t>
        </is>
      </c>
      <c r="E2286" t="inlineStr">
        <is>
          <t>KRISTIANSTAD</t>
        </is>
      </c>
      <c r="F2286" t="inlineStr">
        <is>
          <t>Övriga Aktiebolag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9709-2024</t>
        </is>
      </c>
      <c r="B2287" s="1" t="n">
        <v>45362.51869212963</v>
      </c>
      <c r="C2287" s="1" t="n">
        <v>45914</v>
      </c>
      <c r="D2287" t="inlineStr">
        <is>
          <t>SKÅNE LÄN</t>
        </is>
      </c>
      <c r="E2287" t="inlineStr">
        <is>
          <t>ÖSTRA GÖINGE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52575-2023</t>
        </is>
      </c>
      <c r="B2288" s="1" t="n">
        <v>45219</v>
      </c>
      <c r="C2288" s="1" t="n">
        <v>45914</v>
      </c>
      <c r="D2288" t="inlineStr">
        <is>
          <t>SKÅNE LÄN</t>
        </is>
      </c>
      <c r="E2288" t="inlineStr">
        <is>
          <t>PERSTORP</t>
        </is>
      </c>
      <c r="F2288" t="inlineStr">
        <is>
          <t>Övriga Aktiebolag</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52583-2023</t>
        </is>
      </c>
      <c r="B2289" s="1" t="n">
        <v>45219</v>
      </c>
      <c r="C2289" s="1" t="n">
        <v>45914</v>
      </c>
      <c r="D2289" t="inlineStr">
        <is>
          <t>SKÅNE LÄN</t>
        </is>
      </c>
      <c r="E2289" t="inlineStr">
        <is>
          <t>PERSTORP</t>
        </is>
      </c>
      <c r="F2289" t="inlineStr">
        <is>
          <t>Övriga Aktiebolag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44816-2023</t>
        </is>
      </c>
      <c r="B2290" s="1" t="n">
        <v>45190.51157407407</v>
      </c>
      <c r="C2290" s="1" t="n">
        <v>45914</v>
      </c>
      <c r="D2290" t="inlineStr">
        <is>
          <t>SKÅNE LÄN</t>
        </is>
      </c>
      <c r="E2290" t="inlineStr">
        <is>
          <t>HÖRBY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40035-2024</t>
        </is>
      </c>
      <c r="B2291" s="1" t="n">
        <v>45553</v>
      </c>
      <c r="C2291" s="1" t="n">
        <v>45914</v>
      </c>
      <c r="D2291" t="inlineStr">
        <is>
          <t>SKÅNE LÄN</t>
        </is>
      </c>
      <c r="E2291" t="inlineStr">
        <is>
          <t>OSBY</t>
        </is>
      </c>
      <c r="F2291" t="inlineStr">
        <is>
          <t>Kommuner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25430-2025</t>
        </is>
      </c>
      <c r="B2292" s="1" t="n">
        <v>45800.78212962963</v>
      </c>
      <c r="C2292" s="1" t="n">
        <v>45914</v>
      </c>
      <c r="D2292" t="inlineStr">
        <is>
          <t>SKÅNE LÄN</t>
        </is>
      </c>
      <c r="E2292" t="inlineStr">
        <is>
          <t>HÄSSLEHOLM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61703-2024</t>
        </is>
      </c>
      <c r="B2293" s="1" t="n">
        <v>45648.33399305555</v>
      </c>
      <c r="C2293" s="1" t="n">
        <v>45914</v>
      </c>
      <c r="D2293" t="inlineStr">
        <is>
          <t>SKÅNE LÄN</t>
        </is>
      </c>
      <c r="E2293" t="inlineStr">
        <is>
          <t>KRISTIANSTAD</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11672-2024</t>
        </is>
      </c>
      <c r="B2294" s="1" t="n">
        <v>45373</v>
      </c>
      <c r="C2294" s="1" t="n">
        <v>45914</v>
      </c>
      <c r="D2294" t="inlineStr">
        <is>
          <t>SKÅNE LÄN</t>
        </is>
      </c>
      <c r="E2294" t="inlineStr">
        <is>
          <t>SVALÖV</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11470-2025</t>
        </is>
      </c>
      <c r="B2295" s="1" t="n">
        <v>45726</v>
      </c>
      <c r="C2295" s="1" t="n">
        <v>45914</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8382-2022</t>
        </is>
      </c>
      <c r="B2296" s="1" t="n">
        <v>44610</v>
      </c>
      <c r="C2296" s="1" t="n">
        <v>45914</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19268-2024</t>
        </is>
      </c>
      <c r="B2297" s="1" t="n">
        <v>45428.63112268518</v>
      </c>
      <c r="C2297" s="1" t="n">
        <v>45914</v>
      </c>
      <c r="D2297" t="inlineStr">
        <is>
          <t>SKÅNE LÄN</t>
        </is>
      </c>
      <c r="E2297" t="inlineStr">
        <is>
          <t>SVEDALA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42588-2023</t>
        </is>
      </c>
      <c r="B2298" s="1" t="n">
        <v>45176</v>
      </c>
      <c r="C2298" s="1" t="n">
        <v>45914</v>
      </c>
      <c r="D2298" t="inlineStr">
        <is>
          <t>SKÅNE LÄN</t>
        </is>
      </c>
      <c r="E2298" t="inlineStr">
        <is>
          <t>SVALÖV</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11446-2025</t>
        </is>
      </c>
      <c r="B2299" s="1" t="n">
        <v>45726</v>
      </c>
      <c r="C2299" s="1" t="n">
        <v>45914</v>
      </c>
      <c r="D2299" t="inlineStr">
        <is>
          <t>SKÅNE LÄN</t>
        </is>
      </c>
      <c r="E2299" t="inlineStr">
        <is>
          <t>HÄSSLEHOLM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13953-2025</t>
        </is>
      </c>
      <c r="B2300" s="1" t="n">
        <v>45737</v>
      </c>
      <c r="C2300" s="1" t="n">
        <v>45914</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13994-2025</t>
        </is>
      </c>
      <c r="B2301" s="1" t="n">
        <v>45739.73532407408</v>
      </c>
      <c r="C2301" s="1" t="n">
        <v>45914</v>
      </c>
      <c r="D2301" t="inlineStr">
        <is>
          <t>SKÅNE LÄN</t>
        </is>
      </c>
      <c r="E2301" t="inlineStr">
        <is>
          <t>KLIPPAN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25615-2025</t>
        </is>
      </c>
      <c r="B2302" s="1" t="n">
        <v>45803</v>
      </c>
      <c r="C2302" s="1" t="n">
        <v>45914</v>
      </c>
      <c r="D2302" t="inlineStr">
        <is>
          <t>SKÅNE LÄN</t>
        </is>
      </c>
      <c r="E2302" t="inlineStr">
        <is>
          <t>HÄSSLEHOLM</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25824-2025</t>
        </is>
      </c>
      <c r="B2303" s="1" t="n">
        <v>45804.44163194444</v>
      </c>
      <c r="C2303" s="1" t="n">
        <v>45914</v>
      </c>
      <c r="D2303" t="inlineStr">
        <is>
          <t>SKÅNE LÄN</t>
        </is>
      </c>
      <c r="E2303" t="inlineStr">
        <is>
          <t>ÖSTRA GÖINGE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46246-2023</t>
        </is>
      </c>
      <c r="B2304" s="1" t="n">
        <v>45196.85282407407</v>
      </c>
      <c r="C2304" s="1" t="n">
        <v>45914</v>
      </c>
      <c r="D2304" t="inlineStr">
        <is>
          <t>SKÅNE LÄN</t>
        </is>
      </c>
      <c r="E2304" t="inlineStr">
        <is>
          <t>OSBY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39944-2024</t>
        </is>
      </c>
      <c r="B2305" s="1" t="n">
        <v>45553.57224537037</v>
      </c>
      <c r="C2305" s="1" t="n">
        <v>45914</v>
      </c>
      <c r="D2305" t="inlineStr">
        <is>
          <t>SKÅNE LÄN</t>
        </is>
      </c>
      <c r="E2305" t="inlineStr">
        <is>
          <t>KRISTIANSTAD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47552-2023</t>
        </is>
      </c>
      <c r="B2306" s="1" t="n">
        <v>45203.38798611111</v>
      </c>
      <c r="C2306" s="1" t="n">
        <v>45914</v>
      </c>
      <c r="D2306" t="inlineStr">
        <is>
          <t>SKÅNE LÄN</t>
        </is>
      </c>
      <c r="E2306" t="inlineStr">
        <is>
          <t>HÖRBY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26032-2025</t>
        </is>
      </c>
      <c r="B2307" s="1" t="n">
        <v>45804.69063657407</v>
      </c>
      <c r="C2307" s="1" t="n">
        <v>45914</v>
      </c>
      <c r="D2307" t="inlineStr">
        <is>
          <t>SKÅNE LÄN</t>
        </is>
      </c>
      <c r="E2307" t="inlineStr">
        <is>
          <t>ÖRKELLJUNGA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25860-2025</t>
        </is>
      </c>
      <c r="B2308" s="1" t="n">
        <v>45804</v>
      </c>
      <c r="C2308" s="1" t="n">
        <v>45914</v>
      </c>
      <c r="D2308" t="inlineStr">
        <is>
          <t>SKÅNE LÄN</t>
        </is>
      </c>
      <c r="E2308" t="inlineStr">
        <is>
          <t>KRISTIANSTAD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39117-2023</t>
        </is>
      </c>
      <c r="B2309" s="1" t="n">
        <v>45165.41042824074</v>
      </c>
      <c r="C2309" s="1" t="n">
        <v>45914</v>
      </c>
      <c r="D2309" t="inlineStr">
        <is>
          <t>SKÅNE LÄN</t>
        </is>
      </c>
      <c r="E2309" t="inlineStr">
        <is>
          <t>KRISTIANSTAD</t>
        </is>
      </c>
      <c r="F2309" t="inlineStr">
        <is>
          <t>Sveaskog</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31092-2023</t>
        </is>
      </c>
      <c r="B2310" s="1" t="n">
        <v>45113</v>
      </c>
      <c r="C2310" s="1" t="n">
        <v>45914</v>
      </c>
      <c r="D2310" t="inlineStr">
        <is>
          <t>SKÅNE LÄN</t>
        </is>
      </c>
      <c r="E2310" t="inlineStr">
        <is>
          <t>HÖÖR</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25475-2023</t>
        </is>
      </c>
      <c r="B2311" s="1" t="n">
        <v>45089</v>
      </c>
      <c r="C2311" s="1" t="n">
        <v>45914</v>
      </c>
      <c r="D2311" t="inlineStr">
        <is>
          <t>SKÅNE LÄN</t>
        </is>
      </c>
      <c r="E2311" t="inlineStr">
        <is>
          <t>SIMRISHAMN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38486-2023</t>
        </is>
      </c>
      <c r="B2312" s="1" t="n">
        <v>45162.48063657407</v>
      </c>
      <c r="C2312" s="1" t="n">
        <v>45914</v>
      </c>
      <c r="D2312" t="inlineStr">
        <is>
          <t>SKÅNE LÄN</t>
        </is>
      </c>
      <c r="E2312" t="inlineStr">
        <is>
          <t>OSBY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25749-2025</t>
        </is>
      </c>
      <c r="B2313" s="1" t="n">
        <v>45804.29387731481</v>
      </c>
      <c r="C2313" s="1" t="n">
        <v>45914</v>
      </c>
      <c r="D2313" t="inlineStr">
        <is>
          <t>SKÅNE LÄN</t>
        </is>
      </c>
      <c r="E2313" t="inlineStr">
        <is>
          <t>HÖÖR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25588-2025</t>
        </is>
      </c>
      <c r="B2314" s="1" t="n">
        <v>45803.49103009259</v>
      </c>
      <c r="C2314" s="1" t="n">
        <v>45914</v>
      </c>
      <c r="D2314" t="inlineStr">
        <is>
          <t>SKÅNE LÄN</t>
        </is>
      </c>
      <c r="E2314" t="inlineStr">
        <is>
          <t>ÖRKELLJUNGA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28785-2023</t>
        </is>
      </c>
      <c r="B2315" s="1" t="n">
        <v>45104</v>
      </c>
      <c r="C2315" s="1" t="n">
        <v>45914</v>
      </c>
      <c r="D2315" t="inlineStr">
        <is>
          <t>SKÅNE LÄN</t>
        </is>
      </c>
      <c r="E2315" t="inlineStr">
        <is>
          <t>HÖRBY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25431-2025</t>
        </is>
      </c>
      <c r="B2316" s="1" t="n">
        <v>45800.78340277778</v>
      </c>
      <c r="C2316" s="1" t="n">
        <v>45914</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25432-2025</t>
        </is>
      </c>
      <c r="B2317" s="1" t="n">
        <v>45800.7847800926</v>
      </c>
      <c r="C2317" s="1" t="n">
        <v>45914</v>
      </c>
      <c r="D2317" t="inlineStr">
        <is>
          <t>SKÅNE LÄN</t>
        </is>
      </c>
      <c r="E2317" t="inlineStr">
        <is>
          <t>HÄSSLEHOLM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25433-2025</t>
        </is>
      </c>
      <c r="B2318" s="1" t="n">
        <v>45800.78822916667</v>
      </c>
      <c r="C2318" s="1" t="n">
        <v>45914</v>
      </c>
      <c r="D2318" t="inlineStr">
        <is>
          <t>SKÅNE LÄN</t>
        </is>
      </c>
      <c r="E2318" t="inlineStr">
        <is>
          <t>KRISTIANSTAD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11412-2025</t>
        </is>
      </c>
      <c r="B2319" s="1" t="n">
        <v>45726</v>
      </c>
      <c r="C2319" s="1" t="n">
        <v>45914</v>
      </c>
      <c r="D2319" t="inlineStr">
        <is>
          <t>SKÅNE LÄN</t>
        </is>
      </c>
      <c r="E2319" t="inlineStr">
        <is>
          <t>HÄSSLEHOLM</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1901-2025</t>
        </is>
      </c>
      <c r="B2320" s="1" t="n">
        <v>45671</v>
      </c>
      <c r="C2320" s="1" t="n">
        <v>45914</v>
      </c>
      <c r="D2320" t="inlineStr">
        <is>
          <t>SKÅNE LÄN</t>
        </is>
      </c>
      <c r="E2320" t="inlineStr">
        <is>
          <t>SVALÖV</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8160-2024</t>
        </is>
      </c>
      <c r="B2321" s="1" t="n">
        <v>45351</v>
      </c>
      <c r="C2321" s="1" t="n">
        <v>45914</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1920-2025</t>
        </is>
      </c>
      <c r="B2322" s="1" t="n">
        <v>45671</v>
      </c>
      <c r="C2322" s="1" t="n">
        <v>45914</v>
      </c>
      <c r="D2322" t="inlineStr">
        <is>
          <t>SKÅNE LÄN</t>
        </is>
      </c>
      <c r="E2322" t="inlineStr">
        <is>
          <t>SVALÖV</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25589-2025</t>
        </is>
      </c>
      <c r="B2323" s="1" t="n">
        <v>45803.49381944445</v>
      </c>
      <c r="C2323" s="1" t="n">
        <v>45914</v>
      </c>
      <c r="D2323" t="inlineStr">
        <is>
          <t>SKÅNE LÄN</t>
        </is>
      </c>
      <c r="E2323" t="inlineStr">
        <is>
          <t>ÖRKELLJUNGA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26988-2024</t>
        </is>
      </c>
      <c r="B2324" s="1" t="n">
        <v>45471.3683912037</v>
      </c>
      <c r="C2324" s="1" t="n">
        <v>45914</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25703-2025</t>
        </is>
      </c>
      <c r="B2325" s="1" t="n">
        <v>45803</v>
      </c>
      <c r="C2325" s="1" t="n">
        <v>45914</v>
      </c>
      <c r="D2325" t="inlineStr">
        <is>
          <t>SKÅNE LÄN</t>
        </is>
      </c>
      <c r="E2325" t="inlineStr">
        <is>
          <t>OSBY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44817-2024</t>
        </is>
      </c>
      <c r="B2326" s="1" t="n">
        <v>45574</v>
      </c>
      <c r="C2326" s="1" t="n">
        <v>45914</v>
      </c>
      <c r="D2326" t="inlineStr">
        <is>
          <t>SKÅNE LÄN</t>
        </is>
      </c>
      <c r="E2326" t="inlineStr">
        <is>
          <t>KRISTIANSTAD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5961-2025</t>
        </is>
      </c>
      <c r="B2327" s="1" t="n">
        <v>45695.48664351852</v>
      </c>
      <c r="C2327" s="1" t="n">
        <v>45914</v>
      </c>
      <c r="D2327" t="inlineStr">
        <is>
          <t>SKÅNE LÄN</t>
        </is>
      </c>
      <c r="E2327" t="inlineStr">
        <is>
          <t>BROMÖLLA</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25809-2025</t>
        </is>
      </c>
      <c r="B2328" s="1" t="n">
        <v>45804.419375</v>
      </c>
      <c r="C2328" s="1" t="n">
        <v>45914</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3726-2024</t>
        </is>
      </c>
      <c r="B2329" s="1" t="n">
        <v>45321</v>
      </c>
      <c r="C2329" s="1" t="n">
        <v>45914</v>
      </c>
      <c r="D2329" t="inlineStr">
        <is>
          <t>SKÅNE LÄN</t>
        </is>
      </c>
      <c r="E2329" t="inlineStr">
        <is>
          <t>HÄSSLEHOLM</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745-2024</t>
        </is>
      </c>
      <c r="B2330" s="1" t="n">
        <v>45300</v>
      </c>
      <c r="C2330" s="1" t="n">
        <v>45914</v>
      </c>
      <c r="D2330" t="inlineStr">
        <is>
          <t>SKÅNE LÄN</t>
        </is>
      </c>
      <c r="E2330" t="inlineStr">
        <is>
          <t>BROMÖLLA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43660-2024</t>
        </is>
      </c>
      <c r="B2331" s="1" t="n">
        <v>45569.54984953703</v>
      </c>
      <c r="C2331" s="1" t="n">
        <v>45914</v>
      </c>
      <c r="D2331" t="inlineStr">
        <is>
          <t>SKÅNE LÄN</t>
        </is>
      </c>
      <c r="E2331" t="inlineStr">
        <is>
          <t>ÖSTRA GÖINGE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43696-2024</t>
        </is>
      </c>
      <c r="B2332" s="1" t="n">
        <v>45569.58855324074</v>
      </c>
      <c r="C2332" s="1" t="n">
        <v>45914</v>
      </c>
      <c r="D2332" t="inlineStr">
        <is>
          <t>SKÅNE LÄN</t>
        </is>
      </c>
      <c r="E2332" t="inlineStr">
        <is>
          <t>HÄSSLEHOLM</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23484-2025</t>
        </is>
      </c>
      <c r="B2333" s="1" t="n">
        <v>45792</v>
      </c>
      <c r="C2333" s="1" t="n">
        <v>45914</v>
      </c>
      <c r="D2333" t="inlineStr">
        <is>
          <t>SKÅNE LÄN</t>
        </is>
      </c>
      <c r="E2333" t="inlineStr">
        <is>
          <t>HÖRBY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12182-2025</t>
        </is>
      </c>
      <c r="B2334" s="1" t="n">
        <v>45729</v>
      </c>
      <c r="C2334" s="1" t="n">
        <v>45914</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20185-2023</t>
        </is>
      </c>
      <c r="B2335" s="1" t="n">
        <v>45055.56795138889</v>
      </c>
      <c r="C2335" s="1" t="n">
        <v>45914</v>
      </c>
      <c r="D2335" t="inlineStr">
        <is>
          <t>SKÅNE LÄN</t>
        </is>
      </c>
      <c r="E2335" t="inlineStr">
        <is>
          <t>HÄSSLEHOLM</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3452-2022</t>
        </is>
      </c>
      <c r="B2336" s="1" t="n">
        <v>44585.56990740741</v>
      </c>
      <c r="C2336" s="1" t="n">
        <v>45914</v>
      </c>
      <c r="D2336" t="inlineStr">
        <is>
          <t>SKÅNE LÄN</t>
        </is>
      </c>
      <c r="E2336" t="inlineStr">
        <is>
          <t>OSBY</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43736-2023</t>
        </is>
      </c>
      <c r="B2337" s="1" t="n">
        <v>45182</v>
      </c>
      <c r="C2337" s="1" t="n">
        <v>45914</v>
      </c>
      <c r="D2337" t="inlineStr">
        <is>
          <t>SKÅNE LÄN</t>
        </is>
      </c>
      <c r="E2337" t="inlineStr">
        <is>
          <t>SVALÖV</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16346-2024</t>
        </is>
      </c>
      <c r="B2338" s="1" t="n">
        <v>45407.56798611111</v>
      </c>
      <c r="C2338" s="1" t="n">
        <v>45914</v>
      </c>
      <c r="D2338" t="inlineStr">
        <is>
          <t>SKÅNE LÄN</t>
        </is>
      </c>
      <c r="E2338" t="inlineStr">
        <is>
          <t>SJÖBO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36838-2024</t>
        </is>
      </c>
      <c r="B2339" s="1" t="n">
        <v>45538.52853009259</v>
      </c>
      <c r="C2339" s="1" t="n">
        <v>45914</v>
      </c>
      <c r="D2339" t="inlineStr">
        <is>
          <t>SKÅNE LÄN</t>
        </is>
      </c>
      <c r="E2339" t="inlineStr">
        <is>
          <t>ÖRKELLJUNGA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39044-2024</t>
        </is>
      </c>
      <c r="B2340" s="1" t="n">
        <v>45548.47707175926</v>
      </c>
      <c r="C2340" s="1" t="n">
        <v>45914</v>
      </c>
      <c r="D2340" t="inlineStr">
        <is>
          <t>SKÅNE LÄN</t>
        </is>
      </c>
      <c r="E2340" t="inlineStr">
        <is>
          <t>HÄSSLEHOLM</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11466-2025</t>
        </is>
      </c>
      <c r="B2341" s="1" t="n">
        <v>45726</v>
      </c>
      <c r="C2341" s="1" t="n">
        <v>45914</v>
      </c>
      <c r="D2341" t="inlineStr">
        <is>
          <t>SKÅNE LÄN</t>
        </is>
      </c>
      <c r="E2341" t="inlineStr">
        <is>
          <t>HÄSSLEHOLM</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26020-2025</t>
        </is>
      </c>
      <c r="B2342" s="1" t="n">
        <v>45804.67818287037</v>
      </c>
      <c r="C2342" s="1" t="n">
        <v>45914</v>
      </c>
      <c r="D2342" t="inlineStr">
        <is>
          <t>SKÅNE LÄN</t>
        </is>
      </c>
      <c r="E2342" t="inlineStr">
        <is>
          <t>ÖRKELLJUNGA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4460-2025</t>
        </is>
      </c>
      <c r="B2343" s="1" t="n">
        <v>45686.59799768519</v>
      </c>
      <c r="C2343" s="1" t="n">
        <v>45914</v>
      </c>
      <c r="D2343" t="inlineStr">
        <is>
          <t>SKÅNE LÄN</t>
        </is>
      </c>
      <c r="E2343" t="inlineStr">
        <is>
          <t>ÖSTRA GÖINGE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38376-2022</t>
        </is>
      </c>
      <c r="B2344" s="1" t="n">
        <v>44812</v>
      </c>
      <c r="C2344" s="1" t="n">
        <v>45914</v>
      </c>
      <c r="D2344" t="inlineStr">
        <is>
          <t>SKÅNE LÄN</t>
        </is>
      </c>
      <c r="E2344" t="inlineStr">
        <is>
          <t>HÄSSLEHOLM</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33331-2024</t>
        </is>
      </c>
      <c r="B2345" s="1" t="n">
        <v>45519</v>
      </c>
      <c r="C2345" s="1" t="n">
        <v>45914</v>
      </c>
      <c r="D2345" t="inlineStr">
        <is>
          <t>SKÅNE LÄN</t>
        </is>
      </c>
      <c r="E2345" t="inlineStr">
        <is>
          <t>KLIPPAN</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2408-2025</t>
        </is>
      </c>
      <c r="B2346" s="1" t="n">
        <v>45674.36113425926</v>
      </c>
      <c r="C2346" s="1" t="n">
        <v>45914</v>
      </c>
      <c r="D2346" t="inlineStr">
        <is>
          <t>SKÅNE LÄN</t>
        </is>
      </c>
      <c r="E2346" t="inlineStr">
        <is>
          <t>SVEDALA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2415-2025</t>
        </is>
      </c>
      <c r="B2347" s="1" t="n">
        <v>45674.379375</v>
      </c>
      <c r="C2347" s="1" t="n">
        <v>45914</v>
      </c>
      <c r="D2347" t="inlineStr">
        <is>
          <t>SKÅNE LÄN</t>
        </is>
      </c>
      <c r="E2347" t="inlineStr">
        <is>
          <t>SVEDALA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57521-2022</t>
        </is>
      </c>
      <c r="B2348" s="1" t="n">
        <v>44896</v>
      </c>
      <c r="C2348" s="1" t="n">
        <v>45914</v>
      </c>
      <c r="D2348" t="inlineStr">
        <is>
          <t>SKÅNE LÄN</t>
        </is>
      </c>
      <c r="E2348" t="inlineStr">
        <is>
          <t>ÖSTRA GÖINGE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45914</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26232-2025</t>
        </is>
      </c>
      <c r="B2350" s="1" t="n">
        <v>45805.56642361111</v>
      </c>
      <c r="C2350" s="1" t="n">
        <v>45914</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34216-2023</t>
        </is>
      </c>
      <c r="B2351" s="1" t="n">
        <v>45126</v>
      </c>
      <c r="C2351" s="1" t="n">
        <v>45914</v>
      </c>
      <c r="D2351" t="inlineStr">
        <is>
          <t>SKÅNE LÄN</t>
        </is>
      </c>
      <c r="E2351" t="inlineStr">
        <is>
          <t>BROMÖLLA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13225-2024</t>
        </is>
      </c>
      <c r="B2352" s="1" t="n">
        <v>45386</v>
      </c>
      <c r="C2352" s="1" t="n">
        <v>45914</v>
      </c>
      <c r="D2352" t="inlineStr">
        <is>
          <t>SKÅNE LÄN</t>
        </is>
      </c>
      <c r="E2352" t="inlineStr">
        <is>
          <t>HÖRBY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13226-2024</t>
        </is>
      </c>
      <c r="B2353" s="1" t="n">
        <v>45386</v>
      </c>
      <c r="C2353" s="1" t="n">
        <v>45914</v>
      </c>
      <c r="D2353" t="inlineStr">
        <is>
          <t>SKÅNE LÄN</t>
        </is>
      </c>
      <c r="E2353" t="inlineStr">
        <is>
          <t>HÖRBY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34279-2023</t>
        </is>
      </c>
      <c r="B2354" s="1" t="n">
        <v>45138</v>
      </c>
      <c r="C2354" s="1" t="n">
        <v>45914</v>
      </c>
      <c r="D2354" t="inlineStr">
        <is>
          <t>SKÅNE LÄN</t>
        </is>
      </c>
      <c r="E2354" t="inlineStr">
        <is>
          <t>ÖRKELLJUNGA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48173-2024</t>
        </is>
      </c>
      <c r="B2355" s="1" t="n">
        <v>45589.77721064815</v>
      </c>
      <c r="C2355" s="1" t="n">
        <v>45914</v>
      </c>
      <c r="D2355" t="inlineStr">
        <is>
          <t>SKÅNE LÄN</t>
        </is>
      </c>
      <c r="E2355" t="inlineStr">
        <is>
          <t>KRISTIANSTAD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14255-2024</t>
        </is>
      </c>
      <c r="B2356" s="1" t="n">
        <v>45393</v>
      </c>
      <c r="C2356" s="1" t="n">
        <v>45914</v>
      </c>
      <c r="D2356" t="inlineStr">
        <is>
          <t>SKÅNE LÄN</t>
        </is>
      </c>
      <c r="E2356" t="inlineStr">
        <is>
          <t>HÄSSLEHOLM</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42912-2024</t>
        </is>
      </c>
      <c r="B2357" s="1" t="n">
        <v>45566</v>
      </c>
      <c r="C2357" s="1" t="n">
        <v>45914</v>
      </c>
      <c r="D2357" t="inlineStr">
        <is>
          <t>SKÅNE LÄN</t>
        </is>
      </c>
      <c r="E2357" t="inlineStr">
        <is>
          <t>BROMÖLLA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10497-2022</t>
        </is>
      </c>
      <c r="B2358" s="1" t="n">
        <v>44623.66270833334</v>
      </c>
      <c r="C2358" s="1" t="n">
        <v>45914</v>
      </c>
      <c r="D2358" t="inlineStr">
        <is>
          <t>SKÅNE LÄN</t>
        </is>
      </c>
      <c r="E2358" t="inlineStr">
        <is>
          <t>ÖSTRA GÖINGE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59744-2020</t>
        </is>
      </c>
      <c r="B2359" s="1" t="n">
        <v>44151</v>
      </c>
      <c r="C2359" s="1" t="n">
        <v>45914</v>
      </c>
      <c r="D2359" t="inlineStr">
        <is>
          <t>SKÅNE LÄN</t>
        </is>
      </c>
      <c r="E2359" t="inlineStr">
        <is>
          <t>SVALÖV</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23976-2024</t>
        </is>
      </c>
      <c r="B2360" s="1" t="n">
        <v>45456.30621527778</v>
      </c>
      <c r="C2360" s="1" t="n">
        <v>45914</v>
      </c>
      <c r="D2360" t="inlineStr">
        <is>
          <t>SKÅNE LÄN</t>
        </is>
      </c>
      <c r="E2360" t="inlineStr">
        <is>
          <t>ÄNGELHOLM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11773-2023</t>
        </is>
      </c>
      <c r="B2361" s="1" t="n">
        <v>44994.64373842593</v>
      </c>
      <c r="C2361" s="1" t="n">
        <v>45914</v>
      </c>
      <c r="D2361" t="inlineStr">
        <is>
          <t>SKÅNE LÄN</t>
        </is>
      </c>
      <c r="E2361" t="inlineStr">
        <is>
          <t>OSBY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43808-2024</t>
        </is>
      </c>
      <c r="B2362" s="1" t="n">
        <v>45571</v>
      </c>
      <c r="C2362" s="1" t="n">
        <v>45914</v>
      </c>
      <c r="D2362" t="inlineStr">
        <is>
          <t>SKÅNE LÄN</t>
        </is>
      </c>
      <c r="E2362" t="inlineStr">
        <is>
          <t>ESLÖV</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30233-2023</t>
        </is>
      </c>
      <c r="B2363" s="1" t="n">
        <v>45110.65657407408</v>
      </c>
      <c r="C2363" s="1" t="n">
        <v>45914</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23402-2023</t>
        </is>
      </c>
      <c r="B2364" s="1" t="n">
        <v>45076.47388888889</v>
      </c>
      <c r="C2364" s="1" t="n">
        <v>45914</v>
      </c>
      <c r="D2364" t="inlineStr">
        <is>
          <t>SKÅNE LÄN</t>
        </is>
      </c>
      <c r="E2364" t="inlineStr">
        <is>
          <t>ÖSTRA GÖINGE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23403-2023</t>
        </is>
      </c>
      <c r="B2365" s="1" t="n">
        <v>45076.47741898148</v>
      </c>
      <c r="C2365" s="1" t="n">
        <v>45914</v>
      </c>
      <c r="D2365" t="inlineStr">
        <is>
          <t>SKÅNE LÄN</t>
        </is>
      </c>
      <c r="E2365" t="inlineStr">
        <is>
          <t>ÖSTRA GÖINGE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20058-2023</t>
        </is>
      </c>
      <c r="B2366" s="1" t="n">
        <v>45054.68476851852</v>
      </c>
      <c r="C2366" s="1" t="n">
        <v>45914</v>
      </c>
      <c r="D2366" t="inlineStr">
        <is>
          <t>SKÅNE LÄN</t>
        </is>
      </c>
      <c r="E2366" t="inlineStr">
        <is>
          <t>HÄSSLEHOLM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61491-2024</t>
        </is>
      </c>
      <c r="B2367" s="1" t="n">
        <v>45646.55054398148</v>
      </c>
      <c r="C2367" s="1" t="n">
        <v>45914</v>
      </c>
      <c r="D2367" t="inlineStr">
        <is>
          <t>SKÅNE LÄN</t>
        </is>
      </c>
      <c r="E2367" t="inlineStr">
        <is>
          <t>KRISTIANSTAD</t>
        </is>
      </c>
      <c r="F2367" t="inlineStr">
        <is>
          <t>Övriga Aktiebolag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10897-2023</t>
        </is>
      </c>
      <c r="B2368" s="1" t="n">
        <v>44985</v>
      </c>
      <c r="C2368" s="1" t="n">
        <v>45914</v>
      </c>
      <c r="D2368" t="inlineStr">
        <is>
          <t>SKÅNE LÄN</t>
        </is>
      </c>
      <c r="E2368" t="inlineStr">
        <is>
          <t>HÄSSLEHOLM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45138-2020</t>
        </is>
      </c>
      <c r="B2369" s="1" t="n">
        <v>44088</v>
      </c>
      <c r="C2369" s="1" t="n">
        <v>45914</v>
      </c>
      <c r="D2369" t="inlineStr">
        <is>
          <t>SKÅNE LÄN</t>
        </is>
      </c>
      <c r="E2369" t="inlineStr">
        <is>
          <t>OSBY</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54431-2023</t>
        </is>
      </c>
      <c r="B2370" s="1" t="n">
        <v>45226</v>
      </c>
      <c r="C2370" s="1" t="n">
        <v>45914</v>
      </c>
      <c r="D2370" t="inlineStr">
        <is>
          <t>SKÅNE LÄN</t>
        </is>
      </c>
      <c r="E2370" t="inlineStr">
        <is>
          <t>HÖRBY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18908-2023</t>
        </is>
      </c>
      <c r="B2371" s="1" t="n">
        <v>45044</v>
      </c>
      <c r="C2371" s="1" t="n">
        <v>45914</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48397-2022</t>
        </is>
      </c>
      <c r="B2372" s="1" t="n">
        <v>44858</v>
      </c>
      <c r="C2372" s="1" t="n">
        <v>45914</v>
      </c>
      <c r="D2372" t="inlineStr">
        <is>
          <t>SKÅNE LÄN</t>
        </is>
      </c>
      <c r="E2372" t="inlineStr">
        <is>
          <t>HÖRBY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61436-2024</t>
        </is>
      </c>
      <c r="B2373" s="1" t="n">
        <v>45646.46329861111</v>
      </c>
      <c r="C2373" s="1" t="n">
        <v>45914</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37082-2024</t>
        </is>
      </c>
      <c r="B2374" s="1" t="n">
        <v>45539</v>
      </c>
      <c r="C2374" s="1" t="n">
        <v>45914</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54284-2023</t>
        </is>
      </c>
      <c r="B2375" s="1" t="n">
        <v>45232</v>
      </c>
      <c r="C2375" s="1" t="n">
        <v>45914</v>
      </c>
      <c r="D2375" t="inlineStr">
        <is>
          <t>SKÅNE LÄN</t>
        </is>
      </c>
      <c r="E2375" t="inlineStr">
        <is>
          <t>SVEDALA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40843-2023</t>
        </is>
      </c>
      <c r="B2376" s="1" t="n">
        <v>45172.9414699074</v>
      </c>
      <c r="C2376" s="1" t="n">
        <v>45914</v>
      </c>
      <c r="D2376" t="inlineStr">
        <is>
          <t>SKÅNE LÄN</t>
        </is>
      </c>
      <c r="E2376" t="inlineStr">
        <is>
          <t>ÖSTRA GÖINGE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55469-2024</t>
        </is>
      </c>
      <c r="B2377" s="1" t="n">
        <v>45622.43130787037</v>
      </c>
      <c r="C2377" s="1" t="n">
        <v>45914</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44378-2024</t>
        </is>
      </c>
      <c r="B2378" s="1" t="n">
        <v>45573</v>
      </c>
      <c r="C2378" s="1" t="n">
        <v>45914</v>
      </c>
      <c r="D2378" t="inlineStr">
        <is>
          <t>SKÅNE LÄN</t>
        </is>
      </c>
      <c r="E2378" t="inlineStr">
        <is>
          <t>KRISTIANSTAD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57810-2022</t>
        </is>
      </c>
      <c r="B2379" s="1" t="n">
        <v>44897</v>
      </c>
      <c r="C2379" s="1" t="n">
        <v>45914</v>
      </c>
      <c r="D2379" t="inlineStr">
        <is>
          <t>SKÅNE LÄN</t>
        </is>
      </c>
      <c r="E2379" t="inlineStr">
        <is>
          <t>TRELLEBORG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11505-2023</t>
        </is>
      </c>
      <c r="B2380" s="1" t="n">
        <v>44993</v>
      </c>
      <c r="C2380" s="1" t="n">
        <v>45914</v>
      </c>
      <c r="D2380" t="inlineStr">
        <is>
          <t>SKÅNE LÄN</t>
        </is>
      </c>
      <c r="E2380" t="inlineStr">
        <is>
          <t>KRISTIANSTAD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9898-2025</t>
        </is>
      </c>
      <c r="B2381" s="1" t="n">
        <v>45716.7922800926</v>
      </c>
      <c r="C2381" s="1" t="n">
        <v>45914</v>
      </c>
      <c r="D2381" t="inlineStr">
        <is>
          <t>SKÅNE LÄN</t>
        </is>
      </c>
      <c r="E2381" t="inlineStr">
        <is>
          <t>KRISTIANSTAD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31970-2023</t>
        </is>
      </c>
      <c r="B2382" s="1" t="n">
        <v>45119.4128587963</v>
      </c>
      <c r="C2382" s="1" t="n">
        <v>45914</v>
      </c>
      <c r="D2382" t="inlineStr">
        <is>
          <t>SKÅNE LÄN</t>
        </is>
      </c>
      <c r="E2382" t="inlineStr">
        <is>
          <t>OSBY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31993-2023</t>
        </is>
      </c>
      <c r="B2383" s="1" t="n">
        <v>45119</v>
      </c>
      <c r="C2383" s="1" t="n">
        <v>45914</v>
      </c>
      <c r="D2383" t="inlineStr">
        <is>
          <t>SKÅNE LÄN</t>
        </is>
      </c>
      <c r="E2383" t="inlineStr">
        <is>
          <t>TOMELILLA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16108-2025</t>
        </is>
      </c>
      <c r="B2384" s="1" t="n">
        <v>45750.34667824074</v>
      </c>
      <c r="C2384" s="1" t="n">
        <v>45914</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27527-2023</t>
        </is>
      </c>
      <c r="B2385" s="1" t="n">
        <v>45097</v>
      </c>
      <c r="C2385" s="1" t="n">
        <v>45914</v>
      </c>
      <c r="D2385" t="inlineStr">
        <is>
          <t>SKÅNE LÄN</t>
        </is>
      </c>
      <c r="E2385" t="inlineStr">
        <is>
          <t>OSBY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11894-2024</t>
        </is>
      </c>
      <c r="B2386" s="1" t="n">
        <v>45376</v>
      </c>
      <c r="C2386" s="1" t="n">
        <v>45914</v>
      </c>
      <c r="D2386" t="inlineStr">
        <is>
          <t>SKÅNE LÄN</t>
        </is>
      </c>
      <c r="E2386" t="inlineStr">
        <is>
          <t>TOMELILLA</t>
        </is>
      </c>
      <c r="F2386" t="inlineStr">
        <is>
          <t>Övriga Aktiebolag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27553-2023</t>
        </is>
      </c>
      <c r="B2387" s="1" t="n">
        <v>45097</v>
      </c>
      <c r="C2387" s="1" t="n">
        <v>45914</v>
      </c>
      <c r="D2387" t="inlineStr">
        <is>
          <t>SKÅNE LÄN</t>
        </is>
      </c>
      <c r="E2387" t="inlineStr">
        <is>
          <t>ÄNGELHOLM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5256-2022</t>
        </is>
      </c>
      <c r="B2388" s="1" t="n">
        <v>44593</v>
      </c>
      <c r="C2388" s="1" t="n">
        <v>45914</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45611-2023</t>
        </is>
      </c>
      <c r="B2389" s="1" t="n">
        <v>45194</v>
      </c>
      <c r="C2389" s="1" t="n">
        <v>45914</v>
      </c>
      <c r="D2389" t="inlineStr">
        <is>
          <t>SKÅNE LÄN</t>
        </is>
      </c>
      <c r="E2389" t="inlineStr">
        <is>
          <t>KRISTIANSTAD</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9803-2024</t>
        </is>
      </c>
      <c r="B2390" s="1" t="n">
        <v>45362.83706018519</v>
      </c>
      <c r="C2390" s="1" t="n">
        <v>45914</v>
      </c>
      <c r="D2390" t="inlineStr">
        <is>
          <t>SKÅNE LÄN</t>
        </is>
      </c>
      <c r="E2390" t="inlineStr">
        <is>
          <t>OSBY</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19777-2023</t>
        </is>
      </c>
      <c r="B2391" s="1" t="n">
        <v>45051</v>
      </c>
      <c r="C2391" s="1" t="n">
        <v>45914</v>
      </c>
      <c r="D2391" t="inlineStr">
        <is>
          <t>SKÅNE LÄN</t>
        </is>
      </c>
      <c r="E2391" t="inlineStr">
        <is>
          <t>HÖRBY</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47612-2023</t>
        </is>
      </c>
      <c r="B2392" s="1" t="n">
        <v>45203</v>
      </c>
      <c r="C2392" s="1" t="n">
        <v>45914</v>
      </c>
      <c r="D2392" t="inlineStr">
        <is>
          <t>SKÅNE LÄN</t>
        </is>
      </c>
      <c r="E2392" t="inlineStr">
        <is>
          <t>HÖRBY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23299-2024</t>
        </is>
      </c>
      <c r="B2393" s="1" t="n">
        <v>45453.43618055555</v>
      </c>
      <c r="C2393" s="1" t="n">
        <v>45914</v>
      </c>
      <c r="D2393" t="inlineStr">
        <is>
          <t>SKÅNE LÄN</t>
        </is>
      </c>
      <c r="E2393" t="inlineStr">
        <is>
          <t>OSBY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56986-2024</t>
        </is>
      </c>
      <c r="B2394" s="1" t="n">
        <v>45626</v>
      </c>
      <c r="C2394" s="1" t="n">
        <v>45914</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27424-2024</t>
        </is>
      </c>
      <c r="B2395" s="1" t="n">
        <v>45474</v>
      </c>
      <c r="C2395" s="1" t="n">
        <v>45914</v>
      </c>
      <c r="D2395" t="inlineStr">
        <is>
          <t>SKÅNE LÄN</t>
        </is>
      </c>
      <c r="E2395" t="inlineStr">
        <is>
          <t>TOMELILLA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26222-2025</t>
        </is>
      </c>
      <c r="B2396" s="1" t="n">
        <v>45805.55434027778</v>
      </c>
      <c r="C2396" s="1" t="n">
        <v>45914</v>
      </c>
      <c r="D2396" t="inlineStr">
        <is>
          <t>SKÅNE LÄN</t>
        </is>
      </c>
      <c r="E2396" t="inlineStr">
        <is>
          <t>OSBY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26471-2023</t>
        </is>
      </c>
      <c r="B2397" s="1" t="n">
        <v>45092</v>
      </c>
      <c r="C2397" s="1" t="n">
        <v>45914</v>
      </c>
      <c r="D2397" t="inlineStr">
        <is>
          <t>SKÅNE LÄN</t>
        </is>
      </c>
      <c r="E2397" t="inlineStr">
        <is>
          <t>SIMRISHAMN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2405-2025</t>
        </is>
      </c>
      <c r="B2398" s="1" t="n">
        <v>45674.35796296296</v>
      </c>
      <c r="C2398" s="1" t="n">
        <v>45914</v>
      </c>
      <c r="D2398" t="inlineStr">
        <is>
          <t>SKÅNE LÄN</t>
        </is>
      </c>
      <c r="E2398" t="inlineStr">
        <is>
          <t>ÖRKELLJUNGA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49111-2023</t>
        </is>
      </c>
      <c r="B2399" s="1" t="n">
        <v>45210.44464120371</v>
      </c>
      <c r="C2399" s="1" t="n">
        <v>45914</v>
      </c>
      <c r="D2399" t="inlineStr">
        <is>
          <t>SKÅNE LÄN</t>
        </is>
      </c>
      <c r="E2399" t="inlineStr">
        <is>
          <t>HÄSSLEHOLM</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56764-2024</t>
        </is>
      </c>
      <c r="B2400" s="1" t="n">
        <v>45628</v>
      </c>
      <c r="C2400" s="1" t="n">
        <v>45914</v>
      </c>
      <c r="D2400" t="inlineStr">
        <is>
          <t>SKÅNE LÄN</t>
        </is>
      </c>
      <c r="E2400" t="inlineStr">
        <is>
          <t>SIMRISHAMN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17102-2025</t>
        </is>
      </c>
      <c r="B2401" s="1" t="n">
        <v>45755</v>
      </c>
      <c r="C2401" s="1" t="n">
        <v>45914</v>
      </c>
      <c r="D2401" t="inlineStr">
        <is>
          <t>SKÅNE LÄN</t>
        </is>
      </c>
      <c r="E2401" t="inlineStr">
        <is>
          <t>SIMRISHAMN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58562-2022</t>
        </is>
      </c>
      <c r="B2402" s="1" t="n">
        <v>44902</v>
      </c>
      <c r="C2402" s="1" t="n">
        <v>45914</v>
      </c>
      <c r="D2402" t="inlineStr">
        <is>
          <t>SKÅNE LÄN</t>
        </is>
      </c>
      <c r="E2402" t="inlineStr">
        <is>
          <t>OSBY</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52615-2023</t>
        </is>
      </c>
      <c r="B2403" s="1" t="n">
        <v>45219</v>
      </c>
      <c r="C2403" s="1" t="n">
        <v>45914</v>
      </c>
      <c r="D2403" t="inlineStr">
        <is>
          <t>SKÅNE LÄN</t>
        </is>
      </c>
      <c r="E2403" t="inlineStr">
        <is>
          <t>PERSTORP</t>
        </is>
      </c>
      <c r="F2403" t="inlineStr">
        <is>
          <t>Övriga Aktiebolag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52664-2023</t>
        </is>
      </c>
      <c r="B2404" s="1" t="n">
        <v>45225</v>
      </c>
      <c r="C2404" s="1" t="n">
        <v>45914</v>
      </c>
      <c r="D2404" t="inlineStr">
        <is>
          <t>SKÅNE LÄN</t>
        </is>
      </c>
      <c r="E2404" t="inlineStr">
        <is>
          <t>SVALÖV</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16382-2025</t>
        </is>
      </c>
      <c r="B2405" s="1" t="n">
        <v>45751.41636574074</v>
      </c>
      <c r="C2405" s="1" t="n">
        <v>45914</v>
      </c>
      <c r="D2405" t="inlineStr">
        <is>
          <t>SKÅNE LÄN</t>
        </is>
      </c>
      <c r="E2405" t="inlineStr">
        <is>
          <t>ÖSTRA GÖINGE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26244-2025</t>
        </is>
      </c>
      <c r="B2406" s="1" t="n">
        <v>45805.57364583333</v>
      </c>
      <c r="C2406" s="1" t="n">
        <v>45914</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15998-2024</t>
        </is>
      </c>
      <c r="B2407" s="1" t="n">
        <v>45405</v>
      </c>
      <c r="C2407" s="1" t="n">
        <v>45914</v>
      </c>
      <c r="D2407" t="inlineStr">
        <is>
          <t>SKÅNE LÄN</t>
        </is>
      </c>
      <c r="E2407" t="inlineStr">
        <is>
          <t>HÖRBY</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16001-2024</t>
        </is>
      </c>
      <c r="B2408" s="1" t="n">
        <v>45405</v>
      </c>
      <c r="C2408" s="1" t="n">
        <v>45914</v>
      </c>
      <c r="D2408" t="inlineStr">
        <is>
          <t>SKÅNE LÄN</t>
        </is>
      </c>
      <c r="E2408" t="inlineStr">
        <is>
          <t>HÖRBY</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74142-2021</t>
        </is>
      </c>
      <c r="B2409" s="1" t="n">
        <v>44557.95532407407</v>
      </c>
      <c r="C2409" s="1" t="n">
        <v>45914</v>
      </c>
      <c r="D2409" t="inlineStr">
        <is>
          <t>SKÅNE LÄN</t>
        </is>
      </c>
      <c r="E2409" t="inlineStr">
        <is>
          <t>ÖSTRA GÖINGE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25960-2023</t>
        </is>
      </c>
      <c r="B2410" s="1" t="n">
        <v>45090</v>
      </c>
      <c r="C2410" s="1" t="n">
        <v>45914</v>
      </c>
      <c r="D2410" t="inlineStr">
        <is>
          <t>SKÅNE LÄN</t>
        </is>
      </c>
      <c r="E2410" t="inlineStr">
        <is>
          <t>ÖRKELLJUNGA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25967-2023</t>
        </is>
      </c>
      <c r="B2411" s="1" t="n">
        <v>45090.79582175926</v>
      </c>
      <c r="C2411" s="1" t="n">
        <v>45914</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58387-2022</t>
        </is>
      </c>
      <c r="B2412" s="1" t="n">
        <v>44901</v>
      </c>
      <c r="C2412" s="1" t="n">
        <v>45914</v>
      </c>
      <c r="D2412" t="inlineStr">
        <is>
          <t>SKÅNE LÄN</t>
        </is>
      </c>
      <c r="E2412" t="inlineStr">
        <is>
          <t>KLIPPAN</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60682-2020</t>
        </is>
      </c>
      <c r="B2413" s="1" t="n">
        <v>44153.65398148148</v>
      </c>
      <c r="C2413" s="1" t="n">
        <v>45914</v>
      </c>
      <c r="D2413" t="inlineStr">
        <is>
          <t>SKÅNE LÄN</t>
        </is>
      </c>
      <c r="E2413" t="inlineStr">
        <is>
          <t>OSBY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40330-2021</t>
        </is>
      </c>
      <c r="B2414" s="1" t="n">
        <v>44419</v>
      </c>
      <c r="C2414" s="1" t="n">
        <v>45914</v>
      </c>
      <c r="D2414" t="inlineStr">
        <is>
          <t>SKÅNE LÄN</t>
        </is>
      </c>
      <c r="E2414" t="inlineStr">
        <is>
          <t>KRISTIANSTAD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5990-2025</t>
        </is>
      </c>
      <c r="B2415" s="1" t="n">
        <v>45695.56311342592</v>
      </c>
      <c r="C2415" s="1" t="n">
        <v>45914</v>
      </c>
      <c r="D2415" t="inlineStr">
        <is>
          <t>SKÅNE LÄN</t>
        </is>
      </c>
      <c r="E2415" t="inlineStr">
        <is>
          <t>OSBY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43879-2023</t>
        </is>
      </c>
      <c r="B2416" s="1" t="n">
        <v>45187</v>
      </c>
      <c r="C2416" s="1" t="n">
        <v>45914</v>
      </c>
      <c r="D2416" t="inlineStr">
        <is>
          <t>SKÅNE LÄN</t>
        </is>
      </c>
      <c r="E2416" t="inlineStr">
        <is>
          <t>HÖRBY</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54359-2020</t>
        </is>
      </c>
      <c r="B2417" s="1" t="n">
        <v>44126</v>
      </c>
      <c r="C2417" s="1" t="n">
        <v>45914</v>
      </c>
      <c r="D2417" t="inlineStr">
        <is>
          <t>SKÅNE LÄN</t>
        </is>
      </c>
      <c r="E2417" t="inlineStr">
        <is>
          <t>HÄSSLEHOLM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54374-2020</t>
        </is>
      </c>
      <c r="B2418" s="1" t="n">
        <v>44126</v>
      </c>
      <c r="C2418" s="1" t="n">
        <v>45914</v>
      </c>
      <c r="D2418" t="inlineStr">
        <is>
          <t>SKÅNE LÄN</t>
        </is>
      </c>
      <c r="E2418" t="inlineStr">
        <is>
          <t>HÄSSLEHOLM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37978-2024</t>
        </is>
      </c>
      <c r="B2419" s="1" t="n">
        <v>45544.57798611111</v>
      </c>
      <c r="C2419" s="1" t="n">
        <v>45914</v>
      </c>
      <c r="D2419" t="inlineStr">
        <is>
          <t>SKÅNE LÄN</t>
        </is>
      </c>
      <c r="E2419" t="inlineStr">
        <is>
          <t>ÖSTRA GÖINGE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38358-2024</t>
        </is>
      </c>
      <c r="B2420" s="1" t="n">
        <v>45545.79068287037</v>
      </c>
      <c r="C2420" s="1" t="n">
        <v>45914</v>
      </c>
      <c r="D2420" t="inlineStr">
        <is>
          <t>SKÅNE LÄN</t>
        </is>
      </c>
      <c r="E2420" t="inlineStr">
        <is>
          <t>HÄSSLEHOLM</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14611-2024</t>
        </is>
      </c>
      <c r="B2421" s="1" t="n">
        <v>45396</v>
      </c>
      <c r="C2421" s="1" t="n">
        <v>45914</v>
      </c>
      <c r="D2421" t="inlineStr">
        <is>
          <t>SKÅNE LÄN</t>
        </is>
      </c>
      <c r="E2421" t="inlineStr">
        <is>
          <t>KRISTIANSTAD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11997-2023</t>
        </is>
      </c>
      <c r="B2422" s="1" t="n">
        <v>44995</v>
      </c>
      <c r="C2422" s="1" t="n">
        <v>45914</v>
      </c>
      <c r="D2422" t="inlineStr">
        <is>
          <t>SKÅNE LÄN</t>
        </is>
      </c>
      <c r="E2422" t="inlineStr">
        <is>
          <t>KRISTIANSTAD</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40975-2024</t>
        </is>
      </c>
      <c r="B2423" s="1" t="n">
        <v>45558.68189814815</v>
      </c>
      <c r="C2423" s="1" t="n">
        <v>45914</v>
      </c>
      <c r="D2423" t="inlineStr">
        <is>
          <t>SKÅNE LÄN</t>
        </is>
      </c>
      <c r="E2423" t="inlineStr">
        <is>
          <t>KRISTIANSTAD</t>
        </is>
      </c>
      <c r="F2423" t="inlineStr">
        <is>
          <t>Övriga Aktiebolag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34610-2025</t>
        </is>
      </c>
      <c r="B2424" s="1" t="n">
        <v>45846</v>
      </c>
      <c r="C2424" s="1" t="n">
        <v>45914</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52315-2024</t>
        </is>
      </c>
      <c r="B2425" s="1" t="n">
        <v>45608</v>
      </c>
      <c r="C2425" s="1" t="n">
        <v>45914</v>
      </c>
      <c r="D2425" t="inlineStr">
        <is>
          <t>SKÅNE LÄN</t>
        </is>
      </c>
      <c r="E2425" t="inlineStr">
        <is>
          <t>PERSTORP</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9559-2022</t>
        </is>
      </c>
      <c r="B2426" s="1" t="n">
        <v>44617.43976851852</v>
      </c>
      <c r="C2426" s="1" t="n">
        <v>45914</v>
      </c>
      <c r="D2426" t="inlineStr">
        <is>
          <t>SKÅNE LÄN</t>
        </is>
      </c>
      <c r="E2426" t="inlineStr">
        <is>
          <t>ÖRKELLJUNGA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16483-2024</t>
        </is>
      </c>
      <c r="B2427" s="1" t="n">
        <v>45408</v>
      </c>
      <c r="C2427" s="1" t="n">
        <v>45914</v>
      </c>
      <c r="D2427" t="inlineStr">
        <is>
          <t>SKÅNE LÄN</t>
        </is>
      </c>
      <c r="E2427" t="inlineStr">
        <is>
          <t>TOMELILLA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53586-2022</t>
        </is>
      </c>
      <c r="B2428" s="1" t="n">
        <v>44875</v>
      </c>
      <c r="C2428" s="1" t="n">
        <v>45914</v>
      </c>
      <c r="D2428" t="inlineStr">
        <is>
          <t>SKÅNE LÄN</t>
        </is>
      </c>
      <c r="E2428" t="inlineStr">
        <is>
          <t>PERSTORP</t>
        </is>
      </c>
      <c r="F2428" t="inlineStr">
        <is>
          <t>Övriga Aktiebolag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31944-2024</t>
        </is>
      </c>
      <c r="B2429" s="1" t="n">
        <v>45510.44241898148</v>
      </c>
      <c r="C2429" s="1" t="n">
        <v>45914</v>
      </c>
      <c r="D2429" t="inlineStr">
        <is>
          <t>SKÅNE LÄN</t>
        </is>
      </c>
      <c r="E2429" t="inlineStr">
        <is>
          <t>BROMÖLLA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69022-2020</t>
        </is>
      </c>
      <c r="B2430" s="1" t="n">
        <v>44188</v>
      </c>
      <c r="C2430" s="1" t="n">
        <v>45914</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69109-2020</t>
        </is>
      </c>
      <c r="B2431" s="1" t="n">
        <v>44188</v>
      </c>
      <c r="C2431" s="1" t="n">
        <v>45914</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18332-2025</t>
        </is>
      </c>
      <c r="B2432" s="1" t="n">
        <v>45762</v>
      </c>
      <c r="C2432" s="1" t="n">
        <v>45914</v>
      </c>
      <c r="D2432" t="inlineStr">
        <is>
          <t>SKÅNE LÄN</t>
        </is>
      </c>
      <c r="E2432" t="inlineStr">
        <is>
          <t>BÅSTAD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57017-2020</t>
        </is>
      </c>
      <c r="B2433" s="1" t="n">
        <v>44138</v>
      </c>
      <c r="C2433" s="1" t="n">
        <v>45914</v>
      </c>
      <c r="D2433" t="inlineStr">
        <is>
          <t>SKÅNE LÄN</t>
        </is>
      </c>
      <c r="E2433" t="inlineStr">
        <is>
          <t>ÖSTRA GÖINGE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34299-2024</t>
        </is>
      </c>
      <c r="B2434" s="1" t="n">
        <v>45524</v>
      </c>
      <c r="C2434" s="1" t="n">
        <v>45914</v>
      </c>
      <c r="D2434" t="inlineStr">
        <is>
          <t>SKÅNE LÄN</t>
        </is>
      </c>
      <c r="E2434" t="inlineStr">
        <is>
          <t>HÄSSLEHOLM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34302-2024</t>
        </is>
      </c>
      <c r="B2435" s="1" t="n">
        <v>45524</v>
      </c>
      <c r="C2435" s="1" t="n">
        <v>45914</v>
      </c>
      <c r="D2435" t="inlineStr">
        <is>
          <t>SKÅNE LÄN</t>
        </is>
      </c>
      <c r="E2435" t="inlineStr">
        <is>
          <t>YSTAD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52409-2024</t>
        </is>
      </c>
      <c r="B2436" s="1" t="n">
        <v>45609.45424768519</v>
      </c>
      <c r="C2436" s="1" t="n">
        <v>45914</v>
      </c>
      <c r="D2436" t="inlineStr">
        <is>
          <t>SKÅNE LÄN</t>
        </is>
      </c>
      <c r="E2436" t="inlineStr">
        <is>
          <t>OSBY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34389-2024</t>
        </is>
      </c>
      <c r="B2437" s="1" t="n">
        <v>45525</v>
      </c>
      <c r="C2437" s="1" t="n">
        <v>45914</v>
      </c>
      <c r="D2437" t="inlineStr">
        <is>
          <t>SKÅNE LÄN</t>
        </is>
      </c>
      <c r="E2437" t="inlineStr">
        <is>
          <t>ÖSTRA GÖINGE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57795-2022</t>
        </is>
      </c>
      <c r="B2438" s="1" t="n">
        <v>44897.66587962963</v>
      </c>
      <c r="C2438" s="1" t="n">
        <v>45914</v>
      </c>
      <c r="D2438" t="inlineStr">
        <is>
          <t>SKÅNE LÄN</t>
        </is>
      </c>
      <c r="E2438" t="inlineStr">
        <is>
          <t>ÖRKELLJUNGA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32972-2024</t>
        </is>
      </c>
      <c r="B2439" s="1" t="n">
        <v>45517.42064814815</v>
      </c>
      <c r="C2439" s="1" t="n">
        <v>45914</v>
      </c>
      <c r="D2439" t="inlineStr">
        <is>
          <t>SKÅNE LÄN</t>
        </is>
      </c>
      <c r="E2439" t="inlineStr">
        <is>
          <t>LUND</t>
        </is>
      </c>
      <c r="F2439" t="inlineStr">
        <is>
          <t>Kommuner</t>
        </is>
      </c>
      <c r="G2439" t="n">
        <v>20.7</v>
      </c>
      <c r="H2439" t="n">
        <v>0</v>
      </c>
      <c r="I2439" t="n">
        <v>0</v>
      </c>
      <c r="J2439" t="n">
        <v>0</v>
      </c>
      <c r="K2439" t="n">
        <v>0</v>
      </c>
      <c r="L2439" t="n">
        <v>0</v>
      </c>
      <c r="M2439" t="n">
        <v>0</v>
      </c>
      <c r="N2439" t="n">
        <v>0</v>
      </c>
      <c r="O2439" t="n">
        <v>0</v>
      </c>
      <c r="P2439" t="n">
        <v>0</v>
      </c>
      <c r="Q2439" t="n">
        <v>0</v>
      </c>
      <c r="R2439" s="2" t="inlineStr"/>
    </row>
    <row r="2440" ht="15" customHeight="1">
      <c r="A2440" t="inlineStr">
        <is>
          <t>A 1726-2023</t>
        </is>
      </c>
      <c r="B2440" s="1" t="n">
        <v>44938</v>
      </c>
      <c r="C2440" s="1" t="n">
        <v>45914</v>
      </c>
      <c r="D2440" t="inlineStr">
        <is>
          <t>SKÅNE LÄN</t>
        </is>
      </c>
      <c r="E2440" t="inlineStr">
        <is>
          <t>KRISTIANSTAD</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54435-2024</t>
        </is>
      </c>
      <c r="B2441" s="1" t="n">
        <v>45617.49494212963</v>
      </c>
      <c r="C2441" s="1" t="n">
        <v>45914</v>
      </c>
      <c r="D2441" t="inlineStr">
        <is>
          <t>SKÅNE LÄN</t>
        </is>
      </c>
      <c r="E2441" t="inlineStr">
        <is>
          <t>HÄSSLEHOLM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28189-2024</t>
        </is>
      </c>
      <c r="B2442" s="1" t="n">
        <v>45477</v>
      </c>
      <c r="C2442" s="1" t="n">
        <v>45914</v>
      </c>
      <c r="D2442" t="inlineStr">
        <is>
          <t>SKÅNE LÄN</t>
        </is>
      </c>
      <c r="E2442" t="inlineStr">
        <is>
          <t>HÖÖR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751-2025</t>
        </is>
      </c>
      <c r="B2443" s="1" t="n">
        <v>45665.44560185185</v>
      </c>
      <c r="C2443" s="1" t="n">
        <v>45914</v>
      </c>
      <c r="D2443" t="inlineStr">
        <is>
          <t>SKÅNE LÄN</t>
        </is>
      </c>
      <c r="E2443" t="inlineStr">
        <is>
          <t>KRISTIANSTAD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60846-2022</t>
        </is>
      </c>
      <c r="B2444" s="1" t="n">
        <v>44914</v>
      </c>
      <c r="C2444" s="1" t="n">
        <v>45914</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9716-2022</t>
        </is>
      </c>
      <c r="B2445" s="1" t="n">
        <v>44617</v>
      </c>
      <c r="C2445" s="1" t="n">
        <v>45914</v>
      </c>
      <c r="D2445" t="inlineStr">
        <is>
          <t>SKÅNE LÄN</t>
        </is>
      </c>
      <c r="E2445" t="inlineStr">
        <is>
          <t>SVALÖV</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20057-2025</t>
        </is>
      </c>
      <c r="B2446" s="1" t="n">
        <v>45772</v>
      </c>
      <c r="C2446" s="1" t="n">
        <v>45914</v>
      </c>
      <c r="D2446" t="inlineStr">
        <is>
          <t>SKÅNE LÄN</t>
        </is>
      </c>
      <c r="E2446" t="inlineStr">
        <is>
          <t>LUND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15887-2025</t>
        </is>
      </c>
      <c r="B2447" s="1" t="n">
        <v>45749.39954861111</v>
      </c>
      <c r="C2447" s="1" t="n">
        <v>45914</v>
      </c>
      <c r="D2447" t="inlineStr">
        <is>
          <t>SKÅNE LÄN</t>
        </is>
      </c>
      <c r="E2447" t="inlineStr">
        <is>
          <t>KRISTIANSTAD</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41977-2023</t>
        </is>
      </c>
      <c r="B2448" s="1" t="n">
        <v>45177.39659722222</v>
      </c>
      <c r="C2448" s="1" t="n">
        <v>45914</v>
      </c>
      <c r="D2448" t="inlineStr">
        <is>
          <t>SKÅNE LÄN</t>
        </is>
      </c>
      <c r="E2448" t="inlineStr">
        <is>
          <t>OSBY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15234-2025</t>
        </is>
      </c>
      <c r="B2449" s="1" t="n">
        <v>45744.60379629629</v>
      </c>
      <c r="C2449" s="1" t="n">
        <v>45914</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26592-2025</t>
        </is>
      </c>
      <c r="B2450" s="1" t="n">
        <v>45807.8859375</v>
      </c>
      <c r="C2450" s="1" t="n">
        <v>45914</v>
      </c>
      <c r="D2450" t="inlineStr">
        <is>
          <t>SKÅNE LÄN</t>
        </is>
      </c>
      <c r="E2450" t="inlineStr">
        <is>
          <t>HÖÖR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69093-2021</t>
        </is>
      </c>
      <c r="B2451" s="1" t="n">
        <v>44530.68075231482</v>
      </c>
      <c r="C2451" s="1" t="n">
        <v>45914</v>
      </c>
      <c r="D2451" t="inlineStr">
        <is>
          <t>SKÅNE LÄN</t>
        </is>
      </c>
      <c r="E2451" t="inlineStr">
        <is>
          <t>OSBY</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26506-2025</t>
        </is>
      </c>
      <c r="B2452" s="1" t="n">
        <v>45807.52334490741</v>
      </c>
      <c r="C2452" s="1" t="n">
        <v>45914</v>
      </c>
      <c r="D2452" t="inlineStr">
        <is>
          <t>SKÅNE LÄN</t>
        </is>
      </c>
      <c r="E2452" t="inlineStr">
        <is>
          <t>ÖSTRA GÖINGE</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54408-2024</t>
        </is>
      </c>
      <c r="B2453" s="1" t="n">
        <v>45617.47263888889</v>
      </c>
      <c r="C2453" s="1" t="n">
        <v>45914</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15442-2022</t>
        </is>
      </c>
      <c r="B2454" s="1" t="n">
        <v>44659.85333333333</v>
      </c>
      <c r="C2454" s="1" t="n">
        <v>45914</v>
      </c>
      <c r="D2454" t="inlineStr">
        <is>
          <t>SKÅNE LÄN</t>
        </is>
      </c>
      <c r="E2454" t="inlineStr">
        <is>
          <t>KLIPPAN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31640-2024</t>
        </is>
      </c>
      <c r="B2455" s="1" t="n">
        <v>45506.58966435185</v>
      </c>
      <c r="C2455" s="1" t="n">
        <v>45914</v>
      </c>
      <c r="D2455" t="inlineStr">
        <is>
          <t>SKÅNE LÄN</t>
        </is>
      </c>
      <c r="E2455" t="inlineStr">
        <is>
          <t>OSBY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14008-2023</t>
        </is>
      </c>
      <c r="B2456" s="1" t="n">
        <v>45008.56725694444</v>
      </c>
      <c r="C2456" s="1" t="n">
        <v>45914</v>
      </c>
      <c r="D2456" t="inlineStr">
        <is>
          <t>SKÅNE LÄN</t>
        </is>
      </c>
      <c r="E2456" t="inlineStr">
        <is>
          <t>HÄSSLEHOLM</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995-2025</t>
        </is>
      </c>
      <c r="B2457" s="1" t="n">
        <v>45666.45462962963</v>
      </c>
      <c r="C2457" s="1" t="n">
        <v>45914</v>
      </c>
      <c r="D2457" t="inlineStr">
        <is>
          <t>SKÅNE LÄN</t>
        </is>
      </c>
      <c r="E2457" t="inlineStr">
        <is>
          <t>TOMELILLA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3471-2025</t>
        </is>
      </c>
      <c r="B2458" s="1" t="n">
        <v>45680</v>
      </c>
      <c r="C2458" s="1" t="n">
        <v>45914</v>
      </c>
      <c r="D2458" t="inlineStr">
        <is>
          <t>SKÅNE LÄN</t>
        </is>
      </c>
      <c r="E2458" t="inlineStr">
        <is>
          <t>HÖRBY</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20493-2024</t>
        </is>
      </c>
      <c r="B2459" s="1" t="n">
        <v>45435</v>
      </c>
      <c r="C2459" s="1" t="n">
        <v>45914</v>
      </c>
      <c r="D2459" t="inlineStr">
        <is>
          <t>SKÅNE LÄN</t>
        </is>
      </c>
      <c r="E2459" t="inlineStr">
        <is>
          <t>HÄSSLEHOLM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13851-2025</t>
        </is>
      </c>
      <c r="B2460" s="1" t="n">
        <v>45737.56777777777</v>
      </c>
      <c r="C2460" s="1" t="n">
        <v>45914</v>
      </c>
      <c r="D2460" t="inlineStr">
        <is>
          <t>SKÅNE LÄN</t>
        </is>
      </c>
      <c r="E2460" t="inlineStr">
        <is>
          <t>HÄSSLEHOLM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720-2025</t>
        </is>
      </c>
      <c r="B2461" s="1" t="n">
        <v>45665.3744212963</v>
      </c>
      <c r="C2461" s="1" t="n">
        <v>45914</v>
      </c>
      <c r="D2461" t="inlineStr">
        <is>
          <t>SKÅNE LÄN</t>
        </is>
      </c>
      <c r="E2461" t="inlineStr">
        <is>
          <t>HÄSSLEHOLM</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48965-2023</t>
        </is>
      </c>
      <c r="B2462" s="1" t="n">
        <v>45209</v>
      </c>
      <c r="C2462" s="1" t="n">
        <v>45914</v>
      </c>
      <c r="D2462" t="inlineStr">
        <is>
          <t>SKÅNE LÄN</t>
        </is>
      </c>
      <c r="E2462" t="inlineStr">
        <is>
          <t>KLIPPAN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49726-2023</t>
        </is>
      </c>
      <c r="B2463" s="1" t="n">
        <v>45208</v>
      </c>
      <c r="C2463" s="1" t="n">
        <v>45914</v>
      </c>
      <c r="D2463" t="inlineStr">
        <is>
          <t>SKÅNE LÄN</t>
        </is>
      </c>
      <c r="E2463" t="inlineStr">
        <is>
          <t>HÖRBY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1783-2025</t>
        </is>
      </c>
      <c r="B2464" s="1" t="n">
        <v>45671.4491087963</v>
      </c>
      <c r="C2464" s="1" t="n">
        <v>45914</v>
      </c>
      <c r="D2464" t="inlineStr">
        <is>
          <t>SKÅNE LÄN</t>
        </is>
      </c>
      <c r="E2464" t="inlineStr">
        <is>
          <t>ÖRKELLJUNGA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31581-2023</t>
        </is>
      </c>
      <c r="B2465" s="1" t="n">
        <v>45117.45165509259</v>
      </c>
      <c r="C2465" s="1" t="n">
        <v>45914</v>
      </c>
      <c r="D2465" t="inlineStr">
        <is>
          <t>SKÅNE LÄN</t>
        </is>
      </c>
      <c r="E2465" t="inlineStr">
        <is>
          <t>HÄSSLEHOLM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31629-2023</t>
        </is>
      </c>
      <c r="B2466" s="1" t="n">
        <v>45117</v>
      </c>
      <c r="C2466" s="1" t="n">
        <v>45914</v>
      </c>
      <c r="D2466" t="inlineStr">
        <is>
          <t>SKÅNE LÄN</t>
        </is>
      </c>
      <c r="E2466" t="inlineStr">
        <is>
          <t>ÖSTRA GÖINGE</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59236-2022</t>
        </is>
      </c>
      <c r="B2467" s="1" t="n">
        <v>44904.56056712963</v>
      </c>
      <c r="C2467" s="1" t="n">
        <v>45914</v>
      </c>
      <c r="D2467" t="inlineStr">
        <is>
          <t>SKÅNE LÄN</t>
        </is>
      </c>
      <c r="E2467" t="inlineStr">
        <is>
          <t>OSBY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49824-2024</t>
        </is>
      </c>
      <c r="B2468" s="1" t="n">
        <v>45597</v>
      </c>
      <c r="C2468" s="1" t="n">
        <v>45914</v>
      </c>
      <c r="D2468" t="inlineStr">
        <is>
          <t>SKÅNE LÄN</t>
        </is>
      </c>
      <c r="E2468" t="inlineStr">
        <is>
          <t>HÄSSLEHOLM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14554-2025</t>
        </is>
      </c>
      <c r="B2469" s="1" t="n">
        <v>45741</v>
      </c>
      <c r="C2469" s="1" t="n">
        <v>45914</v>
      </c>
      <c r="D2469" t="inlineStr">
        <is>
          <t>SKÅNE LÄN</t>
        </is>
      </c>
      <c r="E2469" t="inlineStr">
        <is>
          <t>HÖÖR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26517-2025</t>
        </is>
      </c>
      <c r="B2470" s="1" t="n">
        <v>45807.55731481482</v>
      </c>
      <c r="C2470" s="1" t="n">
        <v>45914</v>
      </c>
      <c r="D2470" t="inlineStr">
        <is>
          <t>SKÅNE LÄN</t>
        </is>
      </c>
      <c r="E2470" t="inlineStr">
        <is>
          <t>ÖSTRA GÖINGE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16667-2023</t>
        </is>
      </c>
      <c r="B2471" s="1" t="n">
        <v>45030</v>
      </c>
      <c r="C2471" s="1" t="n">
        <v>45914</v>
      </c>
      <c r="D2471" t="inlineStr">
        <is>
          <t>SKÅNE LÄN</t>
        </is>
      </c>
      <c r="E2471" t="inlineStr">
        <is>
          <t>SVALÖV</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16668-2023</t>
        </is>
      </c>
      <c r="B2472" s="1" t="n">
        <v>45030.5625</v>
      </c>
      <c r="C2472" s="1" t="n">
        <v>45914</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16690-2023</t>
        </is>
      </c>
      <c r="B2473" s="1" t="n">
        <v>45030</v>
      </c>
      <c r="C2473" s="1" t="n">
        <v>45914</v>
      </c>
      <c r="D2473" t="inlineStr">
        <is>
          <t>SKÅNE LÄN</t>
        </is>
      </c>
      <c r="E2473" t="inlineStr">
        <is>
          <t>SVEDALA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14683-2025</t>
        </is>
      </c>
      <c r="B2474" s="1" t="n">
        <v>45742.57288194444</v>
      </c>
      <c r="C2474" s="1" t="n">
        <v>45914</v>
      </c>
      <c r="D2474" t="inlineStr">
        <is>
          <t>SKÅNE LÄN</t>
        </is>
      </c>
      <c r="E2474" t="inlineStr">
        <is>
          <t>ÖSTRA GÖINGE</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14684-2025</t>
        </is>
      </c>
      <c r="B2475" s="1" t="n">
        <v>45742.57572916667</v>
      </c>
      <c r="C2475" s="1" t="n">
        <v>45914</v>
      </c>
      <c r="D2475" t="inlineStr">
        <is>
          <t>SKÅNE LÄN</t>
        </is>
      </c>
      <c r="E2475" t="inlineStr">
        <is>
          <t>ÖSTRA GÖINGE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18520-2021</t>
        </is>
      </c>
      <c r="B2476" s="1" t="n">
        <v>44305</v>
      </c>
      <c r="C2476" s="1" t="n">
        <v>45914</v>
      </c>
      <c r="D2476" t="inlineStr">
        <is>
          <t>SKÅNE LÄN</t>
        </is>
      </c>
      <c r="E2476" t="inlineStr">
        <is>
          <t>KLIPPAN</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22555-2021</t>
        </is>
      </c>
      <c r="B2477" s="1" t="n">
        <v>44326</v>
      </c>
      <c r="C2477" s="1" t="n">
        <v>45914</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41874-2024</t>
        </is>
      </c>
      <c r="B2478" s="1" t="n">
        <v>45561</v>
      </c>
      <c r="C2478" s="1" t="n">
        <v>45914</v>
      </c>
      <c r="D2478" t="inlineStr">
        <is>
          <t>SKÅNE LÄN</t>
        </is>
      </c>
      <c r="E2478" t="inlineStr">
        <is>
          <t>HÄSSLEHOLM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37592-2024</t>
        </is>
      </c>
      <c r="B2479" s="1" t="n">
        <v>45541.47113425926</v>
      </c>
      <c r="C2479" s="1" t="n">
        <v>45914</v>
      </c>
      <c r="D2479" t="inlineStr">
        <is>
          <t>SKÅNE LÄN</t>
        </is>
      </c>
      <c r="E2479" t="inlineStr">
        <is>
          <t>ÖSTRA GÖINGE</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26804-2025</t>
        </is>
      </c>
      <c r="B2480" s="1" t="n">
        <v>45810.60901620371</v>
      </c>
      <c r="C2480" s="1" t="n">
        <v>45914</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26824-2025</t>
        </is>
      </c>
      <c r="B2481" s="1" t="n">
        <v>45810.64702546296</v>
      </c>
      <c r="C2481" s="1" t="n">
        <v>45914</v>
      </c>
      <c r="D2481" t="inlineStr">
        <is>
          <t>SKÅNE LÄN</t>
        </is>
      </c>
      <c r="E2481" t="inlineStr">
        <is>
          <t>ÖSTRA GÖINGE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11798-2022</t>
        </is>
      </c>
      <c r="B2482" s="1" t="n">
        <v>44634.64900462963</v>
      </c>
      <c r="C2482" s="1" t="n">
        <v>45914</v>
      </c>
      <c r="D2482" t="inlineStr">
        <is>
          <t>SKÅNE LÄN</t>
        </is>
      </c>
      <c r="E2482" t="inlineStr">
        <is>
          <t>HÄSSLEHOLM</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16565-2024</t>
        </is>
      </c>
      <c r="B2483" s="1" t="n">
        <v>45408</v>
      </c>
      <c r="C2483" s="1" t="n">
        <v>45914</v>
      </c>
      <c r="D2483" t="inlineStr">
        <is>
          <t>SKÅNE LÄN</t>
        </is>
      </c>
      <c r="E2483" t="inlineStr">
        <is>
          <t>KRISTIANSTAD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16568-2024</t>
        </is>
      </c>
      <c r="B2484" s="1" t="n">
        <v>45408</v>
      </c>
      <c r="C2484" s="1" t="n">
        <v>45914</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34723-2023</t>
        </is>
      </c>
      <c r="B2485" s="1" t="n">
        <v>45141</v>
      </c>
      <c r="C2485" s="1" t="n">
        <v>45914</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34730-2023</t>
        </is>
      </c>
      <c r="B2486" s="1" t="n">
        <v>45141.35717592593</v>
      </c>
      <c r="C2486" s="1" t="n">
        <v>45914</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12310-2023</t>
        </is>
      </c>
      <c r="B2487" s="1" t="n">
        <v>44999</v>
      </c>
      <c r="C2487" s="1" t="n">
        <v>45914</v>
      </c>
      <c r="D2487" t="inlineStr">
        <is>
          <t>SKÅNE LÄN</t>
        </is>
      </c>
      <c r="E2487" t="inlineStr">
        <is>
          <t>TOMELILLA</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34776-2023</t>
        </is>
      </c>
      <c r="B2488" s="1" t="n">
        <v>45140</v>
      </c>
      <c r="C2488" s="1" t="n">
        <v>45914</v>
      </c>
      <c r="D2488" t="inlineStr">
        <is>
          <t>SKÅNE LÄN</t>
        </is>
      </c>
      <c r="E2488" t="inlineStr">
        <is>
          <t>SJÖBO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31789-2023</t>
        </is>
      </c>
      <c r="B2489" s="1" t="n">
        <v>45118</v>
      </c>
      <c r="C2489" s="1" t="n">
        <v>45914</v>
      </c>
      <c r="D2489" t="inlineStr">
        <is>
          <t>SKÅNE LÄN</t>
        </is>
      </c>
      <c r="E2489" t="inlineStr">
        <is>
          <t>ÄNGELHOLM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2823-2023</t>
        </is>
      </c>
      <c r="B2490" s="1" t="n">
        <v>44945.01668981482</v>
      </c>
      <c r="C2490" s="1" t="n">
        <v>45914</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60813-2023</t>
        </is>
      </c>
      <c r="B2491" s="1" t="n">
        <v>45260</v>
      </c>
      <c r="C2491" s="1" t="n">
        <v>45914</v>
      </c>
      <c r="D2491" t="inlineStr">
        <is>
          <t>SKÅNE LÄN</t>
        </is>
      </c>
      <c r="E2491" t="inlineStr">
        <is>
          <t>TOMELILLA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60815-2023</t>
        </is>
      </c>
      <c r="B2492" s="1" t="n">
        <v>45260.71196759259</v>
      </c>
      <c r="C2492" s="1" t="n">
        <v>45914</v>
      </c>
      <c r="D2492" t="inlineStr">
        <is>
          <t>SKÅNE LÄN</t>
        </is>
      </c>
      <c r="E2492" t="inlineStr">
        <is>
          <t>TOMELILLA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60817-2023</t>
        </is>
      </c>
      <c r="B2493" s="1" t="n">
        <v>45260.71628472222</v>
      </c>
      <c r="C2493" s="1" t="n">
        <v>45914</v>
      </c>
      <c r="D2493" t="inlineStr">
        <is>
          <t>SKÅNE LÄN</t>
        </is>
      </c>
      <c r="E2493" t="inlineStr">
        <is>
          <t>TOMELILLA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73830-2021</t>
        </is>
      </c>
      <c r="B2494" s="1" t="n">
        <v>44552.84040509259</v>
      </c>
      <c r="C2494" s="1" t="n">
        <v>45914</v>
      </c>
      <c r="D2494" t="inlineStr">
        <is>
          <t>SKÅNE LÄN</t>
        </is>
      </c>
      <c r="E2494" t="inlineStr">
        <is>
          <t>ÖRKELLJUNGA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6237-2021</t>
        </is>
      </c>
      <c r="B2495" s="1" t="n">
        <v>44235</v>
      </c>
      <c r="C2495" s="1" t="n">
        <v>45914</v>
      </c>
      <c r="D2495" t="inlineStr">
        <is>
          <t>SKÅNE LÄN</t>
        </is>
      </c>
      <c r="E2495" t="inlineStr">
        <is>
          <t>ÖRKELLJUNGA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5987-2022</t>
        </is>
      </c>
      <c r="B2496" s="1" t="n">
        <v>44599.41950231481</v>
      </c>
      <c r="C2496" s="1" t="n">
        <v>45914</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6020-2022</t>
        </is>
      </c>
      <c r="B2497" s="1" t="n">
        <v>44599</v>
      </c>
      <c r="C2497" s="1" t="n">
        <v>45914</v>
      </c>
      <c r="D2497" t="inlineStr">
        <is>
          <t>SKÅNE LÄN</t>
        </is>
      </c>
      <c r="E2497" t="inlineStr">
        <is>
          <t>ÖRKELLJUNGA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33597-2023</t>
        </is>
      </c>
      <c r="B2498" s="1" t="n">
        <v>45132</v>
      </c>
      <c r="C2498" s="1" t="n">
        <v>45914</v>
      </c>
      <c r="D2498" t="inlineStr">
        <is>
          <t>SKÅNE LÄN</t>
        </is>
      </c>
      <c r="E2498" t="inlineStr">
        <is>
          <t>HÄSSLEHOLM</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33599-2023</t>
        </is>
      </c>
      <c r="B2499" s="1" t="n">
        <v>45132</v>
      </c>
      <c r="C2499" s="1" t="n">
        <v>45914</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38631-2023</t>
        </is>
      </c>
      <c r="B2500" s="1" t="n">
        <v>45162</v>
      </c>
      <c r="C2500" s="1" t="n">
        <v>45914</v>
      </c>
      <c r="D2500" t="inlineStr">
        <is>
          <t>SKÅNE LÄN</t>
        </is>
      </c>
      <c r="E2500" t="inlineStr">
        <is>
          <t>YSTAD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56056-2023</t>
        </is>
      </c>
      <c r="B2501" s="1" t="n">
        <v>45233</v>
      </c>
      <c r="C2501" s="1" t="n">
        <v>45914</v>
      </c>
      <c r="D2501" t="inlineStr">
        <is>
          <t>SKÅNE LÄN</t>
        </is>
      </c>
      <c r="E2501" t="inlineStr">
        <is>
          <t>BROMÖLLA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217-2023</t>
        </is>
      </c>
      <c r="B2502" s="1" t="n">
        <v>44928</v>
      </c>
      <c r="C2502" s="1" t="n">
        <v>45914</v>
      </c>
      <c r="D2502" t="inlineStr">
        <is>
          <t>SKÅNE LÄN</t>
        </is>
      </c>
      <c r="E2502" t="inlineStr">
        <is>
          <t>KLIPPAN</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2015-2023</t>
        </is>
      </c>
      <c r="B2503" s="1" t="n">
        <v>44939</v>
      </c>
      <c r="C2503" s="1" t="n">
        <v>45914</v>
      </c>
      <c r="D2503" t="inlineStr">
        <is>
          <t>SKÅNE LÄN</t>
        </is>
      </c>
      <c r="E2503" t="inlineStr">
        <is>
          <t>PERSTORP</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13890-2024</t>
        </is>
      </c>
      <c r="B2504" s="1" t="n">
        <v>45391</v>
      </c>
      <c r="C2504" s="1" t="n">
        <v>45914</v>
      </c>
      <c r="D2504" t="inlineStr">
        <is>
          <t>SKÅNE LÄN</t>
        </is>
      </c>
      <c r="E2504" t="inlineStr">
        <is>
          <t>HÄSSLEHOLM</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54187-2022</t>
        </is>
      </c>
      <c r="B2505" s="1" t="n">
        <v>44881.67839120371</v>
      </c>
      <c r="C2505" s="1" t="n">
        <v>45914</v>
      </c>
      <c r="D2505" t="inlineStr">
        <is>
          <t>SKÅNE LÄN</t>
        </is>
      </c>
      <c r="E2505" t="inlineStr">
        <is>
          <t>OSBY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39223-2024</t>
        </is>
      </c>
      <c r="B2506" s="1" t="n">
        <v>45550</v>
      </c>
      <c r="C2506" s="1" t="n">
        <v>45914</v>
      </c>
      <c r="D2506" t="inlineStr">
        <is>
          <t>SKÅNE LÄN</t>
        </is>
      </c>
      <c r="E2506" t="inlineStr">
        <is>
          <t>HÄSSLEHOLM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28501-2023</t>
        </is>
      </c>
      <c r="B2507" s="1" t="n">
        <v>45103</v>
      </c>
      <c r="C2507" s="1" t="n">
        <v>45914</v>
      </c>
      <c r="D2507" t="inlineStr">
        <is>
          <t>SKÅNE LÄN</t>
        </is>
      </c>
      <c r="E2507" t="inlineStr">
        <is>
          <t>HÖRBY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42192-2023</t>
        </is>
      </c>
      <c r="B2508" s="1" t="n">
        <v>45179.61063657407</v>
      </c>
      <c r="C2508" s="1" t="n">
        <v>45914</v>
      </c>
      <c r="D2508" t="inlineStr">
        <is>
          <t>SKÅNE LÄN</t>
        </is>
      </c>
      <c r="E2508" t="inlineStr">
        <is>
          <t>ÖSTRA GÖINGE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35680-2023</t>
        </is>
      </c>
      <c r="B2509" s="1" t="n">
        <v>45147</v>
      </c>
      <c r="C2509" s="1" t="n">
        <v>45914</v>
      </c>
      <c r="D2509" t="inlineStr">
        <is>
          <t>SKÅNE LÄN</t>
        </is>
      </c>
      <c r="E2509" t="inlineStr">
        <is>
          <t>ÖSTRA GÖINGE</t>
        </is>
      </c>
      <c r="G2509" t="n">
        <v>15.4</v>
      </c>
      <c r="H2509" t="n">
        <v>0</v>
      </c>
      <c r="I2509" t="n">
        <v>0</v>
      </c>
      <c r="J2509" t="n">
        <v>0</v>
      </c>
      <c r="K2509" t="n">
        <v>0</v>
      </c>
      <c r="L2509" t="n">
        <v>0</v>
      </c>
      <c r="M2509" t="n">
        <v>0</v>
      </c>
      <c r="N2509" t="n">
        <v>0</v>
      </c>
      <c r="O2509" t="n">
        <v>0</v>
      </c>
      <c r="P2509" t="n">
        <v>0</v>
      </c>
      <c r="Q2509" t="n">
        <v>0</v>
      </c>
      <c r="R2509" s="2" t="inlineStr"/>
    </row>
    <row r="2510" ht="15" customHeight="1">
      <c r="A2510" t="inlineStr">
        <is>
          <t>A 26509-2025</t>
        </is>
      </c>
      <c r="B2510" s="1" t="n">
        <v>45807.5277662037</v>
      </c>
      <c r="C2510" s="1" t="n">
        <v>45914</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6122-2021</t>
        </is>
      </c>
      <c r="B2511" s="1" t="n">
        <v>44232.55091435185</v>
      </c>
      <c r="C2511" s="1" t="n">
        <v>45914</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26678-2025</t>
        </is>
      </c>
      <c r="B2512" s="1" t="n">
        <v>45810.42681712963</v>
      </c>
      <c r="C2512" s="1" t="n">
        <v>45914</v>
      </c>
      <c r="D2512" t="inlineStr">
        <is>
          <t>SKÅNE LÄN</t>
        </is>
      </c>
      <c r="E2512" t="inlineStr">
        <is>
          <t>KRISTIANSTAD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7955-2024</t>
        </is>
      </c>
      <c r="B2513" s="1" t="n">
        <v>45350</v>
      </c>
      <c r="C2513" s="1" t="n">
        <v>45914</v>
      </c>
      <c r="D2513" t="inlineStr">
        <is>
          <t>SKÅNE LÄN</t>
        </is>
      </c>
      <c r="E2513" t="inlineStr">
        <is>
          <t>TOMELILLA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13932-2023</t>
        </is>
      </c>
      <c r="B2514" s="1" t="n">
        <v>45008.43935185186</v>
      </c>
      <c r="C2514" s="1" t="n">
        <v>45914</v>
      </c>
      <c r="D2514" t="inlineStr">
        <is>
          <t>SKÅNE LÄN</t>
        </is>
      </c>
      <c r="E2514" t="inlineStr">
        <is>
          <t>HÄSSLEHOLM</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45983-2023</t>
        </is>
      </c>
      <c r="B2515" s="1" t="n">
        <v>45196</v>
      </c>
      <c r="C2515" s="1" t="n">
        <v>45914</v>
      </c>
      <c r="D2515" t="inlineStr">
        <is>
          <t>SKÅNE LÄN</t>
        </is>
      </c>
      <c r="E2515" t="inlineStr">
        <is>
          <t>SKURUP</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18090-2022</t>
        </is>
      </c>
      <c r="B2516" s="1" t="n">
        <v>44684</v>
      </c>
      <c r="C2516" s="1" t="n">
        <v>45914</v>
      </c>
      <c r="D2516" t="inlineStr">
        <is>
          <t>SKÅNE LÄN</t>
        </is>
      </c>
      <c r="E2516" t="inlineStr">
        <is>
          <t>YSTAD</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27287-2025</t>
        </is>
      </c>
      <c r="B2517" s="1" t="n">
        <v>45812.55164351852</v>
      </c>
      <c r="C2517" s="1" t="n">
        <v>45914</v>
      </c>
      <c r="D2517" t="inlineStr">
        <is>
          <t>SKÅNE LÄN</t>
        </is>
      </c>
      <c r="E2517" t="inlineStr">
        <is>
          <t>KRISTIANSTAD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33938-2023</t>
        </is>
      </c>
      <c r="B2518" s="1" t="n">
        <v>45124</v>
      </c>
      <c r="C2518" s="1" t="n">
        <v>45914</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46606-2023</t>
        </is>
      </c>
      <c r="B2519" s="1" t="n">
        <v>45194</v>
      </c>
      <c r="C2519" s="1" t="n">
        <v>45914</v>
      </c>
      <c r="D2519" t="inlineStr">
        <is>
          <t>SKÅNE LÄN</t>
        </is>
      </c>
      <c r="E2519" t="inlineStr">
        <is>
          <t>ÖSTRA GÖINGE</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46625-2023</t>
        </is>
      </c>
      <c r="B2520" s="1" t="n">
        <v>45194</v>
      </c>
      <c r="C2520" s="1" t="n">
        <v>45914</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60251-2022</t>
        </is>
      </c>
      <c r="B2521" s="1" t="n">
        <v>44910</v>
      </c>
      <c r="C2521" s="1" t="n">
        <v>45914</v>
      </c>
      <c r="D2521" t="inlineStr">
        <is>
          <t>SKÅNE LÄN</t>
        </is>
      </c>
      <c r="E2521" t="inlineStr">
        <is>
          <t>ÖSTRA GÖINGE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27349-2025</t>
        </is>
      </c>
      <c r="B2522" s="1" t="n">
        <v>45812</v>
      </c>
      <c r="C2522" s="1" t="n">
        <v>45914</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16368-2025</t>
        </is>
      </c>
      <c r="B2523" s="1" t="n">
        <v>45751</v>
      </c>
      <c r="C2523" s="1" t="n">
        <v>45914</v>
      </c>
      <c r="D2523" t="inlineStr">
        <is>
          <t>SKÅNE LÄN</t>
        </is>
      </c>
      <c r="E2523" t="inlineStr">
        <is>
          <t>HÄSSLEHOLM</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51046-2020</t>
        </is>
      </c>
      <c r="B2524" s="1" t="n">
        <v>44112</v>
      </c>
      <c r="C2524" s="1" t="n">
        <v>45914</v>
      </c>
      <c r="D2524" t="inlineStr">
        <is>
          <t>SKÅNE LÄN</t>
        </is>
      </c>
      <c r="E2524" t="inlineStr">
        <is>
          <t>KLIPPAN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26949-2025</t>
        </is>
      </c>
      <c r="B2525" s="1" t="n">
        <v>45811.43701388889</v>
      </c>
      <c r="C2525" s="1" t="n">
        <v>45914</v>
      </c>
      <c r="D2525" t="inlineStr">
        <is>
          <t>SKÅNE LÄN</t>
        </is>
      </c>
      <c r="E2525" t="inlineStr">
        <is>
          <t>SVALÖV</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48627-2020</t>
        </is>
      </c>
      <c r="B2526" s="1" t="n">
        <v>44098</v>
      </c>
      <c r="C2526" s="1" t="n">
        <v>45914</v>
      </c>
      <c r="D2526" t="inlineStr">
        <is>
          <t>SKÅNE LÄN</t>
        </is>
      </c>
      <c r="E2526" t="inlineStr">
        <is>
          <t>KLIPPAN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32008-2024</t>
        </is>
      </c>
      <c r="B2527" s="1" t="n">
        <v>45510</v>
      </c>
      <c r="C2527" s="1" t="n">
        <v>45914</v>
      </c>
      <c r="D2527" t="inlineStr">
        <is>
          <t>SKÅNE LÄN</t>
        </is>
      </c>
      <c r="E2527" t="inlineStr">
        <is>
          <t>HÄSSLEHOLM</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32610-2024</t>
        </is>
      </c>
      <c r="B2528" s="1" t="n">
        <v>45513</v>
      </c>
      <c r="C2528" s="1" t="n">
        <v>45914</v>
      </c>
      <c r="D2528" t="inlineStr">
        <is>
          <t>SKÅNE LÄN</t>
        </is>
      </c>
      <c r="E2528" t="inlineStr">
        <is>
          <t>BÅSTAD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24579-2023</t>
        </is>
      </c>
      <c r="B2529" s="1" t="n">
        <v>45083</v>
      </c>
      <c r="C2529" s="1" t="n">
        <v>45914</v>
      </c>
      <c r="D2529" t="inlineStr">
        <is>
          <t>SKÅNE LÄN</t>
        </is>
      </c>
      <c r="E2529" t="inlineStr">
        <is>
          <t>KRISTIANSTAD</t>
        </is>
      </c>
      <c r="F2529" t="inlineStr">
        <is>
          <t>Övriga Aktiebolag</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17856-2025</t>
        </is>
      </c>
      <c r="B2530" s="1" t="n">
        <v>45758.62086805556</v>
      </c>
      <c r="C2530" s="1" t="n">
        <v>45914</v>
      </c>
      <c r="D2530" t="inlineStr">
        <is>
          <t>SKÅNE LÄN</t>
        </is>
      </c>
      <c r="E2530" t="inlineStr">
        <is>
          <t>ÖSTRA GÖINGE</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27030-2025</t>
        </is>
      </c>
      <c r="B2531" s="1" t="n">
        <v>45811.58686342592</v>
      </c>
      <c r="C2531" s="1" t="n">
        <v>45914</v>
      </c>
      <c r="D2531" t="inlineStr">
        <is>
          <t>SKÅNE LÄN</t>
        </is>
      </c>
      <c r="E2531" t="inlineStr">
        <is>
          <t>KRISTIANSTAD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20012-2022</t>
        </is>
      </c>
      <c r="B2532" s="1" t="n">
        <v>44697</v>
      </c>
      <c r="C2532" s="1" t="n">
        <v>45914</v>
      </c>
      <c r="D2532" t="inlineStr">
        <is>
          <t>SKÅNE LÄN</t>
        </is>
      </c>
      <c r="E2532" t="inlineStr">
        <is>
          <t>KLIPPAN</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32397-2023</t>
        </is>
      </c>
      <c r="B2533" s="1" t="n">
        <v>45120.63530092593</v>
      </c>
      <c r="C2533" s="1" t="n">
        <v>45914</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22693-2022</t>
        </is>
      </c>
      <c r="B2534" s="1" t="n">
        <v>44714.54729166667</v>
      </c>
      <c r="C2534" s="1" t="n">
        <v>45914</v>
      </c>
      <c r="D2534" t="inlineStr">
        <is>
          <t>SKÅNE LÄN</t>
        </is>
      </c>
      <c r="E2534" t="inlineStr">
        <is>
          <t>HÄSSLEHOLM</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17138-2025</t>
        </is>
      </c>
      <c r="B2535" s="1" t="n">
        <v>45755.80378472222</v>
      </c>
      <c r="C2535" s="1" t="n">
        <v>45914</v>
      </c>
      <c r="D2535" t="inlineStr">
        <is>
          <t>SKÅNE LÄN</t>
        </is>
      </c>
      <c r="E2535" t="inlineStr">
        <is>
          <t>HÄSSLEHOLM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35875-2023</t>
        </is>
      </c>
      <c r="B2536" s="1" t="n">
        <v>45148.56811342593</v>
      </c>
      <c r="C2536" s="1" t="n">
        <v>45914</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35889-2023</t>
        </is>
      </c>
      <c r="B2537" s="1" t="n">
        <v>45148</v>
      </c>
      <c r="C2537" s="1" t="n">
        <v>45914</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35894-2023</t>
        </is>
      </c>
      <c r="B2538" s="1" t="n">
        <v>45148</v>
      </c>
      <c r="C2538" s="1" t="n">
        <v>45914</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29867-2023</t>
        </is>
      </c>
      <c r="B2539" s="1" t="n">
        <v>45107</v>
      </c>
      <c r="C2539" s="1" t="n">
        <v>45914</v>
      </c>
      <c r="D2539" t="inlineStr">
        <is>
          <t>SKÅNE LÄN</t>
        </is>
      </c>
      <c r="E2539" t="inlineStr">
        <is>
          <t>PERSTORP</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15512-2025</t>
        </is>
      </c>
      <c r="B2540" s="1" t="n">
        <v>45747</v>
      </c>
      <c r="C2540" s="1" t="n">
        <v>45914</v>
      </c>
      <c r="D2540" t="inlineStr">
        <is>
          <t>SKÅNE LÄN</t>
        </is>
      </c>
      <c r="E2540" t="inlineStr">
        <is>
          <t>HÄSSLEHOLM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46123-2024</t>
        </is>
      </c>
      <c r="B2541" s="1" t="n">
        <v>45581.41429398148</v>
      </c>
      <c r="C2541" s="1" t="n">
        <v>45914</v>
      </c>
      <c r="D2541" t="inlineStr">
        <is>
          <t>SKÅNE LÄN</t>
        </is>
      </c>
      <c r="E2541" t="inlineStr">
        <is>
          <t>KRISTIANSTAD</t>
        </is>
      </c>
      <c r="F2541" t="inlineStr">
        <is>
          <t>Övriga Aktiebolag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45925-2023</t>
        </is>
      </c>
      <c r="B2542" s="1" t="n">
        <v>45189</v>
      </c>
      <c r="C2542" s="1" t="n">
        <v>45914</v>
      </c>
      <c r="D2542" t="inlineStr">
        <is>
          <t>SKÅNE LÄN</t>
        </is>
      </c>
      <c r="E2542" t="inlineStr">
        <is>
          <t>SJÖBO</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30142-2024</t>
        </is>
      </c>
      <c r="B2543" s="1" t="n">
        <v>45489</v>
      </c>
      <c r="C2543" s="1" t="n">
        <v>45914</v>
      </c>
      <c r="D2543" t="inlineStr">
        <is>
          <t>SKÅNE LÄN</t>
        </is>
      </c>
      <c r="E2543" t="inlineStr">
        <is>
          <t>ÖSTRA GÖINGE</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25839-2023</t>
        </is>
      </c>
      <c r="B2544" s="1" t="n">
        <v>45090</v>
      </c>
      <c r="C2544" s="1" t="n">
        <v>45914</v>
      </c>
      <c r="D2544" t="inlineStr">
        <is>
          <t>SKÅNE LÄN</t>
        </is>
      </c>
      <c r="E2544" t="inlineStr">
        <is>
          <t>KRISTIANSTAD</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15797-2022</t>
        </is>
      </c>
      <c r="B2545" s="1" t="n">
        <v>44663.88828703704</v>
      </c>
      <c r="C2545" s="1" t="n">
        <v>45914</v>
      </c>
      <c r="D2545" t="inlineStr">
        <is>
          <t>SKÅNE LÄN</t>
        </is>
      </c>
      <c r="E2545" t="inlineStr">
        <is>
          <t>OSBY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59369-2024</t>
        </is>
      </c>
      <c r="B2546" s="1" t="n">
        <v>45638.34212962963</v>
      </c>
      <c r="C2546" s="1" t="n">
        <v>45914</v>
      </c>
      <c r="D2546" t="inlineStr">
        <is>
          <t>SKÅNE LÄN</t>
        </is>
      </c>
      <c r="E2546" t="inlineStr">
        <is>
          <t>ÖSTRA GÖINGE</t>
        </is>
      </c>
      <c r="G2546" t="n">
        <v>3.2</v>
      </c>
      <c r="H2546" t="n">
        <v>0</v>
      </c>
      <c r="I2546" t="n">
        <v>0</v>
      </c>
      <c r="J2546" t="n">
        <v>0</v>
      </c>
      <c r="K2546" t="n">
        <v>0</v>
      </c>
      <c r="L2546" t="n">
        <v>0</v>
      </c>
      <c r="M2546" t="n">
        <v>0</v>
      </c>
      <c r="N2546" t="n">
        <v>0</v>
      </c>
      <c r="O2546" t="n">
        <v>0</v>
      </c>
      <c r="P2546" t="n">
        <v>0</v>
      </c>
      <c r="Q2546" t="n">
        <v>0</v>
      </c>
      <c r="R2546" s="2" t="inlineStr"/>
      <c r="U2546">
        <f>HYPERLINK("https://klasma.github.io/Logging_1256/knärot/A 59369-2024 karta knärot.png", "A 59369-2024")</f>
        <v/>
      </c>
      <c r="V2546">
        <f>HYPERLINK("https://klasma.github.io/Logging_1256/klagomål/A 59369-2024 FSC-klagomål.docx", "A 59369-2024")</f>
        <v/>
      </c>
      <c r="W2546">
        <f>HYPERLINK("https://klasma.github.io/Logging_1256/klagomålsmail/A 59369-2024 FSC-klagomål mail.docx", "A 59369-2024")</f>
        <v/>
      </c>
      <c r="X2546">
        <f>HYPERLINK("https://klasma.github.io/Logging_1256/tillsyn/A 59369-2024 tillsynsbegäran.docx", "A 59369-2024")</f>
        <v/>
      </c>
      <c r="Y2546">
        <f>HYPERLINK("https://klasma.github.io/Logging_1256/tillsynsmail/A 59369-2024 tillsynsbegäran mail.docx", "A 59369-2024")</f>
        <v/>
      </c>
    </row>
    <row r="2547" ht="15" customHeight="1">
      <c r="A2547" t="inlineStr">
        <is>
          <t>A 46194-2024</t>
        </is>
      </c>
      <c r="B2547" s="1" t="n">
        <v>45581.51094907407</v>
      </c>
      <c r="C2547" s="1" t="n">
        <v>45914</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1064-2025</t>
        </is>
      </c>
      <c r="B2548" s="1" t="n">
        <v>45665</v>
      </c>
      <c r="C2548" s="1" t="n">
        <v>45914</v>
      </c>
      <c r="D2548" t="inlineStr">
        <is>
          <t>SKÅNE LÄN</t>
        </is>
      </c>
      <c r="E2548" t="inlineStr">
        <is>
          <t>KRISTIANSTAD</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35974-2022</t>
        </is>
      </c>
      <c r="B2549" s="1" t="n">
        <v>44802</v>
      </c>
      <c r="C2549" s="1" t="n">
        <v>45914</v>
      </c>
      <c r="D2549" t="inlineStr">
        <is>
          <t>SKÅNE LÄN</t>
        </is>
      </c>
      <c r="E2549" t="inlineStr">
        <is>
          <t>HÄSSLEHOLM</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28253-2023</t>
        </is>
      </c>
      <c r="B2550" s="1" t="n">
        <v>45099</v>
      </c>
      <c r="C2550" s="1" t="n">
        <v>45914</v>
      </c>
      <c r="D2550" t="inlineStr">
        <is>
          <t>SKÅNE LÄN</t>
        </is>
      </c>
      <c r="E2550" t="inlineStr">
        <is>
          <t>ÄNGELHOLM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6034-2025</t>
        </is>
      </c>
      <c r="B2551" s="1" t="n">
        <v>45695.64231481482</v>
      </c>
      <c r="C2551" s="1" t="n">
        <v>45914</v>
      </c>
      <c r="D2551" t="inlineStr">
        <is>
          <t>SKÅNE LÄN</t>
        </is>
      </c>
      <c r="E2551" t="inlineStr">
        <is>
          <t>LUND</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27393-2025</t>
        </is>
      </c>
      <c r="B2552" s="1" t="n">
        <v>45812.68295138889</v>
      </c>
      <c r="C2552" s="1" t="n">
        <v>45914</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14700-2023</t>
        </is>
      </c>
      <c r="B2553" s="1" t="n">
        <v>45014.38376157408</v>
      </c>
      <c r="C2553" s="1" t="n">
        <v>45914</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28607-2023</t>
        </is>
      </c>
      <c r="B2554" s="1" t="n">
        <v>45103.5831712963</v>
      </c>
      <c r="C2554" s="1" t="n">
        <v>45914</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3531-2023</t>
        </is>
      </c>
      <c r="B2555" s="1" t="n">
        <v>44950</v>
      </c>
      <c r="C2555" s="1" t="n">
        <v>45914</v>
      </c>
      <c r="D2555" t="inlineStr">
        <is>
          <t>SKÅNE LÄN</t>
        </is>
      </c>
      <c r="E2555" t="inlineStr">
        <is>
          <t>HÄSSLEHOLM</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56202-2023</t>
        </is>
      </c>
      <c r="B2556" s="1" t="n">
        <v>45240</v>
      </c>
      <c r="C2556" s="1" t="n">
        <v>45914</v>
      </c>
      <c r="D2556" t="inlineStr">
        <is>
          <t>SKÅNE LÄN</t>
        </is>
      </c>
      <c r="E2556" t="inlineStr">
        <is>
          <t>SVEDALA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1152-2025</t>
        </is>
      </c>
      <c r="B2557" s="1" t="n">
        <v>45666.74427083333</v>
      </c>
      <c r="C2557" s="1" t="n">
        <v>45914</v>
      </c>
      <c r="D2557" t="inlineStr">
        <is>
          <t>SKÅNE LÄN</t>
        </is>
      </c>
      <c r="E2557" t="inlineStr">
        <is>
          <t>OSBY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24906-2022</t>
        </is>
      </c>
      <c r="B2558" s="1" t="n">
        <v>44728</v>
      </c>
      <c r="C2558" s="1" t="n">
        <v>45914</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33873-2024</t>
        </is>
      </c>
      <c r="B2559" s="1" t="n">
        <v>45521.66075231481</v>
      </c>
      <c r="C2559" s="1" t="n">
        <v>45914</v>
      </c>
      <c r="D2559" t="inlineStr">
        <is>
          <t>SKÅNE LÄN</t>
        </is>
      </c>
      <c r="E2559" t="inlineStr">
        <is>
          <t>HÖRBY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12182-2022</t>
        </is>
      </c>
      <c r="B2560" s="1" t="n">
        <v>44636.84741898148</v>
      </c>
      <c r="C2560" s="1" t="n">
        <v>45914</v>
      </c>
      <c r="D2560" t="inlineStr">
        <is>
          <t>SKÅNE LÄN</t>
        </is>
      </c>
      <c r="E2560" t="inlineStr">
        <is>
          <t>PERSTORP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4555-2025</t>
        </is>
      </c>
      <c r="B2561" s="1" t="n">
        <v>45687.43989583333</v>
      </c>
      <c r="C2561" s="1" t="n">
        <v>45914</v>
      </c>
      <c r="D2561" t="inlineStr">
        <is>
          <t>SKÅNE LÄN</t>
        </is>
      </c>
      <c r="E2561" t="inlineStr">
        <is>
          <t>HÖRBY</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4574-2025</t>
        </is>
      </c>
      <c r="B2562" s="1" t="n">
        <v>45687</v>
      </c>
      <c r="C2562" s="1" t="n">
        <v>45914</v>
      </c>
      <c r="D2562" t="inlineStr">
        <is>
          <t>SKÅNE LÄN</t>
        </is>
      </c>
      <c r="E2562" t="inlineStr">
        <is>
          <t>BJUV</t>
        </is>
      </c>
      <c r="F2562" t="inlineStr">
        <is>
          <t>Kyrkan</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4579-2025</t>
        </is>
      </c>
      <c r="B2563" s="1" t="n">
        <v>45687.5009375</v>
      </c>
      <c r="C2563" s="1" t="n">
        <v>45914</v>
      </c>
      <c r="D2563" t="inlineStr">
        <is>
          <t>SKÅNE LÄN</t>
        </is>
      </c>
      <c r="E2563" t="inlineStr">
        <is>
          <t>HÄSSLEHOLM</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7150-2025</t>
        </is>
      </c>
      <c r="B2564" s="1" t="n">
        <v>45702.38239583333</v>
      </c>
      <c r="C2564" s="1" t="n">
        <v>45914</v>
      </c>
      <c r="D2564" t="inlineStr">
        <is>
          <t>SKÅNE LÄN</t>
        </is>
      </c>
      <c r="E2564" t="inlineStr">
        <is>
          <t>HÄSSLEHOLM</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42794-2024</t>
        </is>
      </c>
      <c r="B2565" s="1" t="n">
        <v>45566.55065972222</v>
      </c>
      <c r="C2565" s="1" t="n">
        <v>45914</v>
      </c>
      <c r="D2565" t="inlineStr">
        <is>
          <t>SKÅNE LÄN</t>
        </is>
      </c>
      <c r="E2565" t="inlineStr">
        <is>
          <t>TOMELILLA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5059-2025</t>
        </is>
      </c>
      <c r="B2566" s="1" t="n">
        <v>45691.47211805556</v>
      </c>
      <c r="C2566" s="1" t="n">
        <v>45914</v>
      </c>
      <c r="D2566" t="inlineStr">
        <is>
          <t>SKÅNE LÄN</t>
        </is>
      </c>
      <c r="E2566" t="inlineStr">
        <is>
          <t>LUND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1344-2021</t>
        </is>
      </c>
      <c r="B2567" s="1" t="n">
        <v>44208</v>
      </c>
      <c r="C2567" s="1" t="n">
        <v>45914</v>
      </c>
      <c r="D2567" t="inlineStr">
        <is>
          <t>SKÅNE LÄN</t>
        </is>
      </c>
      <c r="E2567" t="inlineStr">
        <is>
          <t>HÄSSLEHOLM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18623-2023</t>
        </is>
      </c>
      <c r="B2568" s="1" t="n">
        <v>45043</v>
      </c>
      <c r="C2568" s="1" t="n">
        <v>45914</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20160-2024</t>
        </is>
      </c>
      <c r="B2569" s="1" t="n">
        <v>45434</v>
      </c>
      <c r="C2569" s="1" t="n">
        <v>45914</v>
      </c>
      <c r="D2569" t="inlineStr">
        <is>
          <t>SKÅNE LÄN</t>
        </is>
      </c>
      <c r="E2569" t="inlineStr">
        <is>
          <t>ESLÖV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34581-2023</t>
        </is>
      </c>
      <c r="B2570" s="1" t="n">
        <v>45140</v>
      </c>
      <c r="C2570" s="1" t="n">
        <v>45914</v>
      </c>
      <c r="D2570" t="inlineStr">
        <is>
          <t>SKÅNE LÄN</t>
        </is>
      </c>
      <c r="E2570" t="inlineStr">
        <is>
          <t>OSBY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155-2021</t>
        </is>
      </c>
      <c r="B2571" s="1" t="n">
        <v>44200</v>
      </c>
      <c r="C2571" s="1" t="n">
        <v>45914</v>
      </c>
      <c r="D2571" t="inlineStr">
        <is>
          <t>SKÅNE LÄN</t>
        </is>
      </c>
      <c r="E2571" t="inlineStr">
        <is>
          <t>OSBY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29075-2023</t>
        </is>
      </c>
      <c r="B2572" s="1" t="n">
        <v>45104</v>
      </c>
      <c r="C2572" s="1" t="n">
        <v>45914</v>
      </c>
      <c r="D2572" t="inlineStr">
        <is>
          <t>SKÅNE LÄN</t>
        </is>
      </c>
      <c r="E2572" t="inlineStr">
        <is>
          <t>LUND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5138-2022</t>
        </is>
      </c>
      <c r="B2573" s="1" t="n">
        <v>44594</v>
      </c>
      <c r="C2573" s="1" t="n">
        <v>45914</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5151-2022</t>
        </is>
      </c>
      <c r="B2574" s="1" t="n">
        <v>44593</v>
      </c>
      <c r="C2574" s="1" t="n">
        <v>45914</v>
      </c>
      <c r="D2574" t="inlineStr">
        <is>
          <t>SKÅNE LÄN</t>
        </is>
      </c>
      <c r="E2574" t="inlineStr">
        <is>
          <t>KLIPPAN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43828-2024</t>
        </is>
      </c>
      <c r="B2575" s="1" t="n">
        <v>45572.2912037037</v>
      </c>
      <c r="C2575" s="1" t="n">
        <v>45914</v>
      </c>
      <c r="D2575" t="inlineStr">
        <is>
          <t>SKÅNE LÄN</t>
        </is>
      </c>
      <c r="E2575" t="inlineStr">
        <is>
          <t>HÖRBY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27449-2025</t>
        </is>
      </c>
      <c r="B2576" s="1" t="n">
        <v>45813.33200231481</v>
      </c>
      <c r="C2576" s="1" t="n">
        <v>45914</v>
      </c>
      <c r="D2576" t="inlineStr">
        <is>
          <t>SKÅNE LÄN</t>
        </is>
      </c>
      <c r="E2576" t="inlineStr">
        <is>
          <t>ÖRKELLJUNGA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16509-2024</t>
        </is>
      </c>
      <c r="B2577" s="1" t="n">
        <v>45408.3866550926</v>
      </c>
      <c r="C2577" s="1" t="n">
        <v>45914</v>
      </c>
      <c r="D2577" t="inlineStr">
        <is>
          <t>SKÅNE LÄN</t>
        </is>
      </c>
      <c r="E2577" t="inlineStr">
        <is>
          <t>ÖSTRA GÖINGE</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68428-2020</t>
        </is>
      </c>
      <c r="B2578" s="1" t="n">
        <v>44183</v>
      </c>
      <c r="C2578" s="1" t="n">
        <v>45914</v>
      </c>
      <c r="D2578" t="inlineStr">
        <is>
          <t>SKÅNE LÄN</t>
        </is>
      </c>
      <c r="E2578" t="inlineStr">
        <is>
          <t>ÄNGELHOLM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43947-2024</t>
        </is>
      </c>
      <c r="B2579" s="1" t="n">
        <v>45572.47167824074</v>
      </c>
      <c r="C2579" s="1" t="n">
        <v>45914</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38011-2023</t>
        </is>
      </c>
      <c r="B2580" s="1" t="n">
        <v>45160</v>
      </c>
      <c r="C2580" s="1" t="n">
        <v>45914</v>
      </c>
      <c r="D2580" t="inlineStr">
        <is>
          <t>SKÅNE LÄN</t>
        </is>
      </c>
      <c r="E2580" t="inlineStr">
        <is>
          <t>SVEDALA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27523-2025</t>
        </is>
      </c>
      <c r="B2581" s="1" t="n">
        <v>45813</v>
      </c>
      <c r="C2581" s="1" t="n">
        <v>45914</v>
      </c>
      <c r="D2581" t="inlineStr">
        <is>
          <t>SKÅNE LÄN</t>
        </is>
      </c>
      <c r="E2581" t="inlineStr">
        <is>
          <t>ÖRKELLJUNGA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10115-2024</t>
        </is>
      </c>
      <c r="B2582" s="1" t="n">
        <v>45364.55339120371</v>
      </c>
      <c r="C2582" s="1" t="n">
        <v>45914</v>
      </c>
      <c r="D2582" t="inlineStr">
        <is>
          <t>SKÅNE LÄN</t>
        </is>
      </c>
      <c r="E2582" t="inlineStr">
        <is>
          <t>HÄSSLEHOLM</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55303-2024</t>
        </is>
      </c>
      <c r="B2583" s="1" t="n">
        <v>45621.6434837963</v>
      </c>
      <c r="C2583" s="1" t="n">
        <v>45914</v>
      </c>
      <c r="D2583" t="inlineStr">
        <is>
          <t>SKÅNE LÄN</t>
        </is>
      </c>
      <c r="E2583" t="inlineStr">
        <is>
          <t>HÄSSLEHOLM</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60333-2022</t>
        </is>
      </c>
      <c r="B2584" s="1" t="n">
        <v>44910</v>
      </c>
      <c r="C2584" s="1" t="n">
        <v>45914</v>
      </c>
      <c r="D2584" t="inlineStr">
        <is>
          <t>SKÅNE LÄN</t>
        </is>
      </c>
      <c r="E2584" t="inlineStr">
        <is>
          <t>KRISTIANSTAD</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16397-2022</t>
        </is>
      </c>
      <c r="B2585" s="1" t="n">
        <v>44671</v>
      </c>
      <c r="C2585" s="1" t="n">
        <v>45914</v>
      </c>
      <c r="D2585" t="inlineStr">
        <is>
          <t>SKÅNE LÄN</t>
        </is>
      </c>
      <c r="E2585" t="inlineStr">
        <is>
          <t>HÄSSLEHOLM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16398-2022</t>
        </is>
      </c>
      <c r="B2586" s="1" t="n">
        <v>44671</v>
      </c>
      <c r="C2586" s="1" t="n">
        <v>45914</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12025-2025</t>
        </is>
      </c>
      <c r="B2587" s="1" t="n">
        <v>45728.63755787037</v>
      </c>
      <c r="C2587" s="1" t="n">
        <v>45914</v>
      </c>
      <c r="D2587" t="inlineStr">
        <is>
          <t>SKÅNE LÄN</t>
        </is>
      </c>
      <c r="E2587" t="inlineStr">
        <is>
          <t>HÖÖR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4185-2025</t>
        </is>
      </c>
      <c r="B2588" s="1" t="n">
        <v>45685.44765046296</v>
      </c>
      <c r="C2588" s="1" t="n">
        <v>45914</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4196-2025</t>
        </is>
      </c>
      <c r="B2589" s="1" t="n">
        <v>45685.45268518518</v>
      </c>
      <c r="C2589" s="1" t="n">
        <v>45914</v>
      </c>
      <c r="D2589" t="inlineStr">
        <is>
          <t>SKÅNE LÄN</t>
        </is>
      </c>
      <c r="E2589" t="inlineStr">
        <is>
          <t>ÖSTRA GÖINGE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44739-2024</t>
        </is>
      </c>
      <c r="B2590" s="1" t="n">
        <v>45574.59447916667</v>
      </c>
      <c r="C2590" s="1" t="n">
        <v>45914</v>
      </c>
      <c r="D2590" t="inlineStr">
        <is>
          <t>SKÅNE LÄN</t>
        </is>
      </c>
      <c r="E2590" t="inlineStr">
        <is>
          <t>HÖÖR</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3663-2024</t>
        </is>
      </c>
      <c r="B2591" s="1" t="n">
        <v>45321.34775462963</v>
      </c>
      <c r="C2591" s="1" t="n">
        <v>45914</v>
      </c>
      <c r="D2591" t="inlineStr">
        <is>
          <t>SKÅNE LÄN</t>
        </is>
      </c>
      <c r="E2591" t="inlineStr">
        <is>
          <t>HÄSSLEHOLM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35527-2025</t>
        </is>
      </c>
      <c r="B2592" s="1" t="n">
        <v>45856</v>
      </c>
      <c r="C2592" s="1" t="n">
        <v>45914</v>
      </c>
      <c r="D2592" t="inlineStr">
        <is>
          <t>SKÅNE LÄN</t>
        </is>
      </c>
      <c r="E2592" t="inlineStr">
        <is>
          <t>ÖSTRA GÖINGE</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9430-2025</t>
        </is>
      </c>
      <c r="B2593" s="1" t="n">
        <v>45715.40586805555</v>
      </c>
      <c r="C2593" s="1" t="n">
        <v>45914</v>
      </c>
      <c r="D2593" t="inlineStr">
        <is>
          <t>SKÅNE LÄN</t>
        </is>
      </c>
      <c r="E2593" t="inlineStr">
        <is>
          <t>OSBY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57461-2022</t>
        </is>
      </c>
      <c r="B2594" s="1" t="n">
        <v>44896</v>
      </c>
      <c r="C2594" s="1" t="n">
        <v>45914</v>
      </c>
      <c r="D2594" t="inlineStr">
        <is>
          <t>SKÅNE LÄN</t>
        </is>
      </c>
      <c r="E2594" t="inlineStr">
        <is>
          <t>HÖÖR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57529-2022</t>
        </is>
      </c>
      <c r="B2595" s="1" t="n">
        <v>44896.67655092593</v>
      </c>
      <c r="C2595" s="1" t="n">
        <v>45914</v>
      </c>
      <c r="D2595" t="inlineStr">
        <is>
          <t>SKÅNE LÄN</t>
        </is>
      </c>
      <c r="E2595" t="inlineStr">
        <is>
          <t>ÖSTRA GÖINGE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62397-2022</t>
        </is>
      </c>
      <c r="B2596" s="1" t="n">
        <v>44923</v>
      </c>
      <c r="C2596" s="1" t="n">
        <v>45914</v>
      </c>
      <c r="D2596" t="inlineStr">
        <is>
          <t>SKÅNE LÄN</t>
        </is>
      </c>
      <c r="E2596" t="inlineStr">
        <is>
          <t>KRISTIANSTAD</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8017-2022</t>
        </is>
      </c>
      <c r="B2597" s="1" t="n">
        <v>44609.39615740741</v>
      </c>
      <c r="C2597" s="1" t="n">
        <v>45914</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61045-2024</t>
        </is>
      </c>
      <c r="B2598" s="1" t="n">
        <v>45645.47678240741</v>
      </c>
      <c r="C2598" s="1" t="n">
        <v>45914</v>
      </c>
      <c r="D2598" t="inlineStr">
        <is>
          <t>SKÅNE LÄN</t>
        </is>
      </c>
      <c r="E2598" t="inlineStr">
        <is>
          <t>SVALÖV</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27828-2025</t>
        </is>
      </c>
      <c r="B2599" s="1" t="n">
        <v>45817</v>
      </c>
      <c r="C2599" s="1" t="n">
        <v>45914</v>
      </c>
      <c r="D2599" t="inlineStr">
        <is>
          <t>SKÅNE LÄN</t>
        </is>
      </c>
      <c r="E2599" t="inlineStr">
        <is>
          <t>HÖÖR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27898-2025</t>
        </is>
      </c>
      <c r="B2600" s="1" t="n">
        <v>45817</v>
      </c>
      <c r="C2600" s="1" t="n">
        <v>45914</v>
      </c>
      <c r="D2600" t="inlineStr">
        <is>
          <t>SKÅNE LÄN</t>
        </is>
      </c>
      <c r="E2600" t="inlineStr">
        <is>
          <t>KLIPPAN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67801-2021</t>
        </is>
      </c>
      <c r="B2601" s="1" t="n">
        <v>44525</v>
      </c>
      <c r="C2601" s="1" t="n">
        <v>45914</v>
      </c>
      <c r="D2601" t="inlineStr">
        <is>
          <t>SKÅNE LÄN</t>
        </is>
      </c>
      <c r="E2601" t="inlineStr">
        <is>
          <t>HÄSSLEHOLM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7771-2021</t>
        </is>
      </c>
      <c r="B2602" s="1" t="n">
        <v>44242</v>
      </c>
      <c r="C2602" s="1" t="n">
        <v>45914</v>
      </c>
      <c r="D2602" t="inlineStr">
        <is>
          <t>SKÅNE LÄN</t>
        </is>
      </c>
      <c r="E2602" t="inlineStr">
        <is>
          <t>HÄSSLEHOLM</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41254-2023</t>
        </is>
      </c>
      <c r="B2603" s="1" t="n">
        <v>45174.5153125</v>
      </c>
      <c r="C2603" s="1" t="n">
        <v>45914</v>
      </c>
      <c r="D2603" t="inlineStr">
        <is>
          <t>SKÅNE LÄN</t>
        </is>
      </c>
      <c r="E2603" t="inlineStr">
        <is>
          <t>BROMÖLLA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28240-2025</t>
        </is>
      </c>
      <c r="B2604" s="1" t="n">
        <v>45817</v>
      </c>
      <c r="C2604" s="1" t="n">
        <v>45914</v>
      </c>
      <c r="D2604" t="inlineStr">
        <is>
          <t>SKÅNE LÄN</t>
        </is>
      </c>
      <c r="E2604" t="inlineStr">
        <is>
          <t>HÄSSLEHOLM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48966-2023</t>
        </is>
      </c>
      <c r="B2605" s="1" t="n">
        <v>45209.60576388889</v>
      </c>
      <c r="C2605" s="1" t="n">
        <v>45914</v>
      </c>
      <c r="D2605" t="inlineStr">
        <is>
          <t>SKÅNE LÄN</t>
        </is>
      </c>
      <c r="E2605" t="inlineStr">
        <is>
          <t>ÖRKELLJUNGA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4496-2025</t>
        </is>
      </c>
      <c r="B2606" s="1" t="n">
        <v>45686.67221064815</v>
      </c>
      <c r="C2606" s="1" t="n">
        <v>45914</v>
      </c>
      <c r="D2606" t="inlineStr">
        <is>
          <t>SKÅNE LÄN</t>
        </is>
      </c>
      <c r="E2606" t="inlineStr">
        <is>
          <t>OSBY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27796-2025</t>
        </is>
      </c>
      <c r="B2607" s="1" t="n">
        <v>45816.79953703703</v>
      </c>
      <c r="C2607" s="1" t="n">
        <v>45914</v>
      </c>
      <c r="D2607" t="inlineStr">
        <is>
          <t>SKÅNE LÄN</t>
        </is>
      </c>
      <c r="E2607" t="inlineStr">
        <is>
          <t>ÖSTRA GÖINGE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28550-2025</t>
        </is>
      </c>
      <c r="B2608" s="1" t="n">
        <v>45818</v>
      </c>
      <c r="C2608" s="1" t="n">
        <v>45914</v>
      </c>
      <c r="D2608" t="inlineStr">
        <is>
          <t>SKÅNE LÄN</t>
        </is>
      </c>
      <c r="E2608" t="inlineStr">
        <is>
          <t>HÖRBY</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28088-2025</t>
        </is>
      </c>
      <c r="B2609" s="1" t="n">
        <v>45817</v>
      </c>
      <c r="C2609" s="1" t="n">
        <v>45914</v>
      </c>
      <c r="D2609" t="inlineStr">
        <is>
          <t>SKÅNE LÄN</t>
        </is>
      </c>
      <c r="E2609" t="inlineStr">
        <is>
          <t>ESLÖV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28095-2025</t>
        </is>
      </c>
      <c r="B2610" s="1" t="n">
        <v>45817</v>
      </c>
      <c r="C2610" s="1" t="n">
        <v>45914</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16419-2023</t>
        </is>
      </c>
      <c r="B2611" s="1" t="n">
        <v>45022</v>
      </c>
      <c r="C2611" s="1" t="n">
        <v>45914</v>
      </c>
      <c r="D2611" t="inlineStr">
        <is>
          <t>SKÅNE LÄN</t>
        </is>
      </c>
      <c r="E2611" t="inlineStr">
        <is>
          <t>ÄNGELHOLM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3747-2023</t>
        </is>
      </c>
      <c r="B2612" s="1" t="n">
        <v>44949</v>
      </c>
      <c r="C2612" s="1" t="n">
        <v>45914</v>
      </c>
      <c r="D2612" t="inlineStr">
        <is>
          <t>SKÅNE LÄN</t>
        </is>
      </c>
      <c r="E2612" t="inlineStr">
        <is>
          <t>ÖSTRA GÖINGE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45398-2024</t>
        </is>
      </c>
      <c r="B2613" s="1" t="n">
        <v>45576.56260416667</v>
      </c>
      <c r="C2613" s="1" t="n">
        <v>45914</v>
      </c>
      <c r="D2613" t="inlineStr">
        <is>
          <t>SKÅNE LÄN</t>
        </is>
      </c>
      <c r="E2613" t="inlineStr">
        <is>
          <t>HÄSSLEHOLM</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45493-2024</t>
        </is>
      </c>
      <c r="B2614" s="1" t="n">
        <v>45577.78436342593</v>
      </c>
      <c r="C2614" s="1" t="n">
        <v>45914</v>
      </c>
      <c r="D2614" t="inlineStr">
        <is>
          <t>SKÅNE LÄN</t>
        </is>
      </c>
      <c r="E2614" t="inlineStr">
        <is>
          <t>KRISTIANSTAD</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45495-2024</t>
        </is>
      </c>
      <c r="B2615" s="1" t="n">
        <v>45577.78920138889</v>
      </c>
      <c r="C2615" s="1" t="n">
        <v>45914</v>
      </c>
      <c r="D2615" t="inlineStr">
        <is>
          <t>SKÅNE LÄN</t>
        </is>
      </c>
      <c r="E2615" t="inlineStr">
        <is>
          <t>KRISTIANSTAD</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45359-2023</t>
        </is>
      </c>
      <c r="B2616" s="1" t="n">
        <v>45192</v>
      </c>
      <c r="C2616" s="1" t="n">
        <v>45914</v>
      </c>
      <c r="D2616" t="inlineStr">
        <is>
          <t>SKÅNE LÄN</t>
        </is>
      </c>
      <c r="E2616" t="inlineStr">
        <is>
          <t>ÖSTRA GÖINGE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59434-2023</t>
        </is>
      </c>
      <c r="B2617" s="1" t="n">
        <v>45254.30440972222</v>
      </c>
      <c r="C2617" s="1" t="n">
        <v>45914</v>
      </c>
      <c r="D2617" t="inlineStr">
        <is>
          <t>SKÅNE LÄN</t>
        </is>
      </c>
      <c r="E2617" t="inlineStr">
        <is>
          <t>HÄSSLEHOLM</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44728-2024</t>
        </is>
      </c>
      <c r="B2618" s="1" t="n">
        <v>45574.57978009259</v>
      </c>
      <c r="C2618" s="1" t="n">
        <v>45914</v>
      </c>
      <c r="D2618" t="inlineStr">
        <is>
          <t>SKÅNE LÄN</t>
        </is>
      </c>
      <c r="E2618" t="inlineStr">
        <is>
          <t>HÖÖR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4803-2025</t>
        </is>
      </c>
      <c r="B2619" s="1" t="n">
        <v>45688.59399305555</v>
      </c>
      <c r="C2619" s="1" t="n">
        <v>45914</v>
      </c>
      <c r="D2619" t="inlineStr">
        <is>
          <t>SKÅNE LÄN</t>
        </is>
      </c>
      <c r="E2619" t="inlineStr">
        <is>
          <t>LUND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20281-2025</t>
        </is>
      </c>
      <c r="B2620" s="1" t="n">
        <v>45774.44432870371</v>
      </c>
      <c r="C2620" s="1" t="n">
        <v>45914</v>
      </c>
      <c r="D2620" t="inlineStr">
        <is>
          <t>SKÅNE LÄN</t>
        </is>
      </c>
      <c r="E2620" t="inlineStr">
        <is>
          <t>ÖSTRA GÖINGE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4809-2025</t>
        </is>
      </c>
      <c r="B2621" s="1" t="n">
        <v>45688.60148148148</v>
      </c>
      <c r="C2621" s="1" t="n">
        <v>45914</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19642-2022</t>
        </is>
      </c>
      <c r="B2622" s="1" t="n">
        <v>44694</v>
      </c>
      <c r="C2622" s="1" t="n">
        <v>45914</v>
      </c>
      <c r="D2622" t="inlineStr">
        <is>
          <t>SKÅNE LÄN</t>
        </is>
      </c>
      <c r="E2622" t="inlineStr">
        <is>
          <t>KRISTIANSTAD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18059-2024</t>
        </is>
      </c>
      <c r="B2623" s="1" t="n">
        <v>45420.39774305555</v>
      </c>
      <c r="C2623" s="1" t="n">
        <v>45914</v>
      </c>
      <c r="D2623" t="inlineStr">
        <is>
          <t>SKÅNE LÄN</t>
        </is>
      </c>
      <c r="E2623" t="inlineStr">
        <is>
          <t>KRISTIANSTAD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59030-2024</t>
        </is>
      </c>
      <c r="B2624" s="1" t="n">
        <v>45636.68916666666</v>
      </c>
      <c r="C2624" s="1" t="n">
        <v>45914</v>
      </c>
      <c r="D2624" t="inlineStr">
        <is>
          <t>SKÅNE LÄN</t>
        </is>
      </c>
      <c r="E2624" t="inlineStr">
        <is>
          <t>HÄSSLEHOLM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46772-2023</t>
        </is>
      </c>
      <c r="B2625" s="1" t="n">
        <v>45198</v>
      </c>
      <c r="C2625" s="1" t="n">
        <v>45914</v>
      </c>
      <c r="D2625" t="inlineStr">
        <is>
          <t>SKÅNE LÄN</t>
        </is>
      </c>
      <c r="E2625" t="inlineStr">
        <is>
          <t>KRISTIANSTAD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53688-2024</t>
        </is>
      </c>
      <c r="B2626" s="1" t="n">
        <v>45615.36962962963</v>
      </c>
      <c r="C2626" s="1" t="n">
        <v>45914</v>
      </c>
      <c r="D2626" t="inlineStr">
        <is>
          <t>SKÅNE LÄN</t>
        </is>
      </c>
      <c r="E2626" t="inlineStr">
        <is>
          <t>ÖSTRA GÖINGE</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9612-2025</t>
        </is>
      </c>
      <c r="B2627" s="1" t="n">
        <v>45715.65923611111</v>
      </c>
      <c r="C2627" s="1" t="n">
        <v>45914</v>
      </c>
      <c r="D2627" t="inlineStr">
        <is>
          <t>SKÅNE LÄN</t>
        </is>
      </c>
      <c r="E2627" t="inlineStr">
        <is>
          <t>HÖRBY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48840-2023</t>
        </is>
      </c>
      <c r="B2628" s="1" t="n">
        <v>45209.40101851852</v>
      </c>
      <c r="C2628" s="1" t="n">
        <v>45914</v>
      </c>
      <c r="D2628" t="inlineStr">
        <is>
          <t>SKÅNE LÄN</t>
        </is>
      </c>
      <c r="E2628" t="inlineStr">
        <is>
          <t>OSBY</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48853-2023</t>
        </is>
      </c>
      <c r="B2629" s="1" t="n">
        <v>45204</v>
      </c>
      <c r="C2629" s="1" t="n">
        <v>45914</v>
      </c>
      <c r="D2629" t="inlineStr">
        <is>
          <t>SKÅNE LÄN</t>
        </is>
      </c>
      <c r="E2629" t="inlineStr">
        <is>
          <t>KRISTIANSTAD</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46487-2024</t>
        </is>
      </c>
      <c r="B2630" s="1" t="n">
        <v>45582</v>
      </c>
      <c r="C2630" s="1" t="n">
        <v>45914</v>
      </c>
      <c r="D2630" t="inlineStr">
        <is>
          <t>SKÅNE LÄN</t>
        </is>
      </c>
      <c r="E2630" t="inlineStr">
        <is>
          <t>ÄNGELHOLM</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55529-2024</t>
        </is>
      </c>
      <c r="B2631" s="1" t="n">
        <v>45622.48444444445</v>
      </c>
      <c r="C2631" s="1" t="n">
        <v>45914</v>
      </c>
      <c r="D2631" t="inlineStr">
        <is>
          <t>SKÅNE LÄN</t>
        </is>
      </c>
      <c r="E2631" t="inlineStr">
        <is>
          <t>ÄNGELHOLM</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10544-2025</t>
        </is>
      </c>
      <c r="B2632" s="1" t="n">
        <v>45721.48859953704</v>
      </c>
      <c r="C2632" s="1" t="n">
        <v>45914</v>
      </c>
      <c r="D2632" t="inlineStr">
        <is>
          <t>SKÅNE LÄN</t>
        </is>
      </c>
      <c r="E2632" t="inlineStr">
        <is>
          <t>KLIPPAN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12598-2025</t>
        </is>
      </c>
      <c r="B2633" s="1" t="n">
        <v>45733</v>
      </c>
      <c r="C2633" s="1" t="n">
        <v>45914</v>
      </c>
      <c r="D2633" t="inlineStr">
        <is>
          <t>SKÅNE LÄN</t>
        </is>
      </c>
      <c r="E2633" t="inlineStr">
        <is>
          <t>OSBY</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13891-2025</t>
        </is>
      </c>
      <c r="B2634" s="1" t="n">
        <v>45737</v>
      </c>
      <c r="C2634" s="1" t="n">
        <v>45914</v>
      </c>
      <c r="D2634" t="inlineStr">
        <is>
          <t>SKÅNE LÄN</t>
        </is>
      </c>
      <c r="E2634" t="inlineStr">
        <is>
          <t>KRISTIANSTAD</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27940-2025</t>
        </is>
      </c>
      <c r="B2635" s="1" t="n">
        <v>45817.50439814815</v>
      </c>
      <c r="C2635" s="1" t="n">
        <v>45914</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70705-2021</t>
        </is>
      </c>
      <c r="B2636" s="1" t="n">
        <v>44537</v>
      </c>
      <c r="C2636" s="1" t="n">
        <v>45914</v>
      </c>
      <c r="D2636" t="inlineStr">
        <is>
          <t>SKÅNE LÄN</t>
        </is>
      </c>
      <c r="E2636" t="inlineStr">
        <is>
          <t>KRISTIANSTAD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27887-2025</t>
        </is>
      </c>
      <c r="B2637" s="1" t="n">
        <v>45817.45994212963</v>
      </c>
      <c r="C2637" s="1" t="n">
        <v>45914</v>
      </c>
      <c r="D2637" t="inlineStr">
        <is>
          <t>SKÅNE LÄN</t>
        </is>
      </c>
      <c r="E2637" t="inlineStr">
        <is>
          <t>HÄSSLEHOLM</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27988-2025</t>
        </is>
      </c>
      <c r="B2638" s="1" t="n">
        <v>45817.58586805555</v>
      </c>
      <c r="C2638" s="1" t="n">
        <v>45914</v>
      </c>
      <c r="D2638" t="inlineStr">
        <is>
          <t>SKÅNE LÄN</t>
        </is>
      </c>
      <c r="E2638" t="inlineStr">
        <is>
          <t>ÖRKELLJUNGA</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49827-2022</t>
        </is>
      </c>
      <c r="B2639" s="1" t="n">
        <v>44859</v>
      </c>
      <c r="C2639" s="1" t="n">
        <v>45914</v>
      </c>
      <c r="D2639" t="inlineStr">
        <is>
          <t>SKÅNE LÄN</t>
        </is>
      </c>
      <c r="E2639" t="inlineStr">
        <is>
          <t>HÄSSLEHOLM</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17693-2024</t>
        </is>
      </c>
      <c r="B2640" s="1" t="n">
        <v>45418</v>
      </c>
      <c r="C2640" s="1" t="n">
        <v>45914</v>
      </c>
      <c r="D2640" t="inlineStr">
        <is>
          <t>SKÅNE LÄN</t>
        </is>
      </c>
      <c r="E2640" t="inlineStr">
        <is>
          <t>KRISTIANSTAD</t>
        </is>
      </c>
      <c r="F2640" t="inlineStr">
        <is>
          <t>Övriga Aktiebolag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28251-2025</t>
        </is>
      </c>
      <c r="B2641" s="1" t="n">
        <v>45817</v>
      </c>
      <c r="C2641" s="1" t="n">
        <v>45914</v>
      </c>
      <c r="D2641" t="inlineStr">
        <is>
          <t>SKÅNE LÄN</t>
        </is>
      </c>
      <c r="E2641" t="inlineStr">
        <is>
          <t>HÄSSLEHOLM</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28093-2025</t>
        </is>
      </c>
      <c r="B2642" s="1" t="n">
        <v>45817</v>
      </c>
      <c r="C2642" s="1" t="n">
        <v>45914</v>
      </c>
      <c r="D2642" t="inlineStr">
        <is>
          <t>SKÅNE LÄN</t>
        </is>
      </c>
      <c r="E2642" t="inlineStr">
        <is>
          <t>ESLÖV</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27934-2025</t>
        </is>
      </c>
      <c r="B2643" s="1" t="n">
        <v>45817.49761574074</v>
      </c>
      <c r="C2643" s="1" t="n">
        <v>45914</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59482-2024</t>
        </is>
      </c>
      <c r="B2644" s="1" t="n">
        <v>45638.52831018518</v>
      </c>
      <c r="C2644" s="1" t="n">
        <v>45914</v>
      </c>
      <c r="D2644" t="inlineStr">
        <is>
          <t>SKÅNE LÄN</t>
        </is>
      </c>
      <c r="E2644" t="inlineStr">
        <is>
          <t>KLIPPAN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7655-2025</t>
        </is>
      </c>
      <c r="B2645" s="1" t="n">
        <v>45706</v>
      </c>
      <c r="C2645" s="1" t="n">
        <v>45914</v>
      </c>
      <c r="D2645" t="inlineStr">
        <is>
          <t>SKÅNE LÄN</t>
        </is>
      </c>
      <c r="E2645" t="inlineStr">
        <is>
          <t>HÖÖR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16862-2025</t>
        </is>
      </c>
      <c r="B2646" s="1" t="n">
        <v>45751</v>
      </c>
      <c r="C2646" s="1" t="n">
        <v>45914</v>
      </c>
      <c r="D2646" t="inlineStr">
        <is>
          <t>SKÅNE LÄN</t>
        </is>
      </c>
      <c r="E2646" t="inlineStr">
        <is>
          <t>HÄSSLEHOLM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42275-2024</t>
        </is>
      </c>
      <c r="B2647" s="1" t="n">
        <v>45562.60690972222</v>
      </c>
      <c r="C2647" s="1" t="n">
        <v>45914</v>
      </c>
      <c r="D2647" t="inlineStr">
        <is>
          <t>SKÅNE LÄN</t>
        </is>
      </c>
      <c r="E2647" t="inlineStr">
        <is>
          <t>KLIPPAN</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16505-2024</t>
        </is>
      </c>
      <c r="B2648" s="1" t="n">
        <v>45408.37851851852</v>
      </c>
      <c r="C2648" s="1" t="n">
        <v>45914</v>
      </c>
      <c r="D2648" t="inlineStr">
        <is>
          <t>SKÅNE LÄN</t>
        </is>
      </c>
      <c r="E2648" t="inlineStr">
        <is>
          <t>ÖSTRA GÖINGE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10454-2022</t>
        </is>
      </c>
      <c r="B2649" s="1" t="n">
        <v>44623</v>
      </c>
      <c r="C2649" s="1" t="n">
        <v>45914</v>
      </c>
      <c r="D2649" t="inlineStr">
        <is>
          <t>SKÅNE LÄN</t>
        </is>
      </c>
      <c r="E2649" t="inlineStr">
        <is>
          <t>SJÖBO</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33592-2023</t>
        </is>
      </c>
      <c r="B2650" s="1" t="n">
        <v>45132</v>
      </c>
      <c r="C2650" s="1" t="n">
        <v>45914</v>
      </c>
      <c r="D2650" t="inlineStr">
        <is>
          <t>SKÅNE LÄN</t>
        </is>
      </c>
      <c r="E2650" t="inlineStr">
        <is>
          <t>KRISTIANSTAD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15478-2025</t>
        </is>
      </c>
      <c r="B2651" s="1" t="n">
        <v>45747.5475</v>
      </c>
      <c r="C2651" s="1" t="n">
        <v>45914</v>
      </c>
      <c r="D2651" t="inlineStr">
        <is>
          <t>SKÅNE LÄN</t>
        </is>
      </c>
      <c r="E2651" t="inlineStr">
        <is>
          <t>ÖRKELLJUNGA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42303-2024</t>
        </is>
      </c>
      <c r="B2652" s="1" t="n">
        <v>45562.6322337963</v>
      </c>
      <c r="C2652" s="1" t="n">
        <v>45914</v>
      </c>
      <c r="D2652" t="inlineStr">
        <is>
          <t>SKÅNE LÄN</t>
        </is>
      </c>
      <c r="E2652" t="inlineStr">
        <is>
          <t>KLIPPAN</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56930-2022</t>
        </is>
      </c>
      <c r="B2653" s="1" t="n">
        <v>44894</v>
      </c>
      <c r="C2653" s="1" t="n">
        <v>45914</v>
      </c>
      <c r="D2653" t="inlineStr">
        <is>
          <t>SKÅNE LÄN</t>
        </is>
      </c>
      <c r="E2653" t="inlineStr">
        <is>
          <t>KRISTIANSTAD</t>
        </is>
      </c>
      <c r="F2653" t="inlineStr">
        <is>
          <t>Kyrkan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42435-2024</t>
        </is>
      </c>
      <c r="B2654" s="1" t="n">
        <v>45565.42112268518</v>
      </c>
      <c r="C2654" s="1" t="n">
        <v>45914</v>
      </c>
      <c r="D2654" t="inlineStr">
        <is>
          <t>SKÅNE LÄN</t>
        </is>
      </c>
      <c r="E2654" t="inlineStr">
        <is>
          <t>PERSTORP</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11811-2025</t>
        </is>
      </c>
      <c r="B2655" s="1" t="n">
        <v>45727.9189699074</v>
      </c>
      <c r="C2655" s="1" t="n">
        <v>45914</v>
      </c>
      <c r="D2655" t="inlineStr">
        <is>
          <t>SKÅNE LÄN</t>
        </is>
      </c>
      <c r="E2655" t="inlineStr">
        <is>
          <t>TOMELILLA</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28097-2025</t>
        </is>
      </c>
      <c r="B2656" s="1" t="n">
        <v>45817</v>
      </c>
      <c r="C2656" s="1" t="n">
        <v>45914</v>
      </c>
      <c r="D2656" t="inlineStr">
        <is>
          <t>SKÅNE LÄN</t>
        </is>
      </c>
      <c r="E2656" t="inlineStr">
        <is>
          <t>PERSTORP</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28122-2025</t>
        </is>
      </c>
      <c r="B2657" s="1" t="n">
        <v>45817</v>
      </c>
      <c r="C2657" s="1" t="n">
        <v>45914</v>
      </c>
      <c r="D2657" t="inlineStr">
        <is>
          <t>SKÅNE LÄN</t>
        </is>
      </c>
      <c r="E2657" t="inlineStr">
        <is>
          <t>HÄSSLEHOLM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50304-2023</t>
        </is>
      </c>
      <c r="B2658" s="1" t="n">
        <v>45209</v>
      </c>
      <c r="C2658" s="1" t="n">
        <v>45914</v>
      </c>
      <c r="D2658" t="inlineStr">
        <is>
          <t>SKÅNE LÄN</t>
        </is>
      </c>
      <c r="E2658" t="inlineStr">
        <is>
          <t>ÖRKELLJUNGA</t>
        </is>
      </c>
      <c r="G2658" t="n">
        <v>17.9</v>
      </c>
      <c r="H2658" t="n">
        <v>0</v>
      </c>
      <c r="I2658" t="n">
        <v>0</v>
      </c>
      <c r="J2658" t="n">
        <v>0</v>
      </c>
      <c r="K2658" t="n">
        <v>0</v>
      </c>
      <c r="L2658" t="n">
        <v>0</v>
      </c>
      <c r="M2658" t="n">
        <v>0</v>
      </c>
      <c r="N2658" t="n">
        <v>0</v>
      </c>
      <c r="O2658" t="n">
        <v>0</v>
      </c>
      <c r="P2658" t="n">
        <v>0</v>
      </c>
      <c r="Q2658" t="n">
        <v>0</v>
      </c>
      <c r="R2658" s="2" t="inlineStr"/>
    </row>
    <row r="2659" ht="15" customHeight="1">
      <c r="A2659" t="inlineStr">
        <is>
          <t>A 38013-2022</t>
        </is>
      </c>
      <c r="B2659" s="1" t="n">
        <v>44811</v>
      </c>
      <c r="C2659" s="1" t="n">
        <v>45914</v>
      </c>
      <c r="D2659" t="inlineStr">
        <is>
          <t>SKÅNE LÄN</t>
        </is>
      </c>
      <c r="E2659" t="inlineStr">
        <is>
          <t>BÅSTAD</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17571-2024</t>
        </is>
      </c>
      <c r="B2660" s="1" t="n">
        <v>45415</v>
      </c>
      <c r="C2660" s="1" t="n">
        <v>45914</v>
      </c>
      <c r="D2660" t="inlineStr">
        <is>
          <t>SKÅNE LÄN</t>
        </is>
      </c>
      <c r="E2660" t="inlineStr">
        <is>
          <t>KRISTIANSTAD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43996-2022</t>
        </is>
      </c>
      <c r="B2661" s="1" t="n">
        <v>44838</v>
      </c>
      <c r="C2661" s="1" t="n">
        <v>45914</v>
      </c>
      <c r="D2661" t="inlineStr">
        <is>
          <t>SKÅNE LÄN</t>
        </is>
      </c>
      <c r="E2661" t="inlineStr">
        <is>
          <t>HÖÖR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44062-2022</t>
        </is>
      </c>
      <c r="B2662" s="1" t="n">
        <v>44839</v>
      </c>
      <c r="C2662" s="1" t="n">
        <v>45914</v>
      </c>
      <c r="D2662" t="inlineStr">
        <is>
          <t>SKÅNE LÄN</t>
        </is>
      </c>
      <c r="E2662" t="inlineStr">
        <is>
          <t>ÄNGELHOLM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21146-2022</t>
        </is>
      </c>
      <c r="B2663" s="1" t="n">
        <v>44704</v>
      </c>
      <c r="C2663" s="1" t="n">
        <v>45914</v>
      </c>
      <c r="D2663" t="inlineStr">
        <is>
          <t>SKÅNE LÄN</t>
        </is>
      </c>
      <c r="E2663" t="inlineStr">
        <is>
          <t>ÖRKELLJUNGA</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19884-2024</t>
        </is>
      </c>
      <c r="B2664" s="1" t="n">
        <v>45433</v>
      </c>
      <c r="C2664" s="1" t="n">
        <v>45914</v>
      </c>
      <c r="D2664" t="inlineStr">
        <is>
          <t>SKÅNE LÄN</t>
        </is>
      </c>
      <c r="E2664" t="inlineStr">
        <is>
          <t>SJÖBO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27010-2023</t>
        </is>
      </c>
      <c r="B2665" s="1" t="n">
        <v>45094.36791666667</v>
      </c>
      <c r="C2665" s="1" t="n">
        <v>45914</v>
      </c>
      <c r="D2665" t="inlineStr">
        <is>
          <t>SKÅNE LÄN</t>
        </is>
      </c>
      <c r="E2665" t="inlineStr">
        <is>
          <t>KLIPPAN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63456-2020</t>
        </is>
      </c>
      <c r="B2666" s="1" t="n">
        <v>44161</v>
      </c>
      <c r="C2666" s="1" t="n">
        <v>45914</v>
      </c>
      <c r="D2666" t="inlineStr">
        <is>
          <t>SKÅNE LÄN</t>
        </is>
      </c>
      <c r="E2666" t="inlineStr">
        <is>
          <t>KRISTIANSTAD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55284-2023</t>
        </is>
      </c>
      <c r="B2667" s="1" t="n">
        <v>45237.74259259259</v>
      </c>
      <c r="C2667" s="1" t="n">
        <v>45914</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243-2025</t>
        </is>
      </c>
      <c r="B2668" s="1" t="n">
        <v>45660</v>
      </c>
      <c r="C2668" s="1" t="n">
        <v>45914</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22369-2024</t>
        </is>
      </c>
      <c r="B2669" s="1" t="n">
        <v>45446</v>
      </c>
      <c r="C2669" s="1" t="n">
        <v>45914</v>
      </c>
      <c r="D2669" t="inlineStr">
        <is>
          <t>SKÅNE LÄN</t>
        </is>
      </c>
      <c r="E2669" t="inlineStr">
        <is>
          <t>KÄVLINGE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22384-2024</t>
        </is>
      </c>
      <c r="B2670" s="1" t="n">
        <v>45446.65592592592</v>
      </c>
      <c r="C2670" s="1" t="n">
        <v>45914</v>
      </c>
      <c r="D2670" t="inlineStr">
        <is>
          <t>SKÅNE LÄN</t>
        </is>
      </c>
      <c r="E2670" t="inlineStr">
        <is>
          <t>HÄSSLEHOLM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22425-2024</t>
        </is>
      </c>
      <c r="B2671" s="1" t="n">
        <v>45446</v>
      </c>
      <c r="C2671" s="1" t="n">
        <v>45914</v>
      </c>
      <c r="D2671" t="inlineStr">
        <is>
          <t>SKÅNE LÄN</t>
        </is>
      </c>
      <c r="E2671" t="inlineStr">
        <is>
          <t>SJÖBO</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40762-2021</t>
        </is>
      </c>
      <c r="B2672" s="1" t="n">
        <v>44420</v>
      </c>
      <c r="C2672" s="1" t="n">
        <v>45914</v>
      </c>
      <c r="D2672" t="inlineStr">
        <is>
          <t>SKÅNE LÄN</t>
        </is>
      </c>
      <c r="E2672" t="inlineStr">
        <is>
          <t>KLIPPAN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18524-2023</t>
        </is>
      </c>
      <c r="B2673" s="1" t="n">
        <v>45042.68837962963</v>
      </c>
      <c r="C2673" s="1" t="n">
        <v>45914</v>
      </c>
      <c r="D2673" t="inlineStr">
        <is>
          <t>SKÅNE LÄN</t>
        </is>
      </c>
      <c r="E2673" t="inlineStr">
        <is>
          <t>KRISTIANSTAD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28709-2023</t>
        </is>
      </c>
      <c r="B2674" s="1" t="n">
        <v>45103</v>
      </c>
      <c r="C2674" s="1" t="n">
        <v>45914</v>
      </c>
      <c r="D2674" t="inlineStr">
        <is>
          <t>SKÅNE LÄN</t>
        </is>
      </c>
      <c r="E2674" t="inlineStr">
        <is>
          <t>KLIPPAN</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21636-2024</t>
        </is>
      </c>
      <c r="B2675" s="1" t="n">
        <v>45442</v>
      </c>
      <c r="C2675" s="1" t="n">
        <v>45914</v>
      </c>
      <c r="D2675" t="inlineStr">
        <is>
          <t>SKÅNE LÄN</t>
        </is>
      </c>
      <c r="E2675" t="inlineStr">
        <is>
          <t>KLIPPAN</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14473-2024</t>
        </is>
      </c>
      <c r="B2676" s="1" t="n">
        <v>45394</v>
      </c>
      <c r="C2676" s="1" t="n">
        <v>45914</v>
      </c>
      <c r="D2676" t="inlineStr">
        <is>
          <t>SKÅNE LÄN</t>
        </is>
      </c>
      <c r="E2676" t="inlineStr">
        <is>
          <t>PERSTORP</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14488-2024</t>
        </is>
      </c>
      <c r="B2677" s="1" t="n">
        <v>45394</v>
      </c>
      <c r="C2677" s="1" t="n">
        <v>45914</v>
      </c>
      <c r="D2677" t="inlineStr">
        <is>
          <t>SKÅNE LÄN</t>
        </is>
      </c>
      <c r="E2677" t="inlineStr">
        <is>
          <t>ESLÖV</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13068-2023</t>
        </is>
      </c>
      <c r="B2678" s="1" t="n">
        <v>45002.38854166667</v>
      </c>
      <c r="C2678" s="1" t="n">
        <v>45914</v>
      </c>
      <c r="D2678" t="inlineStr">
        <is>
          <t>SKÅNE LÄN</t>
        </is>
      </c>
      <c r="E2678" t="inlineStr">
        <is>
          <t>ÖRKELLJUNGA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64161-2020</t>
        </is>
      </c>
      <c r="B2679" s="1" t="n">
        <v>44167</v>
      </c>
      <c r="C2679" s="1" t="n">
        <v>45914</v>
      </c>
      <c r="D2679" t="inlineStr">
        <is>
          <t>SKÅNE LÄN</t>
        </is>
      </c>
      <c r="E2679" t="inlineStr">
        <is>
          <t>OSBY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7481-2023</t>
        </is>
      </c>
      <c r="B2680" s="1" t="n">
        <v>44971</v>
      </c>
      <c r="C2680" s="1" t="n">
        <v>45914</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45191-2024</t>
        </is>
      </c>
      <c r="B2681" s="1" t="n">
        <v>45575.67569444444</v>
      </c>
      <c r="C2681" s="1" t="n">
        <v>45914</v>
      </c>
      <c r="D2681" t="inlineStr">
        <is>
          <t>SKÅNE LÄN</t>
        </is>
      </c>
      <c r="E2681" t="inlineStr">
        <is>
          <t>OSBY</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66043-2020</t>
        </is>
      </c>
      <c r="B2682" s="1" t="n">
        <v>44175</v>
      </c>
      <c r="C2682" s="1" t="n">
        <v>45914</v>
      </c>
      <c r="D2682" t="inlineStr">
        <is>
          <t>SKÅNE LÄN</t>
        </is>
      </c>
      <c r="E2682" t="inlineStr">
        <is>
          <t>HÖÖR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39934-2024</t>
        </is>
      </c>
      <c r="B2683" s="1" t="n">
        <v>45553.56228009259</v>
      </c>
      <c r="C2683" s="1" t="n">
        <v>45914</v>
      </c>
      <c r="D2683" t="inlineStr">
        <is>
          <t>SKÅNE LÄN</t>
        </is>
      </c>
      <c r="E2683" t="inlineStr">
        <is>
          <t>ÖSTRA GÖINGE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58751-2024</t>
        </is>
      </c>
      <c r="B2684" s="1" t="n">
        <v>45635.71762731481</v>
      </c>
      <c r="C2684" s="1" t="n">
        <v>45914</v>
      </c>
      <c r="D2684" t="inlineStr">
        <is>
          <t>SKÅNE LÄN</t>
        </is>
      </c>
      <c r="E2684" t="inlineStr">
        <is>
          <t>OSBY</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10775-2024</t>
        </is>
      </c>
      <c r="B2685" s="1" t="n">
        <v>45369.58465277778</v>
      </c>
      <c r="C2685" s="1" t="n">
        <v>45914</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11500-2024</t>
        </is>
      </c>
      <c r="B2686" s="1" t="n">
        <v>45372</v>
      </c>
      <c r="C2686" s="1" t="n">
        <v>45914</v>
      </c>
      <c r="D2686" t="inlineStr">
        <is>
          <t>SKÅNE LÄN</t>
        </is>
      </c>
      <c r="E2686" t="inlineStr">
        <is>
          <t>SJÖBO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6597-2025</t>
        </is>
      </c>
      <c r="B2687" s="1" t="n">
        <v>45700</v>
      </c>
      <c r="C2687" s="1" t="n">
        <v>45914</v>
      </c>
      <c r="D2687" t="inlineStr">
        <is>
          <t>SKÅNE LÄN</t>
        </is>
      </c>
      <c r="E2687" t="inlineStr">
        <is>
          <t>KRISTIANSTAD</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6602-2025</t>
        </is>
      </c>
      <c r="B2688" s="1" t="n">
        <v>45700</v>
      </c>
      <c r="C2688" s="1" t="n">
        <v>45914</v>
      </c>
      <c r="D2688" t="inlineStr">
        <is>
          <t>SKÅNE LÄN</t>
        </is>
      </c>
      <c r="E2688" t="inlineStr">
        <is>
          <t>KRISTIANSTAD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35150-2023</t>
        </is>
      </c>
      <c r="B2689" s="1" t="n">
        <v>45145</v>
      </c>
      <c r="C2689" s="1" t="n">
        <v>45914</v>
      </c>
      <c r="D2689" t="inlineStr">
        <is>
          <t>SKÅNE LÄN</t>
        </is>
      </c>
      <c r="E2689" t="inlineStr">
        <is>
          <t>HÄSSLEHOLM</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43395-2024</t>
        </is>
      </c>
      <c r="B2690" s="1" t="n">
        <v>45568</v>
      </c>
      <c r="C2690" s="1" t="n">
        <v>45914</v>
      </c>
      <c r="D2690" t="inlineStr">
        <is>
          <t>SKÅNE LÄN</t>
        </is>
      </c>
      <c r="E2690" t="inlineStr">
        <is>
          <t>ÖSTRA GÖINGE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6648-2021</t>
        </is>
      </c>
      <c r="B2691" s="1" t="n">
        <v>44235</v>
      </c>
      <c r="C2691" s="1" t="n">
        <v>45914</v>
      </c>
      <c r="D2691" t="inlineStr">
        <is>
          <t>SKÅNE LÄN</t>
        </is>
      </c>
      <c r="E2691" t="inlineStr">
        <is>
          <t>HÖÖR</t>
        </is>
      </c>
      <c r="F2691" t="inlineStr">
        <is>
          <t>Övriga statliga verk och myndigheter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28858-2025</t>
        </is>
      </c>
      <c r="B2692" s="1" t="n">
        <v>45820.58746527778</v>
      </c>
      <c r="C2692" s="1" t="n">
        <v>45914</v>
      </c>
      <c r="D2692" t="inlineStr">
        <is>
          <t>SKÅNE LÄN</t>
        </is>
      </c>
      <c r="E2692" t="inlineStr">
        <is>
          <t>ÖSTRA GÖINGE</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36414-2023</t>
        </is>
      </c>
      <c r="B2693" s="1" t="n">
        <v>45152</v>
      </c>
      <c r="C2693" s="1" t="n">
        <v>45914</v>
      </c>
      <c r="D2693" t="inlineStr">
        <is>
          <t>SKÅNE LÄN</t>
        </is>
      </c>
      <c r="E2693" t="inlineStr">
        <is>
          <t>SJÖBO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46728-2023</t>
        </is>
      </c>
      <c r="B2694" s="1" t="n">
        <v>45198</v>
      </c>
      <c r="C2694" s="1" t="n">
        <v>45914</v>
      </c>
      <c r="D2694" t="inlineStr">
        <is>
          <t>SKÅNE LÄN</t>
        </is>
      </c>
      <c r="E2694" t="inlineStr">
        <is>
          <t>KLIPPAN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55489-2022</t>
        </is>
      </c>
      <c r="B2695" s="1" t="n">
        <v>44887.68068287037</v>
      </c>
      <c r="C2695" s="1" t="n">
        <v>45914</v>
      </c>
      <c r="D2695" t="inlineStr">
        <is>
          <t>SKÅNE LÄN</t>
        </is>
      </c>
      <c r="E2695" t="inlineStr">
        <is>
          <t>ÖSTRA GÖINGE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37552-2024</t>
        </is>
      </c>
      <c r="B2696" s="1" t="n">
        <v>45541.43497685185</v>
      </c>
      <c r="C2696" s="1" t="n">
        <v>45914</v>
      </c>
      <c r="D2696" t="inlineStr">
        <is>
          <t>SKÅNE LÄN</t>
        </is>
      </c>
      <c r="E2696" t="inlineStr">
        <is>
          <t>ÖSTRA GÖINGE</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37575-2024</t>
        </is>
      </c>
      <c r="B2697" s="1" t="n">
        <v>45541.45583333333</v>
      </c>
      <c r="C2697" s="1" t="n">
        <v>45914</v>
      </c>
      <c r="D2697" t="inlineStr">
        <is>
          <t>SKÅNE LÄN</t>
        </is>
      </c>
      <c r="E2697" t="inlineStr">
        <is>
          <t>ÖSTRA GÖINGE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61701-2022</t>
        </is>
      </c>
      <c r="B2698" s="1" t="n">
        <v>44911</v>
      </c>
      <c r="C2698" s="1" t="n">
        <v>45914</v>
      </c>
      <c r="D2698" t="inlineStr">
        <is>
          <t>SKÅNE LÄN</t>
        </is>
      </c>
      <c r="E2698" t="inlineStr">
        <is>
          <t>BROMÖLLA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18345-2022</t>
        </is>
      </c>
      <c r="B2699" s="1" t="n">
        <v>44685</v>
      </c>
      <c r="C2699" s="1" t="n">
        <v>45914</v>
      </c>
      <c r="D2699" t="inlineStr">
        <is>
          <t>SKÅNE LÄN</t>
        </is>
      </c>
      <c r="E2699" t="inlineStr">
        <is>
          <t>HÖÖR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69609-2020</t>
        </is>
      </c>
      <c r="B2700" s="1" t="n">
        <v>44195</v>
      </c>
      <c r="C2700" s="1" t="n">
        <v>45914</v>
      </c>
      <c r="D2700" t="inlineStr">
        <is>
          <t>SKÅNE LÄN</t>
        </is>
      </c>
      <c r="E2700" t="inlineStr">
        <is>
          <t>KLIPPAN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28693-2025</t>
        </is>
      </c>
      <c r="B2701" s="1" t="n">
        <v>45819.83893518519</v>
      </c>
      <c r="C2701" s="1" t="n">
        <v>45914</v>
      </c>
      <c r="D2701" t="inlineStr">
        <is>
          <t>SKÅNE LÄN</t>
        </is>
      </c>
      <c r="E2701" t="inlineStr">
        <is>
          <t>ÖRKELLJUNGA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28911-2025</t>
        </is>
      </c>
      <c r="B2702" s="1" t="n">
        <v>45820.65574074074</v>
      </c>
      <c r="C2702" s="1" t="n">
        <v>45914</v>
      </c>
      <c r="D2702" t="inlineStr">
        <is>
          <t>SKÅNE LÄN</t>
        </is>
      </c>
      <c r="E2702" t="inlineStr">
        <is>
          <t>ÖSTRA GÖINGE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28915-2025</t>
        </is>
      </c>
      <c r="B2703" s="1" t="n">
        <v>45820</v>
      </c>
      <c r="C2703" s="1" t="n">
        <v>45914</v>
      </c>
      <c r="D2703" t="inlineStr">
        <is>
          <t>SKÅNE LÄN</t>
        </is>
      </c>
      <c r="E2703" t="inlineStr">
        <is>
          <t>ÖSTRA GÖINGE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28918-2025</t>
        </is>
      </c>
      <c r="B2704" s="1" t="n">
        <v>45820</v>
      </c>
      <c r="C2704" s="1" t="n">
        <v>45914</v>
      </c>
      <c r="D2704" t="inlineStr">
        <is>
          <t>SKÅNE LÄN</t>
        </is>
      </c>
      <c r="E2704" t="inlineStr">
        <is>
          <t>ÖSTRA GÖINGE</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28914-2025</t>
        </is>
      </c>
      <c r="B2705" s="1" t="n">
        <v>45820</v>
      </c>
      <c r="C2705" s="1" t="n">
        <v>45914</v>
      </c>
      <c r="D2705" t="inlineStr">
        <is>
          <t>SKÅNE LÄN</t>
        </is>
      </c>
      <c r="E2705" t="inlineStr">
        <is>
          <t>ÖSTRA GÖINGE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28376-2025</t>
        </is>
      </c>
      <c r="B2706" s="1" t="n">
        <v>45819.29016203704</v>
      </c>
      <c r="C2706" s="1" t="n">
        <v>45914</v>
      </c>
      <c r="D2706" t="inlineStr">
        <is>
          <t>SKÅNE LÄN</t>
        </is>
      </c>
      <c r="E2706" t="inlineStr">
        <is>
          <t>OSBY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12507-2022</t>
        </is>
      </c>
      <c r="B2707" s="1" t="n">
        <v>44638</v>
      </c>
      <c r="C2707" s="1" t="n">
        <v>45914</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46641-2023</t>
        </is>
      </c>
      <c r="B2708" s="1" t="n">
        <v>45198.44523148148</v>
      </c>
      <c r="C2708" s="1" t="n">
        <v>45914</v>
      </c>
      <c r="D2708" t="inlineStr">
        <is>
          <t>SKÅNE LÄN</t>
        </is>
      </c>
      <c r="E2708" t="inlineStr">
        <is>
          <t>HÄSSLEHOLM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46645-2023</t>
        </is>
      </c>
      <c r="B2709" s="1" t="n">
        <v>45198.44686342592</v>
      </c>
      <c r="C2709" s="1" t="n">
        <v>45914</v>
      </c>
      <c r="D2709" t="inlineStr">
        <is>
          <t>SKÅNE LÄN</t>
        </is>
      </c>
      <c r="E2709" t="inlineStr">
        <is>
          <t>HÄSSLEHOLM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46432-2023</t>
        </is>
      </c>
      <c r="B2710" s="1" t="n">
        <v>45197.57471064815</v>
      </c>
      <c r="C2710" s="1" t="n">
        <v>45914</v>
      </c>
      <c r="D2710" t="inlineStr">
        <is>
          <t>SKÅNE LÄN</t>
        </is>
      </c>
      <c r="E2710" t="inlineStr">
        <is>
          <t>OSBY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6348-2024</t>
        </is>
      </c>
      <c r="B2711" s="1" t="n">
        <v>45338.44405092593</v>
      </c>
      <c r="C2711" s="1" t="n">
        <v>45914</v>
      </c>
      <c r="D2711" t="inlineStr">
        <is>
          <t>SKÅNE LÄN</t>
        </is>
      </c>
      <c r="E2711" t="inlineStr">
        <is>
          <t>KRISTIANSTAD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20227-2022</t>
        </is>
      </c>
      <c r="B2712" s="1" t="n">
        <v>44698</v>
      </c>
      <c r="C2712" s="1" t="n">
        <v>45914</v>
      </c>
      <c r="D2712" t="inlineStr">
        <is>
          <t>SKÅNE LÄN</t>
        </is>
      </c>
      <c r="E2712" t="inlineStr">
        <is>
          <t>OSBY</t>
        </is>
      </c>
      <c r="F2712" t="inlineStr">
        <is>
          <t>Kommuner</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31758-2022</t>
        </is>
      </c>
      <c r="B2713" s="1" t="n">
        <v>44776</v>
      </c>
      <c r="C2713" s="1" t="n">
        <v>45914</v>
      </c>
      <c r="D2713" t="inlineStr">
        <is>
          <t>SKÅNE LÄN</t>
        </is>
      </c>
      <c r="E2713" t="inlineStr">
        <is>
          <t>OSBY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67974-2020</t>
        </is>
      </c>
      <c r="B2714" s="1" t="n">
        <v>44182</v>
      </c>
      <c r="C2714" s="1" t="n">
        <v>45914</v>
      </c>
      <c r="D2714" t="inlineStr">
        <is>
          <t>SKÅNE LÄN</t>
        </is>
      </c>
      <c r="E2714" t="inlineStr">
        <is>
          <t>HÄSSLEHOLM</t>
        </is>
      </c>
      <c r="G2714" t="n">
        <v>9</v>
      </c>
      <c r="H2714" t="n">
        <v>0</v>
      </c>
      <c r="I2714" t="n">
        <v>0</v>
      </c>
      <c r="J2714" t="n">
        <v>0</v>
      </c>
      <c r="K2714" t="n">
        <v>0</v>
      </c>
      <c r="L2714" t="n">
        <v>0</v>
      </c>
      <c r="M2714" t="n">
        <v>0</v>
      </c>
      <c r="N2714" t="n">
        <v>0</v>
      </c>
      <c r="O2714" t="n">
        <v>0</v>
      </c>
      <c r="P2714" t="n">
        <v>0</v>
      </c>
      <c r="Q2714" t="n">
        <v>0</v>
      </c>
      <c r="R2714" s="2" t="inlineStr"/>
    </row>
    <row r="2715" ht="15" customHeight="1">
      <c r="A2715" t="inlineStr">
        <is>
          <t>A 10594-2025</t>
        </is>
      </c>
      <c r="B2715" s="1" t="n">
        <v>45721</v>
      </c>
      <c r="C2715" s="1" t="n">
        <v>45914</v>
      </c>
      <c r="D2715" t="inlineStr">
        <is>
          <t>SKÅNE LÄN</t>
        </is>
      </c>
      <c r="E2715" t="inlineStr">
        <is>
          <t>HÄSSLEHOLM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58360-2023</t>
        </is>
      </c>
      <c r="B2716" s="1" t="n">
        <v>45250</v>
      </c>
      <c r="C2716" s="1" t="n">
        <v>45914</v>
      </c>
      <c r="D2716" t="inlineStr">
        <is>
          <t>SKÅNE LÄN</t>
        </is>
      </c>
      <c r="E2716" t="inlineStr">
        <is>
          <t>HÖRBY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14524-2022</t>
        </is>
      </c>
      <c r="B2717" s="1" t="n">
        <v>44655</v>
      </c>
      <c r="C2717" s="1" t="n">
        <v>45914</v>
      </c>
      <c r="D2717" t="inlineStr">
        <is>
          <t>SKÅNE LÄN</t>
        </is>
      </c>
      <c r="E2717" t="inlineStr">
        <is>
          <t>KRISTIANSTAD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45914</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58344-2024</t>
        </is>
      </c>
      <c r="B2719" s="1" t="n">
        <v>45632.64607638889</v>
      </c>
      <c r="C2719" s="1" t="n">
        <v>45914</v>
      </c>
      <c r="D2719" t="inlineStr">
        <is>
          <t>SKÅNE LÄN</t>
        </is>
      </c>
      <c r="E2719" t="inlineStr">
        <is>
          <t>OSBY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23874-2022</t>
        </is>
      </c>
      <c r="B2720" s="1" t="n">
        <v>44722</v>
      </c>
      <c r="C2720" s="1" t="n">
        <v>45914</v>
      </c>
      <c r="D2720" t="inlineStr">
        <is>
          <t>SKÅNE LÄN</t>
        </is>
      </c>
      <c r="E2720" t="inlineStr">
        <is>
          <t>KLIPPAN</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26837-2022</t>
        </is>
      </c>
      <c r="B2721" s="1" t="n">
        <v>44740.4811574074</v>
      </c>
      <c r="C2721" s="1" t="n">
        <v>45914</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39298-2023</t>
        </is>
      </c>
      <c r="B2722" s="1" t="n">
        <v>45166.55553240741</v>
      </c>
      <c r="C2722" s="1" t="n">
        <v>45914</v>
      </c>
      <c r="D2722" t="inlineStr">
        <is>
          <t>SKÅNE LÄN</t>
        </is>
      </c>
      <c r="E2722" t="inlineStr">
        <is>
          <t>HÖRBY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63464-2023</t>
        </is>
      </c>
      <c r="B2723" s="1" t="n">
        <v>45273</v>
      </c>
      <c r="C2723" s="1" t="n">
        <v>45914</v>
      </c>
      <c r="D2723" t="inlineStr">
        <is>
          <t>SKÅNE LÄN</t>
        </is>
      </c>
      <c r="E2723" t="inlineStr">
        <is>
          <t>SIMRISHAMN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38724-2023</t>
        </is>
      </c>
      <c r="B2724" s="1" t="n">
        <v>45163</v>
      </c>
      <c r="C2724" s="1" t="n">
        <v>45914</v>
      </c>
      <c r="D2724" t="inlineStr">
        <is>
          <t>SKÅNE LÄN</t>
        </is>
      </c>
      <c r="E2724" t="inlineStr">
        <is>
          <t>KLIPPAN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36884-2023</t>
        </is>
      </c>
      <c r="B2725" s="1" t="n">
        <v>45154.6050925926</v>
      </c>
      <c r="C2725" s="1" t="n">
        <v>45914</v>
      </c>
      <c r="D2725" t="inlineStr">
        <is>
          <t>SKÅNE LÄN</t>
        </is>
      </c>
      <c r="E2725" t="inlineStr">
        <is>
          <t>HÖÖR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59556-2023</t>
        </is>
      </c>
      <c r="B2726" s="1" t="n">
        <v>45254.56313657408</v>
      </c>
      <c r="C2726" s="1" t="n">
        <v>45914</v>
      </c>
      <c r="D2726" t="inlineStr">
        <is>
          <t>SKÅNE LÄN</t>
        </is>
      </c>
      <c r="E2726" t="inlineStr">
        <is>
          <t>HÄSSLEHOLM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43745-2023</t>
        </is>
      </c>
      <c r="B2727" s="1" t="n">
        <v>45187.47180555556</v>
      </c>
      <c r="C2727" s="1" t="n">
        <v>45914</v>
      </c>
      <c r="D2727" t="inlineStr">
        <is>
          <t>SKÅNE LÄN</t>
        </is>
      </c>
      <c r="E2727" t="inlineStr">
        <is>
          <t>SJÖBO</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29219-2023</t>
        </is>
      </c>
      <c r="B2728" s="1" t="n">
        <v>45105.58829861111</v>
      </c>
      <c r="C2728" s="1" t="n">
        <v>45914</v>
      </c>
      <c r="D2728" t="inlineStr">
        <is>
          <t>SKÅNE LÄN</t>
        </is>
      </c>
      <c r="E2728" t="inlineStr">
        <is>
          <t>HÖRBY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10710-2025</t>
        </is>
      </c>
      <c r="B2729" s="1" t="n">
        <v>45722</v>
      </c>
      <c r="C2729" s="1" t="n">
        <v>45914</v>
      </c>
      <c r="D2729" t="inlineStr">
        <is>
          <t>SKÅNE LÄN</t>
        </is>
      </c>
      <c r="E2729" t="inlineStr">
        <is>
          <t>BÅSTAD</t>
        </is>
      </c>
      <c r="F2729" t="inlineStr">
        <is>
          <t>Kommuner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29244-2025</t>
        </is>
      </c>
      <c r="B2730" s="1" t="n">
        <v>45824.36681712963</v>
      </c>
      <c r="C2730" s="1" t="n">
        <v>45914</v>
      </c>
      <c r="D2730" t="inlineStr">
        <is>
          <t>SKÅNE LÄN</t>
        </is>
      </c>
      <c r="E2730" t="inlineStr">
        <is>
          <t>HÖRBY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29170-2025</t>
        </is>
      </c>
      <c r="B2731" s="1" t="n">
        <v>45821.69766203704</v>
      </c>
      <c r="C2731" s="1" t="n">
        <v>45914</v>
      </c>
      <c r="D2731" t="inlineStr">
        <is>
          <t>SKÅNE LÄN</t>
        </is>
      </c>
      <c r="E2731" t="inlineStr">
        <is>
          <t>HÄSSLEHOLM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7947-2025</t>
        </is>
      </c>
      <c r="B2732" s="1" t="n">
        <v>45707.41185185185</v>
      </c>
      <c r="C2732" s="1" t="n">
        <v>45914</v>
      </c>
      <c r="D2732" t="inlineStr">
        <is>
          <t>SKÅNE LÄN</t>
        </is>
      </c>
      <c r="E2732" t="inlineStr">
        <is>
          <t>OSBY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38562-2023</t>
        </is>
      </c>
      <c r="B2733" s="1" t="n">
        <v>45162</v>
      </c>
      <c r="C2733" s="1" t="n">
        <v>45914</v>
      </c>
      <c r="D2733" t="inlineStr">
        <is>
          <t>SKÅNE LÄN</t>
        </is>
      </c>
      <c r="E2733" t="inlineStr">
        <is>
          <t>TOMELILLA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3542-2025</t>
        </is>
      </c>
      <c r="B2734" s="1" t="n">
        <v>45680</v>
      </c>
      <c r="C2734" s="1" t="n">
        <v>45914</v>
      </c>
      <c r="D2734" t="inlineStr">
        <is>
          <t>SKÅNE LÄN</t>
        </is>
      </c>
      <c r="E2734" t="inlineStr">
        <is>
          <t>HÖRBY</t>
        </is>
      </c>
      <c r="F2734" t="inlineStr">
        <is>
          <t>Kyrkan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30112-2023</t>
        </is>
      </c>
      <c r="B2735" s="1" t="n">
        <v>45110.47505787037</v>
      </c>
      <c r="C2735" s="1" t="n">
        <v>45914</v>
      </c>
      <c r="D2735" t="inlineStr">
        <is>
          <t>SKÅNE LÄN</t>
        </is>
      </c>
      <c r="E2735" t="inlineStr">
        <is>
          <t>BROMÖLLA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1318-2021</t>
        </is>
      </c>
      <c r="B2736" s="1" t="n">
        <v>44208</v>
      </c>
      <c r="C2736" s="1" t="n">
        <v>45914</v>
      </c>
      <c r="D2736" t="inlineStr">
        <is>
          <t>SKÅNE LÄN</t>
        </is>
      </c>
      <c r="E2736" t="inlineStr">
        <is>
          <t>OSBY</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1366-2021</t>
        </is>
      </c>
      <c r="B2737" s="1" t="n">
        <v>44208</v>
      </c>
      <c r="C2737" s="1" t="n">
        <v>45914</v>
      </c>
      <c r="D2737" t="inlineStr">
        <is>
          <t>SKÅNE LÄN</t>
        </is>
      </c>
      <c r="E2737" t="inlineStr">
        <is>
          <t>YSTAD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22690-2022</t>
        </is>
      </c>
      <c r="B2738" s="1" t="n">
        <v>44714.5421875</v>
      </c>
      <c r="C2738" s="1" t="n">
        <v>45914</v>
      </c>
      <c r="D2738" t="inlineStr">
        <is>
          <t>SKÅNE LÄN</t>
        </is>
      </c>
      <c r="E2738" t="inlineStr">
        <is>
          <t>HÄSSLEHOLM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10714-2025</t>
        </is>
      </c>
      <c r="B2739" s="1" t="n">
        <v>45722</v>
      </c>
      <c r="C2739" s="1" t="n">
        <v>45914</v>
      </c>
      <c r="D2739" t="inlineStr">
        <is>
          <t>SKÅNE LÄN</t>
        </is>
      </c>
      <c r="E2739" t="inlineStr">
        <is>
          <t>OSBY</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23287-2022</t>
        </is>
      </c>
      <c r="B2740" s="1" t="n">
        <v>44720</v>
      </c>
      <c r="C2740" s="1" t="n">
        <v>45914</v>
      </c>
      <c r="D2740" t="inlineStr">
        <is>
          <t>SKÅNE LÄN</t>
        </is>
      </c>
      <c r="E2740" t="inlineStr">
        <is>
          <t>SIMRISHAMN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57079-2022</t>
        </is>
      </c>
      <c r="B2741" s="1" t="n">
        <v>44895</v>
      </c>
      <c r="C2741" s="1" t="n">
        <v>45914</v>
      </c>
      <c r="D2741" t="inlineStr">
        <is>
          <t>SKÅNE LÄN</t>
        </is>
      </c>
      <c r="E2741" t="inlineStr">
        <is>
          <t>HÄSSLEHOLM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29354-2025</t>
        </is>
      </c>
      <c r="B2742" s="1" t="n">
        <v>45824</v>
      </c>
      <c r="C2742" s="1" t="n">
        <v>45914</v>
      </c>
      <c r="D2742" t="inlineStr">
        <is>
          <t>SKÅNE LÄN</t>
        </is>
      </c>
      <c r="E2742" t="inlineStr">
        <is>
          <t>HÖRBY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45420-2023</t>
        </is>
      </c>
      <c r="B2743" s="1" t="n">
        <v>45194.35973379629</v>
      </c>
      <c r="C2743" s="1" t="n">
        <v>45914</v>
      </c>
      <c r="D2743" t="inlineStr">
        <is>
          <t>SKÅNE LÄN</t>
        </is>
      </c>
      <c r="E2743" t="inlineStr">
        <is>
          <t>OSBY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9543-2025</t>
        </is>
      </c>
      <c r="B2744" s="1" t="n">
        <v>45715</v>
      </c>
      <c r="C2744" s="1" t="n">
        <v>45914</v>
      </c>
      <c r="D2744" t="inlineStr">
        <is>
          <t>SKÅNE LÄN</t>
        </is>
      </c>
      <c r="E2744" t="inlineStr">
        <is>
          <t>HÄSSLEHOLM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28982-2025</t>
        </is>
      </c>
      <c r="B2745" s="1" t="n">
        <v>45821.35623842593</v>
      </c>
      <c r="C2745" s="1" t="n">
        <v>45914</v>
      </c>
      <c r="D2745" t="inlineStr">
        <is>
          <t>SKÅNE LÄN</t>
        </is>
      </c>
      <c r="E2745" t="inlineStr">
        <is>
          <t>ÖSTRA GÖINGE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29168-2025</t>
        </is>
      </c>
      <c r="B2746" s="1" t="n">
        <v>45821.69547453704</v>
      </c>
      <c r="C2746" s="1" t="n">
        <v>45914</v>
      </c>
      <c r="D2746" t="inlineStr">
        <is>
          <t>SKÅNE LÄN</t>
        </is>
      </c>
      <c r="E2746" t="inlineStr">
        <is>
          <t>HÄSSLEHOLM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13523-2024</t>
        </is>
      </c>
      <c r="B2747" s="1" t="n">
        <v>45387.745625</v>
      </c>
      <c r="C2747" s="1" t="n">
        <v>45914</v>
      </c>
      <c r="D2747" t="inlineStr">
        <is>
          <t>SKÅNE LÄN</t>
        </is>
      </c>
      <c r="E2747" t="inlineStr">
        <is>
          <t>KRISTIANSTAD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60371-2023</t>
        </is>
      </c>
      <c r="B2748" s="1" t="n">
        <v>45259</v>
      </c>
      <c r="C2748" s="1" t="n">
        <v>45914</v>
      </c>
      <c r="D2748" t="inlineStr">
        <is>
          <t>SKÅNE LÄN</t>
        </is>
      </c>
      <c r="E2748" t="inlineStr">
        <is>
          <t>SJÖBO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18348-2022</t>
        </is>
      </c>
      <c r="B2749" s="1" t="n">
        <v>44685.67729166667</v>
      </c>
      <c r="C2749" s="1" t="n">
        <v>45914</v>
      </c>
      <c r="D2749" t="inlineStr">
        <is>
          <t>SKÅNE LÄN</t>
        </is>
      </c>
      <c r="E2749" t="inlineStr">
        <is>
          <t>HÖÖR</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51571-2023</t>
        </is>
      </c>
      <c r="B2750" s="1" t="n">
        <v>45222</v>
      </c>
      <c r="C2750" s="1" t="n">
        <v>45914</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29171-2025</t>
        </is>
      </c>
      <c r="B2751" s="1" t="n">
        <v>45821.69863425926</v>
      </c>
      <c r="C2751" s="1" t="n">
        <v>45914</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4734-2025</t>
        </is>
      </c>
      <c r="B2752" s="1" t="n">
        <v>45688.44030092593</v>
      </c>
      <c r="C2752" s="1" t="n">
        <v>45914</v>
      </c>
      <c r="D2752" t="inlineStr">
        <is>
          <t>SKÅNE LÄN</t>
        </is>
      </c>
      <c r="E2752" t="inlineStr">
        <is>
          <t>HÄSSLEHOLM</t>
        </is>
      </c>
      <c r="G2752" t="n">
        <v>19.6</v>
      </c>
      <c r="H2752" t="n">
        <v>0</v>
      </c>
      <c r="I2752" t="n">
        <v>0</v>
      </c>
      <c r="J2752" t="n">
        <v>0</v>
      </c>
      <c r="K2752" t="n">
        <v>0</v>
      </c>
      <c r="L2752" t="n">
        <v>0</v>
      </c>
      <c r="M2752" t="n">
        <v>0</v>
      </c>
      <c r="N2752" t="n">
        <v>0</v>
      </c>
      <c r="O2752" t="n">
        <v>0</v>
      </c>
      <c r="P2752" t="n">
        <v>0</v>
      </c>
      <c r="Q2752" t="n">
        <v>0</v>
      </c>
      <c r="R2752" s="2" t="inlineStr"/>
    </row>
    <row r="2753" ht="15" customHeight="1">
      <c r="A2753" t="inlineStr">
        <is>
          <t>A 29334-2022</t>
        </is>
      </c>
      <c r="B2753" s="1" t="n">
        <v>44752</v>
      </c>
      <c r="C2753" s="1" t="n">
        <v>45914</v>
      </c>
      <c r="D2753" t="inlineStr">
        <is>
          <t>SKÅNE LÄN</t>
        </is>
      </c>
      <c r="E2753" t="inlineStr">
        <is>
          <t>ÖRKELLJUNGA</t>
        </is>
      </c>
      <c r="F2753" t="inlineStr">
        <is>
          <t>Kommuner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24333-2022</t>
        </is>
      </c>
      <c r="B2754" s="1" t="n">
        <v>44726.32643518518</v>
      </c>
      <c r="C2754" s="1" t="n">
        <v>45914</v>
      </c>
      <c r="D2754" t="inlineStr">
        <is>
          <t>SKÅNE LÄN</t>
        </is>
      </c>
      <c r="E2754" t="inlineStr">
        <is>
          <t>KLIPPAN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46627-2024</t>
        </is>
      </c>
      <c r="B2755" s="1" t="n">
        <v>45583.33128472222</v>
      </c>
      <c r="C2755" s="1" t="n">
        <v>45914</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45914</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29795-2025</t>
        </is>
      </c>
      <c r="B2757" s="1" t="n">
        <v>45825.66778935185</v>
      </c>
      <c r="C2757" s="1" t="n">
        <v>45914</v>
      </c>
      <c r="D2757" t="inlineStr">
        <is>
          <t>SKÅNE LÄN</t>
        </is>
      </c>
      <c r="E2757" t="inlineStr">
        <is>
          <t>KRISTIANSTAD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18540-2022</t>
        </is>
      </c>
      <c r="B2758" s="1" t="n">
        <v>44686.91196759259</v>
      </c>
      <c r="C2758" s="1" t="n">
        <v>45914</v>
      </c>
      <c r="D2758" t="inlineStr">
        <is>
          <t>SKÅNE LÄN</t>
        </is>
      </c>
      <c r="E2758" t="inlineStr">
        <is>
          <t>ÖSTRA GÖINGE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1824-2021</t>
        </is>
      </c>
      <c r="B2759" s="1" t="n">
        <v>44210</v>
      </c>
      <c r="C2759" s="1" t="n">
        <v>45914</v>
      </c>
      <c r="D2759" t="inlineStr">
        <is>
          <t>SKÅNE LÄN</t>
        </is>
      </c>
      <c r="E2759" t="inlineStr">
        <is>
          <t>ÖSTRA GÖINGE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45169-2024</t>
        </is>
      </c>
      <c r="B2760" s="1" t="n">
        <v>45575.65561342592</v>
      </c>
      <c r="C2760" s="1" t="n">
        <v>45914</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40710-2023</t>
        </is>
      </c>
      <c r="B2761" s="1" t="n">
        <v>45170.63194444445</v>
      </c>
      <c r="C2761" s="1" t="n">
        <v>45914</v>
      </c>
      <c r="D2761" t="inlineStr">
        <is>
          <t>SKÅNE LÄN</t>
        </is>
      </c>
      <c r="E2761" t="inlineStr">
        <is>
          <t>KLIPPAN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61498-2022</t>
        </is>
      </c>
      <c r="B2762" s="1" t="n">
        <v>44910</v>
      </c>
      <c r="C2762" s="1" t="n">
        <v>45914</v>
      </c>
      <c r="D2762" t="inlineStr">
        <is>
          <t>SKÅNE LÄN</t>
        </is>
      </c>
      <c r="E2762" t="inlineStr">
        <is>
          <t>HÄSSLEHOLM</t>
        </is>
      </c>
      <c r="F2762" t="inlineStr">
        <is>
          <t>Kyrkan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16665-2022</t>
        </is>
      </c>
      <c r="B2763" s="1" t="n">
        <v>44672</v>
      </c>
      <c r="C2763" s="1" t="n">
        <v>45914</v>
      </c>
      <c r="D2763" t="inlineStr">
        <is>
          <t>SKÅNE LÄN</t>
        </is>
      </c>
      <c r="E2763" t="inlineStr">
        <is>
          <t>HÖÖR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27318-2022</t>
        </is>
      </c>
      <c r="B2764" s="1" t="n">
        <v>44742</v>
      </c>
      <c r="C2764" s="1" t="n">
        <v>45914</v>
      </c>
      <c r="D2764" t="inlineStr">
        <is>
          <t>SKÅNE LÄN</t>
        </is>
      </c>
      <c r="E2764" t="inlineStr">
        <is>
          <t>ÖSTRA GÖINGE</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47405-2022</t>
        </is>
      </c>
      <c r="B2765" s="1" t="n">
        <v>44853</v>
      </c>
      <c r="C2765" s="1" t="n">
        <v>45914</v>
      </c>
      <c r="D2765" t="inlineStr">
        <is>
          <t>SKÅNE LÄN</t>
        </is>
      </c>
      <c r="E2765" t="inlineStr">
        <is>
          <t>ÖSTRA GÖINGE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7079-2023</t>
        </is>
      </c>
      <c r="B2766" s="1" t="n">
        <v>44965</v>
      </c>
      <c r="C2766" s="1" t="n">
        <v>45914</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27291-2023</t>
        </is>
      </c>
      <c r="B2767" s="1" t="n">
        <v>45096</v>
      </c>
      <c r="C2767" s="1" t="n">
        <v>45914</v>
      </c>
      <c r="D2767" t="inlineStr">
        <is>
          <t>SKÅNE LÄN</t>
        </is>
      </c>
      <c r="E2767" t="inlineStr">
        <is>
          <t>HÄSSLEHOLM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33984-2025</t>
        </is>
      </c>
      <c r="B2768" s="1" t="n">
        <v>45843</v>
      </c>
      <c r="C2768" s="1" t="n">
        <v>45914</v>
      </c>
      <c r="D2768" t="inlineStr">
        <is>
          <t>SKÅNE LÄN</t>
        </is>
      </c>
      <c r="E2768" t="inlineStr">
        <is>
          <t>KRISTIANSTAD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15417-2022</t>
        </is>
      </c>
      <c r="B2769" s="1" t="n">
        <v>44659</v>
      </c>
      <c r="C2769" s="1" t="n">
        <v>45914</v>
      </c>
      <c r="D2769" t="inlineStr">
        <is>
          <t>SKÅNE LÄN</t>
        </is>
      </c>
      <c r="E2769" t="inlineStr">
        <is>
          <t>HÄSSLEHOLM</t>
        </is>
      </c>
      <c r="F2769" t="inlineStr">
        <is>
          <t>Kyrkan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56177-2021</t>
        </is>
      </c>
      <c r="B2770" s="1" t="n">
        <v>44477</v>
      </c>
      <c r="C2770" s="1" t="n">
        <v>45914</v>
      </c>
      <c r="D2770" t="inlineStr">
        <is>
          <t>SKÅNE LÄN</t>
        </is>
      </c>
      <c r="E2770" t="inlineStr">
        <is>
          <t>OSBY</t>
        </is>
      </c>
      <c r="F2770" t="inlineStr">
        <is>
          <t>Kommuner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42899-2023</t>
        </is>
      </c>
      <c r="B2771" s="1" t="n">
        <v>45182</v>
      </c>
      <c r="C2771" s="1" t="n">
        <v>45914</v>
      </c>
      <c r="D2771" t="inlineStr">
        <is>
          <t>SKÅNE LÄN</t>
        </is>
      </c>
      <c r="E2771" t="inlineStr">
        <is>
          <t>KRISTIANSTAD</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20572-2021</t>
        </is>
      </c>
      <c r="B2772" s="1" t="n">
        <v>44316.32141203704</v>
      </c>
      <c r="C2772" s="1" t="n">
        <v>45914</v>
      </c>
      <c r="D2772" t="inlineStr">
        <is>
          <t>SKÅNE LÄN</t>
        </is>
      </c>
      <c r="E2772" t="inlineStr">
        <is>
          <t>SJÖBO</t>
        </is>
      </c>
      <c r="F2772" t="inlineStr">
        <is>
          <t>Övriga Aktiebolag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18294-2024</t>
        </is>
      </c>
      <c r="B2773" s="1" t="n">
        <v>45422.41104166667</v>
      </c>
      <c r="C2773" s="1" t="n">
        <v>45914</v>
      </c>
      <c r="D2773" t="inlineStr">
        <is>
          <t>SKÅNE LÄN</t>
        </is>
      </c>
      <c r="E2773" t="inlineStr">
        <is>
          <t>OSBY</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29821-2025</t>
        </is>
      </c>
      <c r="B2774" s="1" t="n">
        <v>45825.84996527778</v>
      </c>
      <c r="C2774" s="1" t="n">
        <v>45914</v>
      </c>
      <c r="D2774" t="inlineStr">
        <is>
          <t>SKÅNE LÄN</t>
        </is>
      </c>
      <c r="E2774" t="inlineStr">
        <is>
          <t>SJÖBO</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15810-2024</t>
        </is>
      </c>
      <c r="B2775" s="1" t="n">
        <v>45404</v>
      </c>
      <c r="C2775" s="1" t="n">
        <v>45914</v>
      </c>
      <c r="D2775" t="inlineStr">
        <is>
          <t>SKÅNE LÄN</t>
        </is>
      </c>
      <c r="E2775" t="inlineStr">
        <is>
          <t>KLIPPAN</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36240-2023</t>
        </is>
      </c>
      <c r="B2776" s="1" t="n">
        <v>45150.89295138889</v>
      </c>
      <c r="C2776" s="1" t="n">
        <v>45914</v>
      </c>
      <c r="D2776" t="inlineStr">
        <is>
          <t>SKÅNE LÄN</t>
        </is>
      </c>
      <c r="E2776" t="inlineStr">
        <is>
          <t>HÄSSLEHOLM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30010-2025</t>
        </is>
      </c>
      <c r="B2777" s="1" t="n">
        <v>45826</v>
      </c>
      <c r="C2777" s="1" t="n">
        <v>45914</v>
      </c>
      <c r="D2777" t="inlineStr">
        <is>
          <t>SKÅNE LÄN</t>
        </is>
      </c>
      <c r="E2777" t="inlineStr">
        <is>
          <t>HÄSSLEHOLM</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51031-2023</t>
        </is>
      </c>
      <c r="B2778" s="1" t="n">
        <v>45211</v>
      </c>
      <c r="C2778" s="1" t="n">
        <v>45914</v>
      </c>
      <c r="D2778" t="inlineStr">
        <is>
          <t>SKÅNE LÄN</t>
        </is>
      </c>
      <c r="E2778" t="inlineStr">
        <is>
          <t>TOMELILLA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58268-2024</t>
        </is>
      </c>
      <c r="B2779" s="1" t="n">
        <v>45632.56893518518</v>
      </c>
      <c r="C2779" s="1" t="n">
        <v>45914</v>
      </c>
      <c r="D2779" t="inlineStr">
        <is>
          <t>SKÅNE LÄN</t>
        </is>
      </c>
      <c r="E2779" t="inlineStr">
        <is>
          <t>HÄSSLEHOLM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65073-2023</t>
        </is>
      </c>
      <c r="B2780" s="1" t="n">
        <v>45287</v>
      </c>
      <c r="C2780" s="1" t="n">
        <v>45914</v>
      </c>
      <c r="D2780" t="inlineStr">
        <is>
          <t>SKÅNE LÄN</t>
        </is>
      </c>
      <c r="E2780" t="inlineStr">
        <is>
          <t>HÖRBY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29816-2025</t>
        </is>
      </c>
      <c r="B2781" s="1" t="n">
        <v>45825.83328703704</v>
      </c>
      <c r="C2781" s="1" t="n">
        <v>45914</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29247-2025</t>
        </is>
      </c>
      <c r="B2782" s="1" t="n">
        <v>45824</v>
      </c>
      <c r="C2782" s="1" t="n">
        <v>45914</v>
      </c>
      <c r="D2782" t="inlineStr">
        <is>
          <t>SKÅNE LÄN</t>
        </is>
      </c>
      <c r="E2782" t="inlineStr">
        <is>
          <t>LUND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37710-2024</t>
        </is>
      </c>
      <c r="B2783" s="1" t="n">
        <v>45541.6287962963</v>
      </c>
      <c r="C2783" s="1" t="n">
        <v>45914</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46677-2023</t>
        </is>
      </c>
      <c r="B2784" s="1" t="n">
        <v>45198</v>
      </c>
      <c r="C2784" s="1" t="n">
        <v>45914</v>
      </c>
      <c r="D2784" t="inlineStr">
        <is>
          <t>SKÅNE LÄN</t>
        </is>
      </c>
      <c r="E2784" t="inlineStr">
        <is>
          <t>ÖSTRA GÖINGE</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20564-2023</t>
        </is>
      </c>
      <c r="B2785" s="1" t="n">
        <v>45057</v>
      </c>
      <c r="C2785" s="1" t="n">
        <v>45914</v>
      </c>
      <c r="D2785" t="inlineStr">
        <is>
          <t>SKÅNE LÄN</t>
        </is>
      </c>
      <c r="E2785" t="inlineStr">
        <is>
          <t>HÄSSLEHOLM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44135-2024</t>
        </is>
      </c>
      <c r="B2786" s="1" t="n">
        <v>45572</v>
      </c>
      <c r="C2786" s="1" t="n">
        <v>45914</v>
      </c>
      <c r="D2786" t="inlineStr">
        <is>
          <t>SKÅNE LÄN</t>
        </is>
      </c>
      <c r="E2786" t="inlineStr">
        <is>
          <t>HÖRBY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44339-2023</t>
        </is>
      </c>
      <c r="B2787" s="1" t="n">
        <v>45188.676875</v>
      </c>
      <c r="C2787" s="1" t="n">
        <v>45914</v>
      </c>
      <c r="D2787" t="inlineStr">
        <is>
          <t>SKÅNE LÄN</t>
        </is>
      </c>
      <c r="E2787" t="inlineStr">
        <is>
          <t>KRISTIANSTAD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25249-2022</t>
        </is>
      </c>
      <c r="B2788" s="1" t="n">
        <v>44729</v>
      </c>
      <c r="C2788" s="1" t="n">
        <v>45914</v>
      </c>
      <c r="D2788" t="inlineStr">
        <is>
          <t>SKÅNE LÄN</t>
        </is>
      </c>
      <c r="E2788" t="inlineStr">
        <is>
          <t>KRISTIANSTAD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14614-2023</t>
        </is>
      </c>
      <c r="B2789" s="1" t="n">
        <v>45013</v>
      </c>
      <c r="C2789" s="1" t="n">
        <v>45914</v>
      </c>
      <c r="D2789" t="inlineStr">
        <is>
          <t>SKÅNE LÄN</t>
        </is>
      </c>
      <c r="E2789" t="inlineStr">
        <is>
          <t>KLIPPAN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65640-2020</t>
        </is>
      </c>
      <c r="B2790" s="1" t="n">
        <v>44174</v>
      </c>
      <c r="C2790" s="1" t="n">
        <v>45914</v>
      </c>
      <c r="D2790" t="inlineStr">
        <is>
          <t>SKÅNE LÄN</t>
        </is>
      </c>
      <c r="E2790" t="inlineStr">
        <is>
          <t>OSBY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32106-2023</t>
        </is>
      </c>
      <c r="B2791" s="1" t="n">
        <v>45119</v>
      </c>
      <c r="C2791" s="1" t="n">
        <v>45914</v>
      </c>
      <c r="D2791" t="inlineStr">
        <is>
          <t>SKÅNE LÄN</t>
        </is>
      </c>
      <c r="E2791" t="inlineStr">
        <is>
          <t>KRISTIANSTAD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16670-2025</t>
        </is>
      </c>
      <c r="B2792" s="1" t="n">
        <v>45754.43791666667</v>
      </c>
      <c r="C2792" s="1" t="n">
        <v>45914</v>
      </c>
      <c r="D2792" t="inlineStr">
        <is>
          <t>SKÅNE LÄN</t>
        </is>
      </c>
      <c r="E2792" t="inlineStr">
        <is>
          <t>ESLÖV</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32709-2023</t>
        </is>
      </c>
      <c r="B2793" s="1" t="n">
        <v>45121</v>
      </c>
      <c r="C2793" s="1" t="n">
        <v>45914</v>
      </c>
      <c r="D2793" t="inlineStr">
        <is>
          <t>SKÅNE LÄN</t>
        </is>
      </c>
      <c r="E2793" t="inlineStr">
        <is>
          <t>KRISTIANSTAD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32710-2023</t>
        </is>
      </c>
      <c r="B2794" s="1" t="n">
        <v>45121</v>
      </c>
      <c r="C2794" s="1" t="n">
        <v>45914</v>
      </c>
      <c r="D2794" t="inlineStr">
        <is>
          <t>SKÅNE LÄN</t>
        </is>
      </c>
      <c r="E2794" t="inlineStr">
        <is>
          <t>KRISTIANSTAD</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41694-2024</t>
        </is>
      </c>
      <c r="B2795" s="1" t="n">
        <v>45560.68341435185</v>
      </c>
      <c r="C2795" s="1" t="n">
        <v>45914</v>
      </c>
      <c r="D2795" t="inlineStr">
        <is>
          <t>SKÅNE LÄN</t>
        </is>
      </c>
      <c r="E2795" t="inlineStr">
        <is>
          <t>HÄSSLEHOLM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66505-2020</t>
        </is>
      </c>
      <c r="B2796" s="1" t="n">
        <v>44178</v>
      </c>
      <c r="C2796" s="1" t="n">
        <v>45914</v>
      </c>
      <c r="D2796" t="inlineStr">
        <is>
          <t>SKÅNE LÄN</t>
        </is>
      </c>
      <c r="E2796" t="inlineStr">
        <is>
          <t>HÖÖR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7072-2024</t>
        </is>
      </c>
      <c r="B2797" s="1" t="n">
        <v>45343</v>
      </c>
      <c r="C2797" s="1" t="n">
        <v>45914</v>
      </c>
      <c r="D2797" t="inlineStr">
        <is>
          <t>SKÅNE LÄN</t>
        </is>
      </c>
      <c r="E2797" t="inlineStr">
        <is>
          <t>SIMRISHAMN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68508-2020</t>
        </is>
      </c>
      <c r="B2798" s="1" t="n">
        <v>44186</v>
      </c>
      <c r="C2798" s="1" t="n">
        <v>45914</v>
      </c>
      <c r="D2798" t="inlineStr">
        <is>
          <t>SKÅNE LÄN</t>
        </is>
      </c>
      <c r="E2798" t="inlineStr">
        <is>
          <t>ÖRKELLJUNGA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32514-2023</t>
        </is>
      </c>
      <c r="B2799" s="1" t="n">
        <v>45121.35908564815</v>
      </c>
      <c r="C2799" s="1" t="n">
        <v>45914</v>
      </c>
      <c r="D2799" t="inlineStr">
        <is>
          <t>SKÅNE LÄN</t>
        </is>
      </c>
      <c r="E2799" t="inlineStr">
        <is>
          <t>ÖSTRA GÖINGE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56972-2023</t>
        </is>
      </c>
      <c r="B2800" s="1" t="n">
        <v>45244</v>
      </c>
      <c r="C2800" s="1" t="n">
        <v>45914</v>
      </c>
      <c r="D2800" t="inlineStr">
        <is>
          <t>SKÅNE LÄN</t>
        </is>
      </c>
      <c r="E2800" t="inlineStr">
        <is>
          <t>KRISTIANSTAD</t>
        </is>
      </c>
      <c r="F2800" t="inlineStr">
        <is>
          <t>Övriga Aktiebolag</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57782-2024</t>
        </is>
      </c>
      <c r="B2801" s="1" t="n">
        <v>45631.29098379629</v>
      </c>
      <c r="C2801" s="1" t="n">
        <v>45914</v>
      </c>
      <c r="D2801" t="inlineStr">
        <is>
          <t>SKÅNE LÄN</t>
        </is>
      </c>
      <c r="E2801" t="inlineStr">
        <is>
          <t>OSBY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29642-2025</t>
        </is>
      </c>
      <c r="B2802" s="1" t="n">
        <v>45825</v>
      </c>
      <c r="C2802" s="1" t="n">
        <v>45914</v>
      </c>
      <c r="D2802" t="inlineStr">
        <is>
          <t>SKÅNE LÄN</t>
        </is>
      </c>
      <c r="E2802" t="inlineStr">
        <is>
          <t>ÖRKELLJUNGA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48798-2023</t>
        </is>
      </c>
      <c r="B2803" s="1" t="n">
        <v>45209.25318287037</v>
      </c>
      <c r="C2803" s="1" t="n">
        <v>45914</v>
      </c>
      <c r="D2803" t="inlineStr">
        <is>
          <t>SKÅNE LÄN</t>
        </is>
      </c>
      <c r="E2803" t="inlineStr">
        <is>
          <t>HÄSSLEHOLM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39014-2023</t>
        </is>
      </c>
      <c r="B2804" s="1" t="n">
        <v>45163</v>
      </c>
      <c r="C2804" s="1" t="n">
        <v>45914</v>
      </c>
      <c r="D2804" t="inlineStr">
        <is>
          <t>SKÅNE LÄN</t>
        </is>
      </c>
      <c r="E2804" t="inlineStr">
        <is>
          <t>ÄNGELHOLM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30211-2023</t>
        </is>
      </c>
      <c r="B2805" s="1" t="n">
        <v>45110.63390046296</v>
      </c>
      <c r="C2805" s="1" t="n">
        <v>45914</v>
      </c>
      <c r="D2805" t="inlineStr">
        <is>
          <t>SKÅNE LÄN</t>
        </is>
      </c>
      <c r="E2805" t="inlineStr">
        <is>
          <t>OSBY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30108-2025</t>
        </is>
      </c>
      <c r="B2806" s="1" t="n">
        <v>45826.69407407408</v>
      </c>
      <c r="C2806" s="1" t="n">
        <v>45914</v>
      </c>
      <c r="D2806" t="inlineStr">
        <is>
          <t>SKÅNE LÄN</t>
        </is>
      </c>
      <c r="E2806" t="inlineStr">
        <is>
          <t>ÖSTRA GÖINGE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67613-2021</t>
        </is>
      </c>
      <c r="B2807" s="1" t="n">
        <v>44524.65744212963</v>
      </c>
      <c r="C2807" s="1" t="n">
        <v>45914</v>
      </c>
      <c r="D2807" t="inlineStr">
        <is>
          <t>SKÅNE LÄN</t>
        </is>
      </c>
      <c r="E2807" t="inlineStr">
        <is>
          <t>OSBY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30306-2025</t>
        </is>
      </c>
      <c r="B2808" s="1" t="n">
        <v>45827.48390046296</v>
      </c>
      <c r="C2808" s="1" t="n">
        <v>45914</v>
      </c>
      <c r="D2808" t="inlineStr">
        <is>
          <t>SKÅNE LÄN</t>
        </is>
      </c>
      <c r="E2808" t="inlineStr">
        <is>
          <t>ÖSTRA GÖINGE</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30451-2025</t>
        </is>
      </c>
      <c r="B2809" s="1" t="n">
        <v>45827</v>
      </c>
      <c r="C2809" s="1" t="n">
        <v>45914</v>
      </c>
      <c r="D2809" t="inlineStr">
        <is>
          <t>SKÅNE LÄN</t>
        </is>
      </c>
      <c r="E2809" t="inlineStr">
        <is>
          <t>SJÖBO</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30453-2025</t>
        </is>
      </c>
      <c r="B2810" s="1" t="n">
        <v>45827</v>
      </c>
      <c r="C2810" s="1" t="n">
        <v>45914</v>
      </c>
      <c r="D2810" t="inlineStr">
        <is>
          <t>SKÅNE LÄN</t>
        </is>
      </c>
      <c r="E2810" t="inlineStr">
        <is>
          <t>SJÖBO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17737-2023</t>
        </is>
      </c>
      <c r="B2811" s="1" t="n">
        <v>45037.44637731482</v>
      </c>
      <c r="C2811" s="1" t="n">
        <v>45914</v>
      </c>
      <c r="D2811" t="inlineStr">
        <is>
          <t>SKÅNE LÄN</t>
        </is>
      </c>
      <c r="E2811" t="inlineStr">
        <is>
          <t>ÖRKELLJUNGA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67616-2021</t>
        </is>
      </c>
      <c r="B2812" s="1" t="n">
        <v>44524.66100694444</v>
      </c>
      <c r="C2812" s="1" t="n">
        <v>45914</v>
      </c>
      <c r="D2812" t="inlineStr">
        <is>
          <t>SKÅNE LÄN</t>
        </is>
      </c>
      <c r="E2812" t="inlineStr">
        <is>
          <t>OSBY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47757-2024</t>
        </is>
      </c>
      <c r="B2813" s="1" t="n">
        <v>45588.55075231481</v>
      </c>
      <c r="C2813" s="1" t="n">
        <v>45914</v>
      </c>
      <c r="D2813" t="inlineStr">
        <is>
          <t>SKÅNE LÄN</t>
        </is>
      </c>
      <c r="E2813" t="inlineStr">
        <is>
          <t>HÄSSLEHOLM</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4256-2025</t>
        </is>
      </c>
      <c r="B2814" s="1" t="n">
        <v>45685</v>
      </c>
      <c r="C2814" s="1" t="n">
        <v>45914</v>
      </c>
      <c r="D2814" t="inlineStr">
        <is>
          <t>SKÅNE LÄN</t>
        </is>
      </c>
      <c r="E2814" t="inlineStr">
        <is>
          <t>BÅSTAD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28885-2022</t>
        </is>
      </c>
      <c r="B2815" s="1" t="n">
        <v>44749</v>
      </c>
      <c r="C2815" s="1" t="n">
        <v>45914</v>
      </c>
      <c r="D2815" t="inlineStr">
        <is>
          <t>SKÅNE LÄN</t>
        </is>
      </c>
      <c r="E2815" t="inlineStr">
        <is>
          <t>LUND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47844-2024</t>
        </is>
      </c>
      <c r="B2816" s="1" t="n">
        <v>45588.65626157408</v>
      </c>
      <c r="C2816" s="1" t="n">
        <v>45914</v>
      </c>
      <c r="D2816" t="inlineStr">
        <is>
          <t>SKÅNE LÄN</t>
        </is>
      </c>
      <c r="E2816" t="inlineStr">
        <is>
          <t>OSBY</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2663-2023</t>
        </is>
      </c>
      <c r="B2817" s="1" t="n">
        <v>44942</v>
      </c>
      <c r="C2817" s="1" t="n">
        <v>45914</v>
      </c>
      <c r="D2817" t="inlineStr">
        <is>
          <t>SKÅNE LÄN</t>
        </is>
      </c>
      <c r="E2817" t="inlineStr">
        <is>
          <t>HÄSSLEHOLM</t>
        </is>
      </c>
      <c r="F2817" t="inlineStr">
        <is>
          <t>Kyrkan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63942-2023</t>
        </is>
      </c>
      <c r="B2818" s="1" t="n">
        <v>45278</v>
      </c>
      <c r="C2818" s="1" t="n">
        <v>45914</v>
      </c>
      <c r="D2818" t="inlineStr">
        <is>
          <t>SKÅNE LÄN</t>
        </is>
      </c>
      <c r="E2818" t="inlineStr">
        <is>
          <t>KRISTIANSTAD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44725-2022</t>
        </is>
      </c>
      <c r="B2819" s="1" t="n">
        <v>44840</v>
      </c>
      <c r="C2819" s="1" t="n">
        <v>45914</v>
      </c>
      <c r="D2819" t="inlineStr">
        <is>
          <t>SKÅNE LÄN</t>
        </is>
      </c>
      <c r="E2819" t="inlineStr">
        <is>
          <t>ÖSTRA GÖINGE</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46397-2023</t>
        </is>
      </c>
      <c r="B2820" s="1" t="n">
        <v>45191</v>
      </c>
      <c r="C2820" s="1" t="n">
        <v>45914</v>
      </c>
      <c r="D2820" t="inlineStr">
        <is>
          <t>SKÅNE LÄN</t>
        </is>
      </c>
      <c r="E2820" t="inlineStr">
        <is>
          <t>SJÖBO</t>
        </is>
      </c>
      <c r="G2820" t="n">
        <v>9.300000000000001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46425-2023</t>
        </is>
      </c>
      <c r="B2821" s="1" t="n">
        <v>45197.56679398148</v>
      </c>
      <c r="C2821" s="1" t="n">
        <v>45914</v>
      </c>
      <c r="D2821" t="inlineStr">
        <is>
          <t>SKÅNE LÄN</t>
        </is>
      </c>
      <c r="E2821" t="inlineStr">
        <is>
          <t>OSBY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46431-2023</t>
        </is>
      </c>
      <c r="B2822" s="1" t="n">
        <v>45197.57119212963</v>
      </c>
      <c r="C2822" s="1" t="n">
        <v>45914</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34468-2023</t>
        </is>
      </c>
      <c r="B2823" s="1" t="n">
        <v>45139</v>
      </c>
      <c r="C2823" s="1" t="n">
        <v>45914</v>
      </c>
      <c r="D2823" t="inlineStr">
        <is>
          <t>SKÅNE LÄN</t>
        </is>
      </c>
      <c r="E2823" t="inlineStr">
        <is>
          <t>ESLÖV</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20604-2021</t>
        </is>
      </c>
      <c r="B2824" s="1" t="n">
        <v>44315</v>
      </c>
      <c r="C2824" s="1" t="n">
        <v>45914</v>
      </c>
      <c r="D2824" t="inlineStr">
        <is>
          <t>SKÅNE LÄN</t>
        </is>
      </c>
      <c r="E2824" t="inlineStr">
        <is>
          <t>ÖSTRA GÖINGE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49233-2022</t>
        </is>
      </c>
      <c r="B2825" s="1" t="n">
        <v>44858</v>
      </c>
      <c r="C2825" s="1" t="n">
        <v>45914</v>
      </c>
      <c r="D2825" t="inlineStr">
        <is>
          <t>SKÅNE LÄN</t>
        </is>
      </c>
      <c r="E2825" t="inlineStr">
        <is>
          <t>KRISTIANSTAD</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20611-2021</t>
        </is>
      </c>
      <c r="B2826" s="1" t="n">
        <v>44315</v>
      </c>
      <c r="C2826" s="1" t="n">
        <v>45914</v>
      </c>
      <c r="D2826" t="inlineStr">
        <is>
          <t>SKÅNE LÄN</t>
        </is>
      </c>
      <c r="E2826" t="inlineStr">
        <is>
          <t>ÖSTRA GÖINGE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1953-2023</t>
        </is>
      </c>
      <c r="B2827" s="1" t="n">
        <v>44937</v>
      </c>
      <c r="C2827" s="1" t="n">
        <v>45914</v>
      </c>
      <c r="D2827" t="inlineStr">
        <is>
          <t>SKÅNE LÄN</t>
        </is>
      </c>
      <c r="E2827" t="inlineStr">
        <is>
          <t>ÖSTRA GÖINGE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3925-2021</t>
        </is>
      </c>
      <c r="B2828" s="1" t="n">
        <v>44222</v>
      </c>
      <c r="C2828" s="1" t="n">
        <v>45914</v>
      </c>
      <c r="D2828" t="inlineStr">
        <is>
          <t>SKÅNE LÄN</t>
        </is>
      </c>
      <c r="E2828" t="inlineStr">
        <is>
          <t>HÄSSLEHOLM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1051-2024</t>
        </is>
      </c>
      <c r="B2829" s="1" t="n">
        <v>45301.94692129629</v>
      </c>
      <c r="C2829" s="1" t="n">
        <v>45914</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19500-2022</t>
        </is>
      </c>
      <c r="B2830" s="1" t="n">
        <v>44693.50188657407</v>
      </c>
      <c r="C2830" s="1" t="n">
        <v>45914</v>
      </c>
      <c r="D2830" t="inlineStr">
        <is>
          <t>SKÅNE LÄN</t>
        </is>
      </c>
      <c r="E2830" t="inlineStr">
        <is>
          <t>ÄNGELHOLM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7192-2025</t>
        </is>
      </c>
      <c r="B2831" s="1" t="n">
        <v>45702.44746527778</v>
      </c>
      <c r="C2831" s="1" t="n">
        <v>45914</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61926-2023</t>
        </is>
      </c>
      <c r="B2832" s="1" t="n">
        <v>45266</v>
      </c>
      <c r="C2832" s="1" t="n">
        <v>45914</v>
      </c>
      <c r="D2832" t="inlineStr">
        <is>
          <t>SKÅNE LÄN</t>
        </is>
      </c>
      <c r="E2832" t="inlineStr">
        <is>
          <t>ÖSTRA GÖINGE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48627-2023</t>
        </is>
      </c>
      <c r="B2833" s="1" t="n">
        <v>45208.57371527778</v>
      </c>
      <c r="C2833" s="1" t="n">
        <v>45914</v>
      </c>
      <c r="D2833" t="inlineStr">
        <is>
          <t>SKÅNE LÄN</t>
        </is>
      </c>
      <c r="E2833" t="inlineStr">
        <is>
          <t>HÄSSLEHOLM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27497-2024</t>
        </is>
      </c>
      <c r="B2834" s="1" t="n">
        <v>45474</v>
      </c>
      <c r="C2834" s="1" t="n">
        <v>45914</v>
      </c>
      <c r="D2834" t="inlineStr">
        <is>
          <t>SKÅNE LÄN</t>
        </is>
      </c>
      <c r="E2834" t="inlineStr">
        <is>
          <t>ÖRKELLJUNGA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53774-2023</t>
        </is>
      </c>
      <c r="B2835" s="1" t="n">
        <v>45231.09993055555</v>
      </c>
      <c r="C2835" s="1" t="n">
        <v>45914</v>
      </c>
      <c r="D2835" t="inlineStr">
        <is>
          <t>SKÅNE LÄN</t>
        </is>
      </c>
      <c r="E2835" t="inlineStr">
        <is>
          <t>OSBY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15795-2025</t>
        </is>
      </c>
      <c r="B2836" s="1" t="n">
        <v>45748</v>
      </c>
      <c r="C2836" s="1" t="n">
        <v>45914</v>
      </c>
      <c r="D2836" t="inlineStr">
        <is>
          <t>SKÅNE LÄN</t>
        </is>
      </c>
      <c r="E2836" t="inlineStr">
        <is>
          <t>ÖSTRA GÖINGE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59188-2022</t>
        </is>
      </c>
      <c r="B2837" s="1" t="n">
        <v>44897</v>
      </c>
      <c r="C2837" s="1" t="n">
        <v>45914</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18609-2025</t>
        </is>
      </c>
      <c r="B2838" s="1" t="n">
        <v>45763</v>
      </c>
      <c r="C2838" s="1" t="n">
        <v>45914</v>
      </c>
      <c r="D2838" t="inlineStr">
        <is>
          <t>SKÅNE LÄN</t>
        </is>
      </c>
      <c r="E2838" t="inlineStr">
        <is>
          <t>HÖRBY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59252-2022</t>
        </is>
      </c>
      <c r="B2839" s="1" t="n">
        <v>44904.57733796296</v>
      </c>
      <c r="C2839" s="1" t="n">
        <v>45914</v>
      </c>
      <c r="D2839" t="inlineStr">
        <is>
          <t>SKÅNE LÄN</t>
        </is>
      </c>
      <c r="E2839" t="inlineStr">
        <is>
          <t>OSBY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20176-2025</t>
        </is>
      </c>
      <c r="B2840" s="1" t="n">
        <v>45772.58505787037</v>
      </c>
      <c r="C2840" s="1" t="n">
        <v>45914</v>
      </c>
      <c r="D2840" t="inlineStr">
        <is>
          <t>SKÅNE LÄN</t>
        </is>
      </c>
      <c r="E2840" t="inlineStr">
        <is>
          <t>ÖRKELLJUNGA</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17152-2025</t>
        </is>
      </c>
      <c r="B2841" s="1" t="n">
        <v>45756.33318287037</v>
      </c>
      <c r="C2841" s="1" t="n">
        <v>45914</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27954-2022</t>
        </is>
      </c>
      <c r="B2842" s="1" t="n">
        <v>44743</v>
      </c>
      <c r="C2842" s="1" t="n">
        <v>45914</v>
      </c>
      <c r="D2842" t="inlineStr">
        <is>
          <t>SKÅNE LÄN</t>
        </is>
      </c>
      <c r="E2842" t="inlineStr">
        <is>
          <t>HÄSSLEHOLM</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48326-2023</t>
        </is>
      </c>
      <c r="B2843" s="1" t="n">
        <v>45205</v>
      </c>
      <c r="C2843" s="1" t="n">
        <v>45914</v>
      </c>
      <c r="D2843" t="inlineStr">
        <is>
          <t>SKÅNE LÄN</t>
        </is>
      </c>
      <c r="E2843" t="inlineStr">
        <is>
          <t>HÄSSLEHOLM</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10752-2025</t>
        </is>
      </c>
      <c r="B2844" s="1" t="n">
        <v>45722</v>
      </c>
      <c r="C2844" s="1" t="n">
        <v>45914</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10773-2025</t>
        </is>
      </c>
      <c r="B2845" s="1" t="n">
        <v>45722.47409722222</v>
      </c>
      <c r="C2845" s="1" t="n">
        <v>45914</v>
      </c>
      <c r="D2845" t="inlineStr">
        <is>
          <t>SKÅNE LÄN</t>
        </is>
      </c>
      <c r="E2845" t="inlineStr">
        <is>
          <t>ESLÖV</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54462-2022</t>
        </is>
      </c>
      <c r="B2846" s="1" t="n">
        <v>44882</v>
      </c>
      <c r="C2846" s="1" t="n">
        <v>45914</v>
      </c>
      <c r="D2846" t="inlineStr">
        <is>
          <t>SKÅNE LÄN</t>
        </is>
      </c>
      <c r="E2846" t="inlineStr">
        <is>
          <t>HÄSSLEHOLM</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30343-2025</t>
        </is>
      </c>
      <c r="B2847" s="1" t="n">
        <v>45827</v>
      </c>
      <c r="C2847" s="1" t="n">
        <v>45914</v>
      </c>
      <c r="D2847" t="inlineStr">
        <is>
          <t>SKÅNE LÄN</t>
        </is>
      </c>
      <c r="E2847" t="inlineStr">
        <is>
          <t>SJÖBO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3890-2024</t>
        </is>
      </c>
      <c r="B2848" s="1" t="n">
        <v>45322.45366898148</v>
      </c>
      <c r="C2848" s="1" t="n">
        <v>45914</v>
      </c>
      <c r="D2848" t="inlineStr">
        <is>
          <t>SKÅNE LÄN</t>
        </is>
      </c>
      <c r="E2848" t="inlineStr">
        <is>
          <t>HÄSSLEHOLM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22638-2023</t>
        </is>
      </c>
      <c r="B2849" s="1" t="n">
        <v>45071</v>
      </c>
      <c r="C2849" s="1" t="n">
        <v>45914</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54557-2023</t>
        </is>
      </c>
      <c r="B2850" s="1" t="n">
        <v>45233.6346875</v>
      </c>
      <c r="C2850" s="1" t="n">
        <v>45914</v>
      </c>
      <c r="D2850" t="inlineStr">
        <is>
          <t>SKÅNE LÄN</t>
        </is>
      </c>
      <c r="E2850" t="inlineStr">
        <is>
          <t>BJUV</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26946-2022</t>
        </is>
      </c>
      <c r="B2851" s="1" t="n">
        <v>44740.6428125</v>
      </c>
      <c r="C2851" s="1" t="n">
        <v>45914</v>
      </c>
      <c r="D2851" t="inlineStr">
        <is>
          <t>SKÅNE LÄN</t>
        </is>
      </c>
      <c r="E2851" t="inlineStr">
        <is>
          <t>OSBY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40973-2024</t>
        </is>
      </c>
      <c r="B2852" s="1" t="n">
        <v>45558.67956018518</v>
      </c>
      <c r="C2852" s="1" t="n">
        <v>45914</v>
      </c>
      <c r="D2852" t="inlineStr">
        <is>
          <t>SKÅNE LÄN</t>
        </is>
      </c>
      <c r="E2852" t="inlineStr">
        <is>
          <t>KRISTIANSTAD</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59528-2022</t>
        </is>
      </c>
      <c r="B2853" s="1" t="n">
        <v>44907</v>
      </c>
      <c r="C2853" s="1" t="n">
        <v>45914</v>
      </c>
      <c r="D2853" t="inlineStr">
        <is>
          <t>SKÅNE LÄN</t>
        </is>
      </c>
      <c r="E2853" t="inlineStr">
        <is>
          <t>TOMELILLA</t>
        </is>
      </c>
      <c r="F2853" t="inlineStr">
        <is>
          <t>Övriga Aktiebolag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16979-2025</t>
        </is>
      </c>
      <c r="B2854" s="1" t="n">
        <v>45755</v>
      </c>
      <c r="C2854" s="1" t="n">
        <v>45914</v>
      </c>
      <c r="D2854" t="inlineStr">
        <is>
          <t>SKÅNE LÄN</t>
        </is>
      </c>
      <c r="E2854" t="inlineStr">
        <is>
          <t>SJÖBO</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8208-2023</t>
        </is>
      </c>
      <c r="B2855" s="1" t="n">
        <v>44971</v>
      </c>
      <c r="C2855" s="1" t="n">
        <v>45914</v>
      </c>
      <c r="D2855" t="inlineStr">
        <is>
          <t>SKÅNE LÄN</t>
        </is>
      </c>
      <c r="E2855" t="inlineStr">
        <is>
          <t>KRISTIANSTAD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1744-2024</t>
        </is>
      </c>
      <c r="B2856" s="1" t="n">
        <v>45307</v>
      </c>
      <c r="C2856" s="1" t="n">
        <v>45914</v>
      </c>
      <c r="D2856" t="inlineStr">
        <is>
          <t>SKÅNE LÄN</t>
        </is>
      </c>
      <c r="E2856" t="inlineStr">
        <is>
          <t>KRISTIANSTAD</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47592-2023</t>
        </is>
      </c>
      <c r="B2857" s="1" t="n">
        <v>45203.44675925926</v>
      </c>
      <c r="C2857" s="1" t="n">
        <v>45914</v>
      </c>
      <c r="D2857" t="inlineStr">
        <is>
          <t>SKÅNE LÄN</t>
        </is>
      </c>
      <c r="E2857" t="inlineStr">
        <is>
          <t>ÖSTRA GÖINGE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47637-2023</t>
        </is>
      </c>
      <c r="B2858" s="1" t="n">
        <v>45203</v>
      </c>
      <c r="C2858" s="1" t="n">
        <v>45914</v>
      </c>
      <c r="D2858" t="inlineStr">
        <is>
          <t>SKÅNE LÄN</t>
        </is>
      </c>
      <c r="E2858" t="inlineStr">
        <is>
          <t>HÖRBY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54280-2023</t>
        </is>
      </c>
      <c r="B2859" s="1" t="n">
        <v>45232.69518518518</v>
      </c>
      <c r="C2859" s="1" t="n">
        <v>45914</v>
      </c>
      <c r="D2859" t="inlineStr">
        <is>
          <t>SKÅNE LÄN</t>
        </is>
      </c>
      <c r="E2859" t="inlineStr">
        <is>
          <t>SVEDALA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7666-2025</t>
        </is>
      </c>
      <c r="B2860" s="1" t="n">
        <v>45706</v>
      </c>
      <c r="C2860" s="1" t="n">
        <v>45914</v>
      </c>
      <c r="D2860" t="inlineStr">
        <is>
          <t>SKÅNE LÄN</t>
        </is>
      </c>
      <c r="E2860" t="inlineStr">
        <is>
          <t>KRISTIANSTAD</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50798-2023</t>
        </is>
      </c>
      <c r="B2861" s="1" t="n">
        <v>45217</v>
      </c>
      <c r="C2861" s="1" t="n">
        <v>45914</v>
      </c>
      <c r="D2861" t="inlineStr">
        <is>
          <t>SKÅNE LÄN</t>
        </is>
      </c>
      <c r="E2861" t="inlineStr">
        <is>
          <t>SJÖBO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9239-2025</t>
        </is>
      </c>
      <c r="B2862" s="1" t="n">
        <v>45714</v>
      </c>
      <c r="C2862" s="1" t="n">
        <v>45914</v>
      </c>
      <c r="D2862" t="inlineStr">
        <is>
          <t>SKÅNE LÄN</t>
        </is>
      </c>
      <c r="E2862" t="inlineStr">
        <is>
          <t>HÄSSLEHOLM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2190-2022</t>
        </is>
      </c>
      <c r="B2863" s="1" t="n">
        <v>44578.48868055556</v>
      </c>
      <c r="C2863" s="1" t="n">
        <v>45914</v>
      </c>
      <c r="D2863" t="inlineStr">
        <is>
          <t>SKÅNE LÄN</t>
        </is>
      </c>
      <c r="E2863" t="inlineStr">
        <is>
          <t>TOMELILLA</t>
        </is>
      </c>
      <c r="F2863" t="inlineStr">
        <is>
          <t>Sveaskog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2193-2022</t>
        </is>
      </c>
      <c r="B2864" s="1" t="n">
        <v>44578.49351851852</v>
      </c>
      <c r="C2864" s="1" t="n">
        <v>45914</v>
      </c>
      <c r="D2864" t="inlineStr">
        <is>
          <t>SKÅNE LÄN</t>
        </is>
      </c>
      <c r="E2864" t="inlineStr">
        <is>
          <t>TOMELILLA</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47696-2024</t>
        </is>
      </c>
      <c r="B2865" s="1" t="n">
        <v>45588.45855324074</v>
      </c>
      <c r="C2865" s="1" t="n">
        <v>45914</v>
      </c>
      <c r="D2865" t="inlineStr">
        <is>
          <t>SKÅNE LÄN</t>
        </is>
      </c>
      <c r="E2865" t="inlineStr">
        <is>
          <t>SVALÖV</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30872-2025</t>
        </is>
      </c>
      <c r="B2866" s="1" t="n">
        <v>45832.34307870371</v>
      </c>
      <c r="C2866" s="1" t="n">
        <v>45914</v>
      </c>
      <c r="D2866" t="inlineStr">
        <is>
          <t>SKÅNE LÄN</t>
        </is>
      </c>
      <c r="E2866" t="inlineStr">
        <is>
          <t>OSBY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54646-2023</t>
        </is>
      </c>
      <c r="B2867" s="1" t="n">
        <v>45235.40707175926</v>
      </c>
      <c r="C2867" s="1" t="n">
        <v>45914</v>
      </c>
      <c r="D2867" t="inlineStr">
        <is>
          <t>SKÅNE LÄN</t>
        </is>
      </c>
      <c r="E2867" t="inlineStr">
        <is>
          <t>ÖRKELLJUNGA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54471-2023</t>
        </is>
      </c>
      <c r="B2868" s="1" t="n">
        <v>45233.4640162037</v>
      </c>
      <c r="C2868" s="1" t="n">
        <v>45914</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54711-2023</t>
        </is>
      </c>
      <c r="B2869" s="1" t="n">
        <v>45236</v>
      </c>
      <c r="C2869" s="1" t="n">
        <v>45914</v>
      </c>
      <c r="D2869" t="inlineStr">
        <is>
          <t>SKÅNE LÄN</t>
        </is>
      </c>
      <c r="E2869" t="inlineStr">
        <is>
          <t>SJÖBO</t>
        </is>
      </c>
      <c r="F2869" t="inlineStr">
        <is>
          <t>Kommuner</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59432-2022</t>
        </is>
      </c>
      <c r="B2870" s="1" t="n">
        <v>44907</v>
      </c>
      <c r="C2870" s="1" t="n">
        <v>45914</v>
      </c>
      <c r="D2870" t="inlineStr">
        <is>
          <t>SKÅNE LÄN</t>
        </is>
      </c>
      <c r="E2870" t="inlineStr">
        <is>
          <t>SVEDALA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56750-2023</t>
        </is>
      </c>
      <c r="B2871" s="1" t="n">
        <v>45238</v>
      </c>
      <c r="C2871" s="1" t="n">
        <v>45914</v>
      </c>
      <c r="D2871" t="inlineStr">
        <is>
          <t>SKÅNE LÄN</t>
        </is>
      </c>
      <c r="E2871" t="inlineStr">
        <is>
          <t>HÖRBY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62300-2020</t>
        </is>
      </c>
      <c r="B2872" s="1" t="n">
        <v>44158</v>
      </c>
      <c r="C2872" s="1" t="n">
        <v>45914</v>
      </c>
      <c r="D2872" t="inlineStr">
        <is>
          <t>SKÅNE LÄN</t>
        </is>
      </c>
      <c r="E2872" t="inlineStr">
        <is>
          <t>SVEDALA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46702-2024</t>
        </is>
      </c>
      <c r="B2873" s="1" t="n">
        <v>45583</v>
      </c>
      <c r="C2873" s="1" t="n">
        <v>45914</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63436-2023</t>
        </is>
      </c>
      <c r="B2874" s="1" t="n">
        <v>45274.58528935185</v>
      </c>
      <c r="C2874" s="1" t="n">
        <v>45914</v>
      </c>
      <c r="D2874" t="inlineStr">
        <is>
          <t>SKÅNE LÄN</t>
        </is>
      </c>
      <c r="E2874" t="inlineStr">
        <is>
          <t>ÖSTRA GÖINGE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33822-2022</t>
        </is>
      </c>
      <c r="B2875" s="1" t="n">
        <v>44790</v>
      </c>
      <c r="C2875" s="1" t="n">
        <v>45914</v>
      </c>
      <c r="D2875" t="inlineStr">
        <is>
          <t>SKÅNE LÄN</t>
        </is>
      </c>
      <c r="E2875" t="inlineStr">
        <is>
          <t>OSBY</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8332-2025</t>
        </is>
      </c>
      <c r="B2876" s="1" t="n">
        <v>45708.64819444445</v>
      </c>
      <c r="C2876" s="1" t="n">
        <v>45914</v>
      </c>
      <c r="D2876" t="inlineStr">
        <is>
          <t>SKÅNE LÄN</t>
        </is>
      </c>
      <c r="E2876" t="inlineStr">
        <is>
          <t>SVALÖV</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56158-2020</t>
        </is>
      </c>
      <c r="B2877" s="1" t="n">
        <v>44133</v>
      </c>
      <c r="C2877" s="1" t="n">
        <v>45914</v>
      </c>
      <c r="D2877" t="inlineStr">
        <is>
          <t>SKÅNE LÄN</t>
        </is>
      </c>
      <c r="E2877" t="inlineStr">
        <is>
          <t>HÄSSLEHOLM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8204-2021</t>
        </is>
      </c>
      <c r="B2878" s="1" t="n">
        <v>44244</v>
      </c>
      <c r="C2878" s="1" t="n">
        <v>45914</v>
      </c>
      <c r="D2878" t="inlineStr">
        <is>
          <t>SKÅNE LÄN</t>
        </is>
      </c>
      <c r="E2878" t="inlineStr">
        <is>
          <t>KLIPPAN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45984-2021</t>
        </is>
      </c>
      <c r="B2879" s="1" t="n">
        <v>44441</v>
      </c>
      <c r="C2879" s="1" t="n">
        <v>45914</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46813-2024</t>
        </is>
      </c>
      <c r="B2880" s="1" t="n">
        <v>45583</v>
      </c>
      <c r="C2880" s="1" t="n">
        <v>45914</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57798-2022</t>
        </is>
      </c>
      <c r="B2881" s="1" t="n">
        <v>44897</v>
      </c>
      <c r="C2881" s="1" t="n">
        <v>45914</v>
      </c>
      <c r="D2881" t="inlineStr">
        <is>
          <t>SKÅNE LÄN</t>
        </is>
      </c>
      <c r="E2881" t="inlineStr">
        <is>
          <t>SVEDALA</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57803-2022</t>
        </is>
      </c>
      <c r="B2882" s="1" t="n">
        <v>44897</v>
      </c>
      <c r="C2882" s="1" t="n">
        <v>45914</v>
      </c>
      <c r="D2882" t="inlineStr">
        <is>
          <t>SKÅNE LÄN</t>
        </is>
      </c>
      <c r="E2882" t="inlineStr">
        <is>
          <t>SVEDALA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42715-2023</t>
        </is>
      </c>
      <c r="B2883" s="1" t="n">
        <v>45176</v>
      </c>
      <c r="C2883" s="1" t="n">
        <v>45914</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14543-2024</t>
        </is>
      </c>
      <c r="B2884" s="1" t="n">
        <v>45394</v>
      </c>
      <c r="C2884" s="1" t="n">
        <v>45914</v>
      </c>
      <c r="D2884" t="inlineStr">
        <is>
          <t>SKÅNE LÄN</t>
        </is>
      </c>
      <c r="E2884" t="inlineStr">
        <is>
          <t>SVALÖV</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61170-2022</t>
        </is>
      </c>
      <c r="B2885" s="1" t="n">
        <v>44915.48543981482</v>
      </c>
      <c r="C2885" s="1" t="n">
        <v>45914</v>
      </c>
      <c r="D2885" t="inlineStr">
        <is>
          <t>SKÅNE LÄN</t>
        </is>
      </c>
      <c r="E2885" t="inlineStr">
        <is>
          <t>HÄSSLEHOLM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13596-2024</t>
        </is>
      </c>
      <c r="B2886" s="1" t="n">
        <v>45390.31269675926</v>
      </c>
      <c r="C2886" s="1" t="n">
        <v>45914</v>
      </c>
      <c r="D2886" t="inlineStr">
        <is>
          <t>SKÅNE LÄN</t>
        </is>
      </c>
      <c r="E2886" t="inlineStr">
        <is>
          <t>OSBY</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13597-2024</t>
        </is>
      </c>
      <c r="B2887" s="1" t="n">
        <v>45390.31549768519</v>
      </c>
      <c r="C2887" s="1" t="n">
        <v>45914</v>
      </c>
      <c r="D2887" t="inlineStr">
        <is>
          <t>SKÅNE LÄN</t>
        </is>
      </c>
      <c r="E2887" t="inlineStr">
        <is>
          <t>OSBY</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13875-2025</t>
        </is>
      </c>
      <c r="B2888" s="1" t="n">
        <v>45737</v>
      </c>
      <c r="C2888" s="1" t="n">
        <v>45914</v>
      </c>
      <c r="D2888" t="inlineStr">
        <is>
          <t>SKÅNE LÄN</t>
        </is>
      </c>
      <c r="E2888" t="inlineStr">
        <is>
          <t>KRISTIANSTAD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13633-2024</t>
        </is>
      </c>
      <c r="B2889" s="1" t="n">
        <v>45390.42027777778</v>
      </c>
      <c r="C2889" s="1" t="n">
        <v>45914</v>
      </c>
      <c r="D2889" t="inlineStr">
        <is>
          <t>SKÅNE LÄN</t>
        </is>
      </c>
      <c r="E2889" t="inlineStr">
        <is>
          <t>HÖRBY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31105-2025</t>
        </is>
      </c>
      <c r="B2890" s="1" t="n">
        <v>45832</v>
      </c>
      <c r="C2890" s="1" t="n">
        <v>45914</v>
      </c>
      <c r="D2890" t="inlineStr">
        <is>
          <t>SKÅNE LÄN</t>
        </is>
      </c>
      <c r="E2890" t="inlineStr">
        <is>
          <t>KRISTIANSTAD</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31159-2025</t>
        </is>
      </c>
      <c r="B2891" s="1" t="n">
        <v>45832.65322916667</v>
      </c>
      <c r="C2891" s="1" t="n">
        <v>45914</v>
      </c>
      <c r="D2891" t="inlineStr">
        <is>
          <t>SKÅNE LÄN</t>
        </is>
      </c>
      <c r="E2891" t="inlineStr">
        <is>
          <t>HÄSSLEHOLM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57963-2023</t>
        </is>
      </c>
      <c r="B2892" s="1" t="n">
        <v>45247.57732638889</v>
      </c>
      <c r="C2892" s="1" t="n">
        <v>45914</v>
      </c>
      <c r="D2892" t="inlineStr">
        <is>
          <t>SKÅNE LÄN</t>
        </is>
      </c>
      <c r="E2892" t="inlineStr">
        <is>
          <t>HÄSSLEHOLM</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8367-2022</t>
        </is>
      </c>
      <c r="B2893" s="1" t="n">
        <v>44610</v>
      </c>
      <c r="C2893" s="1" t="n">
        <v>45914</v>
      </c>
      <c r="D2893" t="inlineStr">
        <is>
          <t>SKÅNE LÄN</t>
        </is>
      </c>
      <c r="E2893" t="inlineStr">
        <is>
          <t>OSBY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59028-2023</t>
        </is>
      </c>
      <c r="B2894" s="1" t="n">
        <v>45252.67900462963</v>
      </c>
      <c r="C2894" s="1" t="n">
        <v>45914</v>
      </c>
      <c r="D2894" t="inlineStr">
        <is>
          <t>SKÅNE LÄN</t>
        </is>
      </c>
      <c r="E2894" t="inlineStr">
        <is>
          <t>HÄSSLEHOLM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16499-2025</t>
        </is>
      </c>
      <c r="B2895" s="1" t="n">
        <v>45751.60246527778</v>
      </c>
      <c r="C2895" s="1" t="n">
        <v>45914</v>
      </c>
      <c r="D2895" t="inlineStr">
        <is>
          <t>SKÅNE LÄN</t>
        </is>
      </c>
      <c r="E2895" t="inlineStr">
        <is>
          <t>LUND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43338-2024</t>
        </is>
      </c>
      <c r="B2896" s="1" t="n">
        <v>45568.50387731481</v>
      </c>
      <c r="C2896" s="1" t="n">
        <v>45914</v>
      </c>
      <c r="D2896" t="inlineStr">
        <is>
          <t>SKÅNE LÄN</t>
        </is>
      </c>
      <c r="E2896" t="inlineStr">
        <is>
          <t>OSBY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6835-2023</t>
        </is>
      </c>
      <c r="B2897" s="1" t="n">
        <v>44967</v>
      </c>
      <c r="C2897" s="1" t="n">
        <v>45914</v>
      </c>
      <c r="D2897" t="inlineStr">
        <is>
          <t>SKÅNE LÄN</t>
        </is>
      </c>
      <c r="E2897" t="inlineStr">
        <is>
          <t>HÄSSLEHOLM</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16027-2022</t>
        </is>
      </c>
      <c r="B2898" s="1" t="n">
        <v>44665</v>
      </c>
      <c r="C2898" s="1" t="n">
        <v>45914</v>
      </c>
      <c r="D2898" t="inlineStr">
        <is>
          <t>SKÅNE LÄN</t>
        </is>
      </c>
      <c r="E2898" t="inlineStr">
        <is>
          <t>TOMELILLA</t>
        </is>
      </c>
      <c r="F2898" t="inlineStr">
        <is>
          <t>Övriga Aktiebolag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1566-2024</t>
        </is>
      </c>
      <c r="B2899" s="1" t="n">
        <v>45306</v>
      </c>
      <c r="C2899" s="1" t="n">
        <v>45914</v>
      </c>
      <c r="D2899" t="inlineStr">
        <is>
          <t>SKÅNE LÄN</t>
        </is>
      </c>
      <c r="E2899" t="inlineStr">
        <is>
          <t>BROMÖLLA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13544-2025</t>
        </is>
      </c>
      <c r="B2900" s="1" t="n">
        <v>45736</v>
      </c>
      <c r="C2900" s="1" t="n">
        <v>45914</v>
      </c>
      <c r="D2900" t="inlineStr">
        <is>
          <t>SKÅNE LÄN</t>
        </is>
      </c>
      <c r="E2900" t="inlineStr">
        <is>
          <t>HÄSSLEHOLM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38778-2022</t>
        </is>
      </c>
      <c r="B2901" s="1" t="n">
        <v>44816</v>
      </c>
      <c r="C2901" s="1" t="n">
        <v>45914</v>
      </c>
      <c r="D2901" t="inlineStr">
        <is>
          <t>SKÅNE LÄN</t>
        </is>
      </c>
      <c r="E2901" t="inlineStr">
        <is>
          <t>KRISTIANSTAD</t>
        </is>
      </c>
      <c r="G2901" t="n">
        <v>17.1</v>
      </c>
      <c r="H2901" t="n">
        <v>0</v>
      </c>
      <c r="I2901" t="n">
        <v>0</v>
      </c>
      <c r="J2901" t="n">
        <v>0</v>
      </c>
      <c r="K2901" t="n">
        <v>0</v>
      </c>
      <c r="L2901" t="n">
        <v>0</v>
      </c>
      <c r="M2901" t="n">
        <v>0</v>
      </c>
      <c r="N2901" t="n">
        <v>0</v>
      </c>
      <c r="O2901" t="n">
        <v>0</v>
      </c>
      <c r="P2901" t="n">
        <v>0</v>
      </c>
      <c r="Q2901" t="n">
        <v>0</v>
      </c>
      <c r="R2901" s="2" t="inlineStr"/>
    </row>
    <row r="2902" ht="15" customHeight="1">
      <c r="A2902" t="inlineStr">
        <is>
          <t>A 38000-2024</t>
        </is>
      </c>
      <c r="B2902" s="1" t="n">
        <v>45544</v>
      </c>
      <c r="C2902" s="1" t="n">
        <v>45914</v>
      </c>
      <c r="D2902" t="inlineStr">
        <is>
          <t>SKÅNE LÄN</t>
        </is>
      </c>
      <c r="E2902" t="inlineStr">
        <is>
          <t>KRISTIANSTAD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10060-2024</t>
        </is>
      </c>
      <c r="B2903" s="1" t="n">
        <v>45364.38001157407</v>
      </c>
      <c r="C2903" s="1" t="n">
        <v>45914</v>
      </c>
      <c r="D2903" t="inlineStr">
        <is>
          <t>SKÅNE LÄN</t>
        </is>
      </c>
      <c r="E2903" t="inlineStr">
        <is>
          <t>OSBY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41069-2023</t>
        </is>
      </c>
      <c r="B2904" s="1" t="n">
        <v>45173</v>
      </c>
      <c r="C2904" s="1" t="n">
        <v>45914</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3608-2023</t>
        </is>
      </c>
      <c r="B2905" s="1" t="n">
        <v>44946</v>
      </c>
      <c r="C2905" s="1" t="n">
        <v>45914</v>
      </c>
      <c r="D2905" t="inlineStr">
        <is>
          <t>SKÅNE LÄN</t>
        </is>
      </c>
      <c r="E2905" t="inlineStr">
        <is>
          <t>KRISTIANSTAD</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45348-2024</t>
        </is>
      </c>
      <c r="B2906" s="1" t="n">
        <v>45576.47644675926</v>
      </c>
      <c r="C2906" s="1" t="n">
        <v>45914</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45914</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20128-2023</t>
        </is>
      </c>
      <c r="B2908" s="1" t="n">
        <v>45055</v>
      </c>
      <c r="C2908" s="1" t="n">
        <v>45914</v>
      </c>
      <c r="D2908" t="inlineStr">
        <is>
          <t>SKÅNE LÄN</t>
        </is>
      </c>
      <c r="E2908" t="inlineStr">
        <is>
          <t>KLIPPAN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10272-2023</t>
        </is>
      </c>
      <c r="B2909" s="1" t="n">
        <v>44986</v>
      </c>
      <c r="C2909" s="1" t="n">
        <v>45914</v>
      </c>
      <c r="D2909" t="inlineStr">
        <is>
          <t>SKÅNE LÄN</t>
        </is>
      </c>
      <c r="E2909" t="inlineStr">
        <is>
          <t>TOMELILLA</t>
        </is>
      </c>
      <c r="F2909" t="inlineStr">
        <is>
          <t>Övriga Aktiebolag</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826-2024</t>
        </is>
      </c>
      <c r="B2910" s="1" t="n">
        <v>45300.66396990741</v>
      </c>
      <c r="C2910" s="1" t="n">
        <v>45914</v>
      </c>
      <c r="D2910" t="inlineStr">
        <is>
          <t>SKÅNE LÄN</t>
        </is>
      </c>
      <c r="E2910" t="inlineStr">
        <is>
          <t>KRISTIANSTAD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9885-2021</t>
        </is>
      </c>
      <c r="B2911" s="1" t="n">
        <v>44253</v>
      </c>
      <c r="C2911" s="1" t="n">
        <v>45914</v>
      </c>
      <c r="D2911" t="inlineStr">
        <is>
          <t>SKÅNE LÄN</t>
        </is>
      </c>
      <c r="E2911" t="inlineStr">
        <is>
          <t>HÄSSLEHOLM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7306-2023</t>
        </is>
      </c>
      <c r="B2912" s="1" t="n">
        <v>44970</v>
      </c>
      <c r="C2912" s="1" t="n">
        <v>45914</v>
      </c>
      <c r="D2912" t="inlineStr">
        <is>
          <t>SKÅNE LÄN</t>
        </is>
      </c>
      <c r="E2912" t="inlineStr">
        <is>
          <t>HÖÖR</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37558-2021</t>
        </is>
      </c>
      <c r="B2913" s="1" t="n">
        <v>44399</v>
      </c>
      <c r="C2913" s="1" t="n">
        <v>45914</v>
      </c>
      <c r="D2913" t="inlineStr">
        <is>
          <t>SKÅNE LÄN</t>
        </is>
      </c>
      <c r="E2913" t="inlineStr">
        <is>
          <t>KRISTIANSTAD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13940-2025</t>
        </is>
      </c>
      <c r="B2914" s="1" t="n">
        <v>45737</v>
      </c>
      <c r="C2914" s="1" t="n">
        <v>45914</v>
      </c>
      <c r="D2914" t="inlineStr">
        <is>
          <t>SKÅNE LÄN</t>
        </is>
      </c>
      <c r="E2914" t="inlineStr">
        <is>
          <t>KRISTIANSTAD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29284-2025</t>
        </is>
      </c>
      <c r="B2915" s="1" t="n">
        <v>45824</v>
      </c>
      <c r="C2915" s="1" t="n">
        <v>45914</v>
      </c>
      <c r="D2915" t="inlineStr">
        <is>
          <t>SKÅNE LÄN</t>
        </is>
      </c>
      <c r="E2915" t="inlineStr">
        <is>
          <t>KLIPPAN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31933-2024</t>
        </is>
      </c>
      <c r="B2916" s="1" t="n">
        <v>45510.41123842593</v>
      </c>
      <c r="C2916" s="1" t="n">
        <v>45914</v>
      </c>
      <c r="D2916" t="inlineStr">
        <is>
          <t>SKÅNE LÄN</t>
        </is>
      </c>
      <c r="E2916" t="inlineStr">
        <is>
          <t>HÄSSLEHOLM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8811-2025</t>
        </is>
      </c>
      <c r="B2917" s="1" t="n">
        <v>45712</v>
      </c>
      <c r="C2917" s="1" t="n">
        <v>45914</v>
      </c>
      <c r="D2917" t="inlineStr">
        <is>
          <t>SKÅNE LÄN</t>
        </is>
      </c>
      <c r="E2917" t="inlineStr">
        <is>
          <t>KRISTIANSTAD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9098-2022</t>
        </is>
      </c>
      <c r="B2918" s="1" t="n">
        <v>44615</v>
      </c>
      <c r="C2918" s="1" t="n">
        <v>45914</v>
      </c>
      <c r="D2918" t="inlineStr">
        <is>
          <t>SKÅNE LÄN</t>
        </is>
      </c>
      <c r="E2918" t="inlineStr">
        <is>
          <t>HÄSSLEHOLM</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12338-2024</t>
        </is>
      </c>
      <c r="B2919" s="1" t="n">
        <v>45378.72869212963</v>
      </c>
      <c r="C2919" s="1" t="n">
        <v>45914</v>
      </c>
      <c r="D2919" t="inlineStr">
        <is>
          <t>SKÅNE LÄN</t>
        </is>
      </c>
      <c r="E2919" t="inlineStr">
        <is>
          <t>HÄSSLEHOLM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2712-2024</t>
        </is>
      </c>
      <c r="B2920" s="1" t="n">
        <v>45314</v>
      </c>
      <c r="C2920" s="1" t="n">
        <v>45914</v>
      </c>
      <c r="D2920" t="inlineStr">
        <is>
          <t>SKÅNE LÄN</t>
        </is>
      </c>
      <c r="E2920" t="inlineStr">
        <is>
          <t>HÄSSLEHOLM</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30845-2025</t>
        </is>
      </c>
      <c r="B2921" s="1" t="n">
        <v>45831.79603009259</v>
      </c>
      <c r="C2921" s="1" t="n">
        <v>45914</v>
      </c>
      <c r="D2921" t="inlineStr">
        <is>
          <t>SKÅNE LÄN</t>
        </is>
      </c>
      <c r="E2921" t="inlineStr">
        <is>
          <t>ÖSTRA GÖINGE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34883-2023</t>
        </is>
      </c>
      <c r="B2922" s="1" t="n">
        <v>45142.37902777778</v>
      </c>
      <c r="C2922" s="1" t="n">
        <v>45914</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34886-2023</t>
        </is>
      </c>
      <c r="B2923" s="1" t="n">
        <v>45142.38450231482</v>
      </c>
      <c r="C2923" s="1" t="n">
        <v>45914</v>
      </c>
      <c r="D2923" t="inlineStr">
        <is>
          <t>SKÅNE LÄN</t>
        </is>
      </c>
      <c r="E2923" t="inlineStr">
        <is>
          <t>HÄSSLEHOLM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34931-2023</t>
        </is>
      </c>
      <c r="B2924" s="1" t="n">
        <v>45142</v>
      </c>
      <c r="C2924" s="1" t="n">
        <v>45914</v>
      </c>
      <c r="D2924" t="inlineStr">
        <is>
          <t>SKÅNE LÄN</t>
        </is>
      </c>
      <c r="E2924" t="inlineStr">
        <is>
          <t>ÖSTRA GÖINGE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47879-2024</t>
        </is>
      </c>
      <c r="B2925" s="1" t="n">
        <v>45588.74049768518</v>
      </c>
      <c r="C2925" s="1" t="n">
        <v>45914</v>
      </c>
      <c r="D2925" t="inlineStr">
        <is>
          <t>SKÅNE LÄN</t>
        </is>
      </c>
      <c r="E2925" t="inlineStr">
        <is>
          <t>OSBY</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560-2023</t>
        </is>
      </c>
      <c r="B2926" s="1" t="n">
        <v>44930.48471064815</v>
      </c>
      <c r="C2926" s="1" t="n">
        <v>45914</v>
      </c>
      <c r="D2926" t="inlineStr">
        <is>
          <t>SKÅNE LÄN</t>
        </is>
      </c>
      <c r="E2926" t="inlineStr">
        <is>
          <t>ÖSTRA GÖINGE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635-2023</t>
        </is>
      </c>
      <c r="B2927" s="1" t="n">
        <v>44930</v>
      </c>
      <c r="C2927" s="1" t="n">
        <v>45914</v>
      </c>
      <c r="D2927" t="inlineStr">
        <is>
          <t>SKÅNE LÄN</t>
        </is>
      </c>
      <c r="E2927" t="inlineStr">
        <is>
          <t>BÅSTAD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37068-2023</t>
        </is>
      </c>
      <c r="B2928" s="1" t="n">
        <v>45155</v>
      </c>
      <c r="C2928" s="1" t="n">
        <v>45914</v>
      </c>
      <c r="D2928" t="inlineStr">
        <is>
          <t>SKÅNE LÄN</t>
        </is>
      </c>
      <c r="E2928" t="inlineStr">
        <is>
          <t>KLIPPAN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27956-2022</t>
        </is>
      </c>
      <c r="B2929" s="1" t="n">
        <v>44743</v>
      </c>
      <c r="C2929" s="1" t="n">
        <v>45914</v>
      </c>
      <c r="D2929" t="inlineStr">
        <is>
          <t>SKÅNE LÄN</t>
        </is>
      </c>
      <c r="E2929" t="inlineStr">
        <is>
          <t>KRISTIANSTAD</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27961-2022</t>
        </is>
      </c>
      <c r="B2930" s="1" t="n">
        <v>44744</v>
      </c>
      <c r="C2930" s="1" t="n">
        <v>45914</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7476-2025</t>
        </is>
      </c>
      <c r="B2931" s="1" t="n">
        <v>45702</v>
      </c>
      <c r="C2931" s="1" t="n">
        <v>45914</v>
      </c>
      <c r="D2931" t="inlineStr">
        <is>
          <t>SKÅNE LÄN</t>
        </is>
      </c>
      <c r="E2931" t="inlineStr">
        <is>
          <t>HÄSSLEHOLM</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7515-2025</t>
        </is>
      </c>
      <c r="B2932" s="1" t="n">
        <v>45702</v>
      </c>
      <c r="C2932" s="1" t="n">
        <v>45914</v>
      </c>
      <c r="D2932" t="inlineStr">
        <is>
          <t>SKÅNE LÄN</t>
        </is>
      </c>
      <c r="E2932" t="inlineStr">
        <is>
          <t>KLIPPAN</t>
        </is>
      </c>
      <c r="F2932" t="inlineStr">
        <is>
          <t>Övriga Aktiebolag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44448-2023</t>
        </is>
      </c>
      <c r="B2933" s="1" t="n">
        <v>45189</v>
      </c>
      <c r="C2933" s="1" t="n">
        <v>45914</v>
      </c>
      <c r="D2933" t="inlineStr">
        <is>
          <t>SKÅNE LÄN</t>
        </is>
      </c>
      <c r="E2933" t="inlineStr">
        <is>
          <t>ÄNGELHOLM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53218-2023</t>
        </is>
      </c>
      <c r="B2934" s="1" t="n">
        <v>45229</v>
      </c>
      <c r="C2934" s="1" t="n">
        <v>45914</v>
      </c>
      <c r="D2934" t="inlineStr">
        <is>
          <t>SKÅNE LÄN</t>
        </is>
      </c>
      <c r="E2934" t="inlineStr">
        <is>
          <t>BJUV</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54631-2023</t>
        </is>
      </c>
      <c r="B2935" s="1" t="n">
        <v>45228</v>
      </c>
      <c r="C2935" s="1" t="n">
        <v>45914</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54659-2023</t>
        </is>
      </c>
      <c r="B2936" s="1" t="n">
        <v>45235</v>
      </c>
      <c r="C2936" s="1" t="n">
        <v>45914</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260-2024</t>
        </is>
      </c>
      <c r="B2937" s="1" t="n">
        <v>45294</v>
      </c>
      <c r="C2937" s="1" t="n">
        <v>45914</v>
      </c>
      <c r="D2937" t="inlineStr">
        <is>
          <t>SKÅNE LÄN</t>
        </is>
      </c>
      <c r="E2937" t="inlineStr">
        <is>
          <t>HÄSSLEHOLM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55676-2022</t>
        </is>
      </c>
      <c r="B2938" s="1" t="n">
        <v>44888</v>
      </c>
      <c r="C2938" s="1" t="n">
        <v>45914</v>
      </c>
      <c r="D2938" t="inlineStr">
        <is>
          <t>SKÅNE LÄN</t>
        </is>
      </c>
      <c r="E2938" t="inlineStr">
        <is>
          <t>TOMELILLA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13928-2025</t>
        </is>
      </c>
      <c r="B2939" s="1" t="n">
        <v>45737</v>
      </c>
      <c r="C2939" s="1" t="n">
        <v>45914</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8263-2025</t>
        </is>
      </c>
      <c r="B2940" s="1" t="n">
        <v>45708.50398148148</v>
      </c>
      <c r="C2940" s="1" t="n">
        <v>45914</v>
      </c>
      <c r="D2940" t="inlineStr">
        <is>
          <t>SKÅNE LÄN</t>
        </is>
      </c>
      <c r="E2940" t="inlineStr">
        <is>
          <t>HÄSSLEHOLM</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53773-2023</t>
        </is>
      </c>
      <c r="B2941" s="1" t="n">
        <v>45231.09202546296</v>
      </c>
      <c r="C2941" s="1" t="n">
        <v>45914</v>
      </c>
      <c r="D2941" t="inlineStr">
        <is>
          <t>SKÅNE LÄN</t>
        </is>
      </c>
      <c r="E2941" t="inlineStr">
        <is>
          <t>OSBY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60501-2023</t>
        </is>
      </c>
      <c r="B2942" s="1" t="n">
        <v>45259</v>
      </c>
      <c r="C2942" s="1" t="n">
        <v>45914</v>
      </c>
      <c r="D2942" t="inlineStr">
        <is>
          <t>SKÅNE LÄN</t>
        </is>
      </c>
      <c r="E2942" t="inlineStr">
        <is>
          <t>PERSTORP</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30762-2025</t>
        </is>
      </c>
      <c r="B2943" s="1" t="n">
        <v>45831.6021875</v>
      </c>
      <c r="C2943" s="1" t="n">
        <v>45914</v>
      </c>
      <c r="D2943" t="inlineStr">
        <is>
          <t>SKÅNE LÄN</t>
        </is>
      </c>
      <c r="E2943" t="inlineStr">
        <is>
          <t>KRISTIANSTAD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30764-2025</t>
        </is>
      </c>
      <c r="B2944" s="1" t="n">
        <v>45831.60479166666</v>
      </c>
      <c r="C2944" s="1" t="n">
        <v>45914</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30775-2025</t>
        </is>
      </c>
      <c r="B2945" s="1" t="n">
        <v>45831.6150462963</v>
      </c>
      <c r="C2945" s="1" t="n">
        <v>45914</v>
      </c>
      <c r="D2945" t="inlineStr">
        <is>
          <t>SKÅNE LÄN</t>
        </is>
      </c>
      <c r="E2945" t="inlineStr">
        <is>
          <t>SIMRISHAMN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16759-2025</t>
        </is>
      </c>
      <c r="B2946" s="1" t="n">
        <v>45754.5747337963</v>
      </c>
      <c r="C2946" s="1" t="n">
        <v>45914</v>
      </c>
      <c r="D2946" t="inlineStr">
        <is>
          <t>SKÅNE LÄN</t>
        </is>
      </c>
      <c r="E2946" t="inlineStr">
        <is>
          <t>HÖÖR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36798-2025</t>
        </is>
      </c>
      <c r="B2947" s="1" t="n">
        <v>45873.655625</v>
      </c>
      <c r="C2947" s="1" t="n">
        <v>45914</v>
      </c>
      <c r="D2947" t="inlineStr">
        <is>
          <t>SKÅNE LÄN</t>
        </is>
      </c>
      <c r="E2947" t="inlineStr">
        <is>
          <t>ÖSTRA GÖINGE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62473-2023</t>
        </is>
      </c>
      <c r="B2948" s="1" t="n">
        <v>45267</v>
      </c>
      <c r="C2948" s="1" t="n">
        <v>45914</v>
      </c>
      <c r="D2948" t="inlineStr">
        <is>
          <t>SKÅNE LÄN</t>
        </is>
      </c>
      <c r="E2948" t="inlineStr">
        <is>
          <t>KLIPPAN</t>
        </is>
      </c>
      <c r="F2948" t="inlineStr">
        <is>
          <t>Övriga Aktiebolag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20492-2024</t>
        </is>
      </c>
      <c r="B2949" s="1" t="n">
        <v>45435.8712962963</v>
      </c>
      <c r="C2949" s="1" t="n">
        <v>45914</v>
      </c>
      <c r="D2949" t="inlineStr">
        <is>
          <t>SKÅNE LÄN</t>
        </is>
      </c>
      <c r="E2949" t="inlineStr">
        <is>
          <t>ÖRKELLJUNGA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62365-2023</t>
        </is>
      </c>
      <c r="B2950" s="1" t="n">
        <v>45267</v>
      </c>
      <c r="C2950" s="1" t="n">
        <v>45914</v>
      </c>
      <c r="D2950" t="inlineStr">
        <is>
          <t>SKÅNE LÄN</t>
        </is>
      </c>
      <c r="E2950" t="inlineStr">
        <is>
          <t>KRISTIANSTAD</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62367-2023</t>
        </is>
      </c>
      <c r="B2951" s="1" t="n">
        <v>45267</v>
      </c>
      <c r="C2951" s="1" t="n">
        <v>45914</v>
      </c>
      <c r="D2951" t="inlineStr">
        <is>
          <t>SKÅNE LÄN</t>
        </is>
      </c>
      <c r="E2951" t="inlineStr">
        <is>
          <t>KRISTIANSTAD</t>
        </is>
      </c>
      <c r="F2951" t="inlineStr">
        <is>
          <t>Sveaskog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12558-2023</t>
        </is>
      </c>
      <c r="B2952" s="1" t="n">
        <v>45000.36103009259</v>
      </c>
      <c r="C2952" s="1" t="n">
        <v>45914</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13673-2023</t>
        </is>
      </c>
      <c r="B2953" s="1" t="n">
        <v>45006.87957175926</v>
      </c>
      <c r="C2953" s="1" t="n">
        <v>45914</v>
      </c>
      <c r="D2953" t="inlineStr">
        <is>
          <t>SKÅNE LÄN</t>
        </is>
      </c>
      <c r="E2953" t="inlineStr">
        <is>
          <t>HÄSSLEHOLM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30006-2023</t>
        </is>
      </c>
      <c r="B2954" s="1" t="n">
        <v>45109.79962962963</v>
      </c>
      <c r="C2954" s="1" t="n">
        <v>45914</v>
      </c>
      <c r="D2954" t="inlineStr">
        <is>
          <t>SKÅNE LÄN</t>
        </is>
      </c>
      <c r="E2954" t="inlineStr">
        <is>
          <t>HÄSSLEHOLM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36907-2025</t>
        </is>
      </c>
      <c r="B2955" s="1" t="n">
        <v>45874.49295138889</v>
      </c>
      <c r="C2955" s="1" t="n">
        <v>45914</v>
      </c>
      <c r="D2955" t="inlineStr">
        <is>
          <t>SKÅNE LÄN</t>
        </is>
      </c>
      <c r="E2955" t="inlineStr">
        <is>
          <t>KRISTIANSTAD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48181-2024</t>
        </is>
      </c>
      <c r="B2956" s="1" t="n">
        <v>45589</v>
      </c>
      <c r="C2956" s="1" t="n">
        <v>45914</v>
      </c>
      <c r="D2956" t="inlineStr">
        <is>
          <t>SKÅNE LÄN</t>
        </is>
      </c>
      <c r="E2956" t="inlineStr">
        <is>
          <t>BÅSTAD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6356-2025</t>
        </is>
      </c>
      <c r="B2957" s="1" t="n">
        <v>45699.36305555556</v>
      </c>
      <c r="C2957" s="1" t="n">
        <v>45914</v>
      </c>
      <c r="D2957" t="inlineStr">
        <is>
          <t>SKÅNE LÄN</t>
        </is>
      </c>
      <c r="E2957" t="inlineStr">
        <is>
          <t>ÖSTRA GÖINGE</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22975-2023</t>
        </is>
      </c>
      <c r="B2958" s="1" t="n">
        <v>45072</v>
      </c>
      <c r="C2958" s="1" t="n">
        <v>45914</v>
      </c>
      <c r="D2958" t="inlineStr">
        <is>
          <t>SKÅNE LÄN</t>
        </is>
      </c>
      <c r="E2958" t="inlineStr">
        <is>
          <t>ÖRKELLJUNGA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48844-2023</t>
        </is>
      </c>
      <c r="B2959" s="1" t="n">
        <v>45209</v>
      </c>
      <c r="C2959" s="1" t="n">
        <v>45914</v>
      </c>
      <c r="D2959" t="inlineStr">
        <is>
          <t>SKÅNE LÄN</t>
        </is>
      </c>
      <c r="E2959" t="inlineStr">
        <is>
          <t>HÄSSLEHOLM</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10580-2023</t>
        </is>
      </c>
      <c r="B2960" s="1" t="n">
        <v>44988</v>
      </c>
      <c r="C2960" s="1" t="n">
        <v>45914</v>
      </c>
      <c r="D2960" t="inlineStr">
        <is>
          <t>SKÅNE LÄN</t>
        </is>
      </c>
      <c r="E2960" t="inlineStr">
        <is>
          <t>KRISTIANSTAD</t>
        </is>
      </c>
      <c r="F2960" t="inlineStr">
        <is>
          <t>Övriga Aktiebolag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61096-2022</t>
        </is>
      </c>
      <c r="B2961" s="1" t="n">
        <v>44915.39915509259</v>
      </c>
      <c r="C2961" s="1" t="n">
        <v>45914</v>
      </c>
      <c r="D2961" t="inlineStr">
        <is>
          <t>SKÅNE LÄN</t>
        </is>
      </c>
      <c r="E2961" t="inlineStr">
        <is>
          <t>ÖSTRA GÖINGE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10961-2025</t>
        </is>
      </c>
      <c r="B2962" s="1" t="n">
        <v>45723.3765625</v>
      </c>
      <c r="C2962" s="1" t="n">
        <v>45914</v>
      </c>
      <c r="D2962" t="inlineStr">
        <is>
          <t>SKÅNE LÄN</t>
        </is>
      </c>
      <c r="E2962" t="inlineStr">
        <is>
          <t>KRISTIANSTAD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10963-2025</t>
        </is>
      </c>
      <c r="B2963" s="1" t="n">
        <v>45723.37921296297</v>
      </c>
      <c r="C2963" s="1" t="n">
        <v>45914</v>
      </c>
      <c r="D2963" t="inlineStr">
        <is>
          <t>SKÅNE LÄN</t>
        </is>
      </c>
      <c r="E2963" t="inlineStr">
        <is>
          <t>KRISTIANSTAD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36917-2025</t>
        </is>
      </c>
      <c r="B2964" s="1" t="n">
        <v>45874.50819444445</v>
      </c>
      <c r="C2964" s="1" t="n">
        <v>45914</v>
      </c>
      <c r="D2964" t="inlineStr">
        <is>
          <t>SKÅNE LÄN</t>
        </is>
      </c>
      <c r="E2964" t="inlineStr">
        <is>
          <t>KRISTIANSTAD</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42364-2023</t>
        </is>
      </c>
      <c r="B2965" s="1" t="n">
        <v>45180.54754629629</v>
      </c>
      <c r="C2965" s="1" t="n">
        <v>45914</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36421-2022</t>
        </is>
      </c>
      <c r="B2966" s="1" t="n">
        <v>44804</v>
      </c>
      <c r="C2966" s="1" t="n">
        <v>45914</v>
      </c>
      <c r="D2966" t="inlineStr">
        <is>
          <t>SKÅNE LÄN</t>
        </is>
      </c>
      <c r="E2966" t="inlineStr">
        <is>
          <t>BROMÖLLA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39530-2023</t>
        </is>
      </c>
      <c r="B2967" s="1" t="n">
        <v>45167.34055555556</v>
      </c>
      <c r="C2967" s="1" t="n">
        <v>45914</v>
      </c>
      <c r="D2967" t="inlineStr">
        <is>
          <t>SKÅNE LÄN</t>
        </is>
      </c>
      <c r="E2967" t="inlineStr">
        <is>
          <t>KLIPPAN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31354-2025</t>
        </is>
      </c>
      <c r="B2968" s="1" t="n">
        <v>45833.43040509259</v>
      </c>
      <c r="C2968" s="1" t="n">
        <v>45914</v>
      </c>
      <c r="D2968" t="inlineStr">
        <is>
          <t>SKÅNE LÄN</t>
        </is>
      </c>
      <c r="E2968" t="inlineStr">
        <is>
          <t>OSBY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31399-2025</t>
        </is>
      </c>
      <c r="B2969" s="1" t="n">
        <v>45833.46824074074</v>
      </c>
      <c r="C2969" s="1" t="n">
        <v>45914</v>
      </c>
      <c r="D2969" t="inlineStr">
        <is>
          <t>SKÅNE LÄN</t>
        </is>
      </c>
      <c r="E2969" t="inlineStr">
        <is>
          <t>ÖRKELLJUNGA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61578-2023</t>
        </is>
      </c>
      <c r="B2970" s="1" t="n">
        <v>45265.47399305556</v>
      </c>
      <c r="C2970" s="1" t="n">
        <v>45914</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24952-2023</t>
        </is>
      </c>
      <c r="B2971" s="1" t="n">
        <v>45085.5793287037</v>
      </c>
      <c r="C2971" s="1" t="n">
        <v>45914</v>
      </c>
      <c r="D2971" t="inlineStr">
        <is>
          <t>SKÅNE LÄN</t>
        </is>
      </c>
      <c r="E2971" t="inlineStr">
        <is>
          <t>KRISTIANSTAD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2881-2024</t>
        </is>
      </c>
      <c r="B2972" s="1" t="n">
        <v>45315.47284722222</v>
      </c>
      <c r="C2972" s="1" t="n">
        <v>45914</v>
      </c>
      <c r="D2972" t="inlineStr">
        <is>
          <t>SKÅNE LÄN</t>
        </is>
      </c>
      <c r="E2972" t="inlineStr">
        <is>
          <t>KRISTIANSTAD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9819-2025</t>
        </is>
      </c>
      <c r="B2973" s="1" t="n">
        <v>45715</v>
      </c>
      <c r="C2973" s="1" t="n">
        <v>45914</v>
      </c>
      <c r="D2973" t="inlineStr">
        <is>
          <t>SKÅNE LÄN</t>
        </is>
      </c>
      <c r="E2973" t="inlineStr">
        <is>
          <t>OSBY</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31667-2025</t>
        </is>
      </c>
      <c r="B2974" s="1" t="n">
        <v>45834.36524305555</v>
      </c>
      <c r="C2974" s="1" t="n">
        <v>45914</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31343-2025</t>
        </is>
      </c>
      <c r="B2975" s="1" t="n">
        <v>45833.42826388889</v>
      </c>
      <c r="C2975" s="1" t="n">
        <v>45914</v>
      </c>
      <c r="D2975" t="inlineStr">
        <is>
          <t>SKÅNE LÄN</t>
        </is>
      </c>
      <c r="E2975" t="inlineStr">
        <is>
          <t>OSBY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36916-2025</t>
        </is>
      </c>
      <c r="B2976" s="1" t="n">
        <v>45874.50697916667</v>
      </c>
      <c r="C2976" s="1" t="n">
        <v>45914</v>
      </c>
      <c r="D2976" t="inlineStr">
        <is>
          <t>SKÅNE LÄN</t>
        </is>
      </c>
      <c r="E2976" t="inlineStr">
        <is>
          <t>KRISTIANSTAD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31827-2025</t>
        </is>
      </c>
      <c r="B2977" s="1" t="n">
        <v>45834.58601851852</v>
      </c>
      <c r="C2977" s="1" t="n">
        <v>45914</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31847-2025</t>
        </is>
      </c>
      <c r="B2978" s="1" t="n">
        <v>45834.60393518519</v>
      </c>
      <c r="C2978" s="1" t="n">
        <v>45914</v>
      </c>
      <c r="D2978" t="inlineStr">
        <is>
          <t>SKÅNE LÄN</t>
        </is>
      </c>
      <c r="E2978" t="inlineStr">
        <is>
          <t>ÖSTRA GÖINGE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2891-2024</t>
        </is>
      </c>
      <c r="B2979" s="1" t="n">
        <v>45315</v>
      </c>
      <c r="C2979" s="1" t="n">
        <v>45914</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37140-2025</t>
        </is>
      </c>
      <c r="B2980" s="1" t="n">
        <v>45874</v>
      </c>
      <c r="C2980" s="1" t="n">
        <v>45914</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2813-2021</t>
        </is>
      </c>
      <c r="B2981" s="1" t="n">
        <v>44215</v>
      </c>
      <c r="C2981" s="1" t="n">
        <v>45914</v>
      </c>
      <c r="D2981" t="inlineStr">
        <is>
          <t>SKÅNE LÄN</t>
        </is>
      </c>
      <c r="E2981" t="inlineStr">
        <is>
          <t>HÄSSLEHOLM</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31638-2025</t>
        </is>
      </c>
      <c r="B2982" s="1" t="n">
        <v>45834.34193287037</v>
      </c>
      <c r="C2982" s="1" t="n">
        <v>45914</v>
      </c>
      <c r="D2982" t="inlineStr">
        <is>
          <t>SKÅNE LÄN</t>
        </is>
      </c>
      <c r="E2982" t="inlineStr">
        <is>
          <t>OSBY</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31657-2025</t>
        </is>
      </c>
      <c r="B2983" s="1" t="n">
        <v>45834.34890046297</v>
      </c>
      <c r="C2983" s="1" t="n">
        <v>45914</v>
      </c>
      <c r="D2983" t="inlineStr">
        <is>
          <t>SKÅNE LÄN</t>
        </is>
      </c>
      <c r="E2983" t="inlineStr">
        <is>
          <t>OSBY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36956-2025</t>
        </is>
      </c>
      <c r="B2984" s="1" t="n">
        <v>45874.61452546297</v>
      </c>
      <c r="C2984" s="1" t="n">
        <v>45914</v>
      </c>
      <c r="D2984" t="inlineStr">
        <is>
          <t>SKÅNE LÄN</t>
        </is>
      </c>
      <c r="E2984" t="inlineStr">
        <is>
          <t>KRISTIANSTAD</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31332-2025</t>
        </is>
      </c>
      <c r="B2985" s="1" t="n">
        <v>45833.42054398148</v>
      </c>
      <c r="C2985" s="1" t="n">
        <v>45914</v>
      </c>
      <c r="D2985" t="inlineStr">
        <is>
          <t>SKÅNE LÄN</t>
        </is>
      </c>
      <c r="E2985" t="inlineStr">
        <is>
          <t>OSBY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37141-2025</t>
        </is>
      </c>
      <c r="B2986" s="1" t="n">
        <v>45874</v>
      </c>
      <c r="C2986" s="1" t="n">
        <v>45914</v>
      </c>
      <c r="D2986" t="inlineStr">
        <is>
          <t>SKÅNE LÄN</t>
        </is>
      </c>
      <c r="E2986" t="inlineStr">
        <is>
          <t>KRISTIANSTAD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37271-2025</t>
        </is>
      </c>
      <c r="B2987" s="1" t="n">
        <v>45876.47828703704</v>
      </c>
      <c r="C2987" s="1" t="n">
        <v>45914</v>
      </c>
      <c r="D2987" t="inlineStr">
        <is>
          <t>SKÅNE LÄN</t>
        </is>
      </c>
      <c r="E2987" t="inlineStr">
        <is>
          <t>HÄSSLEHOLM</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12671-2025</t>
        </is>
      </c>
      <c r="B2988" s="1" t="n">
        <v>45733</v>
      </c>
      <c r="C2988" s="1" t="n">
        <v>45914</v>
      </c>
      <c r="D2988" t="inlineStr">
        <is>
          <t>SKÅNE LÄN</t>
        </is>
      </c>
      <c r="E2988" t="inlineStr">
        <is>
          <t>ÖSTRA GÖINGE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34303-2024</t>
        </is>
      </c>
      <c r="B2989" s="1" t="n">
        <v>45524.65349537037</v>
      </c>
      <c r="C2989" s="1" t="n">
        <v>45914</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34307-2024</t>
        </is>
      </c>
      <c r="B2990" s="1" t="n">
        <v>45524</v>
      </c>
      <c r="C2990" s="1" t="n">
        <v>45914</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34310-2024</t>
        </is>
      </c>
      <c r="B2991" s="1" t="n">
        <v>45524</v>
      </c>
      <c r="C2991" s="1" t="n">
        <v>45914</v>
      </c>
      <c r="D2991" t="inlineStr">
        <is>
          <t>SKÅNE LÄN</t>
        </is>
      </c>
      <c r="E2991" t="inlineStr">
        <is>
          <t>SKURUP</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62425-2020</t>
        </is>
      </c>
      <c r="B2992" s="1" t="n">
        <v>44159</v>
      </c>
      <c r="C2992" s="1" t="n">
        <v>45914</v>
      </c>
      <c r="D2992" t="inlineStr">
        <is>
          <t>SKÅNE LÄN</t>
        </is>
      </c>
      <c r="E2992" t="inlineStr">
        <is>
          <t>SVALÖV</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34348-2024</t>
        </is>
      </c>
      <c r="B2993" s="1" t="n">
        <v>45525.35751157408</v>
      </c>
      <c r="C2993" s="1" t="n">
        <v>45914</v>
      </c>
      <c r="D2993" t="inlineStr">
        <is>
          <t>SKÅNE LÄN</t>
        </is>
      </c>
      <c r="E2993" t="inlineStr">
        <is>
          <t>KRISTIANSTAD</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2597-2024</t>
        </is>
      </c>
      <c r="B2994" s="1" t="n">
        <v>45313</v>
      </c>
      <c r="C2994" s="1" t="n">
        <v>45914</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14965-2024</t>
        </is>
      </c>
      <c r="B2995" s="1" t="n">
        <v>45398</v>
      </c>
      <c r="C2995" s="1" t="n">
        <v>45914</v>
      </c>
      <c r="D2995" t="inlineStr">
        <is>
          <t>SKÅNE LÄN</t>
        </is>
      </c>
      <c r="E2995" t="inlineStr">
        <is>
          <t>KRISTIANSTAD</t>
        </is>
      </c>
      <c r="G2995" t="n">
        <v>13.5</v>
      </c>
      <c r="H2995" t="n">
        <v>0</v>
      </c>
      <c r="I2995" t="n">
        <v>0</v>
      </c>
      <c r="J2995" t="n">
        <v>0</v>
      </c>
      <c r="K2995" t="n">
        <v>0</v>
      </c>
      <c r="L2995" t="n">
        <v>0</v>
      </c>
      <c r="M2995" t="n">
        <v>0</v>
      </c>
      <c r="N2995" t="n">
        <v>0</v>
      </c>
      <c r="O2995" t="n">
        <v>0</v>
      </c>
      <c r="P2995" t="n">
        <v>0</v>
      </c>
      <c r="Q2995" t="n">
        <v>0</v>
      </c>
      <c r="R2995" s="2" t="inlineStr"/>
    </row>
    <row r="2996" ht="15" customHeight="1">
      <c r="A2996" t="inlineStr">
        <is>
          <t>A 2635-2024</t>
        </is>
      </c>
      <c r="B2996" s="1" t="n">
        <v>45314.32972222222</v>
      </c>
      <c r="C2996" s="1" t="n">
        <v>45914</v>
      </c>
      <c r="D2996" t="inlineStr">
        <is>
          <t>SKÅNE LÄN</t>
        </is>
      </c>
      <c r="E2996" t="inlineStr">
        <is>
          <t>OSBY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15568-2022</t>
        </is>
      </c>
      <c r="B2997" s="1" t="n">
        <v>44662</v>
      </c>
      <c r="C2997" s="1" t="n">
        <v>45914</v>
      </c>
      <c r="D2997" t="inlineStr">
        <is>
          <t>SKÅNE LÄN</t>
        </is>
      </c>
      <c r="E2997" t="inlineStr">
        <is>
          <t>OSBY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31858-2025</t>
        </is>
      </c>
      <c r="B2998" s="1" t="n">
        <v>45834.62658564815</v>
      </c>
      <c r="C2998" s="1" t="n">
        <v>45914</v>
      </c>
      <c r="D2998" t="inlineStr">
        <is>
          <t>SKÅNE LÄN</t>
        </is>
      </c>
      <c r="E2998" t="inlineStr">
        <is>
          <t>ÖSTRA GÖINGE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21910-2024</t>
        </is>
      </c>
      <c r="B2999" s="1" t="n">
        <v>45443.36605324074</v>
      </c>
      <c r="C2999" s="1" t="n">
        <v>45914</v>
      </c>
      <c r="D2999" t="inlineStr">
        <is>
          <t>SKÅNE LÄN</t>
        </is>
      </c>
      <c r="E2999" t="inlineStr">
        <is>
          <t>ÖRKELLJUNGA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17715-2023</t>
        </is>
      </c>
      <c r="B3000" s="1" t="n">
        <v>45037</v>
      </c>
      <c r="C3000" s="1" t="n">
        <v>45914</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37359-2025</t>
        </is>
      </c>
      <c r="B3001" s="1" t="n">
        <v>45876.90118055556</v>
      </c>
      <c r="C3001" s="1" t="n">
        <v>45914</v>
      </c>
      <c r="D3001" t="inlineStr">
        <is>
          <t>SKÅNE LÄN</t>
        </is>
      </c>
      <c r="E3001" t="inlineStr">
        <is>
          <t>KRISTIANSTAD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36919-2025</t>
        </is>
      </c>
      <c r="B3002" s="1" t="n">
        <v>45874.51923611111</v>
      </c>
      <c r="C3002" s="1" t="n">
        <v>45914</v>
      </c>
      <c r="D3002" t="inlineStr">
        <is>
          <t>SKÅNE LÄN</t>
        </is>
      </c>
      <c r="E3002" t="inlineStr">
        <is>
          <t>ÖSTRA GÖINGE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17537-2022</t>
        </is>
      </c>
      <c r="B3003" s="1" t="n">
        <v>44679.61620370371</v>
      </c>
      <c r="C3003" s="1" t="n">
        <v>45914</v>
      </c>
      <c r="D3003" t="inlineStr">
        <is>
          <t>SKÅNE LÄN</t>
        </is>
      </c>
      <c r="E3003" t="inlineStr">
        <is>
          <t>OSBY</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23978-2022</t>
        </is>
      </c>
      <c r="B3004" s="1" t="n">
        <v>44722</v>
      </c>
      <c r="C3004" s="1" t="n">
        <v>45914</v>
      </c>
      <c r="D3004" t="inlineStr">
        <is>
          <t>SKÅNE LÄN</t>
        </is>
      </c>
      <c r="E3004" t="inlineStr">
        <is>
          <t>KLIPPAN</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59733-2023</t>
        </is>
      </c>
      <c r="B3005" s="1" t="n">
        <v>45257</v>
      </c>
      <c r="C3005" s="1" t="n">
        <v>45914</v>
      </c>
      <c r="D3005" t="inlineStr">
        <is>
          <t>SKÅNE LÄN</t>
        </is>
      </c>
      <c r="E3005" t="inlineStr">
        <is>
          <t>LUND</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6259-2024</t>
        </is>
      </c>
      <c r="B3006" s="1" t="n">
        <v>45337</v>
      </c>
      <c r="C3006" s="1" t="n">
        <v>45914</v>
      </c>
      <c r="D3006" t="inlineStr">
        <is>
          <t>SKÅNE LÄN</t>
        </is>
      </c>
      <c r="E3006" t="inlineStr">
        <is>
          <t>TOMELILLA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27219-2022</t>
        </is>
      </c>
      <c r="B3007" s="1" t="n">
        <v>44741</v>
      </c>
      <c r="C3007" s="1" t="n">
        <v>45914</v>
      </c>
      <c r="D3007" t="inlineStr">
        <is>
          <t>SKÅNE LÄN</t>
        </is>
      </c>
      <c r="E3007" t="inlineStr">
        <is>
          <t>HÖÖR</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55410-2022</t>
        </is>
      </c>
      <c r="B3008" s="1" t="n">
        <v>44882</v>
      </c>
      <c r="C3008" s="1" t="n">
        <v>45914</v>
      </c>
      <c r="D3008" t="inlineStr">
        <is>
          <t>SKÅNE LÄN</t>
        </is>
      </c>
      <c r="E3008" t="inlineStr">
        <is>
          <t>PERSTORP</t>
        </is>
      </c>
      <c r="F3008" t="inlineStr">
        <is>
          <t>Övriga Aktiebolag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37354-2022</t>
        </is>
      </c>
      <c r="B3009" s="1" t="n">
        <v>44806</v>
      </c>
      <c r="C3009" s="1" t="n">
        <v>45914</v>
      </c>
      <c r="D3009" t="inlineStr">
        <is>
          <t>SKÅNE LÄN</t>
        </is>
      </c>
      <c r="E3009" t="inlineStr">
        <is>
          <t>SVALÖV</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36914-2025</t>
        </is>
      </c>
      <c r="B3010" s="1" t="n">
        <v>45874.49907407408</v>
      </c>
      <c r="C3010" s="1" t="n">
        <v>45914</v>
      </c>
      <c r="D3010" t="inlineStr">
        <is>
          <t>SKÅNE LÄN</t>
        </is>
      </c>
      <c r="E3010" t="inlineStr">
        <is>
          <t>KRISTIANSTAD</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36915-2025</t>
        </is>
      </c>
      <c r="B3011" s="1" t="n">
        <v>45874.50575231481</v>
      </c>
      <c r="C3011" s="1" t="n">
        <v>45914</v>
      </c>
      <c r="D3011" t="inlineStr">
        <is>
          <t>SKÅNE LÄN</t>
        </is>
      </c>
      <c r="E3011" t="inlineStr">
        <is>
          <t>KRISTIANSTAD</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31309-2025</t>
        </is>
      </c>
      <c r="B3012" s="1" t="n">
        <v>45833.38796296297</v>
      </c>
      <c r="C3012" s="1" t="n">
        <v>45914</v>
      </c>
      <c r="D3012" t="inlineStr">
        <is>
          <t>SKÅNE LÄN</t>
        </is>
      </c>
      <c r="E3012" t="inlineStr">
        <is>
          <t>OSBY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31334-2025</t>
        </is>
      </c>
      <c r="B3013" s="1" t="n">
        <v>45833.42586805556</v>
      </c>
      <c r="C3013" s="1" t="n">
        <v>45914</v>
      </c>
      <c r="D3013" t="inlineStr">
        <is>
          <t>SKÅNE LÄN</t>
        </is>
      </c>
      <c r="E3013" t="inlineStr">
        <is>
          <t>OSBY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21329-2023</t>
        </is>
      </c>
      <c r="B3014" s="1" t="n">
        <v>45062</v>
      </c>
      <c r="C3014" s="1" t="n">
        <v>45914</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4610-2024</t>
        </is>
      </c>
      <c r="B3015" s="1" t="n">
        <v>45328</v>
      </c>
      <c r="C3015" s="1" t="n">
        <v>45914</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3404-2024</t>
        </is>
      </c>
      <c r="B3016" s="1" t="n">
        <v>45318</v>
      </c>
      <c r="C3016" s="1" t="n">
        <v>45914</v>
      </c>
      <c r="D3016" t="inlineStr">
        <is>
          <t>SKÅNE LÄN</t>
        </is>
      </c>
      <c r="E3016" t="inlineStr">
        <is>
          <t>SIMRISHAMN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62277-2023</t>
        </is>
      </c>
      <c r="B3017" s="1" t="n">
        <v>45266</v>
      </c>
      <c r="C3017" s="1" t="n">
        <v>45914</v>
      </c>
      <c r="D3017" t="inlineStr">
        <is>
          <t>SKÅNE LÄN</t>
        </is>
      </c>
      <c r="E3017" t="inlineStr">
        <is>
          <t>HÄSSLEHOLM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36906-2025</t>
        </is>
      </c>
      <c r="B3018" s="1" t="n">
        <v>45874.49202546296</v>
      </c>
      <c r="C3018" s="1" t="n">
        <v>45914</v>
      </c>
      <c r="D3018" t="inlineStr">
        <is>
          <t>SKÅNE LÄN</t>
        </is>
      </c>
      <c r="E3018" t="inlineStr">
        <is>
          <t>KRISTIANSTAD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19003-2025</t>
        </is>
      </c>
      <c r="B3019" s="1" t="n">
        <v>45764</v>
      </c>
      <c r="C3019" s="1" t="n">
        <v>45914</v>
      </c>
      <c r="D3019" t="inlineStr">
        <is>
          <t>SKÅNE LÄN</t>
        </is>
      </c>
      <c r="E3019" t="inlineStr">
        <is>
          <t>KÄVLINGE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31575-2025</t>
        </is>
      </c>
      <c r="B3020" s="1" t="n">
        <v>45833.67045138889</v>
      </c>
      <c r="C3020" s="1" t="n">
        <v>45914</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45914</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3888-2024</t>
        </is>
      </c>
      <c r="B3022" s="1" t="n">
        <v>45322.45089120371</v>
      </c>
      <c r="C3022" s="1" t="n">
        <v>45914</v>
      </c>
      <c r="D3022" t="inlineStr">
        <is>
          <t>SKÅNE LÄN</t>
        </is>
      </c>
      <c r="E3022" t="inlineStr">
        <is>
          <t>HÄSSLEHOLM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3889-2024</t>
        </is>
      </c>
      <c r="B3023" s="1" t="n">
        <v>45322.45234953704</v>
      </c>
      <c r="C3023" s="1" t="n">
        <v>45914</v>
      </c>
      <c r="D3023" t="inlineStr">
        <is>
          <t>SKÅNE LÄN</t>
        </is>
      </c>
      <c r="E3023" t="inlineStr">
        <is>
          <t>HÄSSLEHOLM</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36938-2025</t>
        </is>
      </c>
      <c r="B3024" s="1" t="n">
        <v>45874.58476851852</v>
      </c>
      <c r="C3024" s="1" t="n">
        <v>45914</v>
      </c>
      <c r="D3024" t="inlineStr">
        <is>
          <t>SKÅNE LÄN</t>
        </is>
      </c>
      <c r="E3024" t="inlineStr">
        <is>
          <t>HÄSSLEHOLM</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27965-2025</t>
        </is>
      </c>
      <c r="B3025" s="1" t="n">
        <v>45817</v>
      </c>
      <c r="C3025" s="1" t="n">
        <v>45914</v>
      </c>
      <c r="D3025" t="inlineStr">
        <is>
          <t>SKÅNE LÄN</t>
        </is>
      </c>
      <c r="E3025" t="inlineStr">
        <is>
          <t>BROMÖLLA</t>
        </is>
      </c>
      <c r="G3025" t="n">
        <v>12.7</v>
      </c>
      <c r="H3025" t="n">
        <v>0</v>
      </c>
      <c r="I3025" t="n">
        <v>0</v>
      </c>
      <c r="J3025" t="n">
        <v>0</v>
      </c>
      <c r="K3025" t="n">
        <v>0</v>
      </c>
      <c r="L3025" t="n">
        <v>0</v>
      </c>
      <c r="M3025" t="n">
        <v>0</v>
      </c>
      <c r="N3025" t="n">
        <v>0</v>
      </c>
      <c r="O3025" t="n">
        <v>0</v>
      </c>
      <c r="P3025" t="n">
        <v>0</v>
      </c>
      <c r="Q3025" t="n">
        <v>0</v>
      </c>
      <c r="R3025" s="2" t="inlineStr"/>
    </row>
    <row r="3026" ht="15" customHeight="1">
      <c r="A3026" t="inlineStr">
        <is>
          <t>A 15484-2025</t>
        </is>
      </c>
      <c r="B3026" s="1" t="n">
        <v>45747.56811342593</v>
      </c>
      <c r="C3026" s="1" t="n">
        <v>45914</v>
      </c>
      <c r="D3026" t="inlineStr">
        <is>
          <t>SKÅNE LÄN</t>
        </is>
      </c>
      <c r="E3026" t="inlineStr">
        <is>
          <t>SVALÖV</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15577-2024</t>
        </is>
      </c>
      <c r="B3027" s="1" t="n">
        <v>45401.68829861111</v>
      </c>
      <c r="C3027" s="1" t="n">
        <v>45914</v>
      </c>
      <c r="D3027" t="inlineStr">
        <is>
          <t>SKÅNE LÄN</t>
        </is>
      </c>
      <c r="E3027" t="inlineStr">
        <is>
          <t>SVEDALA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31823-2025</t>
        </is>
      </c>
      <c r="B3028" s="1" t="n">
        <v>45834.581875</v>
      </c>
      <c r="C3028" s="1" t="n">
        <v>45914</v>
      </c>
      <c r="D3028" t="inlineStr">
        <is>
          <t>SKÅNE LÄN</t>
        </is>
      </c>
      <c r="E3028" t="inlineStr">
        <is>
          <t>ÖSTRA GÖINGE</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31841-2025</t>
        </is>
      </c>
      <c r="B3029" s="1" t="n">
        <v>45834.59766203703</v>
      </c>
      <c r="C3029" s="1" t="n">
        <v>45914</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61602-2023</t>
        </is>
      </c>
      <c r="B3030" s="1" t="n">
        <v>45265.50185185186</v>
      </c>
      <c r="C3030" s="1" t="n">
        <v>45914</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8249-2023</t>
        </is>
      </c>
      <c r="B3031" s="1" t="n">
        <v>44974</v>
      </c>
      <c r="C3031" s="1" t="n">
        <v>45914</v>
      </c>
      <c r="D3031" t="inlineStr">
        <is>
          <t>SKÅNE LÄN</t>
        </is>
      </c>
      <c r="E3031" t="inlineStr">
        <is>
          <t>HÄSSLEHOLM</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13977-2025</t>
        </is>
      </c>
      <c r="B3032" s="1" t="n">
        <v>45738.68771990741</v>
      </c>
      <c r="C3032" s="1" t="n">
        <v>45914</v>
      </c>
      <c r="D3032" t="inlineStr">
        <is>
          <t>SKÅNE LÄN</t>
        </is>
      </c>
      <c r="E3032" t="inlineStr">
        <is>
          <t>KRISTIANSTAD</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31814-2025</t>
        </is>
      </c>
      <c r="B3033" s="1" t="n">
        <v>45834.56790509259</v>
      </c>
      <c r="C3033" s="1" t="n">
        <v>45914</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8290-2024</t>
        </is>
      </c>
      <c r="B3034" s="1" t="n">
        <v>45352</v>
      </c>
      <c r="C3034" s="1" t="n">
        <v>45914</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45222-2023</t>
        </is>
      </c>
      <c r="B3035" s="1" t="n">
        <v>45191</v>
      </c>
      <c r="C3035" s="1" t="n">
        <v>45914</v>
      </c>
      <c r="D3035" t="inlineStr">
        <is>
          <t>SKÅNE LÄN</t>
        </is>
      </c>
      <c r="E3035" t="inlineStr">
        <is>
          <t>HÄSSLEHOLM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36578-2022</t>
        </is>
      </c>
      <c r="B3036" s="1" t="n">
        <v>44804</v>
      </c>
      <c r="C3036" s="1" t="n">
        <v>45914</v>
      </c>
      <c r="D3036" t="inlineStr">
        <is>
          <t>SKÅNE LÄN</t>
        </is>
      </c>
      <c r="E3036" t="inlineStr">
        <is>
          <t>VELLINGE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21152-2022</t>
        </is>
      </c>
      <c r="B3037" s="1" t="n">
        <v>44704</v>
      </c>
      <c r="C3037" s="1" t="n">
        <v>45914</v>
      </c>
      <c r="D3037" t="inlineStr">
        <is>
          <t>SKÅNE LÄN</t>
        </is>
      </c>
      <c r="E3037" t="inlineStr">
        <is>
          <t>ÖRKELLJUNGA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60783-2023</t>
        </is>
      </c>
      <c r="B3038" s="1" t="n">
        <v>45260.6441087963</v>
      </c>
      <c r="C3038" s="1" t="n">
        <v>45914</v>
      </c>
      <c r="D3038" t="inlineStr">
        <is>
          <t>SKÅNE LÄN</t>
        </is>
      </c>
      <c r="E3038" t="inlineStr">
        <is>
          <t>KLIPPAN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13310-2025</t>
        </is>
      </c>
      <c r="B3039" s="1" t="n">
        <v>45735.58814814815</v>
      </c>
      <c r="C3039" s="1" t="n">
        <v>45914</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3480-2024</t>
        </is>
      </c>
      <c r="B3040" s="1" t="n">
        <v>45320.43998842593</v>
      </c>
      <c r="C3040" s="1" t="n">
        <v>45914</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566-2024</t>
        </is>
      </c>
      <c r="B3041" s="1" t="n">
        <v>45299</v>
      </c>
      <c r="C3041" s="1" t="n">
        <v>45914</v>
      </c>
      <c r="D3041" t="inlineStr">
        <is>
          <t>SKÅNE LÄN</t>
        </is>
      </c>
      <c r="E3041" t="inlineStr">
        <is>
          <t>TOMELILLA</t>
        </is>
      </c>
      <c r="F3041" t="inlineStr">
        <is>
          <t>Övriga Aktiebolag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12603-2025</t>
        </is>
      </c>
      <c r="B3042" s="1" t="n">
        <v>45733</v>
      </c>
      <c r="C3042" s="1" t="n">
        <v>45914</v>
      </c>
      <c r="D3042" t="inlineStr">
        <is>
          <t>SKÅNE LÄN</t>
        </is>
      </c>
      <c r="E3042" t="inlineStr">
        <is>
          <t>OSBY</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12605-2025</t>
        </is>
      </c>
      <c r="B3043" s="1" t="n">
        <v>45733</v>
      </c>
      <c r="C3043" s="1" t="n">
        <v>45914</v>
      </c>
      <c r="D3043" t="inlineStr">
        <is>
          <t>SKÅNE LÄN</t>
        </is>
      </c>
      <c r="E3043" t="inlineStr">
        <is>
          <t>ESLÖV</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58641-2023</t>
        </is>
      </c>
      <c r="B3044" s="1" t="n">
        <v>45251</v>
      </c>
      <c r="C3044" s="1" t="n">
        <v>45914</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57923-2024</t>
        </is>
      </c>
      <c r="B3045" s="1" t="n">
        <v>45631</v>
      </c>
      <c r="C3045" s="1" t="n">
        <v>45914</v>
      </c>
      <c r="D3045" t="inlineStr">
        <is>
          <t>SKÅNE LÄN</t>
        </is>
      </c>
      <c r="E3045" t="inlineStr">
        <is>
          <t>ÄNGELHOLM</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14994-2022</t>
        </is>
      </c>
      <c r="B3046" s="1" t="n">
        <v>44657.53449074074</v>
      </c>
      <c r="C3046" s="1" t="n">
        <v>45914</v>
      </c>
      <c r="D3046" t="inlineStr">
        <is>
          <t>SKÅNE LÄN</t>
        </is>
      </c>
      <c r="E3046" t="inlineStr">
        <is>
          <t>SIMRISHAMN</t>
        </is>
      </c>
      <c r="F3046" t="inlineStr">
        <is>
          <t>Övriga Aktiebolag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5177-2024</t>
        </is>
      </c>
      <c r="B3047" s="1" t="n">
        <v>45330.57633101852</v>
      </c>
      <c r="C3047" s="1" t="n">
        <v>45914</v>
      </c>
      <c r="D3047" t="inlineStr">
        <is>
          <t>SKÅNE LÄN</t>
        </is>
      </c>
      <c r="E3047" t="inlineStr">
        <is>
          <t>ÖSTRA GÖINGE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25538-2024</t>
        </is>
      </c>
      <c r="B3048" s="1" t="n">
        <v>45463</v>
      </c>
      <c r="C3048" s="1" t="n">
        <v>45914</v>
      </c>
      <c r="D3048" t="inlineStr">
        <is>
          <t>SKÅNE LÄN</t>
        </is>
      </c>
      <c r="E3048" t="inlineStr">
        <is>
          <t>HÄSSLEHOLM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25579-2024</t>
        </is>
      </c>
      <c r="B3049" s="1" t="n">
        <v>45463</v>
      </c>
      <c r="C3049" s="1" t="n">
        <v>45914</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51301-2024</t>
        </is>
      </c>
      <c r="B3050" s="1" t="n">
        <v>45604.28789351852</v>
      </c>
      <c r="C3050" s="1" t="n">
        <v>45914</v>
      </c>
      <c r="D3050" t="inlineStr">
        <is>
          <t>SKÅNE LÄN</t>
        </is>
      </c>
      <c r="E3050" t="inlineStr">
        <is>
          <t>HÖÖR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10833-2021</t>
        </is>
      </c>
      <c r="B3051" s="1" t="n">
        <v>44259</v>
      </c>
      <c r="C3051" s="1" t="n">
        <v>45914</v>
      </c>
      <c r="D3051" t="inlineStr">
        <is>
          <t>SKÅNE LÄN</t>
        </is>
      </c>
      <c r="E3051" t="inlineStr">
        <is>
          <t>ÄNGELHOLM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30806-2023</t>
        </is>
      </c>
      <c r="B3052" s="1" t="n">
        <v>45112.82001157408</v>
      </c>
      <c r="C3052" s="1" t="n">
        <v>45914</v>
      </c>
      <c r="D3052" t="inlineStr">
        <is>
          <t>SKÅNE LÄN</t>
        </is>
      </c>
      <c r="E3052" t="inlineStr">
        <is>
          <t>TOMELILLA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46777-2024</t>
        </is>
      </c>
      <c r="B3053" s="1" t="n">
        <v>45583</v>
      </c>
      <c r="C3053" s="1" t="n">
        <v>45914</v>
      </c>
      <c r="D3053" t="inlineStr">
        <is>
          <t>SKÅNE LÄN</t>
        </is>
      </c>
      <c r="E3053" t="inlineStr">
        <is>
          <t>HÖÖR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11204-2023</t>
        </is>
      </c>
      <c r="B3054" s="1" t="n">
        <v>44992.60141203704</v>
      </c>
      <c r="C3054" s="1" t="n">
        <v>45914</v>
      </c>
      <c r="D3054" t="inlineStr">
        <is>
          <t>SKÅNE LÄN</t>
        </is>
      </c>
      <c r="E3054" t="inlineStr">
        <is>
          <t>ESLÖV</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18856-2024</t>
        </is>
      </c>
      <c r="B3055" s="1" t="n">
        <v>45426</v>
      </c>
      <c r="C3055" s="1" t="n">
        <v>45914</v>
      </c>
      <c r="D3055" t="inlineStr">
        <is>
          <t>SKÅNE LÄN</t>
        </is>
      </c>
      <c r="E3055" t="inlineStr">
        <is>
          <t>SIMRISHAMN</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16663-2022</t>
        </is>
      </c>
      <c r="B3056" s="1" t="n">
        <v>44672</v>
      </c>
      <c r="C3056" s="1" t="n">
        <v>45914</v>
      </c>
      <c r="D3056" t="inlineStr">
        <is>
          <t>SKÅNE LÄN</t>
        </is>
      </c>
      <c r="E3056" t="inlineStr">
        <is>
          <t>HÖÖR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29934-2023</t>
        </is>
      </c>
      <c r="B3057" s="1" t="n">
        <v>45107.90287037037</v>
      </c>
      <c r="C3057" s="1" t="n">
        <v>45914</v>
      </c>
      <c r="D3057" t="inlineStr">
        <is>
          <t>SKÅNE LÄN</t>
        </is>
      </c>
      <c r="E3057" t="inlineStr">
        <is>
          <t>KRISTIANSTAD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12625-2021</t>
        </is>
      </c>
      <c r="B3058" s="1" t="n">
        <v>44270.4590625</v>
      </c>
      <c r="C3058" s="1" t="n">
        <v>45914</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8750-2024</t>
        </is>
      </c>
      <c r="B3059" s="1" t="n">
        <v>45343</v>
      </c>
      <c r="C3059" s="1" t="n">
        <v>45914</v>
      </c>
      <c r="D3059" t="inlineStr">
        <is>
          <t>SKÅNE LÄN</t>
        </is>
      </c>
      <c r="E3059" t="inlineStr">
        <is>
          <t>KRISTIANSTAD</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40595-2021</t>
        </is>
      </c>
      <c r="B3060" s="1" t="n">
        <v>44420.47767361111</v>
      </c>
      <c r="C3060" s="1" t="n">
        <v>45914</v>
      </c>
      <c r="D3060" t="inlineStr">
        <is>
          <t>SKÅNE LÄN</t>
        </is>
      </c>
      <c r="E3060" t="inlineStr">
        <is>
          <t>HÖÖR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4156-2023</t>
        </is>
      </c>
      <c r="B3061" s="1" t="n">
        <v>44953</v>
      </c>
      <c r="C3061" s="1" t="n">
        <v>45914</v>
      </c>
      <c r="D3061" t="inlineStr">
        <is>
          <t>SKÅNE LÄN</t>
        </is>
      </c>
      <c r="E3061" t="inlineStr">
        <is>
          <t>ÅSTORP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34096-2025</t>
        </is>
      </c>
      <c r="B3062" s="1" t="n">
        <v>45845</v>
      </c>
      <c r="C3062" s="1" t="n">
        <v>45914</v>
      </c>
      <c r="D3062" t="inlineStr">
        <is>
          <t>SKÅNE LÄN</t>
        </is>
      </c>
      <c r="E3062" t="inlineStr">
        <is>
          <t>KRISTIANSTAD</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22063-2025</t>
        </is>
      </c>
      <c r="B3063" s="1" t="n">
        <v>45785.37700231482</v>
      </c>
      <c r="C3063" s="1" t="n">
        <v>45914</v>
      </c>
      <c r="D3063" t="inlineStr">
        <is>
          <t>SKÅNE LÄN</t>
        </is>
      </c>
      <c r="E3063" t="inlineStr">
        <is>
          <t>SVALÖV</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15055-2023</t>
        </is>
      </c>
      <c r="B3064" s="1" t="n">
        <v>45015</v>
      </c>
      <c r="C3064" s="1" t="n">
        <v>45914</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20170-2024</t>
        </is>
      </c>
      <c r="B3065" s="1" t="n">
        <v>45434</v>
      </c>
      <c r="C3065" s="1" t="n">
        <v>45914</v>
      </c>
      <c r="D3065" t="inlineStr">
        <is>
          <t>SKÅNE LÄN</t>
        </is>
      </c>
      <c r="E3065" t="inlineStr">
        <is>
          <t>SVALÖV</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2981-2024</t>
        </is>
      </c>
      <c r="B3066" s="1" t="n">
        <v>45315</v>
      </c>
      <c r="C3066" s="1" t="n">
        <v>45914</v>
      </c>
      <c r="D3066" t="inlineStr">
        <is>
          <t>SKÅNE LÄN</t>
        </is>
      </c>
      <c r="E3066" t="inlineStr">
        <is>
          <t>HÖRBY</t>
        </is>
      </c>
      <c r="F3066" t="inlineStr">
        <is>
          <t>Kyrkan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6089-2023</t>
        </is>
      </c>
      <c r="B3067" s="1" t="n">
        <v>44964</v>
      </c>
      <c r="C3067" s="1" t="n">
        <v>45914</v>
      </c>
      <c r="D3067" t="inlineStr">
        <is>
          <t>SKÅNE LÄN</t>
        </is>
      </c>
      <c r="E3067" t="inlineStr">
        <is>
          <t>ÖSTRA GÖINGE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47235-2024</t>
        </is>
      </c>
      <c r="B3068" s="1" t="n">
        <v>45586</v>
      </c>
      <c r="C3068" s="1" t="n">
        <v>45914</v>
      </c>
      <c r="D3068" t="inlineStr">
        <is>
          <t>SKÅNE LÄN</t>
        </is>
      </c>
      <c r="E3068" t="inlineStr">
        <is>
          <t>KRISTIANSTAD</t>
        </is>
      </c>
      <c r="F3068" t="inlineStr">
        <is>
          <t>Övriga Aktiebolag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8500-2023</t>
        </is>
      </c>
      <c r="B3069" s="1" t="n">
        <v>44977</v>
      </c>
      <c r="C3069" s="1" t="n">
        <v>45914</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58868-2021</t>
        </is>
      </c>
      <c r="B3070" s="1" t="n">
        <v>44489</v>
      </c>
      <c r="C3070" s="1" t="n">
        <v>45914</v>
      </c>
      <c r="D3070" t="inlineStr">
        <is>
          <t>SKÅNE LÄN</t>
        </is>
      </c>
      <c r="E3070" t="inlineStr">
        <is>
          <t>ÖSTRA GÖINGE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38928-2024</t>
        </is>
      </c>
      <c r="B3071" s="1" t="n">
        <v>45548</v>
      </c>
      <c r="C3071" s="1" t="n">
        <v>45914</v>
      </c>
      <c r="D3071" t="inlineStr">
        <is>
          <t>SKÅNE LÄN</t>
        </is>
      </c>
      <c r="E3071" t="inlineStr">
        <is>
          <t>ÖRKELLJUNGA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10452-2023</t>
        </is>
      </c>
      <c r="B3072" s="1" t="n">
        <v>44981</v>
      </c>
      <c r="C3072" s="1" t="n">
        <v>45914</v>
      </c>
      <c r="D3072" t="inlineStr">
        <is>
          <t>SKÅNE LÄN</t>
        </is>
      </c>
      <c r="E3072" t="inlineStr">
        <is>
          <t>HÖÖR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49206-2024</t>
        </is>
      </c>
      <c r="B3073" s="1" t="n">
        <v>45595.36711805555</v>
      </c>
      <c r="C3073" s="1" t="n">
        <v>45914</v>
      </c>
      <c r="D3073" t="inlineStr">
        <is>
          <t>SKÅNE LÄN</t>
        </is>
      </c>
      <c r="E3073" t="inlineStr">
        <is>
          <t>ÄNGELHOLM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25324-2024</t>
        </is>
      </c>
      <c r="B3074" s="1" t="n">
        <v>45462.804375</v>
      </c>
      <c r="C3074" s="1" t="n">
        <v>45914</v>
      </c>
      <c r="D3074" t="inlineStr">
        <is>
          <t>SKÅNE LÄN</t>
        </is>
      </c>
      <c r="E3074" t="inlineStr">
        <is>
          <t>HÄSSLEHOLM</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6327-2021</t>
        </is>
      </c>
      <c r="B3075" s="1" t="n">
        <v>44235</v>
      </c>
      <c r="C3075" s="1" t="n">
        <v>45914</v>
      </c>
      <c r="D3075" t="inlineStr">
        <is>
          <t>SKÅNE LÄN</t>
        </is>
      </c>
      <c r="E3075" t="inlineStr">
        <is>
          <t>HÄSSLEHOLM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11517-2024</t>
        </is>
      </c>
      <c r="B3076" s="1" t="n">
        <v>45372</v>
      </c>
      <c r="C3076" s="1" t="n">
        <v>45914</v>
      </c>
      <c r="D3076" t="inlineStr">
        <is>
          <t>SKÅNE LÄN</t>
        </is>
      </c>
      <c r="E3076" t="inlineStr">
        <is>
          <t>BÅSTAD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48217-2022</t>
        </is>
      </c>
      <c r="B3077" s="1" t="n">
        <v>44853</v>
      </c>
      <c r="C3077" s="1" t="n">
        <v>45914</v>
      </c>
      <c r="D3077" t="inlineStr">
        <is>
          <t>SKÅNE LÄN</t>
        </is>
      </c>
      <c r="E3077" t="inlineStr">
        <is>
          <t>KRISTIANSTAD</t>
        </is>
      </c>
      <c r="F3077" t="inlineStr">
        <is>
          <t>Kyrkan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32020-2025</t>
        </is>
      </c>
      <c r="B3078" s="1" t="n">
        <v>45835.4065625</v>
      </c>
      <c r="C3078" s="1" t="n">
        <v>45914</v>
      </c>
      <c r="D3078" t="inlineStr">
        <is>
          <t>SKÅNE LÄN</t>
        </is>
      </c>
      <c r="E3078" t="inlineStr">
        <is>
          <t>ÄNGELHOLM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8804-2025</t>
        </is>
      </c>
      <c r="B3079" s="1" t="n">
        <v>45712</v>
      </c>
      <c r="C3079" s="1" t="n">
        <v>45914</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8807-2025</t>
        </is>
      </c>
      <c r="B3080" s="1" t="n">
        <v>45712</v>
      </c>
      <c r="C3080" s="1" t="n">
        <v>45914</v>
      </c>
      <c r="D3080" t="inlineStr">
        <is>
          <t>SKÅNE LÄN</t>
        </is>
      </c>
      <c r="E3080" t="inlineStr">
        <is>
          <t>KRISTIANSTAD</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47222-2022</t>
        </is>
      </c>
      <c r="B3081" s="1" t="n">
        <v>44852</v>
      </c>
      <c r="C3081" s="1" t="n">
        <v>45914</v>
      </c>
      <c r="D3081" t="inlineStr">
        <is>
          <t>SKÅNE LÄN</t>
        </is>
      </c>
      <c r="E3081" t="inlineStr">
        <is>
          <t>HÖÖR</t>
        </is>
      </c>
      <c r="G3081" t="n">
        <v>12.3</v>
      </c>
      <c r="H3081" t="n">
        <v>0</v>
      </c>
      <c r="I3081" t="n">
        <v>0</v>
      </c>
      <c r="J3081" t="n">
        <v>0</v>
      </c>
      <c r="K3081" t="n">
        <v>0</v>
      </c>
      <c r="L3081" t="n">
        <v>0</v>
      </c>
      <c r="M3081" t="n">
        <v>0</v>
      </c>
      <c r="N3081" t="n">
        <v>0</v>
      </c>
      <c r="O3081" t="n">
        <v>0</v>
      </c>
      <c r="P3081" t="n">
        <v>0</v>
      </c>
      <c r="Q3081" t="n">
        <v>0</v>
      </c>
      <c r="R3081" s="2" t="inlineStr"/>
    </row>
    <row r="3082" ht="15" customHeight="1">
      <c r="A3082" t="inlineStr">
        <is>
          <t>A 18603-2025</t>
        </is>
      </c>
      <c r="B3082" s="1" t="n">
        <v>45763.49189814815</v>
      </c>
      <c r="C3082" s="1" t="n">
        <v>45914</v>
      </c>
      <c r="D3082" t="inlineStr">
        <is>
          <t>SKÅNE LÄN</t>
        </is>
      </c>
      <c r="E3082" t="inlineStr">
        <is>
          <t>HÖRBY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2950-2024</t>
        </is>
      </c>
      <c r="B3083" s="1" t="n">
        <v>45315</v>
      </c>
      <c r="C3083" s="1" t="n">
        <v>45914</v>
      </c>
      <c r="D3083" t="inlineStr">
        <is>
          <t>SKÅNE LÄN</t>
        </is>
      </c>
      <c r="E3083" t="inlineStr">
        <is>
          <t>HÖÖR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5478-2021</t>
        </is>
      </c>
      <c r="B3084" s="1" t="n">
        <v>44230</v>
      </c>
      <c r="C3084" s="1" t="n">
        <v>45914</v>
      </c>
      <c r="D3084" t="inlineStr">
        <is>
          <t>SKÅNE LÄN</t>
        </is>
      </c>
      <c r="E3084" t="inlineStr">
        <is>
          <t>HÄSSLEHOLM</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2290-2024</t>
        </is>
      </c>
      <c r="B3085" s="1" t="n">
        <v>45310</v>
      </c>
      <c r="C3085" s="1" t="n">
        <v>45914</v>
      </c>
      <c r="D3085" t="inlineStr">
        <is>
          <t>SKÅNE LÄN</t>
        </is>
      </c>
      <c r="E3085" t="inlineStr">
        <is>
          <t>HÄSSLEHOLM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63783-2023</t>
        </is>
      </c>
      <c r="B3086" s="1" t="n">
        <v>45278.38888888889</v>
      </c>
      <c r="C3086" s="1" t="n">
        <v>45914</v>
      </c>
      <c r="D3086" t="inlineStr">
        <is>
          <t>SKÅNE LÄN</t>
        </is>
      </c>
      <c r="E3086" t="inlineStr">
        <is>
          <t>ÖRKELLJUNGA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55158-2023</t>
        </is>
      </c>
      <c r="B3087" s="1" t="n">
        <v>45237</v>
      </c>
      <c r="C3087" s="1" t="n">
        <v>45914</v>
      </c>
      <c r="D3087" t="inlineStr">
        <is>
          <t>SKÅNE LÄN</t>
        </is>
      </c>
      <c r="E3087" t="inlineStr">
        <is>
          <t>LUND</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3346-2024</t>
        </is>
      </c>
      <c r="B3088" s="1" t="n">
        <v>45317</v>
      </c>
      <c r="C3088" s="1" t="n">
        <v>45914</v>
      </c>
      <c r="D3088" t="inlineStr">
        <is>
          <t>SKÅNE LÄN</t>
        </is>
      </c>
      <c r="E3088" t="inlineStr">
        <is>
          <t>HÖRBY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7056-2024</t>
        </is>
      </c>
      <c r="B3089" s="1" t="n">
        <v>45343</v>
      </c>
      <c r="C3089" s="1" t="n">
        <v>45914</v>
      </c>
      <c r="D3089" t="inlineStr">
        <is>
          <t>SKÅNE LÄN</t>
        </is>
      </c>
      <c r="E3089" t="inlineStr">
        <is>
          <t>KRISTIANSTAD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60791-2023</t>
        </is>
      </c>
      <c r="B3090" s="1" t="n">
        <v>45260.65283564815</v>
      </c>
      <c r="C3090" s="1" t="n">
        <v>45914</v>
      </c>
      <c r="D3090" t="inlineStr">
        <is>
          <t>SKÅNE LÄN</t>
        </is>
      </c>
      <c r="E3090" t="inlineStr">
        <is>
          <t>KLIPPAN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60803-2023</t>
        </is>
      </c>
      <c r="B3091" s="1" t="n">
        <v>45260</v>
      </c>
      <c r="C3091" s="1" t="n">
        <v>45914</v>
      </c>
      <c r="D3091" t="inlineStr">
        <is>
          <t>SKÅNE LÄN</t>
        </is>
      </c>
      <c r="E3091" t="inlineStr">
        <is>
          <t>YSTAD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11786-2022</t>
        </is>
      </c>
      <c r="B3092" s="1" t="n">
        <v>44634</v>
      </c>
      <c r="C3092" s="1" t="n">
        <v>45914</v>
      </c>
      <c r="D3092" t="inlineStr">
        <is>
          <t>SKÅNE LÄN</t>
        </is>
      </c>
      <c r="E3092" t="inlineStr">
        <is>
          <t>KRISTIANSTAD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8512-2024</t>
        </is>
      </c>
      <c r="B3093" s="1" t="n">
        <v>45355.47297453704</v>
      </c>
      <c r="C3093" s="1" t="n">
        <v>45914</v>
      </c>
      <c r="D3093" t="inlineStr">
        <is>
          <t>SKÅNE LÄN</t>
        </is>
      </c>
      <c r="E3093" t="inlineStr">
        <is>
          <t>KRISTIANSTAD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36324-2022</t>
        </is>
      </c>
      <c r="B3094" s="1" t="n">
        <v>44803</v>
      </c>
      <c r="C3094" s="1" t="n">
        <v>45914</v>
      </c>
      <c r="D3094" t="inlineStr">
        <is>
          <t>SKÅNE LÄN</t>
        </is>
      </c>
      <c r="E3094" t="inlineStr">
        <is>
          <t>ÖSTRA GÖINGE</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42293-2023</t>
        </is>
      </c>
      <c r="B3095" s="1" t="n">
        <v>45180</v>
      </c>
      <c r="C3095" s="1" t="n">
        <v>45914</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13291-2023</t>
        </is>
      </c>
      <c r="B3096" s="1" t="n">
        <v>45004</v>
      </c>
      <c r="C3096" s="1" t="n">
        <v>45914</v>
      </c>
      <c r="D3096" t="inlineStr">
        <is>
          <t>SKÅNE LÄN</t>
        </is>
      </c>
      <c r="E3096" t="inlineStr">
        <is>
          <t>HÖÖR</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13316-2023</t>
        </is>
      </c>
      <c r="B3097" s="1" t="n">
        <v>45005.39013888889</v>
      </c>
      <c r="C3097" s="1" t="n">
        <v>45914</v>
      </c>
      <c r="D3097" t="inlineStr">
        <is>
          <t>SKÅNE LÄN</t>
        </is>
      </c>
      <c r="E3097" t="inlineStr">
        <is>
          <t>HÄSSLEHOLM</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55218-2023</t>
        </is>
      </c>
      <c r="B3098" s="1" t="n">
        <v>45237</v>
      </c>
      <c r="C3098" s="1" t="n">
        <v>45914</v>
      </c>
      <c r="D3098" t="inlineStr">
        <is>
          <t>SKÅNE LÄN</t>
        </is>
      </c>
      <c r="E3098" t="inlineStr">
        <is>
          <t>HÄSSLEHOLM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46182-2024</t>
        </is>
      </c>
      <c r="B3099" s="1" t="n">
        <v>45581.49773148148</v>
      </c>
      <c r="C3099" s="1" t="n">
        <v>45914</v>
      </c>
      <c r="D3099" t="inlineStr">
        <is>
          <t>SKÅNE LÄN</t>
        </is>
      </c>
      <c r="E3099" t="inlineStr">
        <is>
          <t>KRISTIANSTAD</t>
        </is>
      </c>
      <c r="F3099" t="inlineStr">
        <is>
          <t>Övriga Aktiebolag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14152-2023</t>
        </is>
      </c>
      <c r="B3100" s="1" t="n">
        <v>45009</v>
      </c>
      <c r="C3100" s="1" t="n">
        <v>45914</v>
      </c>
      <c r="D3100" t="inlineStr">
        <is>
          <t>SKÅNE LÄN</t>
        </is>
      </c>
      <c r="E3100" t="inlineStr">
        <is>
          <t>TOMELILLA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39567-2022</t>
        </is>
      </c>
      <c r="B3101" s="1" t="n">
        <v>44817</v>
      </c>
      <c r="C3101" s="1" t="n">
        <v>45914</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15039-2024</t>
        </is>
      </c>
      <c r="B3102" s="1" t="n">
        <v>45399</v>
      </c>
      <c r="C3102" s="1" t="n">
        <v>45914</v>
      </c>
      <c r="D3102" t="inlineStr">
        <is>
          <t>SKÅNE LÄN</t>
        </is>
      </c>
      <c r="E3102" t="inlineStr">
        <is>
          <t>SIMRISHAMN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65235-2021</t>
        </is>
      </c>
      <c r="B3103" s="1" t="n">
        <v>44515</v>
      </c>
      <c r="C3103" s="1" t="n">
        <v>45914</v>
      </c>
      <c r="D3103" t="inlineStr">
        <is>
          <t>SKÅNE LÄN</t>
        </is>
      </c>
      <c r="E3103" t="inlineStr">
        <is>
          <t>HÄSSLEHOLM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9359-2025</t>
        </is>
      </c>
      <c r="B3104" s="1" t="n">
        <v>45715.29788194445</v>
      </c>
      <c r="C3104" s="1" t="n">
        <v>45914</v>
      </c>
      <c r="D3104" t="inlineStr">
        <is>
          <t>SKÅNE LÄN</t>
        </is>
      </c>
      <c r="E3104" t="inlineStr">
        <is>
          <t>ÖRKELLJUNGA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13358-2023</t>
        </is>
      </c>
      <c r="B3105" s="1" t="n">
        <v>45005</v>
      </c>
      <c r="C3105" s="1" t="n">
        <v>45914</v>
      </c>
      <c r="D3105" t="inlineStr">
        <is>
          <t>SKÅNE LÄN</t>
        </is>
      </c>
      <c r="E3105" t="inlineStr">
        <is>
          <t>HÄSSLEHOLM</t>
        </is>
      </c>
      <c r="F3105" t="inlineStr">
        <is>
          <t>Övriga Aktiebolag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5316-2023</t>
        </is>
      </c>
      <c r="B3106" s="1" t="n">
        <v>44959</v>
      </c>
      <c r="C3106" s="1" t="n">
        <v>45914</v>
      </c>
      <c r="D3106" t="inlineStr">
        <is>
          <t>SKÅNE LÄN</t>
        </is>
      </c>
      <c r="E3106" t="inlineStr">
        <is>
          <t>HÄSSLEHOLM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62403-2022</t>
        </is>
      </c>
      <c r="B3107" s="1" t="n">
        <v>44923</v>
      </c>
      <c r="C3107" s="1" t="n">
        <v>45914</v>
      </c>
      <c r="D3107" t="inlineStr">
        <is>
          <t>SKÅNE LÄN</t>
        </is>
      </c>
      <c r="E3107" t="inlineStr">
        <is>
          <t>SVALÖV</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32219-2025</t>
        </is>
      </c>
      <c r="B3108" s="1" t="n">
        <v>45835.58896990741</v>
      </c>
      <c r="C3108" s="1" t="n">
        <v>45914</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6307-2024</t>
        </is>
      </c>
      <c r="B3109" s="1" t="n">
        <v>45338</v>
      </c>
      <c r="C3109" s="1" t="n">
        <v>45914</v>
      </c>
      <c r="D3109" t="inlineStr">
        <is>
          <t>SKÅNE LÄN</t>
        </is>
      </c>
      <c r="E3109" t="inlineStr">
        <is>
          <t>KRISTIANSTAD</t>
        </is>
      </c>
      <c r="F3109" t="inlineStr">
        <is>
          <t>Övriga Aktiebolag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31503-2023</t>
        </is>
      </c>
      <c r="B3110" s="1" t="n">
        <v>45115</v>
      </c>
      <c r="C3110" s="1" t="n">
        <v>45914</v>
      </c>
      <c r="D3110" t="inlineStr">
        <is>
          <t>SKÅNE LÄN</t>
        </is>
      </c>
      <c r="E3110" t="inlineStr">
        <is>
          <t>ÄNGELHOLM</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32702-2023</t>
        </is>
      </c>
      <c r="B3111" s="1" t="n">
        <v>45121</v>
      </c>
      <c r="C3111" s="1" t="n">
        <v>45914</v>
      </c>
      <c r="D3111" t="inlineStr">
        <is>
          <t>SKÅNE LÄN</t>
        </is>
      </c>
      <c r="E3111" t="inlineStr">
        <is>
          <t>KRISTIANSTAD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32717-2023</t>
        </is>
      </c>
      <c r="B3112" s="1" t="n">
        <v>45121</v>
      </c>
      <c r="C3112" s="1" t="n">
        <v>45914</v>
      </c>
      <c r="D3112" t="inlineStr">
        <is>
          <t>SKÅNE LÄN</t>
        </is>
      </c>
      <c r="E3112" t="inlineStr">
        <is>
          <t>KRISTIANSTAD</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32794-2023</t>
        </is>
      </c>
      <c r="B3113" s="1" t="n">
        <v>45124.40446759259</v>
      </c>
      <c r="C3113" s="1" t="n">
        <v>45914</v>
      </c>
      <c r="D3113" t="inlineStr">
        <is>
          <t>SKÅNE LÄN</t>
        </is>
      </c>
      <c r="E3113" t="inlineStr">
        <is>
          <t>HÄSSLEHOLM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59359-2024</t>
        </is>
      </c>
      <c r="B3114" s="1" t="n">
        <v>45638.3243287037</v>
      </c>
      <c r="C3114" s="1" t="n">
        <v>45914</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59918-2022</t>
        </is>
      </c>
      <c r="B3115" s="1" t="n">
        <v>44909</v>
      </c>
      <c r="C3115" s="1" t="n">
        <v>45914</v>
      </c>
      <c r="D3115" t="inlineStr">
        <is>
          <t>SKÅNE LÄN</t>
        </is>
      </c>
      <c r="E3115" t="inlineStr">
        <is>
          <t>LUND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31947-2025</t>
        </is>
      </c>
      <c r="B3116" s="1" t="n">
        <v>45835.32391203703</v>
      </c>
      <c r="C3116" s="1" t="n">
        <v>45914</v>
      </c>
      <c r="D3116" t="inlineStr">
        <is>
          <t>SKÅNE LÄN</t>
        </is>
      </c>
      <c r="E3116" t="inlineStr">
        <is>
          <t>OSBY</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32585-2025</t>
        </is>
      </c>
      <c r="B3117" s="1" t="n">
        <v>45838.60021990741</v>
      </c>
      <c r="C3117" s="1" t="n">
        <v>45914</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1119-2024</t>
        </is>
      </c>
      <c r="B3118" s="1" t="n">
        <v>45302</v>
      </c>
      <c r="C3118" s="1" t="n">
        <v>45914</v>
      </c>
      <c r="D3118" t="inlineStr">
        <is>
          <t>SKÅNE LÄN</t>
        </is>
      </c>
      <c r="E3118" t="inlineStr">
        <is>
          <t>HÄSSLEHOLM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32132-2025</t>
        </is>
      </c>
      <c r="B3119" s="1" t="n">
        <v>45835.50878472222</v>
      </c>
      <c r="C3119" s="1" t="n">
        <v>45914</v>
      </c>
      <c r="D3119" t="inlineStr">
        <is>
          <t>SKÅNE LÄN</t>
        </is>
      </c>
      <c r="E3119" t="inlineStr">
        <is>
          <t>KLIPPAN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6955-2024</t>
        </is>
      </c>
      <c r="B3120" s="1" t="n">
        <v>45343</v>
      </c>
      <c r="C3120" s="1" t="n">
        <v>45914</v>
      </c>
      <c r="D3120" t="inlineStr">
        <is>
          <t>SKÅNE LÄN</t>
        </is>
      </c>
      <c r="E3120" t="inlineStr">
        <is>
          <t>KRISTIANSTAD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7016-2024</t>
        </is>
      </c>
      <c r="B3121" s="1" t="n">
        <v>45343</v>
      </c>
      <c r="C3121" s="1" t="n">
        <v>45914</v>
      </c>
      <c r="D3121" t="inlineStr">
        <is>
          <t>SKÅNE LÄN</t>
        </is>
      </c>
      <c r="E3121" t="inlineStr">
        <is>
          <t>KRISTIANSTAD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59709-2023</t>
        </is>
      </c>
      <c r="B3122" s="1" t="n">
        <v>45256.94847222222</v>
      </c>
      <c r="C3122" s="1" t="n">
        <v>45914</v>
      </c>
      <c r="D3122" t="inlineStr">
        <is>
          <t>SKÅNE LÄN</t>
        </is>
      </c>
      <c r="E3122" t="inlineStr">
        <is>
          <t>ÖSTRA GÖINGE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7739-2024</t>
        </is>
      </c>
      <c r="B3123" s="1" t="n">
        <v>45349.45274305555</v>
      </c>
      <c r="C3123" s="1" t="n">
        <v>45914</v>
      </c>
      <c r="D3123" t="inlineStr">
        <is>
          <t>SKÅNE LÄN</t>
        </is>
      </c>
      <c r="E3123" t="inlineStr">
        <is>
          <t>ÖSTRA GÖINGE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9393-2025</t>
        </is>
      </c>
      <c r="B3124" s="1" t="n">
        <v>45715.36230324074</v>
      </c>
      <c r="C3124" s="1" t="n">
        <v>45914</v>
      </c>
      <c r="D3124" t="inlineStr">
        <is>
          <t>SKÅNE LÄN</t>
        </is>
      </c>
      <c r="E3124" t="inlineStr">
        <is>
          <t>HÄSSLEHOLM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28211-2022</t>
        </is>
      </c>
      <c r="B3125" s="1" t="n">
        <v>44746</v>
      </c>
      <c r="C3125" s="1" t="n">
        <v>45914</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57293-2023</t>
        </is>
      </c>
      <c r="B3126" s="1" t="n">
        <v>45245.60819444444</v>
      </c>
      <c r="C3126" s="1" t="n">
        <v>45914</v>
      </c>
      <c r="D3126" t="inlineStr">
        <is>
          <t>SKÅNE LÄN</t>
        </is>
      </c>
      <c r="E3126" t="inlineStr">
        <is>
          <t>ÖSTRA GÖINGE</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28247-2022</t>
        </is>
      </c>
      <c r="B3127" s="1" t="n">
        <v>44746</v>
      </c>
      <c r="C3127" s="1" t="n">
        <v>45914</v>
      </c>
      <c r="D3127" t="inlineStr">
        <is>
          <t>SKÅNE LÄN</t>
        </is>
      </c>
      <c r="E3127" t="inlineStr">
        <is>
          <t>PERSTORP</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28264-2022</t>
        </is>
      </c>
      <c r="B3128" s="1" t="n">
        <v>44746</v>
      </c>
      <c r="C3128" s="1" t="n">
        <v>45914</v>
      </c>
      <c r="D3128" t="inlineStr">
        <is>
          <t>SKÅNE LÄN</t>
        </is>
      </c>
      <c r="E3128" t="inlineStr">
        <is>
          <t>ÄNGELHOLM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12162-2023</t>
        </is>
      </c>
      <c r="B3129" s="1" t="n">
        <v>44998.49619212963</v>
      </c>
      <c r="C3129" s="1" t="n">
        <v>45914</v>
      </c>
      <c r="D3129" t="inlineStr">
        <is>
          <t>SKÅNE LÄN</t>
        </is>
      </c>
      <c r="E3129" t="inlineStr">
        <is>
          <t>HÄSSLEHOLM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5190-2024</t>
        </is>
      </c>
      <c r="B3130" s="1" t="n">
        <v>45330</v>
      </c>
      <c r="C3130" s="1" t="n">
        <v>45914</v>
      </c>
      <c r="D3130" t="inlineStr">
        <is>
          <t>SKÅNE LÄN</t>
        </is>
      </c>
      <c r="E3130" t="inlineStr">
        <is>
          <t>SVALÖV</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52838-2024</t>
        </is>
      </c>
      <c r="B3131" s="1" t="n">
        <v>45610</v>
      </c>
      <c r="C3131" s="1" t="n">
        <v>45914</v>
      </c>
      <c r="D3131" t="inlineStr">
        <is>
          <t>SKÅNE LÄN</t>
        </is>
      </c>
      <c r="E3131" t="inlineStr">
        <is>
          <t>KLIPPAN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36912-2025</t>
        </is>
      </c>
      <c r="B3132" s="1" t="n">
        <v>45874.49726851852</v>
      </c>
      <c r="C3132" s="1" t="n">
        <v>45914</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21238-2024</t>
        </is>
      </c>
      <c r="B3133" s="1" t="n">
        <v>45440.58768518519</v>
      </c>
      <c r="C3133" s="1" t="n">
        <v>45914</v>
      </c>
      <c r="D3133" t="inlineStr">
        <is>
          <t>SKÅNE LÄN</t>
        </is>
      </c>
      <c r="E3133" t="inlineStr">
        <is>
          <t>KRISTIANSTAD</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47715-2020</t>
        </is>
      </c>
      <c r="B3134" s="1" t="n">
        <v>44095</v>
      </c>
      <c r="C3134" s="1" t="n">
        <v>45914</v>
      </c>
      <c r="D3134" t="inlineStr">
        <is>
          <t>SKÅNE LÄN</t>
        </is>
      </c>
      <c r="E3134" t="inlineStr">
        <is>
          <t>KRISTIANSTAD</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11105-2025</t>
        </is>
      </c>
      <c r="B3135" s="1" t="n">
        <v>45723</v>
      </c>
      <c r="C3135" s="1" t="n">
        <v>45914</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11121-2025</t>
        </is>
      </c>
      <c r="B3136" s="1" t="n">
        <v>45723.6369675926</v>
      </c>
      <c r="C3136" s="1" t="n">
        <v>45914</v>
      </c>
      <c r="D3136" t="inlineStr">
        <is>
          <t>SKÅNE LÄN</t>
        </is>
      </c>
      <c r="E3136" t="inlineStr">
        <is>
          <t>ÖRKELLJUNGA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32518-2025</t>
        </is>
      </c>
      <c r="B3137" s="1" t="n">
        <v>45838.47916666666</v>
      </c>
      <c r="C3137" s="1" t="n">
        <v>45914</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32592-2025</t>
        </is>
      </c>
      <c r="B3138" s="1" t="n">
        <v>45838.61020833333</v>
      </c>
      <c r="C3138" s="1" t="n">
        <v>45914</v>
      </c>
      <c r="D3138" t="inlineStr">
        <is>
          <t>SKÅNE LÄN</t>
        </is>
      </c>
      <c r="E3138" t="inlineStr">
        <is>
          <t>HÄSSLEHOLM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34175-2025</t>
        </is>
      </c>
      <c r="B3139" s="1" t="n">
        <v>45835</v>
      </c>
      <c r="C3139" s="1" t="n">
        <v>45914</v>
      </c>
      <c r="D3139" t="inlineStr">
        <is>
          <t>SKÅNE LÄN</t>
        </is>
      </c>
      <c r="E3139" t="inlineStr">
        <is>
          <t>ÖSTRA GÖINGE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11422-2025</t>
        </is>
      </c>
      <c r="B3140" s="1" t="n">
        <v>45726</v>
      </c>
      <c r="C3140" s="1" t="n">
        <v>45914</v>
      </c>
      <c r="D3140" t="inlineStr">
        <is>
          <t>SKÅNE LÄN</t>
        </is>
      </c>
      <c r="E3140" t="inlineStr">
        <is>
          <t>HÄSSLEHOLM</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11451-2025</t>
        </is>
      </c>
      <c r="B3141" s="1" t="n">
        <v>45726</v>
      </c>
      <c r="C3141" s="1" t="n">
        <v>45914</v>
      </c>
      <c r="D3141" t="inlineStr">
        <is>
          <t>SKÅNE LÄN</t>
        </is>
      </c>
      <c r="E3141" t="inlineStr">
        <is>
          <t>ÖSTRA GÖINGE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17753-2025</t>
        </is>
      </c>
      <c r="B3142" s="1" t="n">
        <v>45758</v>
      </c>
      <c r="C3142" s="1" t="n">
        <v>45914</v>
      </c>
      <c r="D3142" t="inlineStr">
        <is>
          <t>SKÅNE LÄN</t>
        </is>
      </c>
      <c r="E3142" t="inlineStr">
        <is>
          <t>KRISTIANSTAD</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32520-2025</t>
        </is>
      </c>
      <c r="B3143" s="1" t="n">
        <v>45838.48385416667</v>
      </c>
      <c r="C3143" s="1" t="n">
        <v>45914</v>
      </c>
      <c r="D3143" t="inlineStr">
        <is>
          <t>SKÅNE LÄN</t>
        </is>
      </c>
      <c r="E3143" t="inlineStr">
        <is>
          <t>OSBY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17270-2025</t>
        </is>
      </c>
      <c r="B3144" s="1" t="n">
        <v>45756.5531712963</v>
      </c>
      <c r="C3144" s="1" t="n">
        <v>45914</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30858-2023</t>
        </is>
      </c>
      <c r="B3145" s="1" t="n">
        <v>45112.96149305555</v>
      </c>
      <c r="C3145" s="1" t="n">
        <v>45914</v>
      </c>
      <c r="D3145" t="inlineStr">
        <is>
          <t>SKÅNE LÄN</t>
        </is>
      </c>
      <c r="E3145" t="inlineStr">
        <is>
          <t>KRISTIANSTAD</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13420-2023</t>
        </is>
      </c>
      <c r="B3146" s="1" t="n">
        <v>45005</v>
      </c>
      <c r="C3146" s="1" t="n">
        <v>45914</v>
      </c>
      <c r="D3146" t="inlineStr">
        <is>
          <t>SKÅNE LÄN</t>
        </is>
      </c>
      <c r="E3146" t="inlineStr">
        <is>
          <t>KLIPPAN</t>
        </is>
      </c>
      <c r="F3146" t="inlineStr">
        <is>
          <t>Övriga Aktiebolag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13432-2023</t>
        </is>
      </c>
      <c r="B3147" s="1" t="n">
        <v>45005.61023148148</v>
      </c>
      <c r="C3147" s="1" t="n">
        <v>45914</v>
      </c>
      <c r="D3147" t="inlineStr">
        <is>
          <t>SKÅNE LÄN</t>
        </is>
      </c>
      <c r="E3147" t="inlineStr">
        <is>
          <t>HÖÖR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24034-2023</t>
        </is>
      </c>
      <c r="B3148" s="1" t="n">
        <v>45078.86898148148</v>
      </c>
      <c r="C3148" s="1" t="n">
        <v>45914</v>
      </c>
      <c r="D3148" t="inlineStr">
        <is>
          <t>SKÅNE LÄN</t>
        </is>
      </c>
      <c r="E3148" t="inlineStr">
        <is>
          <t>KLIPPAN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45496-2024</t>
        </is>
      </c>
      <c r="B3149" s="1" t="n">
        <v>45577.79115740741</v>
      </c>
      <c r="C3149" s="1" t="n">
        <v>45914</v>
      </c>
      <c r="D3149" t="inlineStr">
        <is>
          <t>SKÅNE LÄN</t>
        </is>
      </c>
      <c r="E3149" t="inlineStr">
        <is>
          <t>KRISTIANSTAD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38936-2023</t>
        </is>
      </c>
      <c r="B3150" s="1" t="n">
        <v>45163.59946759259</v>
      </c>
      <c r="C3150" s="1" t="n">
        <v>45914</v>
      </c>
      <c r="D3150" t="inlineStr">
        <is>
          <t>SKÅNE LÄN</t>
        </is>
      </c>
      <c r="E3150" t="inlineStr">
        <is>
          <t>PERSTORP</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38945-2023</t>
        </is>
      </c>
      <c r="B3151" s="1" t="n">
        <v>45163.60909722222</v>
      </c>
      <c r="C3151" s="1" t="n">
        <v>45914</v>
      </c>
      <c r="D3151" t="inlineStr">
        <is>
          <t>SKÅNE LÄN</t>
        </is>
      </c>
      <c r="E3151" t="inlineStr">
        <is>
          <t>KLIPPAN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31943-2025</t>
        </is>
      </c>
      <c r="B3152" s="1" t="n">
        <v>45835.31512731482</v>
      </c>
      <c r="C3152" s="1" t="n">
        <v>45914</v>
      </c>
      <c r="D3152" t="inlineStr">
        <is>
          <t>SKÅNE LÄN</t>
        </is>
      </c>
      <c r="E3152" t="inlineStr">
        <is>
          <t>ÖSTRA GÖINGE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576-2024</t>
        </is>
      </c>
      <c r="B3153" s="1" t="n">
        <v>45299</v>
      </c>
      <c r="C3153" s="1" t="n">
        <v>45914</v>
      </c>
      <c r="D3153" t="inlineStr">
        <is>
          <t>SKÅNE LÄN</t>
        </is>
      </c>
      <c r="E3153" t="inlineStr">
        <is>
          <t>BROMÖLLA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18328-2025</t>
        </is>
      </c>
      <c r="B3154" s="1" t="n">
        <v>45762</v>
      </c>
      <c r="C3154" s="1" t="n">
        <v>45914</v>
      </c>
      <c r="D3154" t="inlineStr">
        <is>
          <t>SKÅNE LÄN</t>
        </is>
      </c>
      <c r="E3154" t="inlineStr">
        <is>
          <t>BÅSTAD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24028-2022</t>
        </is>
      </c>
      <c r="B3155" s="1" t="n">
        <v>44723.45247685185</v>
      </c>
      <c r="C3155" s="1" t="n">
        <v>45914</v>
      </c>
      <c r="D3155" t="inlineStr">
        <is>
          <t>SKÅNE LÄN</t>
        </is>
      </c>
      <c r="E3155" t="inlineStr">
        <is>
          <t>ÖSTRA GÖINGE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8478-2025</t>
        </is>
      </c>
      <c r="B3156" s="1" t="n">
        <v>45709.48738425926</v>
      </c>
      <c r="C3156" s="1" t="n">
        <v>45914</v>
      </c>
      <c r="D3156" t="inlineStr">
        <is>
          <t>SKÅNE LÄN</t>
        </is>
      </c>
      <c r="E3156" t="inlineStr">
        <is>
          <t>HÖÖR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33251-2024</t>
        </is>
      </c>
      <c r="B3157" s="1" t="n">
        <v>45518</v>
      </c>
      <c r="C3157" s="1" t="n">
        <v>45914</v>
      </c>
      <c r="D3157" t="inlineStr">
        <is>
          <t>SKÅNE LÄN</t>
        </is>
      </c>
      <c r="E3157" t="inlineStr">
        <is>
          <t>OSBY</t>
        </is>
      </c>
      <c r="F3157" t="inlineStr">
        <is>
          <t>Naturvårdsverket</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57277-2023</t>
        </is>
      </c>
      <c r="B3158" s="1" t="n">
        <v>45245.59104166667</v>
      </c>
      <c r="C3158" s="1" t="n">
        <v>45914</v>
      </c>
      <c r="D3158" t="inlineStr">
        <is>
          <t>SKÅNE LÄN</t>
        </is>
      </c>
      <c r="E3158" t="inlineStr">
        <is>
          <t>HÄSSLEHOLM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18968-2025</t>
        </is>
      </c>
      <c r="B3159" s="1" t="n">
        <v>45764.53686342593</v>
      </c>
      <c r="C3159" s="1" t="n">
        <v>45914</v>
      </c>
      <c r="D3159" t="inlineStr">
        <is>
          <t>SKÅNE LÄN</t>
        </is>
      </c>
      <c r="E3159" t="inlineStr">
        <is>
          <t>KÄVLINGE</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55703-2024</t>
        </is>
      </c>
      <c r="B3160" s="1" t="n">
        <v>45622</v>
      </c>
      <c r="C3160" s="1" t="n">
        <v>45914</v>
      </c>
      <c r="D3160" t="inlineStr">
        <is>
          <t>SKÅNE LÄN</t>
        </is>
      </c>
      <c r="E3160" t="inlineStr">
        <is>
          <t>ÖSTRA GÖINGE</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47594-2020</t>
        </is>
      </c>
      <c r="B3161" s="1" t="n">
        <v>44095</v>
      </c>
      <c r="C3161" s="1" t="n">
        <v>45914</v>
      </c>
      <c r="D3161" t="inlineStr">
        <is>
          <t>SKÅNE LÄN</t>
        </is>
      </c>
      <c r="E3161" t="inlineStr">
        <is>
          <t>KRISTIANSTAD</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788-2024</t>
        </is>
      </c>
      <c r="B3162" s="1" t="n">
        <v>45300.56560185185</v>
      </c>
      <c r="C3162" s="1" t="n">
        <v>45914</v>
      </c>
      <c r="D3162" t="inlineStr">
        <is>
          <t>SKÅNE LÄN</t>
        </is>
      </c>
      <c r="E3162" t="inlineStr">
        <is>
          <t>HÖRBY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22202-2023</t>
        </is>
      </c>
      <c r="B3163" s="1" t="n">
        <v>45069</v>
      </c>
      <c r="C3163" s="1" t="n">
        <v>45914</v>
      </c>
      <c r="D3163" t="inlineStr">
        <is>
          <t>SKÅNE LÄN</t>
        </is>
      </c>
      <c r="E3163" t="inlineStr">
        <is>
          <t>KLIPPAN</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14702-2025</t>
        </is>
      </c>
      <c r="B3164" s="1" t="n">
        <v>45742.60403935185</v>
      </c>
      <c r="C3164" s="1" t="n">
        <v>45914</v>
      </c>
      <c r="D3164" t="inlineStr">
        <is>
          <t>SKÅNE LÄN</t>
        </is>
      </c>
      <c r="E3164" t="inlineStr">
        <is>
          <t>HÄSSLEHOLM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9669-2025</t>
        </is>
      </c>
      <c r="B3165" s="1" t="n">
        <v>45716.32921296296</v>
      </c>
      <c r="C3165" s="1" t="n">
        <v>45914</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2593-2024</t>
        </is>
      </c>
      <c r="B3166" s="1" t="n">
        <v>45313.69204861111</v>
      </c>
      <c r="C3166" s="1" t="n">
        <v>45914</v>
      </c>
      <c r="D3166" t="inlineStr">
        <is>
          <t>SKÅNE LÄN</t>
        </is>
      </c>
      <c r="E3166" t="inlineStr">
        <is>
          <t>HELSINGBORG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6811-2021</t>
        </is>
      </c>
      <c r="B3167" s="1" t="n">
        <v>44236</v>
      </c>
      <c r="C3167" s="1" t="n">
        <v>45914</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55291-2023</t>
        </is>
      </c>
      <c r="B3168" s="1" t="n">
        <v>45237</v>
      </c>
      <c r="C3168" s="1" t="n">
        <v>45914</v>
      </c>
      <c r="D3168" t="inlineStr">
        <is>
          <t>SKÅNE LÄN</t>
        </is>
      </c>
      <c r="E3168" t="inlineStr">
        <is>
          <t>KLIPPAN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2684-2024</t>
        </is>
      </c>
      <c r="B3169" s="1" t="n">
        <v>45314</v>
      </c>
      <c r="C3169" s="1" t="n">
        <v>45914</v>
      </c>
      <c r="D3169" t="inlineStr">
        <is>
          <t>SKÅNE LÄN</t>
        </is>
      </c>
      <c r="E3169" t="inlineStr">
        <is>
          <t>PERSTORP</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55294-2023</t>
        </is>
      </c>
      <c r="B3170" s="1" t="n">
        <v>45237.79225694444</v>
      </c>
      <c r="C3170" s="1" t="n">
        <v>45914</v>
      </c>
      <c r="D3170" t="inlineStr">
        <is>
          <t>SKÅNE LÄN</t>
        </is>
      </c>
      <c r="E3170" t="inlineStr">
        <is>
          <t>OSBY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1492-2024</t>
        </is>
      </c>
      <c r="B3171" s="1" t="n">
        <v>45305.84925925926</v>
      </c>
      <c r="C3171" s="1" t="n">
        <v>45914</v>
      </c>
      <c r="D3171" t="inlineStr">
        <is>
          <t>SKÅNE LÄN</t>
        </is>
      </c>
      <c r="E3171" t="inlineStr">
        <is>
          <t>ÖRKELLJUNGA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1493-2024</t>
        </is>
      </c>
      <c r="B3172" s="1" t="n">
        <v>45305</v>
      </c>
      <c r="C3172" s="1" t="n">
        <v>45914</v>
      </c>
      <c r="D3172" t="inlineStr">
        <is>
          <t>SKÅNE LÄN</t>
        </is>
      </c>
      <c r="E3172" t="inlineStr">
        <is>
          <t>ÖRKELLJUNGA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30925-2022</t>
        </is>
      </c>
      <c r="B3173" s="1" t="n">
        <v>44767</v>
      </c>
      <c r="C3173" s="1" t="n">
        <v>45914</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17731-2025</t>
        </is>
      </c>
      <c r="B3174" s="1" t="n">
        <v>45758</v>
      </c>
      <c r="C3174" s="1" t="n">
        <v>45914</v>
      </c>
      <c r="D3174" t="inlineStr">
        <is>
          <t>SKÅNE LÄN</t>
        </is>
      </c>
      <c r="E3174" t="inlineStr">
        <is>
          <t>SVALÖV</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12038-2025</t>
        </is>
      </c>
      <c r="B3175" s="1" t="n">
        <v>45728.65583333333</v>
      </c>
      <c r="C3175" s="1" t="n">
        <v>45914</v>
      </c>
      <c r="D3175" t="inlineStr">
        <is>
          <t>SKÅNE LÄN</t>
        </is>
      </c>
      <c r="E3175" t="inlineStr">
        <is>
          <t>ÖRKELLJUNGA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6261-2024</t>
        </is>
      </c>
      <c r="B3176" s="1" t="n">
        <v>45337</v>
      </c>
      <c r="C3176" s="1" t="n">
        <v>45914</v>
      </c>
      <c r="D3176" t="inlineStr">
        <is>
          <t>SKÅNE LÄN</t>
        </is>
      </c>
      <c r="E3176" t="inlineStr">
        <is>
          <t>TOMELILLA</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9573-2025</t>
        </is>
      </c>
      <c r="B3177" s="1" t="n">
        <v>45715.62260416667</v>
      </c>
      <c r="C3177" s="1" t="n">
        <v>45914</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9611-2025</t>
        </is>
      </c>
      <c r="B3178" s="1" t="n">
        <v>45715</v>
      </c>
      <c r="C3178" s="1" t="n">
        <v>45914</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28589-2025</t>
        </is>
      </c>
      <c r="B3179" s="1" t="n">
        <v>45819</v>
      </c>
      <c r="C3179" s="1" t="n">
        <v>45914</v>
      </c>
      <c r="D3179" t="inlineStr">
        <is>
          <t>SKÅNE LÄN</t>
        </is>
      </c>
      <c r="E3179" t="inlineStr">
        <is>
          <t>ÖSTRA GÖINGE</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3392-2024</t>
        </is>
      </c>
      <c r="B3180" s="1" t="n">
        <v>45318</v>
      </c>
      <c r="C3180" s="1" t="n">
        <v>45914</v>
      </c>
      <c r="D3180" t="inlineStr">
        <is>
          <t>SKÅNE LÄN</t>
        </is>
      </c>
      <c r="E3180" t="inlineStr">
        <is>
          <t>SIMRISHAMN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59109-2023</t>
        </is>
      </c>
      <c r="B3181" s="1" t="n">
        <v>45253.30819444444</v>
      </c>
      <c r="C3181" s="1" t="n">
        <v>45914</v>
      </c>
      <c r="D3181" t="inlineStr">
        <is>
          <t>SKÅNE LÄN</t>
        </is>
      </c>
      <c r="E3181" t="inlineStr">
        <is>
          <t>HÄSSLEHOLM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1736-2024</t>
        </is>
      </c>
      <c r="B3182" s="1" t="n">
        <v>45307</v>
      </c>
      <c r="C3182" s="1" t="n">
        <v>45914</v>
      </c>
      <c r="D3182" t="inlineStr">
        <is>
          <t>SKÅNE LÄN</t>
        </is>
      </c>
      <c r="E3182" t="inlineStr">
        <is>
          <t>KRISTIANSTAD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6316-2024</t>
        </is>
      </c>
      <c r="B3183" s="1" t="n">
        <v>45338</v>
      </c>
      <c r="C3183" s="1" t="n">
        <v>45914</v>
      </c>
      <c r="D3183" t="inlineStr">
        <is>
          <t>SKÅNE LÄN</t>
        </is>
      </c>
      <c r="E3183" t="inlineStr">
        <is>
          <t>TOMELILLA</t>
        </is>
      </c>
      <c r="F3183" t="inlineStr">
        <is>
          <t>Övriga Aktiebolag</t>
        </is>
      </c>
      <c r="G3183" t="n">
        <v>28.6</v>
      </c>
      <c r="H3183" t="n">
        <v>0</v>
      </c>
      <c r="I3183" t="n">
        <v>0</v>
      </c>
      <c r="J3183" t="n">
        <v>0</v>
      </c>
      <c r="K3183" t="n">
        <v>0</v>
      </c>
      <c r="L3183" t="n">
        <v>0</v>
      </c>
      <c r="M3183" t="n">
        <v>0</v>
      </c>
      <c r="N3183" t="n">
        <v>0</v>
      </c>
      <c r="O3183" t="n">
        <v>0</v>
      </c>
      <c r="P3183" t="n">
        <v>0</v>
      </c>
      <c r="Q3183" t="n">
        <v>0</v>
      </c>
      <c r="R3183" s="2" t="inlineStr"/>
    </row>
    <row r="3184" ht="15" customHeight="1">
      <c r="A3184" t="inlineStr">
        <is>
          <t>A 10711-2024</t>
        </is>
      </c>
      <c r="B3184" s="1" t="n">
        <v>45369.44048611111</v>
      </c>
      <c r="C3184" s="1" t="n">
        <v>45914</v>
      </c>
      <c r="D3184" t="inlineStr">
        <is>
          <t>SKÅNE LÄN</t>
        </is>
      </c>
      <c r="E3184" t="inlineStr">
        <is>
          <t>OSBY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32459-2025</t>
        </is>
      </c>
      <c r="B3185" s="1" t="n">
        <v>45838.41444444445</v>
      </c>
      <c r="C3185" s="1" t="n">
        <v>45914</v>
      </c>
      <c r="D3185" t="inlineStr">
        <is>
          <t>SKÅNE LÄN</t>
        </is>
      </c>
      <c r="E3185" t="inlineStr">
        <is>
          <t>HÖRBY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5136-2023</t>
        </is>
      </c>
      <c r="B3186" s="1" t="n">
        <v>44958</v>
      </c>
      <c r="C3186" s="1" t="n">
        <v>45914</v>
      </c>
      <c r="D3186" t="inlineStr">
        <is>
          <t>SKÅNE LÄN</t>
        </is>
      </c>
      <c r="E3186" t="inlineStr">
        <is>
          <t>ÖSTRA GÖINGE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19880-2024</t>
        </is>
      </c>
      <c r="B3187" s="1" t="n">
        <v>45433</v>
      </c>
      <c r="C3187" s="1" t="n">
        <v>45914</v>
      </c>
      <c r="D3187" t="inlineStr">
        <is>
          <t>SKÅNE LÄN</t>
        </is>
      </c>
      <c r="E3187" t="inlineStr">
        <is>
          <t>SJÖBO</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22410-2024</t>
        </is>
      </c>
      <c r="B3188" s="1" t="n">
        <v>45446</v>
      </c>
      <c r="C3188" s="1" t="n">
        <v>45914</v>
      </c>
      <c r="D3188" t="inlineStr">
        <is>
          <t>SKÅNE LÄN</t>
        </is>
      </c>
      <c r="E3188" t="inlineStr">
        <is>
          <t>ÖRKELLJUNGA</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5284-2023</t>
        </is>
      </c>
      <c r="B3189" s="1" t="n">
        <v>44959.50608796296</v>
      </c>
      <c r="C3189" s="1" t="n">
        <v>45914</v>
      </c>
      <c r="D3189" t="inlineStr">
        <is>
          <t>SKÅNE LÄN</t>
        </is>
      </c>
      <c r="E3189" t="inlineStr">
        <is>
          <t>HÄSSLEHOLM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5285-2023</t>
        </is>
      </c>
      <c r="B3190" s="1" t="n">
        <v>44959.50783564815</v>
      </c>
      <c r="C3190" s="1" t="n">
        <v>45914</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24670-2024</t>
        </is>
      </c>
      <c r="B3191" s="1" t="n">
        <v>45460.58565972222</v>
      </c>
      <c r="C3191" s="1" t="n">
        <v>45914</v>
      </c>
      <c r="D3191" t="inlineStr">
        <is>
          <t>SKÅNE LÄN</t>
        </is>
      </c>
      <c r="E3191" t="inlineStr">
        <is>
          <t>HÖRBY</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17675-2023</t>
        </is>
      </c>
      <c r="B3192" s="1" t="n">
        <v>45035</v>
      </c>
      <c r="C3192" s="1" t="n">
        <v>45914</v>
      </c>
      <c r="D3192" t="inlineStr">
        <is>
          <t>SKÅNE LÄN</t>
        </is>
      </c>
      <c r="E3192" t="inlineStr">
        <is>
          <t>OSBY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62413-2022</t>
        </is>
      </c>
      <c r="B3193" s="1" t="n">
        <v>44923</v>
      </c>
      <c r="C3193" s="1" t="n">
        <v>45914</v>
      </c>
      <c r="D3193" t="inlineStr">
        <is>
          <t>SKÅNE LÄN</t>
        </is>
      </c>
      <c r="E3193" t="inlineStr">
        <is>
          <t>SIMRISHAMN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25508-2023</t>
        </is>
      </c>
      <c r="B3194" s="1" t="n">
        <v>45089</v>
      </c>
      <c r="C3194" s="1" t="n">
        <v>45914</v>
      </c>
      <c r="D3194" t="inlineStr">
        <is>
          <t>SKÅNE LÄN</t>
        </is>
      </c>
      <c r="E3194" t="inlineStr">
        <is>
          <t>ESLÖV</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32488-2025</t>
        </is>
      </c>
      <c r="B3195" s="1" t="n">
        <v>45838</v>
      </c>
      <c r="C3195" s="1" t="n">
        <v>45914</v>
      </c>
      <c r="D3195" t="inlineStr">
        <is>
          <t>SKÅNE LÄN</t>
        </is>
      </c>
      <c r="E3195" t="inlineStr">
        <is>
          <t>SIMRISHAMN</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3157-2023</t>
        </is>
      </c>
      <c r="B3196" s="1" t="n">
        <v>44946.56505787037</v>
      </c>
      <c r="C3196" s="1" t="n">
        <v>45914</v>
      </c>
      <c r="D3196" t="inlineStr">
        <is>
          <t>SKÅNE LÄN</t>
        </is>
      </c>
      <c r="E3196" t="inlineStr">
        <is>
          <t>ÖSTRA GÖINGE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58747-2024</t>
        </is>
      </c>
      <c r="B3197" s="1" t="n">
        <v>45635.71258101852</v>
      </c>
      <c r="C3197" s="1" t="n">
        <v>45914</v>
      </c>
      <c r="D3197" t="inlineStr">
        <is>
          <t>SKÅNE LÄN</t>
        </is>
      </c>
      <c r="E3197" t="inlineStr">
        <is>
          <t>OSBY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58888-2024</t>
        </is>
      </c>
      <c r="B3198" s="1" t="n">
        <v>45636.45962962963</v>
      </c>
      <c r="C3198" s="1" t="n">
        <v>45914</v>
      </c>
      <c r="D3198" t="inlineStr">
        <is>
          <t>SKÅNE LÄN</t>
        </is>
      </c>
      <c r="E3198" t="inlineStr">
        <is>
          <t>HÄSSLEHOLM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19380-2021</t>
        </is>
      </c>
      <c r="B3199" s="1" t="n">
        <v>44309</v>
      </c>
      <c r="C3199" s="1" t="n">
        <v>45914</v>
      </c>
      <c r="D3199" t="inlineStr">
        <is>
          <t>SKÅNE LÄN</t>
        </is>
      </c>
      <c r="E3199" t="inlineStr">
        <is>
          <t>HÖÖR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45914</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45914</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45914</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49073-2024</t>
        </is>
      </c>
      <c r="B3203" s="1" t="n">
        <v>45594.61548611111</v>
      </c>
      <c r="C3203" s="1" t="n">
        <v>45914</v>
      </c>
      <c r="D3203" t="inlineStr">
        <is>
          <t>SKÅNE LÄN</t>
        </is>
      </c>
      <c r="E3203" t="inlineStr">
        <is>
          <t>KLIPPAN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15886-2025</t>
        </is>
      </c>
      <c r="B3204" s="1" t="n">
        <v>45749.39572916667</v>
      </c>
      <c r="C3204" s="1" t="n">
        <v>45914</v>
      </c>
      <c r="D3204" t="inlineStr">
        <is>
          <t>SKÅNE LÄN</t>
        </is>
      </c>
      <c r="E3204" t="inlineStr">
        <is>
          <t>OSBY</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5131-2023</t>
        </is>
      </c>
      <c r="B3205" s="1" t="n">
        <v>44958.74996527778</v>
      </c>
      <c r="C3205" s="1" t="n">
        <v>45914</v>
      </c>
      <c r="D3205" t="inlineStr">
        <is>
          <t>SKÅNE LÄN</t>
        </is>
      </c>
      <c r="E3205" t="inlineStr">
        <is>
          <t>ÖSTRA GÖINGE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5138-2023</t>
        </is>
      </c>
      <c r="B3206" s="1" t="n">
        <v>44958.88269675926</v>
      </c>
      <c r="C3206" s="1" t="n">
        <v>45914</v>
      </c>
      <c r="D3206" t="inlineStr">
        <is>
          <t>SKÅNE LÄN</t>
        </is>
      </c>
      <c r="E3206" t="inlineStr">
        <is>
          <t>ÖSTRA GÖINGE</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57272-2023</t>
        </is>
      </c>
      <c r="B3207" s="1" t="n">
        <v>45245</v>
      </c>
      <c r="C3207" s="1" t="n">
        <v>45914</v>
      </c>
      <c r="D3207" t="inlineStr">
        <is>
          <t>SKÅNE LÄN</t>
        </is>
      </c>
      <c r="E3207" t="inlineStr">
        <is>
          <t>HÄSSLEHOLM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1199-2024</t>
        </is>
      </c>
      <c r="B3208" s="1" t="n">
        <v>45302</v>
      </c>
      <c r="C3208" s="1" t="n">
        <v>45914</v>
      </c>
      <c r="D3208" t="inlineStr">
        <is>
          <t>SKÅNE LÄN</t>
        </is>
      </c>
      <c r="E3208" t="inlineStr">
        <is>
          <t>TOMELILLA</t>
        </is>
      </c>
      <c r="F3208" t="inlineStr">
        <is>
          <t>Övriga Aktiebolag</t>
        </is>
      </c>
      <c r="G3208" t="n">
        <v>16.1</v>
      </c>
      <c r="H3208" t="n">
        <v>0</v>
      </c>
      <c r="I3208" t="n">
        <v>0</v>
      </c>
      <c r="J3208" t="n">
        <v>0</v>
      </c>
      <c r="K3208" t="n">
        <v>0</v>
      </c>
      <c r="L3208" t="n">
        <v>0</v>
      </c>
      <c r="M3208" t="n">
        <v>0</v>
      </c>
      <c r="N3208" t="n">
        <v>0</v>
      </c>
      <c r="O3208" t="n">
        <v>0</v>
      </c>
      <c r="P3208" t="n">
        <v>0</v>
      </c>
      <c r="Q3208" t="n">
        <v>0</v>
      </c>
      <c r="R3208" s="2" t="inlineStr"/>
    </row>
    <row r="3209" ht="15" customHeight="1">
      <c r="A3209" t="inlineStr">
        <is>
          <t>A 35491-2021</t>
        </is>
      </c>
      <c r="B3209" s="1" t="n">
        <v>44385</v>
      </c>
      <c r="C3209" s="1" t="n">
        <v>45914</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3782-2024</t>
        </is>
      </c>
      <c r="B3210" s="1" t="n">
        <v>45321</v>
      </c>
      <c r="C3210" s="1" t="n">
        <v>45914</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48693-2022</t>
        </is>
      </c>
      <c r="B3211" s="1" t="n">
        <v>44855</v>
      </c>
      <c r="C3211" s="1" t="n">
        <v>45914</v>
      </c>
      <c r="D3211" t="inlineStr">
        <is>
          <t>SKÅNE LÄN</t>
        </is>
      </c>
      <c r="E3211" t="inlineStr">
        <is>
          <t>KRISTIANSTAD</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29285-2025</t>
        </is>
      </c>
      <c r="B3212" s="1" t="n">
        <v>45824</v>
      </c>
      <c r="C3212" s="1" t="n">
        <v>45914</v>
      </c>
      <c r="D3212" t="inlineStr">
        <is>
          <t>SKÅNE LÄN</t>
        </is>
      </c>
      <c r="E3212" t="inlineStr">
        <is>
          <t>HÖÖR</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6533-2024</t>
        </is>
      </c>
      <c r="B3213" s="1" t="n">
        <v>45341.38024305556</v>
      </c>
      <c r="C3213" s="1" t="n">
        <v>45914</v>
      </c>
      <c r="D3213" t="inlineStr">
        <is>
          <t>SKÅNE LÄN</t>
        </is>
      </c>
      <c r="E3213" t="inlineStr">
        <is>
          <t>HÖRBY</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2364-2024</t>
        </is>
      </c>
      <c r="B3214" s="1" t="n">
        <v>45310</v>
      </c>
      <c r="C3214" s="1" t="n">
        <v>45914</v>
      </c>
      <c r="D3214" t="inlineStr">
        <is>
          <t>SKÅNE LÄN</t>
        </is>
      </c>
      <c r="E3214" t="inlineStr">
        <is>
          <t>ÖSTRA GÖINGE</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2479-2024</t>
        </is>
      </c>
      <c r="B3215" s="1" t="n">
        <v>45313.40148148148</v>
      </c>
      <c r="C3215" s="1" t="n">
        <v>45914</v>
      </c>
      <c r="D3215" t="inlineStr">
        <is>
          <t>SKÅNE LÄN</t>
        </is>
      </c>
      <c r="E3215" t="inlineStr">
        <is>
          <t>HÄSSLEHOLM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55049-2023</t>
        </is>
      </c>
      <c r="B3216" s="1" t="n">
        <v>45237</v>
      </c>
      <c r="C3216" s="1" t="n">
        <v>45914</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27613-2024</t>
        </is>
      </c>
      <c r="B3217" s="1" t="n">
        <v>45474</v>
      </c>
      <c r="C3217" s="1" t="n">
        <v>45914</v>
      </c>
      <c r="D3217" t="inlineStr">
        <is>
          <t>SKÅNE LÄN</t>
        </is>
      </c>
      <c r="E3217" t="inlineStr">
        <is>
          <t>KRISTIANSTAD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62293-2022</t>
        </is>
      </c>
      <c r="B3218" s="1" t="n">
        <v>44923</v>
      </c>
      <c r="C3218" s="1" t="n">
        <v>45914</v>
      </c>
      <c r="D3218" t="inlineStr">
        <is>
          <t>SKÅNE LÄN</t>
        </is>
      </c>
      <c r="E3218" t="inlineStr">
        <is>
          <t>PERSTORP</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62296-2022</t>
        </is>
      </c>
      <c r="B3219" s="1" t="n">
        <v>44923.43637731481</v>
      </c>
      <c r="C3219" s="1" t="n">
        <v>45914</v>
      </c>
      <c r="D3219" t="inlineStr">
        <is>
          <t>SKÅNE LÄN</t>
        </is>
      </c>
      <c r="E3219" t="inlineStr">
        <is>
          <t>PERSTORP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32981-2025</t>
        </is>
      </c>
      <c r="B3220" s="1" t="n">
        <v>45839.86820601852</v>
      </c>
      <c r="C3220" s="1" t="n">
        <v>45914</v>
      </c>
      <c r="D3220" t="inlineStr">
        <is>
          <t>SKÅNE LÄN</t>
        </is>
      </c>
      <c r="E3220" t="inlineStr">
        <is>
          <t>HÄSSLEHOLM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6165-2023</t>
        </is>
      </c>
      <c r="B3221" s="1" t="n">
        <v>44964.67114583333</v>
      </c>
      <c r="C3221" s="1" t="n">
        <v>45914</v>
      </c>
      <c r="D3221" t="inlineStr">
        <is>
          <t>SKÅNE LÄN</t>
        </is>
      </c>
      <c r="E3221" t="inlineStr">
        <is>
          <t>HÄSSLEHOLM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52057-2021</t>
        </is>
      </c>
      <c r="B3222" s="1" t="n">
        <v>44463</v>
      </c>
      <c r="C3222" s="1" t="n">
        <v>45914</v>
      </c>
      <c r="D3222" t="inlineStr">
        <is>
          <t>SKÅNE LÄN</t>
        </is>
      </c>
      <c r="E3222" t="inlineStr">
        <is>
          <t>KRISTIANSTAD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9686-2023</t>
        </is>
      </c>
      <c r="B3223" s="1" t="n">
        <v>44984</v>
      </c>
      <c r="C3223" s="1" t="n">
        <v>45914</v>
      </c>
      <c r="D3223" t="inlineStr">
        <is>
          <t>SKÅNE LÄN</t>
        </is>
      </c>
      <c r="E3223" t="inlineStr">
        <is>
          <t>ESLÖV</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31160-2024</t>
        </is>
      </c>
      <c r="B3224" s="1" t="n">
        <v>45503</v>
      </c>
      <c r="C3224" s="1" t="n">
        <v>45914</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8876-2024</t>
        </is>
      </c>
      <c r="B3225" s="1" t="n">
        <v>45356.97445601852</v>
      </c>
      <c r="C3225" s="1" t="n">
        <v>45914</v>
      </c>
      <c r="D3225" t="inlineStr">
        <is>
          <t>SKÅNE LÄN</t>
        </is>
      </c>
      <c r="E3225" t="inlineStr">
        <is>
          <t>KRISTIANSTAD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11970-2023</t>
        </is>
      </c>
      <c r="B3226" s="1" t="n">
        <v>44995.57435185185</v>
      </c>
      <c r="C3226" s="1" t="n">
        <v>45914</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5141-2024</t>
        </is>
      </c>
      <c r="B3227" s="1" t="n">
        <v>45330</v>
      </c>
      <c r="C3227" s="1" t="n">
        <v>45914</v>
      </c>
      <c r="D3227" t="inlineStr">
        <is>
          <t>SKÅNE LÄN</t>
        </is>
      </c>
      <c r="E3227" t="inlineStr">
        <is>
          <t>KLIPPAN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16017-2023</t>
        </is>
      </c>
      <c r="B3228" s="1" t="n">
        <v>45026</v>
      </c>
      <c r="C3228" s="1" t="n">
        <v>45914</v>
      </c>
      <c r="D3228" t="inlineStr">
        <is>
          <t>SKÅNE LÄN</t>
        </is>
      </c>
      <c r="E3228" t="inlineStr">
        <is>
          <t>HÄSSLEHOLM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31989-2024</t>
        </is>
      </c>
      <c r="B3229" s="1" t="n">
        <v>45510.58085648148</v>
      </c>
      <c r="C3229" s="1" t="n">
        <v>45914</v>
      </c>
      <c r="D3229" t="inlineStr">
        <is>
          <t>SKÅNE LÄN</t>
        </is>
      </c>
      <c r="E3229" t="inlineStr">
        <is>
          <t>HÄSSLEHOLM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53848-2023</t>
        </is>
      </c>
      <c r="B3230" s="1" t="n">
        <v>45231</v>
      </c>
      <c r="C3230" s="1" t="n">
        <v>45914</v>
      </c>
      <c r="D3230" t="inlineStr">
        <is>
          <t>SKÅNE LÄN</t>
        </is>
      </c>
      <c r="E3230" t="inlineStr">
        <is>
          <t>HÖÖR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24164-2023</t>
        </is>
      </c>
      <c r="B3231" s="1" t="n">
        <v>45079</v>
      </c>
      <c r="C3231" s="1" t="n">
        <v>45914</v>
      </c>
      <c r="D3231" t="inlineStr">
        <is>
          <t>SKÅNE LÄN</t>
        </is>
      </c>
      <c r="E3231" t="inlineStr">
        <is>
          <t>KRISTIANSTAD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35640-2023</t>
        </is>
      </c>
      <c r="B3232" s="1" t="n">
        <v>45147</v>
      </c>
      <c r="C3232" s="1" t="n">
        <v>45914</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6755-2022</t>
        </is>
      </c>
      <c r="B3233" s="1" t="n">
        <v>44602</v>
      </c>
      <c r="C3233" s="1" t="n">
        <v>45914</v>
      </c>
      <c r="D3233" t="inlineStr">
        <is>
          <t>SKÅNE LÄN</t>
        </is>
      </c>
      <c r="E3233" t="inlineStr">
        <is>
          <t>OSBY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39898-2023</t>
        </is>
      </c>
      <c r="B3234" s="1" t="n">
        <v>45166</v>
      </c>
      <c r="C3234" s="1" t="n">
        <v>45914</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23396-2023</t>
        </is>
      </c>
      <c r="B3235" s="1" t="n">
        <v>45076</v>
      </c>
      <c r="C3235" s="1" t="n">
        <v>45914</v>
      </c>
      <c r="D3235" t="inlineStr">
        <is>
          <t>SKÅNE LÄN</t>
        </is>
      </c>
      <c r="E3235" t="inlineStr">
        <is>
          <t>ÖSTRA GÖINGE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48771-2024</t>
        </is>
      </c>
      <c r="B3236" s="1" t="n">
        <v>45593.61284722222</v>
      </c>
      <c r="C3236" s="1" t="n">
        <v>45914</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24241-2023</t>
        </is>
      </c>
      <c r="B3237" s="1" t="n">
        <v>45079.61476851852</v>
      </c>
      <c r="C3237" s="1" t="n">
        <v>45914</v>
      </c>
      <c r="D3237" t="inlineStr">
        <is>
          <t>SKÅNE LÄN</t>
        </is>
      </c>
      <c r="E3237" t="inlineStr">
        <is>
          <t>HÄSSLEHOLM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7333-2025</t>
        </is>
      </c>
      <c r="B3238" s="1" t="n">
        <v>45703.35899305555</v>
      </c>
      <c r="C3238" s="1" t="n">
        <v>45914</v>
      </c>
      <c r="D3238" t="inlineStr">
        <is>
          <t>SKÅNE LÄN</t>
        </is>
      </c>
      <c r="E3238" t="inlineStr">
        <is>
          <t>HELSINGBORG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23987-2024</t>
        </is>
      </c>
      <c r="B3239" s="1" t="n">
        <v>45456</v>
      </c>
      <c r="C3239" s="1" t="n">
        <v>45914</v>
      </c>
      <c r="D3239" t="inlineStr">
        <is>
          <t>SKÅNE LÄN</t>
        </is>
      </c>
      <c r="E3239" t="inlineStr">
        <is>
          <t>HÄSSLEHOLM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1943-2025</t>
        </is>
      </c>
      <c r="B3240" s="1" t="n">
        <v>45672</v>
      </c>
      <c r="C3240" s="1" t="n">
        <v>45914</v>
      </c>
      <c r="D3240" t="inlineStr">
        <is>
          <t>SKÅNE LÄN</t>
        </is>
      </c>
      <c r="E3240" t="inlineStr">
        <is>
          <t>KRISTIANSTAD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19739-2023</t>
        </is>
      </c>
      <c r="B3241" s="1" t="n">
        <v>45051</v>
      </c>
      <c r="C3241" s="1" t="n">
        <v>45914</v>
      </c>
      <c r="D3241" t="inlineStr">
        <is>
          <t>SKÅNE LÄN</t>
        </is>
      </c>
      <c r="E3241" t="inlineStr">
        <is>
          <t>HÄSSLEHOLM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1886-2025</t>
        </is>
      </c>
      <c r="B3242" s="1" t="n">
        <v>45671</v>
      </c>
      <c r="C3242" s="1" t="n">
        <v>45914</v>
      </c>
      <c r="D3242" t="inlineStr">
        <is>
          <t>SKÅNE LÄN</t>
        </is>
      </c>
      <c r="E3242" t="inlineStr">
        <is>
          <t>HÄSSLEHOLM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59246-2024</t>
        </is>
      </c>
      <c r="B3243" s="1" t="n">
        <v>45636</v>
      </c>
      <c r="C3243" s="1" t="n">
        <v>45914</v>
      </c>
      <c r="D3243" t="inlineStr">
        <is>
          <t>SKÅNE LÄN</t>
        </is>
      </c>
      <c r="E3243" t="inlineStr">
        <is>
          <t>HÄSSLEHOLM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14442-2023</t>
        </is>
      </c>
      <c r="B3244" s="1" t="n">
        <v>45012</v>
      </c>
      <c r="C3244" s="1" t="n">
        <v>45914</v>
      </c>
      <c r="D3244" t="inlineStr">
        <is>
          <t>SKÅNE LÄN</t>
        </is>
      </c>
      <c r="E3244" t="inlineStr">
        <is>
          <t>KRISTIANSTAD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14515-2023</t>
        </is>
      </c>
      <c r="B3245" s="1" t="n">
        <v>45012</v>
      </c>
      <c r="C3245" s="1" t="n">
        <v>45914</v>
      </c>
      <c r="D3245" t="inlineStr">
        <is>
          <t>SKÅNE LÄN</t>
        </is>
      </c>
      <c r="E3245" t="inlineStr">
        <is>
          <t>HÖÖR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13429-2023</t>
        </is>
      </c>
      <c r="B3246" s="1" t="n">
        <v>45005.60744212963</v>
      </c>
      <c r="C3246" s="1" t="n">
        <v>45914</v>
      </c>
      <c r="D3246" t="inlineStr">
        <is>
          <t>SKÅNE LÄN</t>
        </is>
      </c>
      <c r="E3246" t="inlineStr">
        <is>
          <t>HÖÖR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27237-2024</t>
        </is>
      </c>
      <c r="B3247" s="1" t="n">
        <v>45471</v>
      </c>
      <c r="C3247" s="1" t="n">
        <v>45914</v>
      </c>
      <c r="D3247" t="inlineStr">
        <is>
          <t>SKÅNE LÄN</t>
        </is>
      </c>
      <c r="E3247" t="inlineStr">
        <is>
          <t>SJÖBO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50664-2023</t>
        </is>
      </c>
      <c r="B3248" s="1" t="n">
        <v>45217</v>
      </c>
      <c r="C3248" s="1" t="n">
        <v>45914</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56490-2021</t>
        </is>
      </c>
      <c r="B3249" s="1" t="n">
        <v>44480</v>
      </c>
      <c r="C3249" s="1" t="n">
        <v>45914</v>
      </c>
      <c r="D3249" t="inlineStr">
        <is>
          <t>SKÅNE LÄN</t>
        </is>
      </c>
      <c r="E3249" t="inlineStr">
        <is>
          <t>HÄSSLEHOLM</t>
        </is>
      </c>
      <c r="F3249" t="inlineStr">
        <is>
          <t>Kyrkan</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42387-2022</t>
        </is>
      </c>
      <c r="B3250" s="1" t="n">
        <v>44830</v>
      </c>
      <c r="C3250" s="1" t="n">
        <v>45914</v>
      </c>
      <c r="D3250" t="inlineStr">
        <is>
          <t>SKÅNE LÄN</t>
        </is>
      </c>
      <c r="E3250" t="inlineStr">
        <is>
          <t>TOMELILLA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417-2022</t>
        </is>
      </c>
      <c r="B3251" s="1" t="n">
        <v>44565.84615740741</v>
      </c>
      <c r="C3251" s="1" t="n">
        <v>45914</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61934-2023</t>
        </is>
      </c>
      <c r="B3252" s="1" t="n">
        <v>45266.54125</v>
      </c>
      <c r="C3252" s="1" t="n">
        <v>45914</v>
      </c>
      <c r="D3252" t="inlineStr">
        <is>
          <t>SKÅNE LÄN</t>
        </is>
      </c>
      <c r="E3252" t="inlineStr">
        <is>
          <t>HÄSSLEHOLM</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15157-2023</t>
        </is>
      </c>
      <c r="B3253" s="1" t="n">
        <v>45016</v>
      </c>
      <c r="C3253" s="1" t="n">
        <v>45914</v>
      </c>
      <c r="D3253" t="inlineStr">
        <is>
          <t>SKÅNE LÄN</t>
        </is>
      </c>
      <c r="E3253" t="inlineStr">
        <is>
          <t>SVALÖV</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12855-2023</t>
        </is>
      </c>
      <c r="B3254" s="1" t="n">
        <v>45001</v>
      </c>
      <c r="C3254" s="1" t="n">
        <v>45914</v>
      </c>
      <c r="D3254" t="inlineStr">
        <is>
          <t>SKÅNE LÄN</t>
        </is>
      </c>
      <c r="E3254" t="inlineStr">
        <is>
          <t>HÖÖR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41459-2022</t>
        </is>
      </c>
      <c r="B3255" s="1" t="n">
        <v>44826.93372685185</v>
      </c>
      <c r="C3255" s="1" t="n">
        <v>45914</v>
      </c>
      <c r="D3255" t="inlineStr">
        <is>
          <t>SKÅNE LÄN</t>
        </is>
      </c>
      <c r="E3255" t="inlineStr">
        <is>
          <t>HÄSSLEHOLM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23666-2023</t>
        </is>
      </c>
      <c r="B3256" s="1" t="n">
        <v>45077</v>
      </c>
      <c r="C3256" s="1" t="n">
        <v>45914</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23673-2023</t>
        </is>
      </c>
      <c r="B3257" s="1" t="n">
        <v>45077.59108796297</v>
      </c>
      <c r="C3257" s="1" t="n">
        <v>45914</v>
      </c>
      <c r="D3257" t="inlineStr">
        <is>
          <t>SKÅNE LÄN</t>
        </is>
      </c>
      <c r="E3257" t="inlineStr">
        <is>
          <t>KRISTIANSTAD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23674-2023</t>
        </is>
      </c>
      <c r="B3258" s="1" t="n">
        <v>45077</v>
      </c>
      <c r="C3258" s="1" t="n">
        <v>45914</v>
      </c>
      <c r="D3258" t="inlineStr">
        <is>
          <t>SKÅNE LÄN</t>
        </is>
      </c>
      <c r="E3258" t="inlineStr">
        <is>
          <t>KRISTIANSTAD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35024-2023</t>
        </is>
      </c>
      <c r="B3259" s="1" t="n">
        <v>45144.55350694444</v>
      </c>
      <c r="C3259" s="1" t="n">
        <v>45914</v>
      </c>
      <c r="D3259" t="inlineStr">
        <is>
          <t>SKÅNE LÄN</t>
        </is>
      </c>
      <c r="E3259" t="inlineStr">
        <is>
          <t>KRISTIANSTAD</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50380-2023</t>
        </is>
      </c>
      <c r="B3260" s="1" t="n">
        <v>45216.62342592593</v>
      </c>
      <c r="C3260" s="1" t="n">
        <v>45914</v>
      </c>
      <c r="D3260" t="inlineStr">
        <is>
          <t>SKÅNE LÄN</t>
        </is>
      </c>
      <c r="E3260" t="inlineStr">
        <is>
          <t>OSBY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20717-2023</t>
        </is>
      </c>
      <c r="B3261" s="1" t="n">
        <v>45055</v>
      </c>
      <c r="C3261" s="1" t="n">
        <v>45914</v>
      </c>
      <c r="D3261" t="inlineStr">
        <is>
          <t>SKÅNE LÄN</t>
        </is>
      </c>
      <c r="E3261" t="inlineStr">
        <is>
          <t>KLIPPAN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35237-2023</t>
        </is>
      </c>
      <c r="B3262" s="1" t="n">
        <v>45145.74532407407</v>
      </c>
      <c r="C3262" s="1" t="n">
        <v>45914</v>
      </c>
      <c r="D3262" t="inlineStr">
        <is>
          <t>SKÅNE LÄN</t>
        </is>
      </c>
      <c r="E3262" t="inlineStr">
        <is>
          <t>HÄSSLEHOLM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19151-2023</t>
        </is>
      </c>
      <c r="B3263" s="1" t="n">
        <v>45044</v>
      </c>
      <c r="C3263" s="1" t="n">
        <v>45914</v>
      </c>
      <c r="D3263" t="inlineStr">
        <is>
          <t>SKÅNE LÄN</t>
        </is>
      </c>
      <c r="E3263" t="inlineStr">
        <is>
          <t>HÄSSLEHOLM</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10379-2024</t>
        </is>
      </c>
      <c r="B3264" s="1" t="n">
        <v>45365.64063657408</v>
      </c>
      <c r="C3264" s="1" t="n">
        <v>45914</v>
      </c>
      <c r="D3264" t="inlineStr">
        <is>
          <t>SKÅNE LÄN</t>
        </is>
      </c>
      <c r="E3264" t="inlineStr">
        <is>
          <t>ÖRKELLJUNGA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1169-2023</t>
        </is>
      </c>
      <c r="B3265" s="1" t="n">
        <v>44935.67930555555</v>
      </c>
      <c r="C3265" s="1" t="n">
        <v>45914</v>
      </c>
      <c r="D3265" t="inlineStr">
        <is>
          <t>SKÅNE LÄN</t>
        </is>
      </c>
      <c r="E3265" t="inlineStr">
        <is>
          <t>ÖSTRA GÖINGE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54658-2023</t>
        </is>
      </c>
      <c r="B3266" s="1" t="n">
        <v>45235</v>
      </c>
      <c r="C3266" s="1" t="n">
        <v>45914</v>
      </c>
      <c r="D3266" t="inlineStr">
        <is>
          <t>SKÅNE LÄN</t>
        </is>
      </c>
      <c r="E3266" t="inlineStr">
        <is>
          <t>HÄSSLEHOLM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54661-2023</t>
        </is>
      </c>
      <c r="B3267" s="1" t="n">
        <v>45235.61505787037</v>
      </c>
      <c r="C3267" s="1" t="n">
        <v>45914</v>
      </c>
      <c r="D3267" t="inlineStr">
        <is>
          <t>SKÅNE LÄN</t>
        </is>
      </c>
      <c r="E3267" t="inlineStr">
        <is>
          <t>ÖRKELLJUNGA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32021-2023</t>
        </is>
      </c>
      <c r="B3268" s="1" t="n">
        <v>45119</v>
      </c>
      <c r="C3268" s="1" t="n">
        <v>45914</v>
      </c>
      <c r="D3268" t="inlineStr">
        <is>
          <t>SKÅNE LÄN</t>
        </is>
      </c>
      <c r="E3268" t="inlineStr">
        <is>
          <t>KRISTIANSTAD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5476-2021</t>
        </is>
      </c>
      <c r="B3269" s="1" t="n">
        <v>44230</v>
      </c>
      <c r="C3269" s="1" t="n">
        <v>45914</v>
      </c>
      <c r="D3269" t="inlineStr">
        <is>
          <t>SKÅNE LÄN</t>
        </is>
      </c>
      <c r="E3269" t="inlineStr">
        <is>
          <t>HÄSSLEHOLM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11150-2023</t>
        </is>
      </c>
      <c r="B3270" s="1" t="n">
        <v>44992</v>
      </c>
      <c r="C3270" s="1" t="n">
        <v>45914</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843-2024</t>
        </is>
      </c>
      <c r="B3271" s="1" t="n">
        <v>45300</v>
      </c>
      <c r="C3271" s="1" t="n">
        <v>45914</v>
      </c>
      <c r="D3271" t="inlineStr">
        <is>
          <t>SKÅNE LÄN</t>
        </is>
      </c>
      <c r="E3271" t="inlineStr">
        <is>
          <t>SKURUP</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844-2024</t>
        </is>
      </c>
      <c r="B3272" s="1" t="n">
        <v>45300</v>
      </c>
      <c r="C3272" s="1" t="n">
        <v>45914</v>
      </c>
      <c r="D3272" t="inlineStr">
        <is>
          <t>SKÅNE LÄN</t>
        </is>
      </c>
      <c r="E3272" t="inlineStr">
        <is>
          <t>SKURUP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31802-2023</t>
        </is>
      </c>
      <c r="B3273" s="1" t="n">
        <v>45106</v>
      </c>
      <c r="C3273" s="1" t="n">
        <v>45914</v>
      </c>
      <c r="D3273" t="inlineStr">
        <is>
          <t>SKÅNE LÄN</t>
        </is>
      </c>
      <c r="E3273" t="inlineStr">
        <is>
          <t>PERSTORP</t>
        </is>
      </c>
      <c r="F3273" t="inlineStr">
        <is>
          <t>Övriga Aktiebolag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31847-2023</t>
        </is>
      </c>
      <c r="B3274" s="1" t="n">
        <v>45106</v>
      </c>
      <c r="C3274" s="1" t="n">
        <v>45914</v>
      </c>
      <c r="D3274" t="inlineStr">
        <is>
          <t>SKÅNE LÄN</t>
        </is>
      </c>
      <c r="E3274" t="inlineStr">
        <is>
          <t>KRISTIANSTAD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56759-2023</t>
        </is>
      </c>
      <c r="B3275" s="1" t="n">
        <v>45238</v>
      </c>
      <c r="C3275" s="1" t="n">
        <v>45914</v>
      </c>
      <c r="D3275" t="inlineStr">
        <is>
          <t>SKÅNE LÄN</t>
        </is>
      </c>
      <c r="E3275" t="inlineStr">
        <is>
          <t>KLIPPAN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42370-2023</t>
        </is>
      </c>
      <c r="B3276" s="1" t="n">
        <v>45180</v>
      </c>
      <c r="C3276" s="1" t="n">
        <v>45914</v>
      </c>
      <c r="D3276" t="inlineStr">
        <is>
          <t>SKÅNE LÄN</t>
        </is>
      </c>
      <c r="E3276" t="inlineStr">
        <is>
          <t>HÄSSLEHOLM</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33037-2025</t>
        </is>
      </c>
      <c r="B3277" s="1" t="n">
        <v>45840.39623842593</v>
      </c>
      <c r="C3277" s="1" t="n">
        <v>45914</v>
      </c>
      <c r="D3277" t="inlineStr">
        <is>
          <t>SKÅNE LÄN</t>
        </is>
      </c>
      <c r="E3277" t="inlineStr">
        <is>
          <t>TRELLEBORG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63681-2023</t>
        </is>
      </c>
      <c r="B3278" s="1" t="n">
        <v>45275.6518287037</v>
      </c>
      <c r="C3278" s="1" t="n">
        <v>45914</v>
      </c>
      <c r="D3278" t="inlineStr">
        <is>
          <t>SKÅNE LÄN</t>
        </is>
      </c>
      <c r="E3278" t="inlineStr">
        <is>
          <t>KRISTIANSTAD</t>
        </is>
      </c>
      <c r="F3278" t="inlineStr">
        <is>
          <t>Sveaskog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6081-2023</t>
        </is>
      </c>
      <c r="B3279" s="1" t="n">
        <v>44959</v>
      </c>
      <c r="C3279" s="1" t="n">
        <v>45914</v>
      </c>
      <c r="D3279" t="inlineStr">
        <is>
          <t>SKÅNE LÄN</t>
        </is>
      </c>
      <c r="E3279" t="inlineStr">
        <is>
          <t>HÖRBY</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37778-2025</t>
        </is>
      </c>
      <c r="B3280" s="1" t="n">
        <v>45880</v>
      </c>
      <c r="C3280" s="1" t="n">
        <v>45914</v>
      </c>
      <c r="D3280" t="inlineStr">
        <is>
          <t>SKÅNE LÄN</t>
        </is>
      </c>
      <c r="E3280" t="inlineStr">
        <is>
          <t>ÖRKELLJUNGA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260-2024</t>
        </is>
      </c>
      <c r="B3281" s="1" t="n">
        <v>45294</v>
      </c>
      <c r="C3281" s="1" t="n">
        <v>45914</v>
      </c>
      <c r="D3281" t="inlineStr">
        <is>
          <t>SKÅNE LÄN</t>
        </is>
      </c>
      <c r="E3281" t="inlineStr">
        <is>
          <t>HÄSSLEHOLM</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8455-2024</t>
        </is>
      </c>
      <c r="B3282" s="1" t="n">
        <v>45354</v>
      </c>
      <c r="C3282" s="1" t="n">
        <v>45914</v>
      </c>
      <c r="D3282" t="inlineStr">
        <is>
          <t>SKÅNE LÄN</t>
        </is>
      </c>
      <c r="E3282" t="inlineStr">
        <is>
          <t>TOMELILLA</t>
        </is>
      </c>
      <c r="F3282" t="inlineStr">
        <is>
          <t>Övriga Aktiebolag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27538-2021</t>
        </is>
      </c>
      <c r="B3283" s="1" t="n">
        <v>44351.67984953704</v>
      </c>
      <c r="C3283" s="1" t="n">
        <v>45914</v>
      </c>
      <c r="D3283" t="inlineStr">
        <is>
          <t>SKÅNE LÄN</t>
        </is>
      </c>
      <c r="E3283" t="inlineStr">
        <is>
          <t>KLIPPAN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45092-2024</t>
        </is>
      </c>
      <c r="B3284" s="1" t="n">
        <v>45575.5844212963</v>
      </c>
      <c r="C3284" s="1" t="n">
        <v>45914</v>
      </c>
      <c r="D3284" t="inlineStr">
        <is>
          <t>SKÅNE LÄN</t>
        </is>
      </c>
      <c r="E3284" t="inlineStr">
        <is>
          <t>HÖÖR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57275-2023</t>
        </is>
      </c>
      <c r="B3285" s="1" t="n">
        <v>45245.58886574074</v>
      </c>
      <c r="C3285" s="1" t="n">
        <v>45914</v>
      </c>
      <c r="D3285" t="inlineStr">
        <is>
          <t>SKÅNE LÄN</t>
        </is>
      </c>
      <c r="E3285" t="inlineStr">
        <is>
          <t>HÄSSLEHOLM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36358-2023</t>
        </is>
      </c>
      <c r="B3286" s="1" t="n">
        <v>45166</v>
      </c>
      <c r="C3286" s="1" t="n">
        <v>45914</v>
      </c>
      <c r="D3286" t="inlineStr">
        <is>
          <t>SKÅNE LÄN</t>
        </is>
      </c>
      <c r="E3286" t="inlineStr">
        <is>
          <t>KRISTIANSTAD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35642-2023</t>
        </is>
      </c>
      <c r="B3287" s="1" t="n">
        <v>45147</v>
      </c>
      <c r="C3287" s="1" t="n">
        <v>45914</v>
      </c>
      <c r="D3287" t="inlineStr">
        <is>
          <t>SKÅNE LÄN</t>
        </is>
      </c>
      <c r="E3287" t="inlineStr">
        <is>
          <t>HELSINGBORG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55545-2022</t>
        </is>
      </c>
      <c r="B3288" s="1" t="n">
        <v>44887</v>
      </c>
      <c r="C3288" s="1" t="n">
        <v>45914</v>
      </c>
      <c r="D3288" t="inlineStr">
        <is>
          <t>SKÅNE LÄN</t>
        </is>
      </c>
      <c r="E3288" t="inlineStr">
        <is>
          <t>ÄNGELHOLM</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3498-2024</t>
        </is>
      </c>
      <c r="B3289" s="1" t="n">
        <v>45320.47233796296</v>
      </c>
      <c r="C3289" s="1" t="n">
        <v>45914</v>
      </c>
      <c r="D3289" t="inlineStr">
        <is>
          <t>SKÅNE LÄN</t>
        </is>
      </c>
      <c r="E3289" t="inlineStr">
        <is>
          <t>KLIPPAN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5723-2023</t>
        </is>
      </c>
      <c r="B3290" s="1" t="n">
        <v>44961</v>
      </c>
      <c r="C3290" s="1" t="n">
        <v>45914</v>
      </c>
      <c r="D3290" t="inlineStr">
        <is>
          <t>SKÅNE LÄN</t>
        </is>
      </c>
      <c r="E3290" t="inlineStr">
        <is>
          <t>KRISTIANSTAD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59625-2022</t>
        </is>
      </c>
      <c r="B3291" s="1" t="n">
        <v>44907</v>
      </c>
      <c r="C3291" s="1" t="n">
        <v>45914</v>
      </c>
      <c r="D3291" t="inlineStr">
        <is>
          <t>SKÅNE LÄN</t>
        </is>
      </c>
      <c r="E3291" t="inlineStr">
        <is>
          <t>KRISTIANSTAD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5590-2022</t>
        </is>
      </c>
      <c r="B3292" s="1" t="n">
        <v>44595</v>
      </c>
      <c r="C3292" s="1" t="n">
        <v>45914</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11605-2023</t>
        </is>
      </c>
      <c r="B3293" s="1" t="n">
        <v>44994.401875</v>
      </c>
      <c r="C3293" s="1" t="n">
        <v>45914</v>
      </c>
      <c r="D3293" t="inlineStr">
        <is>
          <t>SKÅNE LÄN</t>
        </is>
      </c>
      <c r="E3293" t="inlineStr">
        <is>
          <t>ÖRKELLJUNGA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42177-2023</t>
        </is>
      </c>
      <c r="B3294" s="1" t="n">
        <v>45178.7221412037</v>
      </c>
      <c r="C3294" s="1" t="n">
        <v>45914</v>
      </c>
      <c r="D3294" t="inlineStr">
        <is>
          <t>SKÅNE LÄN</t>
        </is>
      </c>
      <c r="E3294" t="inlineStr">
        <is>
          <t>ÖRKELLJUNGA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11491-2023</t>
        </is>
      </c>
      <c r="B3295" s="1" t="n">
        <v>44991</v>
      </c>
      <c r="C3295" s="1" t="n">
        <v>45914</v>
      </c>
      <c r="D3295" t="inlineStr">
        <is>
          <t>SKÅNE LÄN</t>
        </is>
      </c>
      <c r="E3295" t="inlineStr">
        <is>
          <t>SVALÖV</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38329-2023</t>
        </is>
      </c>
      <c r="B3296" s="1" t="n">
        <v>45161.7861574074</v>
      </c>
      <c r="C3296" s="1" t="n">
        <v>45914</v>
      </c>
      <c r="D3296" t="inlineStr">
        <is>
          <t>SKÅNE LÄN</t>
        </is>
      </c>
      <c r="E3296" t="inlineStr">
        <is>
          <t>PERSTORP</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30638-2023</t>
        </is>
      </c>
      <c r="B3297" s="1" t="n">
        <v>45112</v>
      </c>
      <c r="C3297" s="1" t="n">
        <v>45914</v>
      </c>
      <c r="D3297" t="inlineStr">
        <is>
          <t>SKÅNE LÄN</t>
        </is>
      </c>
      <c r="E3297" t="inlineStr">
        <is>
          <t>ÖRKELLJUNGA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62496-2023</t>
        </is>
      </c>
      <c r="B3298" s="1" t="n">
        <v>45268</v>
      </c>
      <c r="C3298" s="1" t="n">
        <v>45914</v>
      </c>
      <c r="D3298" t="inlineStr">
        <is>
          <t>SKÅNE LÄN</t>
        </is>
      </c>
      <c r="E3298" t="inlineStr">
        <is>
          <t>ESLÖV</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61198-2021</t>
        </is>
      </c>
      <c r="B3299" s="1" t="n">
        <v>44497</v>
      </c>
      <c r="C3299" s="1" t="n">
        <v>45914</v>
      </c>
      <c r="D3299" t="inlineStr">
        <is>
          <t>SKÅNE LÄN</t>
        </is>
      </c>
      <c r="E3299" t="inlineStr">
        <is>
          <t>KRISTIANSTAD</t>
        </is>
      </c>
      <c r="G3299" t="n">
        <v>13.8</v>
      </c>
      <c r="H3299" t="n">
        <v>0</v>
      </c>
      <c r="I3299" t="n">
        <v>0</v>
      </c>
      <c r="J3299" t="n">
        <v>0</v>
      </c>
      <c r="K3299" t="n">
        <v>0</v>
      </c>
      <c r="L3299" t="n">
        <v>0</v>
      </c>
      <c r="M3299" t="n">
        <v>0</v>
      </c>
      <c r="N3299" t="n">
        <v>0</v>
      </c>
      <c r="O3299" t="n">
        <v>0</v>
      </c>
      <c r="P3299" t="n">
        <v>0</v>
      </c>
      <c r="Q3299" t="n">
        <v>0</v>
      </c>
      <c r="R3299" s="2" t="inlineStr"/>
    </row>
    <row r="3300" ht="15" customHeight="1">
      <c r="A3300" t="inlineStr">
        <is>
          <t>A 16951-2025</t>
        </is>
      </c>
      <c r="B3300" s="1" t="n">
        <v>45755</v>
      </c>
      <c r="C3300" s="1" t="n">
        <v>45914</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61020-2024</t>
        </is>
      </c>
      <c r="B3301" s="1" t="n">
        <v>45645.45321759259</v>
      </c>
      <c r="C3301" s="1" t="n">
        <v>45914</v>
      </c>
      <c r="D3301" t="inlineStr">
        <is>
          <t>SKÅNE LÄN</t>
        </is>
      </c>
      <c r="E3301" t="inlineStr">
        <is>
          <t>ESLÖV</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14702-2024</t>
        </is>
      </c>
      <c r="B3302" s="1" t="n">
        <v>45397.50576388889</v>
      </c>
      <c r="C3302" s="1" t="n">
        <v>45914</v>
      </c>
      <c r="D3302" t="inlineStr">
        <is>
          <t>SKÅNE LÄN</t>
        </is>
      </c>
      <c r="E3302" t="inlineStr">
        <is>
          <t>SIMRISHAMN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51861-2024</t>
        </is>
      </c>
      <c r="B3303" s="1" t="n">
        <v>45607.54608796296</v>
      </c>
      <c r="C3303" s="1" t="n">
        <v>45914</v>
      </c>
      <c r="D3303" t="inlineStr">
        <is>
          <t>SKÅNE LÄN</t>
        </is>
      </c>
      <c r="E3303" t="inlineStr">
        <is>
          <t>OSBY</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27304-2023</t>
        </is>
      </c>
      <c r="B3304" s="1" t="n">
        <v>45096.65199074074</v>
      </c>
      <c r="C3304" s="1" t="n">
        <v>45914</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64224-2023</t>
        </is>
      </c>
      <c r="B3305" s="1" t="n">
        <v>45279</v>
      </c>
      <c r="C3305" s="1" t="n">
        <v>45914</v>
      </c>
      <c r="D3305" t="inlineStr">
        <is>
          <t>SKÅNE LÄN</t>
        </is>
      </c>
      <c r="E3305" t="inlineStr">
        <is>
          <t>KLIPPAN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27454-2024</t>
        </is>
      </c>
      <c r="B3306" s="1" t="n">
        <v>45474</v>
      </c>
      <c r="C3306" s="1" t="n">
        <v>45914</v>
      </c>
      <c r="D3306" t="inlineStr">
        <is>
          <t>SKÅNE LÄN</t>
        </is>
      </c>
      <c r="E3306" t="inlineStr">
        <is>
          <t>KLIPPAN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19621-2021</t>
        </is>
      </c>
      <c r="B3307" s="1" t="n">
        <v>44312.60537037037</v>
      </c>
      <c r="C3307" s="1" t="n">
        <v>45914</v>
      </c>
      <c r="D3307" t="inlineStr">
        <is>
          <t>SKÅNE LÄN</t>
        </is>
      </c>
      <c r="E3307" t="inlineStr">
        <is>
          <t>PERSTORP</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45914</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32958-2025</t>
        </is>
      </c>
      <c r="B3309" s="1" t="n">
        <v>45839</v>
      </c>
      <c r="C3309" s="1" t="n">
        <v>45914</v>
      </c>
      <c r="D3309" t="inlineStr">
        <is>
          <t>SKÅNE LÄN</t>
        </is>
      </c>
      <c r="E3309" t="inlineStr">
        <is>
          <t>HÖRBY</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32959-2025</t>
        </is>
      </c>
      <c r="B3310" s="1" t="n">
        <v>45839</v>
      </c>
      <c r="C3310" s="1" t="n">
        <v>45914</v>
      </c>
      <c r="D3310" t="inlineStr">
        <is>
          <t>SKÅNE LÄN</t>
        </is>
      </c>
      <c r="E3310" t="inlineStr">
        <is>
          <t>KRISTIANSTAD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29817-2025</t>
        </is>
      </c>
      <c r="B3311" s="1" t="n">
        <v>45825</v>
      </c>
      <c r="C3311" s="1" t="n">
        <v>45914</v>
      </c>
      <c r="D3311" t="inlineStr">
        <is>
          <t>SKÅNE LÄN</t>
        </is>
      </c>
      <c r="E3311" t="inlineStr">
        <is>
          <t>SVEDALA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48191-2021</t>
        </is>
      </c>
      <c r="B3312" s="1" t="n">
        <v>44449</v>
      </c>
      <c r="C3312" s="1" t="n">
        <v>45914</v>
      </c>
      <c r="D3312" t="inlineStr">
        <is>
          <t>SKÅNE LÄN</t>
        </is>
      </c>
      <c r="E3312" t="inlineStr">
        <is>
          <t>HÄSSLEHOLM</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2453-2025</t>
        </is>
      </c>
      <c r="B3313" s="1" t="n">
        <v>45674.44508101852</v>
      </c>
      <c r="C3313" s="1" t="n">
        <v>45914</v>
      </c>
      <c r="D3313" t="inlineStr">
        <is>
          <t>SKÅNE LÄN</t>
        </is>
      </c>
      <c r="E3313" t="inlineStr">
        <is>
          <t>BROMÖLLA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37907-2025</t>
        </is>
      </c>
      <c r="B3314" s="1" t="n">
        <v>45880</v>
      </c>
      <c r="C3314" s="1" t="n">
        <v>45914</v>
      </c>
      <c r="D3314" t="inlineStr">
        <is>
          <t>SKÅNE LÄN</t>
        </is>
      </c>
      <c r="E3314" t="inlineStr">
        <is>
          <t>SVALÖV</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6845-2023</t>
        </is>
      </c>
      <c r="B3315" s="1" t="n">
        <v>44967</v>
      </c>
      <c r="C3315" s="1" t="n">
        <v>45914</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61007-2024</t>
        </is>
      </c>
      <c r="B3316" s="1" t="n">
        <v>45645.44342592593</v>
      </c>
      <c r="C3316" s="1" t="n">
        <v>45914</v>
      </c>
      <c r="D3316" t="inlineStr">
        <is>
          <t>SKÅNE LÄN</t>
        </is>
      </c>
      <c r="E3316" t="inlineStr">
        <is>
          <t>HÖÖR</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29433-2024</t>
        </is>
      </c>
      <c r="B3317" s="1" t="n">
        <v>45483.7616087963</v>
      </c>
      <c r="C3317" s="1" t="n">
        <v>45914</v>
      </c>
      <c r="D3317" t="inlineStr">
        <is>
          <t>SKÅNE LÄN</t>
        </is>
      </c>
      <c r="E3317" t="inlineStr">
        <is>
          <t>OSBY</t>
        </is>
      </c>
      <c r="F3317" t="inlineStr">
        <is>
          <t>Kommuner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50370-2024</t>
        </is>
      </c>
      <c r="B3318" s="1" t="n">
        <v>45601</v>
      </c>
      <c r="C3318" s="1" t="n">
        <v>45914</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13159-2024</t>
        </is>
      </c>
      <c r="B3319" s="1" t="n">
        <v>45386</v>
      </c>
      <c r="C3319" s="1" t="n">
        <v>45914</v>
      </c>
      <c r="D3319" t="inlineStr">
        <is>
          <t>SKÅNE LÄN</t>
        </is>
      </c>
      <c r="E3319" t="inlineStr">
        <is>
          <t>TOMELILLA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12068-2023</t>
        </is>
      </c>
      <c r="B3320" s="1" t="n">
        <v>44997</v>
      </c>
      <c r="C3320" s="1" t="n">
        <v>45914</v>
      </c>
      <c r="D3320" t="inlineStr">
        <is>
          <t>SKÅNE LÄN</t>
        </is>
      </c>
      <c r="E3320" t="inlineStr">
        <is>
          <t>OSBY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40388-2024</t>
        </is>
      </c>
      <c r="B3321" s="1" t="n">
        <v>45555.433125</v>
      </c>
      <c r="C3321" s="1" t="n">
        <v>45914</v>
      </c>
      <c r="D3321" t="inlineStr">
        <is>
          <t>SKÅNE LÄN</t>
        </is>
      </c>
      <c r="E3321" t="inlineStr">
        <is>
          <t>OSBY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27813-2023</t>
        </is>
      </c>
      <c r="B3322" s="1" t="n">
        <v>45098</v>
      </c>
      <c r="C3322" s="1" t="n">
        <v>45914</v>
      </c>
      <c r="D3322" t="inlineStr">
        <is>
          <t>SKÅNE LÄN</t>
        </is>
      </c>
      <c r="E3322" t="inlineStr">
        <is>
          <t>KLIPPAN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18063-2023</t>
        </is>
      </c>
      <c r="B3323" s="1" t="n">
        <v>45040.62850694444</v>
      </c>
      <c r="C3323" s="1" t="n">
        <v>45914</v>
      </c>
      <c r="D3323" t="inlineStr">
        <is>
          <t>SKÅNE LÄN</t>
        </is>
      </c>
      <c r="E3323" t="inlineStr">
        <is>
          <t>HÄSSLEHOLM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60504-2023</t>
        </is>
      </c>
      <c r="B3324" s="1" t="n">
        <v>45259</v>
      </c>
      <c r="C3324" s="1" t="n">
        <v>45914</v>
      </c>
      <c r="D3324" t="inlineStr">
        <is>
          <t>SKÅNE LÄN</t>
        </is>
      </c>
      <c r="E3324" t="inlineStr">
        <is>
          <t>PERSTORP</t>
        </is>
      </c>
      <c r="F3324" t="inlineStr">
        <is>
          <t>Övriga Aktiebolag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60519-2023</t>
        </is>
      </c>
      <c r="B3325" s="1" t="n">
        <v>45259</v>
      </c>
      <c r="C3325" s="1" t="n">
        <v>45914</v>
      </c>
      <c r="D3325" t="inlineStr">
        <is>
          <t>SKÅNE LÄN</t>
        </is>
      </c>
      <c r="E3325" t="inlineStr">
        <is>
          <t>ÖSTRA GÖINGE</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23497-2024</t>
        </is>
      </c>
      <c r="B3326" s="1" t="n">
        <v>45453</v>
      </c>
      <c r="C3326" s="1" t="n">
        <v>45914</v>
      </c>
      <c r="D3326" t="inlineStr">
        <is>
          <t>SKÅNE LÄN</t>
        </is>
      </c>
      <c r="E3326" t="inlineStr">
        <is>
          <t>KRISTIANSTAD</t>
        </is>
      </c>
      <c r="F3326" t="inlineStr">
        <is>
          <t>Sveaskog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32834-2024</t>
        </is>
      </c>
      <c r="B3327" s="1" t="n">
        <v>45516.6025</v>
      </c>
      <c r="C3327" s="1" t="n">
        <v>45914</v>
      </c>
      <c r="D3327" t="inlineStr">
        <is>
          <t>SKÅNE LÄN</t>
        </is>
      </c>
      <c r="E3327" t="inlineStr">
        <is>
          <t>HÄSSLEHOLM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50715-2024</t>
        </is>
      </c>
      <c r="B3328" s="1" t="n">
        <v>45602</v>
      </c>
      <c r="C3328" s="1" t="n">
        <v>45914</v>
      </c>
      <c r="D3328" t="inlineStr">
        <is>
          <t>SKÅNE LÄN</t>
        </is>
      </c>
      <c r="E3328" t="inlineStr">
        <is>
          <t>HÖRBY</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26043-2024</t>
        </is>
      </c>
      <c r="B3329" s="1" t="n">
        <v>45468</v>
      </c>
      <c r="C3329" s="1" t="n">
        <v>45914</v>
      </c>
      <c r="D3329" t="inlineStr">
        <is>
          <t>SKÅNE LÄN</t>
        </is>
      </c>
      <c r="E3329" t="inlineStr">
        <is>
          <t>OSBY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28490-2023</t>
        </is>
      </c>
      <c r="B3330" s="1" t="n">
        <v>45103.44039351852</v>
      </c>
      <c r="C3330" s="1" t="n">
        <v>45914</v>
      </c>
      <c r="D3330" t="inlineStr">
        <is>
          <t>SKÅNE LÄN</t>
        </is>
      </c>
      <c r="E3330" t="inlineStr">
        <is>
          <t>KLIPPAN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32839-2025</t>
        </is>
      </c>
      <c r="B3331" s="1" t="n">
        <v>45839</v>
      </c>
      <c r="C3331" s="1" t="n">
        <v>45914</v>
      </c>
      <c r="D3331" t="inlineStr">
        <is>
          <t>SKÅNE LÄN</t>
        </is>
      </c>
      <c r="E3331" t="inlineStr">
        <is>
          <t>KRISTIANSTAD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29649-2025</t>
        </is>
      </c>
      <c r="B3332" s="1" t="n">
        <v>45825.47446759259</v>
      </c>
      <c r="C3332" s="1" t="n">
        <v>45914</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49199-2024</t>
        </is>
      </c>
      <c r="B3333" s="1" t="n">
        <v>45595</v>
      </c>
      <c r="C3333" s="1" t="n">
        <v>45914</v>
      </c>
      <c r="D3333" t="inlineStr">
        <is>
          <t>SKÅNE LÄN</t>
        </is>
      </c>
      <c r="E3333" t="inlineStr">
        <is>
          <t>HÄSSLEHOLM</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52958-2024</t>
        </is>
      </c>
      <c r="B3334" s="1" t="n">
        <v>45611.26017361111</v>
      </c>
      <c r="C3334" s="1" t="n">
        <v>45914</v>
      </c>
      <c r="D3334" t="inlineStr">
        <is>
          <t>SKÅNE LÄN</t>
        </is>
      </c>
      <c r="E3334" t="inlineStr">
        <is>
          <t>SJÖBO</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58886-2024</t>
        </is>
      </c>
      <c r="B3335" s="1" t="n">
        <v>45636.45380787037</v>
      </c>
      <c r="C3335" s="1" t="n">
        <v>45914</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59966-2024</t>
        </is>
      </c>
      <c r="B3336" s="1" t="n">
        <v>45642.35851851852</v>
      </c>
      <c r="C3336" s="1" t="n">
        <v>45914</v>
      </c>
      <c r="D3336" t="inlineStr">
        <is>
          <t>SKÅNE LÄN</t>
        </is>
      </c>
      <c r="E3336" t="inlineStr">
        <is>
          <t>OSBY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25759-2024</t>
        </is>
      </c>
      <c r="B3337" s="1" t="n">
        <v>45465.73241898148</v>
      </c>
      <c r="C3337" s="1" t="n">
        <v>45914</v>
      </c>
      <c r="D3337" t="inlineStr">
        <is>
          <t>SKÅNE LÄN</t>
        </is>
      </c>
      <c r="E3337" t="inlineStr">
        <is>
          <t>KRISTIANSTAD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18516-2021</t>
        </is>
      </c>
      <c r="B3338" s="1" t="n">
        <v>44305</v>
      </c>
      <c r="C3338" s="1" t="n">
        <v>45914</v>
      </c>
      <c r="D3338" t="inlineStr">
        <is>
          <t>SKÅNE LÄN</t>
        </is>
      </c>
      <c r="E3338" t="inlineStr">
        <is>
          <t>KLIPPAN</t>
        </is>
      </c>
      <c r="F3338" t="inlineStr">
        <is>
          <t>Övriga Aktiebolag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36119-2024</t>
        </is>
      </c>
      <c r="B3339" s="1" t="n">
        <v>45534</v>
      </c>
      <c r="C3339" s="1" t="n">
        <v>45914</v>
      </c>
      <c r="D3339" t="inlineStr">
        <is>
          <t>SKÅNE LÄN</t>
        </is>
      </c>
      <c r="E3339" t="inlineStr">
        <is>
          <t>HÖÖR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19367-2025</t>
        </is>
      </c>
      <c r="B3340" s="1" t="n">
        <v>45769</v>
      </c>
      <c r="C3340" s="1" t="n">
        <v>45914</v>
      </c>
      <c r="D3340" t="inlineStr">
        <is>
          <t>SKÅNE LÄN</t>
        </is>
      </c>
      <c r="E3340" t="inlineStr">
        <is>
          <t>OSBY</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13345-2025</t>
        </is>
      </c>
      <c r="B3341" s="1" t="n">
        <v>45735.63017361111</v>
      </c>
      <c r="C3341" s="1" t="n">
        <v>45914</v>
      </c>
      <c r="D3341" t="inlineStr">
        <is>
          <t>SKÅNE LÄN</t>
        </is>
      </c>
      <c r="E3341" t="inlineStr">
        <is>
          <t>HÄSSLEHOLM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28288-2023</t>
        </is>
      </c>
      <c r="B3342" s="1" t="n">
        <v>45099.6349537037</v>
      </c>
      <c r="C3342" s="1" t="n">
        <v>45914</v>
      </c>
      <c r="D3342" t="inlineStr">
        <is>
          <t>SKÅNE LÄN</t>
        </is>
      </c>
      <c r="E3342" t="inlineStr">
        <is>
          <t>HELSINGBORG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35777-2022</t>
        </is>
      </c>
      <c r="B3343" s="1" t="n">
        <v>44801</v>
      </c>
      <c r="C3343" s="1" t="n">
        <v>45914</v>
      </c>
      <c r="D3343" t="inlineStr">
        <is>
          <t>SKÅNE LÄN</t>
        </is>
      </c>
      <c r="E3343" t="inlineStr">
        <is>
          <t>OSBY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25563-2021</t>
        </is>
      </c>
      <c r="B3344" s="1" t="n">
        <v>44343</v>
      </c>
      <c r="C3344" s="1" t="n">
        <v>45914</v>
      </c>
      <c r="D3344" t="inlineStr">
        <is>
          <t>SKÅNE LÄN</t>
        </is>
      </c>
      <c r="E3344" t="inlineStr">
        <is>
          <t>BROMÖLLA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14747-2023</t>
        </is>
      </c>
      <c r="B3345" s="1" t="n">
        <v>45014</v>
      </c>
      <c r="C3345" s="1" t="n">
        <v>45914</v>
      </c>
      <c r="D3345" t="inlineStr">
        <is>
          <t>SKÅNE LÄN</t>
        </is>
      </c>
      <c r="E3345" t="inlineStr">
        <is>
          <t>SJÖBO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14837-2023</t>
        </is>
      </c>
      <c r="B3346" s="1" t="n">
        <v>45014</v>
      </c>
      <c r="C3346" s="1" t="n">
        <v>45914</v>
      </c>
      <c r="D3346" t="inlineStr">
        <is>
          <t>SKÅNE LÄN</t>
        </is>
      </c>
      <c r="E3346" t="inlineStr">
        <is>
          <t>KRISTIANSTAD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60031-2024</t>
        </is>
      </c>
      <c r="B3347" s="1" t="n">
        <v>45642.45993055555</v>
      </c>
      <c r="C3347" s="1" t="n">
        <v>45914</v>
      </c>
      <c r="D3347" t="inlineStr">
        <is>
          <t>SKÅNE LÄN</t>
        </is>
      </c>
      <c r="E3347" t="inlineStr">
        <is>
          <t>OSBY</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12469-2023</t>
        </is>
      </c>
      <c r="B3348" s="1" t="n">
        <v>44999.62109953703</v>
      </c>
      <c r="C3348" s="1" t="n">
        <v>45914</v>
      </c>
      <c r="D3348" t="inlineStr">
        <is>
          <t>SKÅNE LÄN</t>
        </is>
      </c>
      <c r="E3348" t="inlineStr">
        <is>
          <t>HÄSSLEHOLM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19009-2024</t>
        </is>
      </c>
      <c r="B3349" s="1" t="n">
        <v>45427.64453703703</v>
      </c>
      <c r="C3349" s="1" t="n">
        <v>45914</v>
      </c>
      <c r="D3349" t="inlineStr">
        <is>
          <t>SKÅNE LÄN</t>
        </is>
      </c>
      <c r="E3349" t="inlineStr">
        <is>
          <t>OSBY</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48663-2024</t>
        </is>
      </c>
      <c r="B3350" s="1" t="n">
        <v>45593.48892361111</v>
      </c>
      <c r="C3350" s="1" t="n">
        <v>45914</v>
      </c>
      <c r="D3350" t="inlineStr">
        <is>
          <t>SKÅNE LÄN</t>
        </is>
      </c>
      <c r="E3350" t="inlineStr">
        <is>
          <t>HÄSSLEHOLM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7043-2025</t>
        </is>
      </c>
      <c r="B3351" s="1" t="n">
        <v>45701.64104166667</v>
      </c>
      <c r="C3351" s="1" t="n">
        <v>45914</v>
      </c>
      <c r="D3351" t="inlineStr">
        <is>
          <t>SKÅNE LÄN</t>
        </is>
      </c>
      <c r="E3351" t="inlineStr">
        <is>
          <t>PERSTORP</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45914</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45914</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15041-2023</t>
        </is>
      </c>
      <c r="B3354" s="1" t="n">
        <v>45015.65375</v>
      </c>
      <c r="C3354" s="1" t="n">
        <v>45914</v>
      </c>
      <c r="D3354" t="inlineStr">
        <is>
          <t>SKÅNE LÄN</t>
        </is>
      </c>
      <c r="E3354" t="inlineStr">
        <is>
          <t>OSBY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26158-2023</t>
        </is>
      </c>
      <c r="B3355" s="1" t="n">
        <v>45091.50614583334</v>
      </c>
      <c r="C3355" s="1" t="n">
        <v>45914</v>
      </c>
      <c r="D3355" t="inlineStr">
        <is>
          <t>SKÅNE LÄN</t>
        </is>
      </c>
      <c r="E3355" t="inlineStr">
        <is>
          <t>OSBY</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50659-2023</t>
        </is>
      </c>
      <c r="B3356" s="1" t="n">
        <v>45217</v>
      </c>
      <c r="C3356" s="1" t="n">
        <v>45914</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61414-2024</t>
        </is>
      </c>
      <c r="B3357" s="1" t="n">
        <v>45646.44403935185</v>
      </c>
      <c r="C3357" s="1" t="n">
        <v>45914</v>
      </c>
      <c r="D3357" t="inlineStr">
        <is>
          <t>SKÅNE LÄN</t>
        </is>
      </c>
      <c r="E3357" t="inlineStr">
        <is>
          <t>OSBY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4435-2025</t>
        </is>
      </c>
      <c r="B3358" s="1" t="n">
        <v>45686.50671296296</v>
      </c>
      <c r="C3358" s="1" t="n">
        <v>45914</v>
      </c>
      <c r="D3358" t="inlineStr">
        <is>
          <t>SKÅNE LÄN</t>
        </is>
      </c>
      <c r="E3358" t="inlineStr">
        <is>
          <t>ÖSTRA GÖINGE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60878-2024</t>
        </is>
      </c>
      <c r="B3359" s="1" t="n">
        <v>45644.81020833334</v>
      </c>
      <c r="C3359" s="1" t="n">
        <v>45914</v>
      </c>
      <c r="D3359" t="inlineStr">
        <is>
          <t>SKÅNE LÄN</t>
        </is>
      </c>
      <c r="E3359" t="inlineStr">
        <is>
          <t>KRISTIANSTAD</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8862-2025</t>
        </is>
      </c>
      <c r="B3360" s="1" t="n">
        <v>45713</v>
      </c>
      <c r="C3360" s="1" t="n">
        <v>45914</v>
      </c>
      <c r="D3360" t="inlineStr">
        <is>
          <t>SKÅNE LÄN</t>
        </is>
      </c>
      <c r="E3360" t="inlineStr">
        <is>
          <t>SJÖBO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12048-2025</t>
        </is>
      </c>
      <c r="B3361" s="1" t="n">
        <v>45728.6678587963</v>
      </c>
      <c r="C3361" s="1" t="n">
        <v>45914</v>
      </c>
      <c r="D3361" t="inlineStr">
        <is>
          <t>SKÅNE LÄN</t>
        </is>
      </c>
      <c r="E3361" t="inlineStr">
        <is>
          <t>ÖSTRA GÖINGE</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46619-2024</t>
        </is>
      </c>
      <c r="B3362" s="1" t="n">
        <v>45583.32314814815</v>
      </c>
      <c r="C3362" s="1" t="n">
        <v>45914</v>
      </c>
      <c r="D3362" t="inlineStr">
        <is>
          <t>SKÅNE LÄN</t>
        </is>
      </c>
      <c r="E3362" t="inlineStr">
        <is>
          <t>KLIPPAN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27464-2022</t>
        </is>
      </c>
      <c r="B3363" s="1" t="n">
        <v>44742.58704861111</v>
      </c>
      <c r="C3363" s="1" t="n">
        <v>45914</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15172-2021</t>
        </is>
      </c>
      <c r="B3364" s="1" t="n">
        <v>44284.3875462963</v>
      </c>
      <c r="C3364" s="1" t="n">
        <v>45914</v>
      </c>
      <c r="D3364" t="inlineStr">
        <is>
          <t>SKÅNE LÄN</t>
        </is>
      </c>
      <c r="E3364" t="inlineStr">
        <is>
          <t>OSBY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58134-2022</t>
        </is>
      </c>
      <c r="B3365" s="1" t="n">
        <v>44900.69137731481</v>
      </c>
      <c r="C3365" s="1" t="n">
        <v>45914</v>
      </c>
      <c r="D3365" t="inlineStr">
        <is>
          <t>SKÅNE LÄN</t>
        </is>
      </c>
      <c r="E3365" t="inlineStr">
        <is>
          <t>ÄNGELHOLM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30213-2022</t>
        </is>
      </c>
      <c r="B3366" s="1" t="n">
        <v>44757</v>
      </c>
      <c r="C3366" s="1" t="n">
        <v>45914</v>
      </c>
      <c r="D3366" t="inlineStr">
        <is>
          <t>SKÅNE LÄN</t>
        </is>
      </c>
      <c r="E3366" t="inlineStr">
        <is>
          <t>OSBY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63456-2023</t>
        </is>
      </c>
      <c r="B3367" s="1" t="n">
        <v>45273</v>
      </c>
      <c r="C3367" s="1" t="n">
        <v>45914</v>
      </c>
      <c r="D3367" t="inlineStr">
        <is>
          <t>SKÅNE LÄN</t>
        </is>
      </c>
      <c r="E3367" t="inlineStr">
        <is>
          <t>SIMRISHAMN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8997-2024</t>
        </is>
      </c>
      <c r="B3368" s="1" t="n">
        <v>45357</v>
      </c>
      <c r="C3368" s="1" t="n">
        <v>45914</v>
      </c>
      <c r="D3368" t="inlineStr">
        <is>
          <t>SKÅNE LÄN</t>
        </is>
      </c>
      <c r="E3368" t="inlineStr">
        <is>
          <t>KRISTIANSTAD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50525-2024</t>
        </is>
      </c>
      <c r="B3369" s="1" t="n">
        <v>45601</v>
      </c>
      <c r="C3369" s="1" t="n">
        <v>45914</v>
      </c>
      <c r="D3369" t="inlineStr">
        <is>
          <t>SKÅNE LÄN</t>
        </is>
      </c>
      <c r="E3369" t="inlineStr">
        <is>
          <t>HÄSSLEHOLM</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2448-2025</t>
        </is>
      </c>
      <c r="B3370" s="1" t="n">
        <v>45674.43166666666</v>
      </c>
      <c r="C3370" s="1" t="n">
        <v>45914</v>
      </c>
      <c r="D3370" t="inlineStr">
        <is>
          <t>SKÅNE LÄN</t>
        </is>
      </c>
      <c r="E3370" t="inlineStr">
        <is>
          <t>BROMÖLLA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1427-2025</t>
        </is>
      </c>
      <c r="B3371" s="1" t="n">
        <v>45668.70152777778</v>
      </c>
      <c r="C3371" s="1" t="n">
        <v>45914</v>
      </c>
      <c r="D3371" t="inlineStr">
        <is>
          <t>SKÅNE LÄN</t>
        </is>
      </c>
      <c r="E3371" t="inlineStr">
        <is>
          <t>KRISTIANSTAD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2816-2025</t>
        </is>
      </c>
      <c r="B3372" s="1" t="n">
        <v>45677</v>
      </c>
      <c r="C3372" s="1" t="n">
        <v>45914</v>
      </c>
      <c r="D3372" t="inlineStr">
        <is>
          <t>SKÅNE LÄN</t>
        </is>
      </c>
      <c r="E3372" t="inlineStr">
        <is>
          <t>HÖRBY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16101-2025</t>
        </is>
      </c>
      <c r="B3373" s="1" t="n">
        <v>45750.2624537037</v>
      </c>
      <c r="C3373" s="1" t="n">
        <v>45914</v>
      </c>
      <c r="D3373" t="inlineStr">
        <is>
          <t>SKÅNE LÄN</t>
        </is>
      </c>
      <c r="E3373" t="inlineStr">
        <is>
          <t>HÖRBY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2543-2025</t>
        </is>
      </c>
      <c r="B3374" s="1" t="n">
        <v>45674.62034722222</v>
      </c>
      <c r="C3374" s="1" t="n">
        <v>45914</v>
      </c>
      <c r="D3374" t="inlineStr">
        <is>
          <t>SKÅNE LÄN</t>
        </is>
      </c>
      <c r="E3374" t="inlineStr">
        <is>
          <t>ÖSTRA GÖINGE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17253-2023</t>
        </is>
      </c>
      <c r="B3375" s="1" t="n">
        <v>45033</v>
      </c>
      <c r="C3375" s="1" t="n">
        <v>45914</v>
      </c>
      <c r="D3375" t="inlineStr">
        <is>
          <t>SKÅNE LÄN</t>
        </is>
      </c>
      <c r="E3375" t="inlineStr">
        <is>
          <t>BROMÖLLA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62350-2023</t>
        </is>
      </c>
      <c r="B3376" s="1" t="n">
        <v>45267</v>
      </c>
      <c r="C3376" s="1" t="n">
        <v>45914</v>
      </c>
      <c r="D3376" t="inlineStr">
        <is>
          <t>SKÅNE LÄN</t>
        </is>
      </c>
      <c r="E3376" t="inlineStr">
        <is>
          <t>KRISTIANSTAD</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14674-2025</t>
        </is>
      </c>
      <c r="B3377" s="1" t="n">
        <v>45742.55548611111</v>
      </c>
      <c r="C3377" s="1" t="n">
        <v>45914</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27242-2022</t>
        </is>
      </c>
      <c r="B3378" s="1" t="n">
        <v>44741</v>
      </c>
      <c r="C3378" s="1" t="n">
        <v>45914</v>
      </c>
      <c r="D3378" t="inlineStr">
        <is>
          <t>SKÅNE LÄN</t>
        </is>
      </c>
      <c r="E3378" t="inlineStr">
        <is>
          <t>HÄSSLEHOLM</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57391-2024</t>
        </is>
      </c>
      <c r="B3379" s="1" t="n">
        <v>45629.68717592592</v>
      </c>
      <c r="C3379" s="1" t="n">
        <v>45914</v>
      </c>
      <c r="D3379" t="inlineStr">
        <is>
          <t>SKÅNE LÄN</t>
        </is>
      </c>
      <c r="E3379" t="inlineStr">
        <is>
          <t>BJUV</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23328-2022</t>
        </is>
      </c>
      <c r="B3380" s="1" t="n">
        <v>44720.50751157408</v>
      </c>
      <c r="C3380" s="1" t="n">
        <v>45914</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25043-2021</t>
        </is>
      </c>
      <c r="B3381" s="1" t="n">
        <v>44341.59855324074</v>
      </c>
      <c r="C3381" s="1" t="n">
        <v>45914</v>
      </c>
      <c r="D3381" t="inlineStr">
        <is>
          <t>SKÅNE LÄN</t>
        </is>
      </c>
      <c r="E3381" t="inlineStr">
        <is>
          <t>KRISTIANSTAD</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27197-2021</t>
        </is>
      </c>
      <c r="B3382" s="1" t="n">
        <v>44350</v>
      </c>
      <c r="C3382" s="1" t="n">
        <v>45914</v>
      </c>
      <c r="D3382" t="inlineStr">
        <is>
          <t>SKÅNE LÄN</t>
        </is>
      </c>
      <c r="E3382" t="inlineStr">
        <is>
          <t>HÄSSLEHOLM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29296-2021</t>
        </is>
      </c>
      <c r="B3383" s="1" t="n">
        <v>44361</v>
      </c>
      <c r="C3383" s="1" t="n">
        <v>45914</v>
      </c>
      <c r="D3383" t="inlineStr">
        <is>
          <t>SKÅNE LÄN</t>
        </is>
      </c>
      <c r="E3383" t="inlineStr">
        <is>
          <t>SVALÖV</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11857-2025</t>
        </is>
      </c>
      <c r="B3384" s="1" t="n">
        <v>45728.39798611111</v>
      </c>
      <c r="C3384" s="1" t="n">
        <v>45914</v>
      </c>
      <c r="D3384" t="inlineStr">
        <is>
          <t>SKÅNE LÄN</t>
        </is>
      </c>
      <c r="E3384" t="inlineStr">
        <is>
          <t>KLIPPAN</t>
        </is>
      </c>
      <c r="F3384" t="inlineStr">
        <is>
          <t>Övriga Aktiebolag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11861-2025</t>
        </is>
      </c>
      <c r="B3385" s="1" t="n">
        <v>45728</v>
      </c>
      <c r="C3385" s="1" t="n">
        <v>45914</v>
      </c>
      <c r="D3385" t="inlineStr">
        <is>
          <t>SKÅNE LÄN</t>
        </is>
      </c>
      <c r="E3385" t="inlineStr">
        <is>
          <t>BROMÖLLA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52089-2022</t>
        </is>
      </c>
      <c r="B3386" s="1" t="n">
        <v>44873.38465277778</v>
      </c>
      <c r="C3386" s="1" t="n">
        <v>45914</v>
      </c>
      <c r="D3386" t="inlineStr">
        <is>
          <t>SKÅNE LÄN</t>
        </is>
      </c>
      <c r="E3386" t="inlineStr">
        <is>
          <t>OSBY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71747-2021</t>
        </is>
      </c>
      <c r="B3387" s="1" t="n">
        <v>44539</v>
      </c>
      <c r="C3387" s="1" t="n">
        <v>45914</v>
      </c>
      <c r="D3387" t="inlineStr">
        <is>
          <t>SKÅNE LÄN</t>
        </is>
      </c>
      <c r="E3387" t="inlineStr">
        <is>
          <t>ÖSTRA GÖINGE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38028-2025</t>
        </is>
      </c>
      <c r="B3388" s="1" t="n">
        <v>45882.3615625</v>
      </c>
      <c r="C3388" s="1" t="n">
        <v>45914</v>
      </c>
      <c r="D3388" t="inlineStr">
        <is>
          <t>SKÅNE LÄN</t>
        </is>
      </c>
      <c r="E3388" t="inlineStr">
        <is>
          <t>ÄNGELHOLM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38121-2025</t>
        </is>
      </c>
      <c r="B3389" s="1" t="n">
        <v>45882.55253472222</v>
      </c>
      <c r="C3389" s="1" t="n">
        <v>45914</v>
      </c>
      <c r="D3389" t="inlineStr">
        <is>
          <t>SKÅNE LÄN</t>
        </is>
      </c>
      <c r="E3389" t="inlineStr">
        <is>
          <t>KRISTIANSTAD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1475-2022</t>
        </is>
      </c>
      <c r="B3390" s="1" t="n">
        <v>44573.50236111111</v>
      </c>
      <c r="C3390" s="1" t="n">
        <v>45914</v>
      </c>
      <c r="D3390" t="inlineStr">
        <is>
          <t>SKÅNE LÄN</t>
        </is>
      </c>
      <c r="E3390" t="inlineStr">
        <is>
          <t>HÖÖR</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64844-2023</t>
        </is>
      </c>
      <c r="B3391" s="1" t="n">
        <v>45282.47112268519</v>
      </c>
      <c r="C3391" s="1" t="n">
        <v>45914</v>
      </c>
      <c r="D3391" t="inlineStr">
        <is>
          <t>SKÅNE LÄN</t>
        </is>
      </c>
      <c r="E3391" t="inlineStr">
        <is>
          <t>KRISTIANSTAD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54777-2022</t>
        </is>
      </c>
      <c r="B3392" s="1" t="n">
        <v>44883</v>
      </c>
      <c r="C3392" s="1" t="n">
        <v>45914</v>
      </c>
      <c r="D3392" t="inlineStr">
        <is>
          <t>SKÅNE LÄN</t>
        </is>
      </c>
      <c r="E3392" t="inlineStr">
        <is>
          <t>HÄSSLEHOLM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63139-2023</t>
        </is>
      </c>
      <c r="B3393" s="1" t="n">
        <v>45273</v>
      </c>
      <c r="C3393" s="1" t="n">
        <v>45914</v>
      </c>
      <c r="D3393" t="inlineStr">
        <is>
          <t>SKÅNE LÄN</t>
        </is>
      </c>
      <c r="E3393" t="inlineStr">
        <is>
          <t>HÖÖR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63167-2023</t>
        </is>
      </c>
      <c r="B3394" s="1" t="n">
        <v>45273.56233796296</v>
      </c>
      <c r="C3394" s="1" t="n">
        <v>45914</v>
      </c>
      <c r="D3394" t="inlineStr">
        <is>
          <t>SKÅNE LÄN</t>
        </is>
      </c>
      <c r="E3394" t="inlineStr">
        <is>
          <t>ÖSTRA GÖINGE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7716-2024</t>
        </is>
      </c>
      <c r="B3395" s="1" t="n">
        <v>45349</v>
      </c>
      <c r="C3395" s="1" t="n">
        <v>45914</v>
      </c>
      <c r="D3395" t="inlineStr">
        <is>
          <t>SKÅNE LÄN</t>
        </is>
      </c>
      <c r="E3395" t="inlineStr">
        <is>
          <t>SIMRISHAMN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37501-2024</t>
        </is>
      </c>
      <c r="B3396" s="1" t="n">
        <v>45541.37159722222</v>
      </c>
      <c r="C3396" s="1" t="n">
        <v>45914</v>
      </c>
      <c r="D3396" t="inlineStr">
        <is>
          <t>SKÅNE LÄN</t>
        </is>
      </c>
      <c r="E3396" t="inlineStr">
        <is>
          <t>ÖRKELLJUNGA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885-2024</t>
        </is>
      </c>
      <c r="B3397" s="1" t="n">
        <v>45301.39177083333</v>
      </c>
      <c r="C3397" s="1" t="n">
        <v>45914</v>
      </c>
      <c r="D3397" t="inlineStr">
        <is>
          <t>SKÅNE LÄN</t>
        </is>
      </c>
      <c r="E3397" t="inlineStr">
        <is>
          <t>KRISTIANSTAD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1936-2023</t>
        </is>
      </c>
      <c r="B3398" s="1" t="n">
        <v>44937</v>
      </c>
      <c r="C3398" s="1" t="n">
        <v>45914</v>
      </c>
      <c r="D3398" t="inlineStr">
        <is>
          <t>SKÅNE LÄN</t>
        </is>
      </c>
      <c r="E3398" t="inlineStr">
        <is>
          <t>ÖSTRA GÖINGE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31114-2024</t>
        </is>
      </c>
      <c r="B3399" s="1" t="n">
        <v>45502</v>
      </c>
      <c r="C3399" s="1" t="n">
        <v>45914</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28221-2023</t>
        </is>
      </c>
      <c r="B3400" s="1" t="n">
        <v>45099</v>
      </c>
      <c r="C3400" s="1" t="n">
        <v>45914</v>
      </c>
      <c r="D3400" t="inlineStr">
        <is>
          <t>SKÅNE LÄN</t>
        </is>
      </c>
      <c r="E3400" t="inlineStr">
        <is>
          <t>ÖRKELLJUNGA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47943-2023</t>
        </is>
      </c>
      <c r="B3401" s="1" t="n">
        <v>45204</v>
      </c>
      <c r="C3401" s="1" t="n">
        <v>45914</v>
      </c>
      <c r="D3401" t="inlineStr">
        <is>
          <t>SKÅNE LÄN</t>
        </is>
      </c>
      <c r="E3401" t="inlineStr">
        <is>
          <t>SJÖBO</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121-2021</t>
        </is>
      </c>
      <c r="B3402" s="1" t="n">
        <v>44200.45394675926</v>
      </c>
      <c r="C3402" s="1" t="n">
        <v>45914</v>
      </c>
      <c r="D3402" t="inlineStr">
        <is>
          <t>SKÅNE LÄN</t>
        </is>
      </c>
      <c r="E3402" t="inlineStr">
        <is>
          <t>OSBY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15111-2023</t>
        </is>
      </c>
      <c r="B3403" s="1" t="n">
        <v>45015</v>
      </c>
      <c r="C3403" s="1" t="n">
        <v>45914</v>
      </c>
      <c r="D3403" t="inlineStr">
        <is>
          <t>SKÅNE LÄN</t>
        </is>
      </c>
      <c r="E3403" t="inlineStr">
        <is>
          <t>KRISTIANSTAD</t>
        </is>
      </c>
      <c r="F3403" t="inlineStr">
        <is>
          <t>Kyrkan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12680-2025</t>
        </is>
      </c>
      <c r="B3404" s="1" t="n">
        <v>45733</v>
      </c>
      <c r="C3404" s="1" t="n">
        <v>45914</v>
      </c>
      <c r="D3404" t="inlineStr">
        <is>
          <t>SKÅNE LÄN</t>
        </is>
      </c>
      <c r="E3404" t="inlineStr">
        <is>
          <t>OSBY</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11941-2025</t>
        </is>
      </c>
      <c r="B3405" s="1" t="n">
        <v>45728</v>
      </c>
      <c r="C3405" s="1" t="n">
        <v>45914</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61550-2023</t>
        </is>
      </c>
      <c r="B3406" s="1" t="n">
        <v>45265</v>
      </c>
      <c r="C3406" s="1" t="n">
        <v>45914</v>
      </c>
      <c r="D3406" t="inlineStr">
        <is>
          <t>SKÅNE LÄN</t>
        </is>
      </c>
      <c r="E3406" t="inlineStr">
        <is>
          <t>KRISTIANSTAD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15631-2025</t>
        </is>
      </c>
      <c r="B3407" s="1" t="n">
        <v>45748</v>
      </c>
      <c r="C3407" s="1" t="n">
        <v>45914</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171-2025</t>
        </is>
      </c>
      <c r="B3408" s="1" t="n">
        <v>45659.64508101852</v>
      </c>
      <c r="C3408" s="1" t="n">
        <v>45914</v>
      </c>
      <c r="D3408" t="inlineStr">
        <is>
          <t>SKÅNE LÄN</t>
        </is>
      </c>
      <c r="E3408" t="inlineStr">
        <is>
          <t>ÖRKELLJUNGA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34719-2022</t>
        </is>
      </c>
      <c r="B3409" s="1" t="n">
        <v>44795.58869212963</v>
      </c>
      <c r="C3409" s="1" t="n">
        <v>45914</v>
      </c>
      <c r="D3409" t="inlineStr">
        <is>
          <t>SKÅNE LÄN</t>
        </is>
      </c>
      <c r="E3409" t="inlineStr">
        <is>
          <t>KRISTIANSTAD</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11002-2023</t>
        </is>
      </c>
      <c r="B3410" s="1" t="n">
        <v>44991</v>
      </c>
      <c r="C3410" s="1" t="n">
        <v>45914</v>
      </c>
      <c r="D3410" t="inlineStr">
        <is>
          <t>SKÅNE LÄN</t>
        </is>
      </c>
      <c r="E3410" t="inlineStr">
        <is>
          <t>TOMELILLA</t>
        </is>
      </c>
      <c r="F3410" t="inlineStr">
        <is>
          <t>Övriga Aktiebolag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8111-2025</t>
        </is>
      </c>
      <c r="B3411" s="1" t="n">
        <v>45707.7328587963</v>
      </c>
      <c r="C3411" s="1" t="n">
        <v>45914</v>
      </c>
      <c r="D3411" t="inlineStr">
        <is>
          <t>SKÅNE LÄN</t>
        </is>
      </c>
      <c r="E3411" t="inlineStr">
        <is>
          <t>KRISTIANSTAD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39221-2023</t>
        </is>
      </c>
      <c r="B3412" s="1" t="n">
        <v>45162</v>
      </c>
      <c r="C3412" s="1" t="n">
        <v>45914</v>
      </c>
      <c r="D3412" t="inlineStr">
        <is>
          <t>SKÅNE LÄN</t>
        </is>
      </c>
      <c r="E3412" t="inlineStr">
        <is>
          <t>SIMRISHAMN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11645-2025</t>
        </is>
      </c>
      <c r="B3413" s="1" t="n">
        <v>45727</v>
      </c>
      <c r="C3413" s="1" t="n">
        <v>45914</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13363-2023</t>
        </is>
      </c>
      <c r="B3414" s="1" t="n">
        <v>45005</v>
      </c>
      <c r="C3414" s="1" t="n">
        <v>45914</v>
      </c>
      <c r="D3414" t="inlineStr">
        <is>
          <t>SKÅNE LÄN</t>
        </is>
      </c>
      <c r="E3414" t="inlineStr">
        <is>
          <t>KLIPPAN</t>
        </is>
      </c>
      <c r="F3414" t="inlineStr">
        <is>
          <t>Övriga Aktiebolag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35676-2023</t>
        </is>
      </c>
      <c r="B3415" s="1" t="n">
        <v>45147</v>
      </c>
      <c r="C3415" s="1" t="n">
        <v>45914</v>
      </c>
      <c r="D3415" t="inlineStr">
        <is>
          <t>SKÅNE LÄN</t>
        </is>
      </c>
      <c r="E3415" t="inlineStr">
        <is>
          <t>ÖSTRA GÖINGE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33465-2024</t>
        </is>
      </c>
      <c r="B3416" s="1" t="n">
        <v>45519.59619212963</v>
      </c>
      <c r="C3416" s="1" t="n">
        <v>45914</v>
      </c>
      <c r="D3416" t="inlineStr">
        <is>
          <t>SKÅNE LÄN</t>
        </is>
      </c>
      <c r="E3416" t="inlineStr">
        <is>
          <t>HÄSSLEHOLM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34422-2024</t>
        </is>
      </c>
      <c r="B3417" s="1" t="n">
        <v>45525</v>
      </c>
      <c r="C3417" s="1" t="n">
        <v>45914</v>
      </c>
      <c r="D3417" t="inlineStr">
        <is>
          <t>SKÅNE LÄN</t>
        </is>
      </c>
      <c r="E3417" t="inlineStr">
        <is>
          <t>HÖRBY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6968-2022</t>
        </is>
      </c>
      <c r="B3418" s="1" t="n">
        <v>44603.3712037037</v>
      </c>
      <c r="C3418" s="1" t="n">
        <v>45914</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23683-2023</t>
        </is>
      </c>
      <c r="B3419" s="1" t="n">
        <v>45077</v>
      </c>
      <c r="C3419" s="1" t="n">
        <v>45914</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35715-2023</t>
        </is>
      </c>
      <c r="B3420" s="1" t="n">
        <v>45147.68502314815</v>
      </c>
      <c r="C3420" s="1" t="n">
        <v>45914</v>
      </c>
      <c r="D3420" t="inlineStr">
        <is>
          <t>SKÅNE LÄN</t>
        </is>
      </c>
      <c r="E3420" t="inlineStr">
        <is>
          <t>OSBY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15987-2025</t>
        </is>
      </c>
      <c r="B3421" s="1" t="n">
        <v>45749</v>
      </c>
      <c r="C3421" s="1" t="n">
        <v>45914</v>
      </c>
      <c r="D3421" t="inlineStr">
        <is>
          <t>SKÅNE LÄN</t>
        </is>
      </c>
      <c r="E3421" t="inlineStr">
        <is>
          <t>ÖRKELLJUNGA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51632-2024</t>
        </is>
      </c>
      <c r="B3422" s="1" t="n">
        <v>45605.56743055556</v>
      </c>
      <c r="C3422" s="1" t="n">
        <v>45914</v>
      </c>
      <c r="D3422" t="inlineStr">
        <is>
          <t>SKÅNE LÄN</t>
        </is>
      </c>
      <c r="E3422" t="inlineStr">
        <is>
          <t>OSBY</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51633-2024</t>
        </is>
      </c>
      <c r="B3423" s="1" t="n">
        <v>45605.57515046297</v>
      </c>
      <c r="C3423" s="1" t="n">
        <v>45914</v>
      </c>
      <c r="D3423" t="inlineStr">
        <is>
          <t>SKÅNE LÄN</t>
        </is>
      </c>
      <c r="E3423" t="inlineStr">
        <is>
          <t>OSBY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32364-2023</t>
        </is>
      </c>
      <c r="B3424" s="1" t="n">
        <v>45120.56152777778</v>
      </c>
      <c r="C3424" s="1" t="n">
        <v>45914</v>
      </c>
      <c r="D3424" t="inlineStr">
        <is>
          <t>SKÅNE LÄN</t>
        </is>
      </c>
      <c r="E3424" t="inlineStr">
        <is>
          <t>ÄNGELHOLM</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31986-2023</t>
        </is>
      </c>
      <c r="B3425" s="1" t="n">
        <v>45119</v>
      </c>
      <c r="C3425" s="1" t="n">
        <v>45914</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43871-2023</t>
        </is>
      </c>
      <c r="B3426" s="1" t="n">
        <v>45187</v>
      </c>
      <c r="C3426" s="1" t="n">
        <v>45914</v>
      </c>
      <c r="D3426" t="inlineStr">
        <is>
          <t>SKÅNE LÄN</t>
        </is>
      </c>
      <c r="E3426" t="inlineStr">
        <is>
          <t>KRISTIANSTAD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23955-2023</t>
        </is>
      </c>
      <c r="B3427" s="1" t="n">
        <v>45078.62217592593</v>
      </c>
      <c r="C3427" s="1" t="n">
        <v>45914</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54458-2023</t>
        </is>
      </c>
      <c r="B3428" s="1" t="n">
        <v>45226</v>
      </c>
      <c r="C3428" s="1" t="n">
        <v>45914</v>
      </c>
      <c r="D3428" t="inlineStr">
        <is>
          <t>SKÅNE LÄN</t>
        </is>
      </c>
      <c r="E3428" t="inlineStr">
        <is>
          <t>KRISTIANSTAD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39622-2023</t>
        </is>
      </c>
      <c r="B3429" s="1" t="n">
        <v>45163</v>
      </c>
      <c r="C3429" s="1" t="n">
        <v>45914</v>
      </c>
      <c r="D3429" t="inlineStr">
        <is>
          <t>SKÅNE LÄN</t>
        </is>
      </c>
      <c r="E3429" t="inlineStr">
        <is>
          <t>ÖRKELLJUNGA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34514-2023</t>
        </is>
      </c>
      <c r="B3430" s="1" t="n">
        <v>45140.38099537037</v>
      </c>
      <c r="C3430" s="1" t="n">
        <v>45914</v>
      </c>
      <c r="D3430" t="inlineStr">
        <is>
          <t>SKÅNE LÄN</t>
        </is>
      </c>
      <c r="E3430" t="inlineStr">
        <is>
          <t>ÄNGELHOLM</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41209-2023</t>
        </is>
      </c>
      <c r="B3431" s="1" t="n">
        <v>45174.43481481481</v>
      </c>
      <c r="C3431" s="1" t="n">
        <v>45914</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5594-2025</t>
        </is>
      </c>
      <c r="B3432" s="1" t="n">
        <v>45693.56855324074</v>
      </c>
      <c r="C3432" s="1" t="n">
        <v>45914</v>
      </c>
      <c r="D3432" t="inlineStr">
        <is>
          <t>SKÅNE LÄN</t>
        </is>
      </c>
      <c r="E3432" t="inlineStr">
        <is>
          <t>KRISTIANSTAD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61197-2024</t>
        </is>
      </c>
      <c r="B3433" s="1" t="n">
        <v>45645.63184027778</v>
      </c>
      <c r="C3433" s="1" t="n">
        <v>45914</v>
      </c>
      <c r="D3433" t="inlineStr">
        <is>
          <t>SKÅNE LÄN</t>
        </is>
      </c>
      <c r="E3433" t="inlineStr">
        <is>
          <t>HÄSSLEHOLM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32971-2025</t>
        </is>
      </c>
      <c r="B3434" s="1" t="n">
        <v>45839.73775462963</v>
      </c>
      <c r="C3434" s="1" t="n">
        <v>45914</v>
      </c>
      <c r="D3434" t="inlineStr">
        <is>
          <t>SKÅNE LÄN</t>
        </is>
      </c>
      <c r="E3434" t="inlineStr">
        <is>
          <t>KRISTIANSTAD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11943-2025</t>
        </is>
      </c>
      <c r="B3435" s="1" t="n">
        <v>45728</v>
      </c>
      <c r="C3435" s="1" t="n">
        <v>45914</v>
      </c>
      <c r="D3435" t="inlineStr">
        <is>
          <t>SKÅNE LÄN</t>
        </is>
      </c>
      <c r="E3435" t="inlineStr">
        <is>
          <t>HÖRBY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14058-2025</t>
        </is>
      </c>
      <c r="B3436" s="1" t="n">
        <v>45740.40390046296</v>
      </c>
      <c r="C3436" s="1" t="n">
        <v>45914</v>
      </c>
      <c r="D3436" t="inlineStr">
        <is>
          <t>SKÅNE LÄN</t>
        </is>
      </c>
      <c r="E3436" t="inlineStr">
        <is>
          <t>LUND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50366-2021</t>
        </is>
      </c>
      <c r="B3437" s="1" t="n">
        <v>44455</v>
      </c>
      <c r="C3437" s="1" t="n">
        <v>45914</v>
      </c>
      <c r="D3437" t="inlineStr">
        <is>
          <t>SKÅNE LÄN</t>
        </is>
      </c>
      <c r="E3437" t="inlineStr">
        <is>
          <t>OSBY</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43224-2024</t>
        </is>
      </c>
      <c r="B3438" s="1" t="n">
        <v>45567.87409722222</v>
      </c>
      <c r="C3438" s="1" t="n">
        <v>45914</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20002-2022</t>
        </is>
      </c>
      <c r="B3439" s="1" t="n">
        <v>44697.62150462963</v>
      </c>
      <c r="C3439" s="1" t="n">
        <v>45914</v>
      </c>
      <c r="D3439" t="inlineStr">
        <is>
          <t>SKÅNE LÄN</t>
        </is>
      </c>
      <c r="E3439" t="inlineStr">
        <is>
          <t>KLIPPAN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13549-2025</t>
        </is>
      </c>
      <c r="B3440" s="1" t="n">
        <v>45736</v>
      </c>
      <c r="C3440" s="1" t="n">
        <v>45914</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38470-2025</t>
        </is>
      </c>
      <c r="B3441" s="1" t="n">
        <v>45884.300625</v>
      </c>
      <c r="C3441" s="1" t="n">
        <v>45914</v>
      </c>
      <c r="D3441" t="inlineStr">
        <is>
          <t>SKÅNE LÄN</t>
        </is>
      </c>
      <c r="E3441" t="inlineStr">
        <is>
          <t>KRISTIANSTAD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10209-2023</t>
        </is>
      </c>
      <c r="B3442" s="1" t="n">
        <v>44986</v>
      </c>
      <c r="C3442" s="1" t="n">
        <v>45914</v>
      </c>
      <c r="D3442" t="inlineStr">
        <is>
          <t>SKÅNE LÄN</t>
        </is>
      </c>
      <c r="E3442" t="inlineStr">
        <is>
          <t>SVALÖV</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35825-2023</t>
        </is>
      </c>
      <c r="B3443" s="1" t="n">
        <v>45147</v>
      </c>
      <c r="C3443" s="1" t="n">
        <v>45914</v>
      </c>
      <c r="D3443" t="inlineStr">
        <is>
          <t>SKÅNE LÄN</t>
        </is>
      </c>
      <c r="E3443" t="inlineStr">
        <is>
          <t>ÖSTRA GÖINGE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35833-2023</t>
        </is>
      </c>
      <c r="B3444" s="1" t="n">
        <v>45148</v>
      </c>
      <c r="C3444" s="1" t="n">
        <v>45914</v>
      </c>
      <c r="D3444" t="inlineStr">
        <is>
          <t>SKÅNE LÄN</t>
        </is>
      </c>
      <c r="E3444" t="inlineStr">
        <is>
          <t>HÄSSLEHOLM</t>
        </is>
      </c>
      <c r="F3444" t="inlineStr">
        <is>
          <t>Kommuner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23391-2023</t>
        </is>
      </c>
      <c r="B3445" s="1" t="n">
        <v>45076</v>
      </c>
      <c r="C3445" s="1" t="n">
        <v>45914</v>
      </c>
      <c r="D3445" t="inlineStr">
        <is>
          <t>SKÅNE LÄN</t>
        </is>
      </c>
      <c r="E3445" t="inlineStr">
        <is>
          <t>ÖSTRA GÖINGE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31391-2021</t>
        </is>
      </c>
      <c r="B3446" s="1" t="n">
        <v>44368</v>
      </c>
      <c r="C3446" s="1" t="n">
        <v>45914</v>
      </c>
      <c r="D3446" t="inlineStr">
        <is>
          <t>SKÅNE LÄN</t>
        </is>
      </c>
      <c r="E3446" t="inlineStr">
        <is>
          <t>ÖSTRA GÖINGE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6796-2024</t>
        </is>
      </c>
      <c r="B3447" s="1" t="n">
        <v>45342.56502314815</v>
      </c>
      <c r="C3447" s="1" t="n">
        <v>45914</v>
      </c>
      <c r="D3447" t="inlineStr">
        <is>
          <t>SKÅNE LÄN</t>
        </is>
      </c>
      <c r="E3447" t="inlineStr">
        <is>
          <t>ÖRKELLJUNGA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34924-2022</t>
        </is>
      </c>
      <c r="B3448" s="1" t="n">
        <v>44796</v>
      </c>
      <c r="C3448" s="1" t="n">
        <v>45914</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18434-2023</t>
        </is>
      </c>
      <c r="B3449" s="1" t="n">
        <v>45042</v>
      </c>
      <c r="C3449" s="1" t="n">
        <v>45914</v>
      </c>
      <c r="D3449" t="inlineStr">
        <is>
          <t>SKÅNE LÄN</t>
        </is>
      </c>
      <c r="E3449" t="inlineStr">
        <is>
          <t>BÅSTAD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15951-2024</t>
        </is>
      </c>
      <c r="B3450" s="1" t="n">
        <v>45405</v>
      </c>
      <c r="C3450" s="1" t="n">
        <v>45914</v>
      </c>
      <c r="D3450" t="inlineStr">
        <is>
          <t>SKÅNE LÄN</t>
        </is>
      </c>
      <c r="E3450" t="inlineStr">
        <is>
          <t>KRISTIANSTAD</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7083-2024</t>
        </is>
      </c>
      <c r="B3451" s="1" t="n">
        <v>45343</v>
      </c>
      <c r="C3451" s="1" t="n">
        <v>45914</v>
      </c>
      <c r="D3451" t="inlineStr">
        <is>
          <t>SKÅNE LÄN</t>
        </is>
      </c>
      <c r="E3451" t="inlineStr">
        <is>
          <t>SIMRISHAMN</t>
        </is>
      </c>
      <c r="F3451" t="inlineStr">
        <is>
          <t>Övriga Aktiebolag</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23860-2024</t>
        </is>
      </c>
      <c r="B3452" s="1" t="n">
        <v>45455</v>
      </c>
      <c r="C3452" s="1" t="n">
        <v>45914</v>
      </c>
      <c r="D3452" t="inlineStr">
        <is>
          <t>SKÅNE LÄN</t>
        </is>
      </c>
      <c r="E3452" t="inlineStr">
        <is>
          <t>HÄSSLEHOLM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524-2024</t>
        </is>
      </c>
      <c r="B3453" s="1" t="n">
        <v>45299</v>
      </c>
      <c r="C3453" s="1" t="n">
        <v>45914</v>
      </c>
      <c r="D3453" t="inlineStr">
        <is>
          <t>SKÅNE LÄN</t>
        </is>
      </c>
      <c r="E3453" t="inlineStr">
        <is>
          <t>HÄSSLEHOLM</t>
        </is>
      </c>
      <c r="G3453" t="n">
        <v>29.4</v>
      </c>
      <c r="H3453" t="n">
        <v>0</v>
      </c>
      <c r="I3453" t="n">
        <v>0</v>
      </c>
      <c r="J3453" t="n">
        <v>0</v>
      </c>
      <c r="K3453" t="n">
        <v>0</v>
      </c>
      <c r="L3453" t="n">
        <v>0</v>
      </c>
      <c r="M3453" t="n">
        <v>0</v>
      </c>
      <c r="N3453" t="n">
        <v>0</v>
      </c>
      <c r="O3453" t="n">
        <v>0</v>
      </c>
      <c r="P3453" t="n">
        <v>0</v>
      </c>
      <c r="Q3453" t="n">
        <v>0</v>
      </c>
      <c r="R3453" s="2" t="inlineStr"/>
    </row>
    <row r="3454" ht="15" customHeight="1">
      <c r="A3454" t="inlineStr">
        <is>
          <t>A 23850-2024</t>
        </is>
      </c>
      <c r="B3454" s="1" t="n">
        <v>45455</v>
      </c>
      <c r="C3454" s="1" t="n">
        <v>45914</v>
      </c>
      <c r="D3454" t="inlineStr">
        <is>
          <t>SKÅNE LÄN</t>
        </is>
      </c>
      <c r="E3454" t="inlineStr">
        <is>
          <t>KRISTIANSTAD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38173-2025</t>
        </is>
      </c>
      <c r="B3455" s="1" t="n">
        <v>45882</v>
      </c>
      <c r="C3455" s="1" t="n">
        <v>45914</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35142-2021</t>
        </is>
      </c>
      <c r="B3456" s="1" t="n">
        <v>44384</v>
      </c>
      <c r="C3456" s="1" t="n">
        <v>45914</v>
      </c>
      <c r="D3456" t="inlineStr">
        <is>
          <t>SKÅNE LÄN</t>
        </is>
      </c>
      <c r="E3456" t="inlineStr">
        <is>
          <t>TOMELILLA</t>
        </is>
      </c>
      <c r="F3456" t="inlineStr">
        <is>
          <t>Övriga Aktiebolag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36412-2021</t>
        </is>
      </c>
      <c r="B3457" s="1" t="n">
        <v>44390</v>
      </c>
      <c r="C3457" s="1" t="n">
        <v>45914</v>
      </c>
      <c r="D3457" t="inlineStr">
        <is>
          <t>SKÅNE LÄN</t>
        </is>
      </c>
      <c r="E3457" t="inlineStr">
        <is>
          <t>KRISTIANSTAD</t>
        </is>
      </c>
      <c r="F3457" t="inlineStr">
        <is>
          <t>Kyrkan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1107-2025</t>
        </is>
      </c>
      <c r="B3458" s="1" t="n">
        <v>45666.65141203703</v>
      </c>
      <c r="C3458" s="1" t="n">
        <v>45914</v>
      </c>
      <c r="D3458" t="inlineStr">
        <is>
          <t>SKÅNE LÄN</t>
        </is>
      </c>
      <c r="E3458" t="inlineStr">
        <is>
          <t>OSBY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5659-2025</t>
        </is>
      </c>
      <c r="B3459" s="1" t="n">
        <v>45693.74108796296</v>
      </c>
      <c r="C3459" s="1" t="n">
        <v>45914</v>
      </c>
      <c r="D3459" t="inlineStr">
        <is>
          <t>SKÅNE LÄN</t>
        </is>
      </c>
      <c r="E3459" t="inlineStr">
        <is>
          <t>BROMÖLLA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41253-2023</t>
        </is>
      </c>
      <c r="B3460" s="1" t="n">
        <v>45174.51077546296</v>
      </c>
      <c r="C3460" s="1" t="n">
        <v>45914</v>
      </c>
      <c r="D3460" t="inlineStr">
        <is>
          <t>SKÅNE LÄN</t>
        </is>
      </c>
      <c r="E3460" t="inlineStr">
        <is>
          <t>BROMÖLLA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57491-2024</t>
        </is>
      </c>
      <c r="B3461" s="1" t="n">
        <v>45629</v>
      </c>
      <c r="C3461" s="1" t="n">
        <v>45914</v>
      </c>
      <c r="D3461" t="inlineStr">
        <is>
          <t>SKÅNE LÄN</t>
        </is>
      </c>
      <c r="E3461" t="inlineStr">
        <is>
          <t>HÄSSLEHOLM</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44613-2023</t>
        </is>
      </c>
      <c r="B3462" s="1" t="n">
        <v>45189</v>
      </c>
      <c r="C3462" s="1" t="n">
        <v>45914</v>
      </c>
      <c r="D3462" t="inlineStr">
        <is>
          <t>SKÅNE LÄN</t>
        </is>
      </c>
      <c r="E3462" t="inlineStr">
        <is>
          <t>HÖRBY</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21245-2021</t>
        </is>
      </c>
      <c r="B3463" s="1" t="n">
        <v>44320</v>
      </c>
      <c r="C3463" s="1" t="n">
        <v>45914</v>
      </c>
      <c r="D3463" t="inlineStr">
        <is>
          <t>SKÅNE LÄN</t>
        </is>
      </c>
      <c r="E3463" t="inlineStr">
        <is>
          <t>TOMELILLA</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35804-2023</t>
        </is>
      </c>
      <c r="B3464" s="1" t="n">
        <v>45148</v>
      </c>
      <c r="C3464" s="1" t="n">
        <v>45914</v>
      </c>
      <c r="D3464" t="inlineStr">
        <is>
          <t>SKÅNE LÄN</t>
        </is>
      </c>
      <c r="E3464" t="inlineStr">
        <is>
          <t>BROMÖLLA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58250-2024</t>
        </is>
      </c>
      <c r="B3465" s="1" t="n">
        <v>45632.55643518519</v>
      </c>
      <c r="C3465" s="1" t="n">
        <v>45914</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26207-2021</t>
        </is>
      </c>
      <c r="B3466" s="1" t="n">
        <v>44347</v>
      </c>
      <c r="C3466" s="1" t="n">
        <v>45914</v>
      </c>
      <c r="D3466" t="inlineStr">
        <is>
          <t>SKÅNE LÄN</t>
        </is>
      </c>
      <c r="E3466" t="inlineStr">
        <is>
          <t>HÄSSLEHOLM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64181-2023</t>
        </is>
      </c>
      <c r="B3467" s="1" t="n">
        <v>45279</v>
      </c>
      <c r="C3467" s="1" t="n">
        <v>45914</v>
      </c>
      <c r="D3467" t="inlineStr">
        <is>
          <t>SKÅNE LÄN</t>
        </is>
      </c>
      <c r="E3467" t="inlineStr">
        <is>
          <t>ÖSTRA GÖINGE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3602-2024</t>
        </is>
      </c>
      <c r="B3468" s="1" t="n">
        <v>45320</v>
      </c>
      <c r="C3468" s="1" t="n">
        <v>45914</v>
      </c>
      <c r="D3468" t="inlineStr">
        <is>
          <t>SKÅNE LÄN</t>
        </is>
      </c>
      <c r="E3468" t="inlineStr">
        <is>
          <t>SIMRISHAMN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10941-2024</t>
        </is>
      </c>
      <c r="B3469" s="1" t="n">
        <v>45370</v>
      </c>
      <c r="C3469" s="1" t="n">
        <v>45914</v>
      </c>
      <c r="D3469" t="inlineStr">
        <is>
          <t>SKÅNE LÄN</t>
        </is>
      </c>
      <c r="E3469" t="inlineStr">
        <is>
          <t>PERSTORP</t>
        </is>
      </c>
      <c r="F3469" t="inlineStr">
        <is>
          <t>Övriga Aktiebolag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39414-2023</t>
        </is>
      </c>
      <c r="B3470" s="1" t="n">
        <v>45163</v>
      </c>
      <c r="C3470" s="1" t="n">
        <v>45914</v>
      </c>
      <c r="D3470" t="inlineStr">
        <is>
          <t>SKÅNE LÄN</t>
        </is>
      </c>
      <c r="E3470" t="inlineStr">
        <is>
          <t>SJÖBO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18830-2021</t>
        </is>
      </c>
      <c r="B3471" s="1" t="n">
        <v>44307.68211805556</v>
      </c>
      <c r="C3471" s="1" t="n">
        <v>45914</v>
      </c>
      <c r="D3471" t="inlineStr">
        <is>
          <t>SKÅNE LÄN</t>
        </is>
      </c>
      <c r="E3471" t="inlineStr">
        <is>
          <t>KRISTIANSTAD</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57839-2024</t>
        </is>
      </c>
      <c r="B3472" s="1" t="n">
        <v>45630</v>
      </c>
      <c r="C3472" s="1" t="n">
        <v>45914</v>
      </c>
      <c r="D3472" t="inlineStr">
        <is>
          <t>SKÅNE LÄN</t>
        </is>
      </c>
      <c r="E3472" t="inlineStr">
        <is>
          <t>OSBY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50279-2023</t>
        </is>
      </c>
      <c r="B3473" s="1" t="n">
        <v>45216.44960648148</v>
      </c>
      <c r="C3473" s="1" t="n">
        <v>45914</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46515-2022</t>
        </is>
      </c>
      <c r="B3474" s="1" t="n">
        <v>44847</v>
      </c>
      <c r="C3474" s="1" t="n">
        <v>45914</v>
      </c>
      <c r="D3474" t="inlineStr">
        <is>
          <t>SKÅNE LÄN</t>
        </is>
      </c>
      <c r="E3474" t="inlineStr">
        <is>
          <t>KRISTIANSTAD</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53003-2024</t>
        </is>
      </c>
      <c r="B3475" s="1" t="n">
        <v>45610</v>
      </c>
      <c r="C3475" s="1" t="n">
        <v>45914</v>
      </c>
      <c r="D3475" t="inlineStr">
        <is>
          <t>SKÅNE LÄN</t>
        </is>
      </c>
      <c r="E3475" t="inlineStr">
        <is>
          <t>OSBY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54518-2022</t>
        </is>
      </c>
      <c r="B3476" s="1" t="n">
        <v>44882</v>
      </c>
      <c r="C3476" s="1" t="n">
        <v>45914</v>
      </c>
      <c r="D3476" t="inlineStr">
        <is>
          <t>SKÅNE LÄN</t>
        </is>
      </c>
      <c r="E3476" t="inlineStr">
        <is>
          <t>HÄSSLEHOLM</t>
        </is>
      </c>
      <c r="F3476" t="inlineStr">
        <is>
          <t>Övriga Aktiebolag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33948-2025</t>
        </is>
      </c>
      <c r="B3477" s="1" t="n">
        <v>45842.65945601852</v>
      </c>
      <c r="C3477" s="1" t="n">
        <v>45914</v>
      </c>
      <c r="D3477" t="inlineStr">
        <is>
          <t>SKÅNE LÄN</t>
        </is>
      </c>
      <c r="E3477" t="inlineStr">
        <is>
          <t>HÄSSLEHOLM</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33766-2025</t>
        </is>
      </c>
      <c r="B3478" s="1" t="n">
        <v>45842.3869675926</v>
      </c>
      <c r="C3478" s="1" t="n">
        <v>45914</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14619-2023</t>
        </is>
      </c>
      <c r="B3479" s="1" t="n">
        <v>45013</v>
      </c>
      <c r="C3479" s="1" t="n">
        <v>45914</v>
      </c>
      <c r="D3479" t="inlineStr">
        <is>
          <t>SKÅNE LÄN</t>
        </is>
      </c>
      <c r="E3479" t="inlineStr">
        <is>
          <t>KLIPPAN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9670-2023</t>
        </is>
      </c>
      <c r="B3480" s="1" t="n">
        <v>44978</v>
      </c>
      <c r="C3480" s="1" t="n">
        <v>45914</v>
      </c>
      <c r="D3480" t="inlineStr">
        <is>
          <t>SKÅNE LÄN</t>
        </is>
      </c>
      <c r="E3480" t="inlineStr">
        <is>
          <t>OSBY</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7094-2023</t>
        </is>
      </c>
      <c r="B3481" s="1" t="n">
        <v>44970.36958333333</v>
      </c>
      <c r="C3481" s="1" t="n">
        <v>45914</v>
      </c>
      <c r="D3481" t="inlineStr">
        <is>
          <t>SKÅNE LÄN</t>
        </is>
      </c>
      <c r="E3481" t="inlineStr">
        <is>
          <t>HÄSSLEHOLM</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55737-2021</t>
        </is>
      </c>
      <c r="B3482" s="1" t="n">
        <v>44476</v>
      </c>
      <c r="C3482" s="1" t="n">
        <v>45914</v>
      </c>
      <c r="D3482" t="inlineStr">
        <is>
          <t>SKÅNE LÄN</t>
        </is>
      </c>
      <c r="E3482" t="inlineStr">
        <is>
          <t>KRISTIANSTAD</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63077-2021</t>
        </is>
      </c>
      <c r="B3483" s="1" t="n">
        <v>44505</v>
      </c>
      <c r="C3483" s="1" t="n">
        <v>45914</v>
      </c>
      <c r="D3483" t="inlineStr">
        <is>
          <t>SKÅNE LÄN</t>
        </is>
      </c>
      <c r="E3483" t="inlineStr">
        <is>
          <t>OSBY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27085-2021</t>
        </is>
      </c>
      <c r="B3484" s="1" t="n">
        <v>44350.48686342593</v>
      </c>
      <c r="C3484" s="1" t="n">
        <v>45914</v>
      </c>
      <c r="D3484" t="inlineStr">
        <is>
          <t>SKÅNE LÄN</t>
        </is>
      </c>
      <c r="E3484" t="inlineStr">
        <is>
          <t>ÖSTRA GÖINGE</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52307-2023</t>
        </is>
      </c>
      <c r="B3485" s="1" t="n">
        <v>45217</v>
      </c>
      <c r="C3485" s="1" t="n">
        <v>45914</v>
      </c>
      <c r="D3485" t="inlineStr">
        <is>
          <t>SKÅNE LÄN</t>
        </is>
      </c>
      <c r="E3485" t="inlineStr">
        <is>
          <t>BROMÖLLA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8110-2025</t>
        </is>
      </c>
      <c r="B3486" s="1" t="n">
        <v>45707.73159722222</v>
      </c>
      <c r="C3486" s="1" t="n">
        <v>45914</v>
      </c>
      <c r="D3486" t="inlineStr">
        <is>
          <t>SKÅNE LÄN</t>
        </is>
      </c>
      <c r="E3486" t="inlineStr">
        <is>
          <t>KRISTIANSTAD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8139-2025</t>
        </is>
      </c>
      <c r="B3487" s="1" t="n">
        <v>45708.2620949074</v>
      </c>
      <c r="C3487" s="1" t="n">
        <v>45914</v>
      </c>
      <c r="D3487" t="inlineStr">
        <is>
          <t>SKÅNE LÄN</t>
        </is>
      </c>
      <c r="E3487" t="inlineStr">
        <is>
          <t>ÄNGELHOLM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6798-2025</t>
        </is>
      </c>
      <c r="B3488" s="1" t="n">
        <v>45700.668125</v>
      </c>
      <c r="C3488" s="1" t="n">
        <v>45914</v>
      </c>
      <c r="D3488" t="inlineStr">
        <is>
          <t>SKÅNE LÄN</t>
        </is>
      </c>
      <c r="E3488" t="inlineStr">
        <is>
          <t>HÄSSLEHOLM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30089-2023</t>
        </is>
      </c>
      <c r="B3489" s="1" t="n">
        <v>45110.44355324074</v>
      </c>
      <c r="C3489" s="1" t="n">
        <v>45914</v>
      </c>
      <c r="D3489" t="inlineStr">
        <is>
          <t>SKÅNE LÄN</t>
        </is>
      </c>
      <c r="E3489" t="inlineStr">
        <is>
          <t>BROMÖLLA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38147-2025</t>
        </is>
      </c>
      <c r="B3490" s="1" t="n">
        <v>45882.58765046296</v>
      </c>
      <c r="C3490" s="1" t="n">
        <v>45914</v>
      </c>
      <c r="D3490" t="inlineStr">
        <is>
          <t>SKÅNE LÄN</t>
        </is>
      </c>
      <c r="E3490" t="inlineStr">
        <is>
          <t>HÖRBY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69357-2021</t>
        </is>
      </c>
      <c r="B3491" s="1" t="n">
        <v>44531</v>
      </c>
      <c r="C3491" s="1" t="n">
        <v>45914</v>
      </c>
      <c r="D3491" t="inlineStr">
        <is>
          <t>SKÅNE LÄN</t>
        </is>
      </c>
      <c r="E3491" t="inlineStr">
        <is>
          <t>HÄSSLEHOLM</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7409-2025</t>
        </is>
      </c>
      <c r="B3492" s="1" t="n">
        <v>45705.36702546296</v>
      </c>
      <c r="C3492" s="1" t="n">
        <v>45914</v>
      </c>
      <c r="D3492" t="inlineStr">
        <is>
          <t>SKÅNE LÄN</t>
        </is>
      </c>
      <c r="E3492" t="inlineStr">
        <is>
          <t>ESLÖV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43937-2023</t>
        </is>
      </c>
      <c r="B3493" s="1" t="n">
        <v>45187</v>
      </c>
      <c r="C3493" s="1" t="n">
        <v>45914</v>
      </c>
      <c r="D3493" t="inlineStr">
        <is>
          <t>SKÅNE LÄN</t>
        </is>
      </c>
      <c r="E3493" t="inlineStr">
        <is>
          <t>HÖRBY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43939-2023</t>
        </is>
      </c>
      <c r="B3494" s="1" t="n">
        <v>45187</v>
      </c>
      <c r="C3494" s="1" t="n">
        <v>45914</v>
      </c>
      <c r="D3494" t="inlineStr">
        <is>
          <t>SKÅNE LÄN</t>
        </is>
      </c>
      <c r="E3494" t="inlineStr">
        <is>
          <t>HÖRBY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16287-2023</t>
        </is>
      </c>
      <c r="B3495" s="1" t="n">
        <v>45022</v>
      </c>
      <c r="C3495" s="1" t="n">
        <v>45914</v>
      </c>
      <c r="D3495" t="inlineStr">
        <is>
          <t>SKÅNE LÄN</t>
        </is>
      </c>
      <c r="E3495" t="inlineStr">
        <is>
          <t>ÖSTRA GÖINGE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23470-2024</t>
        </is>
      </c>
      <c r="B3496" s="1" t="n">
        <v>45453</v>
      </c>
      <c r="C3496" s="1" t="n">
        <v>45914</v>
      </c>
      <c r="D3496" t="inlineStr">
        <is>
          <t>SKÅNE LÄN</t>
        </is>
      </c>
      <c r="E3496" t="inlineStr">
        <is>
          <t>OSBY</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46733-2023</t>
        </is>
      </c>
      <c r="B3497" s="1" t="n">
        <v>45195</v>
      </c>
      <c r="C3497" s="1" t="n">
        <v>45914</v>
      </c>
      <c r="D3497" t="inlineStr">
        <is>
          <t>SKÅNE LÄN</t>
        </is>
      </c>
      <c r="E3497" t="inlineStr">
        <is>
          <t>BROMÖLLA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26473-2024</t>
        </is>
      </c>
      <c r="B3498" s="1" t="n">
        <v>45469</v>
      </c>
      <c r="C3498" s="1" t="n">
        <v>45914</v>
      </c>
      <c r="D3498" t="inlineStr">
        <is>
          <t>SKÅNE LÄN</t>
        </is>
      </c>
      <c r="E3498" t="inlineStr">
        <is>
          <t>TOMELILLA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59597-2023</t>
        </is>
      </c>
      <c r="B3499" s="1" t="n">
        <v>45254</v>
      </c>
      <c r="C3499" s="1" t="n">
        <v>45914</v>
      </c>
      <c r="D3499" t="inlineStr">
        <is>
          <t>SKÅNE LÄN</t>
        </is>
      </c>
      <c r="E3499" t="inlineStr">
        <is>
          <t>KRISTIANSTAD</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3500-2024</t>
        </is>
      </c>
      <c r="B3500" s="1" t="n">
        <v>45320</v>
      </c>
      <c r="C3500" s="1" t="n">
        <v>45914</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38262-2025</t>
        </is>
      </c>
      <c r="B3501" s="1" t="n">
        <v>45883.39725694444</v>
      </c>
      <c r="C3501" s="1" t="n">
        <v>45914</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45192-2022</t>
        </is>
      </c>
      <c r="B3502" s="1" t="n">
        <v>44844.42034722222</v>
      </c>
      <c r="C3502" s="1" t="n">
        <v>45914</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37898-2021</t>
        </is>
      </c>
      <c r="B3503" s="1" t="n">
        <v>44403</v>
      </c>
      <c r="C3503" s="1" t="n">
        <v>45914</v>
      </c>
      <c r="D3503" t="inlineStr">
        <is>
          <t>SKÅNE LÄN</t>
        </is>
      </c>
      <c r="E3503" t="inlineStr">
        <is>
          <t>HÄSSLEHOLM</t>
        </is>
      </c>
      <c r="F3503" t="inlineStr">
        <is>
          <t>Kommuner</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61979-2024</t>
        </is>
      </c>
      <c r="B3504" s="1" t="n">
        <v>45646</v>
      </c>
      <c r="C3504" s="1" t="n">
        <v>45914</v>
      </c>
      <c r="D3504" t="inlineStr">
        <is>
          <t>SKÅNE LÄN</t>
        </is>
      </c>
      <c r="E3504" t="inlineStr">
        <is>
          <t>OSBY</t>
        </is>
      </c>
      <c r="F3504" t="inlineStr">
        <is>
          <t>Kyrkan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35810-2023</t>
        </is>
      </c>
      <c r="B3505" s="1" t="n">
        <v>45148.44046296296</v>
      </c>
      <c r="C3505" s="1" t="n">
        <v>45914</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33875-2025</t>
        </is>
      </c>
      <c r="B3506" s="1" t="n">
        <v>45842.55300925926</v>
      </c>
      <c r="C3506" s="1" t="n">
        <v>45914</v>
      </c>
      <c r="D3506" t="inlineStr">
        <is>
          <t>SKÅNE LÄN</t>
        </is>
      </c>
      <c r="E3506" t="inlineStr">
        <is>
          <t>HÄSSLEHOLM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30145-2025</t>
        </is>
      </c>
      <c r="B3507" s="1" t="n">
        <v>45826.96917824074</v>
      </c>
      <c r="C3507" s="1" t="n">
        <v>45914</v>
      </c>
      <c r="D3507" t="inlineStr">
        <is>
          <t>SKÅNE LÄN</t>
        </is>
      </c>
      <c r="E3507" t="inlineStr">
        <is>
          <t>OSBY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33761-2025</t>
        </is>
      </c>
      <c r="B3508" s="1" t="n">
        <v>45842.38335648148</v>
      </c>
      <c r="C3508" s="1" t="n">
        <v>45914</v>
      </c>
      <c r="D3508" t="inlineStr">
        <is>
          <t>SKÅNE LÄN</t>
        </is>
      </c>
      <c r="E3508" t="inlineStr">
        <is>
          <t>KLIPPAN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12600-2025</t>
        </is>
      </c>
      <c r="B3509" s="1" t="n">
        <v>45733</v>
      </c>
      <c r="C3509" s="1" t="n">
        <v>45914</v>
      </c>
      <c r="D3509" t="inlineStr">
        <is>
          <t>SKÅNE LÄN</t>
        </is>
      </c>
      <c r="E3509" t="inlineStr">
        <is>
          <t>OSBY</t>
        </is>
      </c>
      <c r="F3509" t="inlineStr">
        <is>
          <t>Sveaskog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12602-2025</t>
        </is>
      </c>
      <c r="B3510" s="1" t="n">
        <v>45733</v>
      </c>
      <c r="C3510" s="1" t="n">
        <v>45914</v>
      </c>
      <c r="D3510" t="inlineStr">
        <is>
          <t>SKÅNE LÄN</t>
        </is>
      </c>
      <c r="E3510" t="inlineStr">
        <is>
          <t>OSBY</t>
        </is>
      </c>
      <c r="F3510" t="inlineStr">
        <is>
          <t>Sveaskog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12604-2025</t>
        </is>
      </c>
      <c r="B3511" s="1" t="n">
        <v>45733</v>
      </c>
      <c r="C3511" s="1" t="n">
        <v>45914</v>
      </c>
      <c r="D3511" t="inlineStr">
        <is>
          <t>SKÅNE LÄN</t>
        </is>
      </c>
      <c r="E3511" t="inlineStr">
        <is>
          <t>OSBY</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4833-2025</t>
        </is>
      </c>
      <c r="B3512" s="1" t="n">
        <v>45688.65921296296</v>
      </c>
      <c r="C3512" s="1" t="n">
        <v>45914</v>
      </c>
      <c r="D3512" t="inlineStr">
        <is>
          <t>SKÅNE LÄN</t>
        </is>
      </c>
      <c r="E3512" t="inlineStr">
        <is>
          <t>OSBY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23172-2022</t>
        </is>
      </c>
      <c r="B3513" s="1" t="n">
        <v>44719</v>
      </c>
      <c r="C3513" s="1" t="n">
        <v>45914</v>
      </c>
      <c r="D3513" t="inlineStr">
        <is>
          <t>SKÅNE LÄN</t>
        </is>
      </c>
      <c r="E3513" t="inlineStr">
        <is>
          <t>HÄSSLEHOLM</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23173-2022</t>
        </is>
      </c>
      <c r="B3514" s="1" t="n">
        <v>44719.72155092593</v>
      </c>
      <c r="C3514" s="1" t="n">
        <v>45914</v>
      </c>
      <c r="D3514" t="inlineStr">
        <is>
          <t>SKÅNE LÄN</t>
        </is>
      </c>
      <c r="E3514" t="inlineStr">
        <is>
          <t>HÄSSLEHOLM</t>
        </is>
      </c>
      <c r="F3514" t="inlineStr">
        <is>
          <t>Övriga Aktiebolag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67426-2021</t>
        </is>
      </c>
      <c r="B3515" s="1" t="n">
        <v>44523</v>
      </c>
      <c r="C3515" s="1" t="n">
        <v>45914</v>
      </c>
      <c r="D3515" t="inlineStr">
        <is>
          <t>SKÅNE LÄN</t>
        </is>
      </c>
      <c r="E3515" t="inlineStr">
        <is>
          <t>HÖRBY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52608-2023</t>
        </is>
      </c>
      <c r="B3516" s="1" t="n">
        <v>45219</v>
      </c>
      <c r="C3516" s="1" t="n">
        <v>45914</v>
      </c>
      <c r="D3516" t="inlineStr">
        <is>
          <t>SKÅNE LÄN</t>
        </is>
      </c>
      <c r="E3516" t="inlineStr">
        <is>
          <t>HÄSSLEHOLM</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52617-2023</t>
        </is>
      </c>
      <c r="B3517" s="1" t="n">
        <v>45219</v>
      </c>
      <c r="C3517" s="1" t="n">
        <v>45914</v>
      </c>
      <c r="D3517" t="inlineStr">
        <is>
          <t>SKÅNE LÄN</t>
        </is>
      </c>
      <c r="E3517" t="inlineStr">
        <is>
          <t>PERSTORP</t>
        </is>
      </c>
      <c r="F3517" t="inlineStr">
        <is>
          <t>Övriga Aktiebolag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38697-2025</t>
        </is>
      </c>
      <c r="B3518" s="1" t="n">
        <v>45884.76268518518</v>
      </c>
      <c r="C3518" s="1" t="n">
        <v>45914</v>
      </c>
      <c r="D3518" t="inlineStr">
        <is>
          <t>SKÅNE LÄN</t>
        </is>
      </c>
      <c r="E3518" t="inlineStr">
        <is>
          <t>OSBY</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8239-2025</t>
        </is>
      </c>
      <c r="B3519" s="1" t="n">
        <v>45708.47984953703</v>
      </c>
      <c r="C3519" s="1" t="n">
        <v>45914</v>
      </c>
      <c r="D3519" t="inlineStr">
        <is>
          <t>SKÅNE LÄN</t>
        </is>
      </c>
      <c r="E3519" t="inlineStr">
        <is>
          <t>HÄSSLEHOLM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20381-2025</t>
        </is>
      </c>
      <c r="B3520" s="1" t="n">
        <v>45775.43020833333</v>
      </c>
      <c r="C3520" s="1" t="n">
        <v>45914</v>
      </c>
      <c r="D3520" t="inlineStr">
        <is>
          <t>SKÅNE LÄN</t>
        </is>
      </c>
      <c r="E3520" t="inlineStr">
        <is>
          <t>HÖÖR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56355-2023</t>
        </is>
      </c>
      <c r="B3521" s="1" t="n">
        <v>45243.3702662037</v>
      </c>
      <c r="C3521" s="1" t="n">
        <v>45914</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56360-2023</t>
        </is>
      </c>
      <c r="B3522" s="1" t="n">
        <v>45243.37550925926</v>
      </c>
      <c r="C3522" s="1" t="n">
        <v>45914</v>
      </c>
      <c r="D3522" t="inlineStr">
        <is>
          <t>SKÅNE LÄN</t>
        </is>
      </c>
      <c r="E3522" t="inlineStr">
        <is>
          <t>BROMÖLLA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8455-2025</t>
        </is>
      </c>
      <c r="B3523" s="1" t="n">
        <v>45709</v>
      </c>
      <c r="C3523" s="1" t="n">
        <v>45914</v>
      </c>
      <c r="D3523" t="inlineStr">
        <is>
          <t>SKÅNE LÄN</t>
        </is>
      </c>
      <c r="E3523" t="inlineStr">
        <is>
          <t>KRISTIANSTAD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36543-2022</t>
        </is>
      </c>
      <c r="B3524" s="1" t="n">
        <v>44804.57</v>
      </c>
      <c r="C3524" s="1" t="n">
        <v>45914</v>
      </c>
      <c r="D3524" t="inlineStr">
        <is>
          <t>SKÅNE LÄN</t>
        </is>
      </c>
      <c r="E3524" t="inlineStr">
        <is>
          <t>ÖRKELLJUNGA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9190-2025</t>
        </is>
      </c>
      <c r="B3525" s="1" t="n">
        <v>45714.45700231481</v>
      </c>
      <c r="C3525" s="1" t="n">
        <v>45914</v>
      </c>
      <c r="D3525" t="inlineStr">
        <is>
          <t>SKÅNE LÄN</t>
        </is>
      </c>
      <c r="E3525" t="inlineStr">
        <is>
          <t>OSBY</t>
        </is>
      </c>
      <c r="F3525" t="inlineStr">
        <is>
          <t>Kommuner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9394-2025</t>
        </is>
      </c>
      <c r="B3526" s="1" t="n">
        <v>45715.36387731481</v>
      </c>
      <c r="C3526" s="1" t="n">
        <v>45914</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38046-2024</t>
        </is>
      </c>
      <c r="B3527" s="1" t="n">
        <v>45544.68872685185</v>
      </c>
      <c r="C3527" s="1" t="n">
        <v>45914</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7305-2025</t>
        </is>
      </c>
      <c r="B3528" s="1" t="n">
        <v>45702</v>
      </c>
      <c r="C3528" s="1" t="n">
        <v>45914</v>
      </c>
      <c r="D3528" t="inlineStr">
        <is>
          <t>SKÅNE LÄN</t>
        </is>
      </c>
      <c r="E3528" t="inlineStr">
        <is>
          <t>HÄSSLEHOLM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11266-2025</t>
        </is>
      </c>
      <c r="B3529" s="1" t="n">
        <v>45726</v>
      </c>
      <c r="C3529" s="1" t="n">
        <v>45914</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55587-2021</t>
        </is>
      </c>
      <c r="B3530" s="1" t="n">
        <v>44475</v>
      </c>
      <c r="C3530" s="1" t="n">
        <v>45914</v>
      </c>
      <c r="D3530" t="inlineStr">
        <is>
          <t>SKÅNE LÄN</t>
        </is>
      </c>
      <c r="E3530" t="inlineStr">
        <is>
          <t>KLIPPAN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17778-2024</t>
        </is>
      </c>
      <c r="B3531" s="1" t="n">
        <v>45418</v>
      </c>
      <c r="C3531" s="1" t="n">
        <v>45914</v>
      </c>
      <c r="D3531" t="inlineStr">
        <is>
          <t>SKÅNE LÄN</t>
        </is>
      </c>
      <c r="E3531" t="inlineStr">
        <is>
          <t>TOMELILLA</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49950-2023</t>
        </is>
      </c>
      <c r="B3532" s="1" t="n">
        <v>45215</v>
      </c>
      <c r="C3532" s="1" t="n">
        <v>45914</v>
      </c>
      <c r="D3532" t="inlineStr">
        <is>
          <t>SKÅNE LÄN</t>
        </is>
      </c>
      <c r="E3532" t="inlineStr">
        <is>
          <t>HÄSSLEHOLM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52341-2023</t>
        </is>
      </c>
      <c r="B3533" s="1" t="n">
        <v>45224.67006944444</v>
      </c>
      <c r="C3533" s="1" t="n">
        <v>45914</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40275-2023</t>
        </is>
      </c>
      <c r="B3534" s="1" t="n">
        <v>45169</v>
      </c>
      <c r="C3534" s="1" t="n">
        <v>45914</v>
      </c>
      <c r="D3534" t="inlineStr">
        <is>
          <t>SKÅNE LÄN</t>
        </is>
      </c>
      <c r="E3534" t="inlineStr">
        <is>
          <t>ÄNGELHOLM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5941-2025</t>
        </is>
      </c>
      <c r="B3535" s="1" t="n">
        <v>45695.46671296296</v>
      </c>
      <c r="C3535" s="1" t="n">
        <v>45914</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3534-2025</t>
        </is>
      </c>
      <c r="B3536" s="1" t="n">
        <v>45680</v>
      </c>
      <c r="C3536" s="1" t="n">
        <v>45914</v>
      </c>
      <c r="D3536" t="inlineStr">
        <is>
          <t>SKÅNE LÄN</t>
        </is>
      </c>
      <c r="E3536" t="inlineStr">
        <is>
          <t>HÖRBY</t>
        </is>
      </c>
      <c r="F3536" t="inlineStr">
        <is>
          <t>Kyrkan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8375-2025</t>
        </is>
      </c>
      <c r="B3537" s="1" t="n">
        <v>45709.33300925926</v>
      </c>
      <c r="C3537" s="1" t="n">
        <v>45914</v>
      </c>
      <c r="D3537" t="inlineStr">
        <is>
          <t>SKÅNE LÄN</t>
        </is>
      </c>
      <c r="E3537" t="inlineStr">
        <is>
          <t>OSBY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44107-2023</t>
        </is>
      </c>
      <c r="B3538" s="1" t="n">
        <v>45188.43670138889</v>
      </c>
      <c r="C3538" s="1" t="n">
        <v>45914</v>
      </c>
      <c r="D3538" t="inlineStr">
        <is>
          <t>SKÅNE LÄN</t>
        </is>
      </c>
      <c r="E3538" t="inlineStr">
        <is>
          <t>SVALÖV</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2911-2025</t>
        </is>
      </c>
      <c r="B3539" s="1" t="n">
        <v>45677.8484375</v>
      </c>
      <c r="C3539" s="1" t="n">
        <v>45914</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9166-2025</t>
        </is>
      </c>
      <c r="B3540" s="1" t="n">
        <v>45714.37358796296</v>
      </c>
      <c r="C3540" s="1" t="n">
        <v>45914</v>
      </c>
      <c r="D3540" t="inlineStr">
        <is>
          <t>SKÅNE LÄN</t>
        </is>
      </c>
      <c r="E3540" t="inlineStr">
        <is>
          <t>BROMÖLLA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42751-2022</t>
        </is>
      </c>
      <c r="B3541" s="1" t="n">
        <v>44832</v>
      </c>
      <c r="C3541" s="1" t="n">
        <v>45914</v>
      </c>
      <c r="D3541" t="inlineStr">
        <is>
          <t>SKÅNE LÄN</t>
        </is>
      </c>
      <c r="E3541" t="inlineStr">
        <is>
          <t>OSBY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40190-2022</t>
        </is>
      </c>
      <c r="B3542" s="1" t="n">
        <v>44820.591875</v>
      </c>
      <c r="C3542" s="1" t="n">
        <v>45914</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27173-2024</t>
        </is>
      </c>
      <c r="B3543" s="1" t="n">
        <v>45471.57048611111</v>
      </c>
      <c r="C3543" s="1" t="n">
        <v>45914</v>
      </c>
      <c r="D3543" t="inlineStr">
        <is>
          <t>SKÅNE LÄN</t>
        </is>
      </c>
      <c r="E3543" t="inlineStr">
        <is>
          <t>HÄSSLEHOLM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45348-2023</t>
        </is>
      </c>
      <c r="B3544" s="1" t="n">
        <v>45191</v>
      </c>
      <c r="C3544" s="1" t="n">
        <v>45914</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45349-2023</t>
        </is>
      </c>
      <c r="B3545" s="1" t="n">
        <v>45191</v>
      </c>
      <c r="C3545" s="1" t="n">
        <v>45914</v>
      </c>
      <c r="D3545" t="inlineStr">
        <is>
          <t>SKÅNE LÄN</t>
        </is>
      </c>
      <c r="E3545" t="inlineStr">
        <is>
          <t>HÖÖR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31942-2024</t>
        </is>
      </c>
      <c r="B3546" s="1" t="n">
        <v>45510</v>
      </c>
      <c r="C3546" s="1" t="n">
        <v>45914</v>
      </c>
      <c r="D3546" t="inlineStr">
        <is>
          <t>SKÅNE LÄN</t>
        </is>
      </c>
      <c r="E3546" t="inlineStr">
        <is>
          <t>KRISTIANSTAD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15800-2025</t>
        </is>
      </c>
      <c r="B3547" s="1" t="n">
        <v>45748.64831018518</v>
      </c>
      <c r="C3547" s="1" t="n">
        <v>45914</v>
      </c>
      <c r="D3547" t="inlineStr">
        <is>
          <t>SKÅNE LÄN</t>
        </is>
      </c>
      <c r="E3547" t="inlineStr">
        <is>
          <t>HÄSSLEHOLM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31389-2021</t>
        </is>
      </c>
      <c r="B3548" s="1" t="n">
        <v>44368</v>
      </c>
      <c r="C3548" s="1" t="n">
        <v>45914</v>
      </c>
      <c r="D3548" t="inlineStr">
        <is>
          <t>SKÅNE LÄN</t>
        </is>
      </c>
      <c r="E3548" t="inlineStr">
        <is>
          <t>ÖSTRA GÖINGE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40780-2022</t>
        </is>
      </c>
      <c r="B3549" s="1" t="n">
        <v>44820</v>
      </c>
      <c r="C3549" s="1" t="n">
        <v>45914</v>
      </c>
      <c r="D3549" t="inlineStr">
        <is>
          <t>SKÅNE LÄN</t>
        </is>
      </c>
      <c r="E3549" t="inlineStr">
        <is>
          <t>HÄSSLEHOLM</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11384-2021</t>
        </is>
      </c>
      <c r="B3550" s="1" t="n">
        <v>44263</v>
      </c>
      <c r="C3550" s="1" t="n">
        <v>45914</v>
      </c>
      <c r="D3550" t="inlineStr">
        <is>
          <t>SKÅNE LÄN</t>
        </is>
      </c>
      <c r="E3550" t="inlineStr">
        <is>
          <t>ÖSTRA GÖINGE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51245-2023</t>
        </is>
      </c>
      <c r="B3551" s="1" t="n">
        <v>45212</v>
      </c>
      <c r="C3551" s="1" t="n">
        <v>45914</v>
      </c>
      <c r="D3551" t="inlineStr">
        <is>
          <t>SKÅNE LÄN</t>
        </is>
      </c>
      <c r="E3551" t="inlineStr">
        <is>
          <t>HÄSSLEHOLM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44814-2022</t>
        </is>
      </c>
      <c r="B3552" s="1" t="n">
        <v>44841.40362268518</v>
      </c>
      <c r="C3552" s="1" t="n">
        <v>45914</v>
      </c>
      <c r="D3552" t="inlineStr">
        <is>
          <t>SKÅNE LÄN</t>
        </is>
      </c>
      <c r="E3552" t="inlineStr">
        <is>
          <t>ÖRKELLJUNGA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7745-2025</t>
        </is>
      </c>
      <c r="B3553" s="1" t="n">
        <v>45706</v>
      </c>
      <c r="C3553" s="1" t="n">
        <v>45914</v>
      </c>
      <c r="D3553" t="inlineStr">
        <is>
          <t>SKÅNE LÄN</t>
        </is>
      </c>
      <c r="E3553" t="inlineStr">
        <is>
          <t>TOMELILLA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29853-2024</t>
        </is>
      </c>
      <c r="B3554" s="1" t="n">
        <v>45485.65844907407</v>
      </c>
      <c r="C3554" s="1" t="n">
        <v>45914</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42317-2024</t>
        </is>
      </c>
      <c r="B3555" s="1" t="n">
        <v>45562.64423611111</v>
      </c>
      <c r="C3555" s="1" t="n">
        <v>45914</v>
      </c>
      <c r="D3555" t="inlineStr">
        <is>
          <t>SKÅNE LÄN</t>
        </is>
      </c>
      <c r="E3555" t="inlineStr">
        <is>
          <t>ÖSTRA GÖINGE</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61876-2024</t>
        </is>
      </c>
      <c r="B3556" s="1" t="n">
        <v>45652.38005787037</v>
      </c>
      <c r="C3556" s="1" t="n">
        <v>45914</v>
      </c>
      <c r="D3556" t="inlineStr">
        <is>
          <t>SKÅNE LÄN</t>
        </is>
      </c>
      <c r="E3556" t="inlineStr">
        <is>
          <t>SIMRISHAMN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61878-2024</t>
        </is>
      </c>
      <c r="B3557" s="1" t="n">
        <v>45652.39358796296</v>
      </c>
      <c r="C3557" s="1" t="n">
        <v>45914</v>
      </c>
      <c r="D3557" t="inlineStr">
        <is>
          <t>SKÅNE LÄN</t>
        </is>
      </c>
      <c r="E3557" t="inlineStr">
        <is>
          <t>KRISTIANSTAD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61882-2024</t>
        </is>
      </c>
      <c r="B3558" s="1" t="n">
        <v>45652.49542824074</v>
      </c>
      <c r="C3558" s="1" t="n">
        <v>45914</v>
      </c>
      <c r="D3558" t="inlineStr">
        <is>
          <t>SKÅNE LÄN</t>
        </is>
      </c>
      <c r="E3558" t="inlineStr">
        <is>
          <t>OSBY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44960-2023</t>
        </is>
      </c>
      <c r="B3559" s="1" t="n">
        <v>45190</v>
      </c>
      <c r="C3559" s="1" t="n">
        <v>45914</v>
      </c>
      <c r="D3559" t="inlineStr">
        <is>
          <t>SKÅNE LÄN</t>
        </is>
      </c>
      <c r="E3559" t="inlineStr">
        <is>
          <t>HÖÖR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49686-2023</t>
        </is>
      </c>
      <c r="B3560" s="1" t="n">
        <v>45212.36239583333</v>
      </c>
      <c r="C3560" s="1" t="n">
        <v>45914</v>
      </c>
      <c r="D3560" t="inlineStr">
        <is>
          <t>SKÅNE LÄN</t>
        </is>
      </c>
      <c r="E3560" t="inlineStr">
        <is>
          <t>KLIPPAN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57695-2023</t>
        </is>
      </c>
      <c r="B3561" s="1" t="n">
        <v>45246</v>
      </c>
      <c r="C3561" s="1" t="n">
        <v>45914</v>
      </c>
      <c r="D3561" t="inlineStr">
        <is>
          <t>SKÅNE LÄN</t>
        </is>
      </c>
      <c r="E3561" t="inlineStr">
        <is>
          <t>HÄSSLEHOLM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7831-2025</t>
        </is>
      </c>
      <c r="B3562" s="1" t="n">
        <v>45706</v>
      </c>
      <c r="C3562" s="1" t="n">
        <v>45914</v>
      </c>
      <c r="D3562" t="inlineStr">
        <is>
          <t>SKÅNE LÄN</t>
        </is>
      </c>
      <c r="E3562" t="inlineStr">
        <is>
          <t>HÖRBY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15893-2025</t>
        </is>
      </c>
      <c r="B3563" s="1" t="n">
        <v>45749.41351851852</v>
      </c>
      <c r="C3563" s="1" t="n">
        <v>45914</v>
      </c>
      <c r="D3563" t="inlineStr">
        <is>
          <t>SKÅNE LÄN</t>
        </is>
      </c>
      <c r="E3563" t="inlineStr">
        <is>
          <t>OSBY</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15921-2025</t>
        </is>
      </c>
      <c r="B3564" s="1" t="n">
        <v>45749</v>
      </c>
      <c r="C3564" s="1" t="n">
        <v>45914</v>
      </c>
      <c r="D3564" t="inlineStr">
        <is>
          <t>SKÅNE LÄN</t>
        </is>
      </c>
      <c r="E3564" t="inlineStr">
        <is>
          <t>TOMELILLA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33877-2025</t>
        </is>
      </c>
      <c r="B3565" s="1" t="n">
        <v>45842.55564814815</v>
      </c>
      <c r="C3565" s="1" t="n">
        <v>45914</v>
      </c>
      <c r="D3565" t="inlineStr">
        <is>
          <t>SKÅNE LÄN</t>
        </is>
      </c>
      <c r="E3565" t="inlineStr">
        <is>
          <t>HÄSSLEHOLM</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33879-2025</t>
        </is>
      </c>
      <c r="B3566" s="1" t="n">
        <v>45842.55766203703</v>
      </c>
      <c r="C3566" s="1" t="n">
        <v>45914</v>
      </c>
      <c r="D3566" t="inlineStr">
        <is>
          <t>SKÅNE LÄN</t>
        </is>
      </c>
      <c r="E3566" t="inlineStr">
        <is>
          <t>HÄSSLEHOLM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8602-2025</t>
        </is>
      </c>
      <c r="B3567" s="1" t="n">
        <v>45709.96243055556</v>
      </c>
      <c r="C3567" s="1" t="n">
        <v>45914</v>
      </c>
      <c r="D3567" t="inlineStr">
        <is>
          <t>SKÅNE LÄN</t>
        </is>
      </c>
      <c r="E3567" t="inlineStr">
        <is>
          <t>KRISTIANSTAD</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25671-2023</t>
        </is>
      </c>
      <c r="B3568" s="1" t="n">
        <v>45089</v>
      </c>
      <c r="C3568" s="1" t="n">
        <v>45914</v>
      </c>
      <c r="D3568" t="inlineStr">
        <is>
          <t>SKÅNE LÄN</t>
        </is>
      </c>
      <c r="E3568" t="inlineStr">
        <is>
          <t>KRISTIANSTAD</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38635-2025</t>
        </is>
      </c>
      <c r="B3569" s="1" t="n">
        <v>45884.56550925926</v>
      </c>
      <c r="C3569" s="1" t="n">
        <v>45914</v>
      </c>
      <c r="D3569" t="inlineStr">
        <is>
          <t>SKÅNE LÄN</t>
        </is>
      </c>
      <c r="E3569" t="inlineStr">
        <is>
          <t>KRISTIANSTAD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33450-2025</t>
        </is>
      </c>
      <c r="B3570" s="1" t="n">
        <v>45841.46677083334</v>
      </c>
      <c r="C3570" s="1" t="n">
        <v>45914</v>
      </c>
      <c r="D3570" t="inlineStr">
        <is>
          <t>SKÅNE LÄN</t>
        </is>
      </c>
      <c r="E3570" t="inlineStr">
        <is>
          <t>KLIPPAN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33456-2025</t>
        </is>
      </c>
      <c r="B3571" s="1" t="n">
        <v>45841.47364583334</v>
      </c>
      <c r="C3571" s="1" t="n">
        <v>45914</v>
      </c>
      <c r="D3571" t="inlineStr">
        <is>
          <t>SKÅNE LÄN</t>
        </is>
      </c>
      <c r="E3571" t="inlineStr">
        <is>
          <t>KLIPPAN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3205-2025</t>
        </is>
      </c>
      <c r="B3572" s="1" t="n">
        <v>45679</v>
      </c>
      <c r="C3572" s="1" t="n">
        <v>45914</v>
      </c>
      <c r="D3572" t="inlineStr">
        <is>
          <t>SKÅNE LÄN</t>
        </is>
      </c>
      <c r="E3572" t="inlineStr">
        <is>
          <t>ÖRKELLJUNGA</t>
        </is>
      </c>
      <c r="F3572" t="inlineStr">
        <is>
          <t>Kyrkan</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4231-2025</t>
        </is>
      </c>
      <c r="B3573" s="1" t="n">
        <v>45685.55055555556</v>
      </c>
      <c r="C3573" s="1" t="n">
        <v>45914</v>
      </c>
      <c r="D3573" t="inlineStr">
        <is>
          <t>SKÅNE LÄN</t>
        </is>
      </c>
      <c r="E3573" t="inlineStr">
        <is>
          <t>OSBY</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1644-2025</t>
        </is>
      </c>
      <c r="B3574" s="1" t="n">
        <v>45670</v>
      </c>
      <c r="C3574" s="1" t="n">
        <v>45914</v>
      </c>
      <c r="D3574" t="inlineStr">
        <is>
          <t>SKÅNE LÄN</t>
        </is>
      </c>
      <c r="E3574" t="inlineStr">
        <is>
          <t>ÄNGELHOLM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46476-2020</t>
        </is>
      </c>
      <c r="B3575" s="1" t="n">
        <v>44092</v>
      </c>
      <c r="C3575" s="1" t="n">
        <v>45914</v>
      </c>
      <c r="D3575" t="inlineStr">
        <is>
          <t>SKÅNE LÄN</t>
        </is>
      </c>
      <c r="E3575" t="inlineStr">
        <is>
          <t>ÖSTRA GÖINGE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21949-2021</t>
        </is>
      </c>
      <c r="B3576" s="1" t="n">
        <v>44323.26083333333</v>
      </c>
      <c r="C3576" s="1" t="n">
        <v>45914</v>
      </c>
      <c r="D3576" t="inlineStr">
        <is>
          <t>SKÅNE LÄN</t>
        </is>
      </c>
      <c r="E3576" t="inlineStr">
        <is>
          <t>PERSTORP</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41548-2022</t>
        </is>
      </c>
      <c r="B3577" s="1" t="n">
        <v>44826</v>
      </c>
      <c r="C3577" s="1" t="n">
        <v>45914</v>
      </c>
      <c r="D3577" t="inlineStr">
        <is>
          <t>SKÅNE LÄN</t>
        </is>
      </c>
      <c r="E3577" t="inlineStr">
        <is>
          <t>ÖSTRA GÖINGE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22094-2024</t>
        </is>
      </c>
      <c r="B3578" s="1" t="n">
        <v>45443.76629629629</v>
      </c>
      <c r="C3578" s="1" t="n">
        <v>45914</v>
      </c>
      <c r="D3578" t="inlineStr">
        <is>
          <t>SKÅNE LÄN</t>
        </is>
      </c>
      <c r="E3578" t="inlineStr">
        <is>
          <t>ÖSTRA GÖINGE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48747-2022</t>
        </is>
      </c>
      <c r="B3579" s="1" t="n">
        <v>44859</v>
      </c>
      <c r="C3579" s="1" t="n">
        <v>45914</v>
      </c>
      <c r="D3579" t="inlineStr">
        <is>
          <t>SKÅNE LÄN</t>
        </is>
      </c>
      <c r="E3579" t="inlineStr">
        <is>
          <t>HÄSSLEHOLM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7153-2025</t>
        </is>
      </c>
      <c r="B3580" s="1" t="n">
        <v>45702.38512731482</v>
      </c>
      <c r="C3580" s="1" t="n">
        <v>45914</v>
      </c>
      <c r="D3580" t="inlineStr">
        <is>
          <t>SKÅNE LÄN</t>
        </is>
      </c>
      <c r="E3580" t="inlineStr">
        <is>
          <t>HÄSSLEHOLM</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5817-2025</t>
        </is>
      </c>
      <c r="B3581" s="1" t="n">
        <v>45694.74113425926</v>
      </c>
      <c r="C3581" s="1" t="n">
        <v>45914</v>
      </c>
      <c r="D3581" t="inlineStr">
        <is>
          <t>SKÅNE LÄN</t>
        </is>
      </c>
      <c r="E3581" t="inlineStr">
        <is>
          <t>BÅSTAD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7581-2023</t>
        </is>
      </c>
      <c r="B3582" s="1" t="n">
        <v>44972.39556712963</v>
      </c>
      <c r="C3582" s="1" t="n">
        <v>45914</v>
      </c>
      <c r="D3582" t="inlineStr">
        <is>
          <t>SKÅNE LÄN</t>
        </is>
      </c>
      <c r="E3582" t="inlineStr">
        <is>
          <t>HÄSSLEHOLM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44936.73979166667</v>
      </c>
      <c r="C3583" s="1" t="n">
        <v>45914</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21141-2024</t>
        </is>
      </c>
      <c r="B3584" s="1" t="n">
        <v>45440.39012731481</v>
      </c>
      <c r="C3584" s="1" t="n">
        <v>45914</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26708-2023</t>
        </is>
      </c>
      <c r="B3585" s="1" t="n">
        <v>45093</v>
      </c>
      <c r="C3585" s="1" t="n">
        <v>45914</v>
      </c>
      <c r="D3585" t="inlineStr">
        <is>
          <t>SKÅNE LÄN</t>
        </is>
      </c>
      <c r="E3585" t="inlineStr">
        <is>
          <t>BJUV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7915-2025</t>
        </is>
      </c>
      <c r="B3586" s="1" t="n">
        <v>45707.35076388889</v>
      </c>
      <c r="C3586" s="1" t="n">
        <v>45914</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11603-2025</t>
        </is>
      </c>
      <c r="B3587" s="1" t="n">
        <v>45727</v>
      </c>
      <c r="C3587" s="1" t="n">
        <v>45914</v>
      </c>
      <c r="D3587" t="inlineStr">
        <is>
          <t>SKÅNE LÄN</t>
        </is>
      </c>
      <c r="E3587" t="inlineStr">
        <is>
          <t>HÄSSLEHOLM</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13712-2025</t>
        </is>
      </c>
      <c r="B3588" s="1" t="n">
        <v>45737</v>
      </c>
      <c r="C3588" s="1" t="n">
        <v>45914</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13754-2025</t>
        </is>
      </c>
      <c r="B3589" s="1" t="n">
        <v>45737.41474537037</v>
      </c>
      <c r="C3589" s="1" t="n">
        <v>45914</v>
      </c>
      <c r="D3589" t="inlineStr">
        <is>
          <t>SKÅNE LÄN</t>
        </is>
      </c>
      <c r="E3589" t="inlineStr">
        <is>
          <t>OSBY</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30065-2023</t>
        </is>
      </c>
      <c r="B3590" s="1" t="n">
        <v>45110</v>
      </c>
      <c r="C3590" s="1" t="n">
        <v>45914</v>
      </c>
      <c r="D3590" t="inlineStr">
        <is>
          <t>SKÅNE LÄN</t>
        </is>
      </c>
      <c r="E3590" t="inlineStr">
        <is>
          <t>KRISTIANSTAD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30075-2023</t>
        </is>
      </c>
      <c r="B3591" s="1" t="n">
        <v>45110</v>
      </c>
      <c r="C3591" s="1" t="n">
        <v>45914</v>
      </c>
      <c r="D3591" t="inlineStr">
        <is>
          <t>SKÅNE LÄN</t>
        </is>
      </c>
      <c r="E3591" t="inlineStr">
        <is>
          <t>BROMÖLLA</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14000-2025</t>
        </is>
      </c>
      <c r="B3592" s="1" t="n">
        <v>45740.26850694444</v>
      </c>
      <c r="C3592" s="1" t="n">
        <v>45914</v>
      </c>
      <c r="D3592" t="inlineStr">
        <is>
          <t>SKÅNE LÄN</t>
        </is>
      </c>
      <c r="E3592" t="inlineStr">
        <is>
          <t>SIMRISHAMN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9556-2025</t>
        </is>
      </c>
      <c r="B3593" s="1" t="n">
        <v>45714</v>
      </c>
      <c r="C3593" s="1" t="n">
        <v>45914</v>
      </c>
      <c r="D3593" t="inlineStr">
        <is>
          <t>SKÅNE LÄN</t>
        </is>
      </c>
      <c r="E3593" t="inlineStr">
        <is>
          <t>HÄSSLEHOLM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46288-2023</t>
        </is>
      </c>
      <c r="B3594" s="1" t="n">
        <v>45197.30221064815</v>
      </c>
      <c r="C3594" s="1" t="n">
        <v>45914</v>
      </c>
      <c r="D3594" t="inlineStr">
        <is>
          <t>SKÅNE LÄN</t>
        </is>
      </c>
      <c r="E3594" t="inlineStr">
        <is>
          <t>HÄSSLEHOLM</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30367-2023</t>
        </is>
      </c>
      <c r="B3595" s="1" t="n">
        <v>45111</v>
      </c>
      <c r="C3595" s="1" t="n">
        <v>45914</v>
      </c>
      <c r="D3595" t="inlineStr">
        <is>
          <t>SKÅNE LÄN</t>
        </is>
      </c>
      <c r="E3595" t="inlineStr">
        <is>
          <t>KRISTIANSTAD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55933-2023</t>
        </is>
      </c>
      <c r="B3596" s="1" t="n">
        <v>45239</v>
      </c>
      <c r="C3596" s="1" t="n">
        <v>45914</v>
      </c>
      <c r="D3596" t="inlineStr">
        <is>
          <t>SKÅNE LÄN</t>
        </is>
      </c>
      <c r="E3596" t="inlineStr">
        <is>
          <t>ÖSTRA GÖINGE</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60394-2024</t>
        </is>
      </c>
      <c r="B3597" s="1" t="n">
        <v>45643.49228009259</v>
      </c>
      <c r="C3597" s="1" t="n">
        <v>45914</v>
      </c>
      <c r="D3597" t="inlineStr">
        <is>
          <t>SKÅNE LÄN</t>
        </is>
      </c>
      <c r="E3597" t="inlineStr">
        <is>
          <t>ÖSTRA GÖINGE</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16969-2025</t>
        </is>
      </c>
      <c r="B3598" s="1" t="n">
        <v>45755.4659837963</v>
      </c>
      <c r="C3598" s="1" t="n">
        <v>45914</v>
      </c>
      <c r="D3598" t="inlineStr">
        <is>
          <t>SKÅNE LÄN</t>
        </is>
      </c>
      <c r="E3598" t="inlineStr">
        <is>
          <t>HÖÖR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18908-2025</t>
        </is>
      </c>
      <c r="B3599" s="1" t="n">
        <v>45764.46326388889</v>
      </c>
      <c r="C3599" s="1" t="n">
        <v>45914</v>
      </c>
      <c r="D3599" t="inlineStr">
        <is>
          <t>SKÅNE LÄN</t>
        </is>
      </c>
      <c r="E3599" t="inlineStr">
        <is>
          <t>BROMÖLLA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47584-2023</t>
        </is>
      </c>
      <c r="B3600" s="1" t="n">
        <v>45203.43324074074</v>
      </c>
      <c r="C3600" s="1" t="n">
        <v>45914</v>
      </c>
      <c r="D3600" t="inlineStr">
        <is>
          <t>SKÅNE LÄN</t>
        </is>
      </c>
      <c r="E3600" t="inlineStr">
        <is>
          <t>ÖSTRA GÖINGE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28244-2022</t>
        </is>
      </c>
      <c r="B3601" s="1" t="n">
        <v>44746</v>
      </c>
      <c r="C3601" s="1" t="n">
        <v>45914</v>
      </c>
      <c r="D3601" t="inlineStr">
        <is>
          <t>SKÅNE LÄN</t>
        </is>
      </c>
      <c r="E3601" t="inlineStr">
        <is>
          <t>PERSTORP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57967-2023</t>
        </is>
      </c>
      <c r="B3602" s="1" t="n">
        <v>45247.57984953704</v>
      </c>
      <c r="C3602" s="1" t="n">
        <v>45914</v>
      </c>
      <c r="D3602" t="inlineStr">
        <is>
          <t>SKÅNE LÄN</t>
        </is>
      </c>
      <c r="E3602" t="inlineStr">
        <is>
          <t>HÄSSLEHOLM</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57979-2023</t>
        </is>
      </c>
      <c r="B3603" s="1" t="n">
        <v>45247</v>
      </c>
      <c r="C3603" s="1" t="n">
        <v>45914</v>
      </c>
      <c r="D3603" t="inlineStr">
        <is>
          <t>SKÅNE LÄN</t>
        </is>
      </c>
      <c r="E3603" t="inlineStr">
        <is>
          <t>KRISTIANSTAD</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40149-2024</t>
        </is>
      </c>
      <c r="B3604" s="1" t="n">
        <v>45554</v>
      </c>
      <c r="C3604" s="1" t="n">
        <v>45914</v>
      </c>
      <c r="D3604" t="inlineStr">
        <is>
          <t>SKÅNE LÄN</t>
        </is>
      </c>
      <c r="E3604" t="inlineStr">
        <is>
          <t>KRISTIANSTAD</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28240-2022</t>
        </is>
      </c>
      <c r="B3605" s="1" t="n">
        <v>44746</v>
      </c>
      <c r="C3605" s="1" t="n">
        <v>45914</v>
      </c>
      <c r="D3605" t="inlineStr">
        <is>
          <t>SKÅNE LÄN</t>
        </is>
      </c>
      <c r="E3605" t="inlineStr">
        <is>
          <t>OSBY</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19067-2025</t>
        </is>
      </c>
      <c r="B3606" s="1" t="n">
        <v>45765.43305555556</v>
      </c>
      <c r="C3606" s="1" t="n">
        <v>45914</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60600-2022</t>
        </is>
      </c>
      <c r="B3607" s="1" t="n">
        <v>44911.6057175926</v>
      </c>
      <c r="C3607" s="1" t="n">
        <v>45914</v>
      </c>
      <c r="D3607" t="inlineStr">
        <is>
          <t>SKÅNE LÄN</t>
        </is>
      </c>
      <c r="E3607" t="inlineStr">
        <is>
          <t>OSBY</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18735-2023</t>
        </is>
      </c>
      <c r="B3608" s="1" t="n">
        <v>45043.68783564815</v>
      </c>
      <c r="C3608" s="1" t="n">
        <v>45914</v>
      </c>
      <c r="D3608" t="inlineStr">
        <is>
          <t>SKÅNE LÄN</t>
        </is>
      </c>
      <c r="E3608" t="inlineStr">
        <is>
          <t>HÖRBY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19097-2025</t>
        </is>
      </c>
      <c r="B3609" s="1" t="n">
        <v>45767.68126157407</v>
      </c>
      <c r="C3609" s="1" t="n">
        <v>45914</v>
      </c>
      <c r="D3609" t="inlineStr">
        <is>
          <t>SKÅNE LÄN</t>
        </is>
      </c>
      <c r="E3609" t="inlineStr">
        <is>
          <t>KLIPPAN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9615-2025</t>
        </is>
      </c>
      <c r="B3610" s="1" t="n">
        <v>45715</v>
      </c>
      <c r="C3610" s="1" t="n">
        <v>45914</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19744-2023</t>
        </is>
      </c>
      <c r="B3611" s="1" t="n">
        <v>45051</v>
      </c>
      <c r="C3611" s="1" t="n">
        <v>45914</v>
      </c>
      <c r="D3611" t="inlineStr">
        <is>
          <t>SKÅNE LÄN</t>
        </is>
      </c>
      <c r="E3611" t="inlineStr">
        <is>
          <t>HÄSSLEHOLM</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56137-2021</t>
        </is>
      </c>
      <c r="B3612" s="1" t="n">
        <v>44477</v>
      </c>
      <c r="C3612" s="1" t="n">
        <v>45914</v>
      </c>
      <c r="D3612" t="inlineStr">
        <is>
          <t>SKÅNE LÄN</t>
        </is>
      </c>
      <c r="E3612" t="inlineStr">
        <is>
          <t>SJÖBO</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50896-2021</t>
        </is>
      </c>
      <c r="B3613" s="1" t="n">
        <v>44460</v>
      </c>
      <c r="C3613" s="1" t="n">
        <v>45914</v>
      </c>
      <c r="D3613" t="inlineStr">
        <is>
          <t>SKÅNE LÄN</t>
        </is>
      </c>
      <c r="E3613" t="inlineStr">
        <is>
          <t>ÖSTRA GÖINGE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50927-2021</t>
        </is>
      </c>
      <c r="B3614" s="1" t="n">
        <v>44459</v>
      </c>
      <c r="C3614" s="1" t="n">
        <v>45914</v>
      </c>
      <c r="D3614" t="inlineStr">
        <is>
          <t>SKÅNE LÄN</t>
        </is>
      </c>
      <c r="E3614" t="inlineStr">
        <is>
          <t>ÖSTRA GÖINGE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4209-2025</t>
        </is>
      </c>
      <c r="B3615" s="1" t="n">
        <v>45685</v>
      </c>
      <c r="C3615" s="1" t="n">
        <v>45914</v>
      </c>
      <c r="D3615" t="inlineStr">
        <is>
          <t>SKÅNE LÄN</t>
        </is>
      </c>
      <c r="E3615" t="inlineStr">
        <is>
          <t>OSBY</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15305-2025</t>
        </is>
      </c>
      <c r="B3616" s="1" t="n">
        <v>45746</v>
      </c>
      <c r="C3616" s="1" t="n">
        <v>45914</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15957-2023</t>
        </is>
      </c>
      <c r="B3617" s="1" t="n">
        <v>45022</v>
      </c>
      <c r="C3617" s="1" t="n">
        <v>45914</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4458-2025</t>
        </is>
      </c>
      <c r="B3618" s="1" t="n">
        <v>45686.59657407407</v>
      </c>
      <c r="C3618" s="1" t="n">
        <v>45914</v>
      </c>
      <c r="D3618" t="inlineStr">
        <is>
          <t>SKÅNE LÄN</t>
        </is>
      </c>
      <c r="E3618" t="inlineStr">
        <is>
          <t>ÖSTRA GÖINGE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15990-2023</t>
        </is>
      </c>
      <c r="B3619" s="1" t="n">
        <v>45023.39584490741</v>
      </c>
      <c r="C3619" s="1" t="n">
        <v>45914</v>
      </c>
      <c r="D3619" t="inlineStr">
        <is>
          <t>SKÅNE LÄN</t>
        </is>
      </c>
      <c r="E3619" t="inlineStr">
        <is>
          <t>HÄSSLEHOLM</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16131-2023</t>
        </is>
      </c>
      <c r="B3620" s="1" t="n">
        <v>45027</v>
      </c>
      <c r="C3620" s="1" t="n">
        <v>45914</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47907-2021</t>
        </is>
      </c>
      <c r="B3621" s="1" t="n">
        <v>44448</v>
      </c>
      <c r="C3621" s="1" t="n">
        <v>45914</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7513-2025</t>
        </is>
      </c>
      <c r="B3622" s="1" t="n">
        <v>45702</v>
      </c>
      <c r="C3622" s="1" t="n">
        <v>45914</v>
      </c>
      <c r="D3622" t="inlineStr">
        <is>
          <t>SKÅNE LÄN</t>
        </is>
      </c>
      <c r="E3622" t="inlineStr">
        <is>
          <t>HÄSSLEHOLM</t>
        </is>
      </c>
      <c r="F3622" t="inlineStr">
        <is>
          <t>Övriga Aktiebolag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7541-2025</t>
        </is>
      </c>
      <c r="B3623" s="1" t="n">
        <v>45705.57094907408</v>
      </c>
      <c r="C3623" s="1" t="n">
        <v>45914</v>
      </c>
      <c r="D3623" t="inlineStr">
        <is>
          <t>SKÅNE LÄN</t>
        </is>
      </c>
      <c r="E3623" t="inlineStr">
        <is>
          <t>ÖRKELLJUNGA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30645-2022</t>
        </is>
      </c>
      <c r="B3624" s="1" t="n">
        <v>44763</v>
      </c>
      <c r="C3624" s="1" t="n">
        <v>45914</v>
      </c>
      <c r="D3624" t="inlineStr">
        <is>
          <t>SKÅNE LÄN</t>
        </is>
      </c>
      <c r="E3624" t="inlineStr">
        <is>
          <t>HÖÖR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55140-2022</t>
        </is>
      </c>
      <c r="B3625" s="1" t="n">
        <v>44886</v>
      </c>
      <c r="C3625" s="1" t="n">
        <v>45914</v>
      </c>
      <c r="D3625" t="inlineStr">
        <is>
          <t>SKÅNE LÄN</t>
        </is>
      </c>
      <c r="E3625" t="inlineStr">
        <is>
          <t>ÖSTRA GÖINGE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5622-2024</t>
        </is>
      </c>
      <c r="B3626" s="1" t="n">
        <v>45334.59233796296</v>
      </c>
      <c r="C3626" s="1" t="n">
        <v>45914</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20235-2025</t>
        </is>
      </c>
      <c r="B3627" s="1" t="n">
        <v>45772.67386574074</v>
      </c>
      <c r="C3627" s="1" t="n">
        <v>45914</v>
      </c>
      <c r="D3627" t="inlineStr">
        <is>
          <t>SKÅNE LÄN</t>
        </is>
      </c>
      <c r="E3627" t="inlineStr">
        <is>
          <t>SVALÖV</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12248-2024</t>
        </is>
      </c>
      <c r="B3628" s="1" t="n">
        <v>45377</v>
      </c>
      <c r="C3628" s="1" t="n">
        <v>45914</v>
      </c>
      <c r="D3628" t="inlineStr">
        <is>
          <t>SKÅNE LÄN</t>
        </is>
      </c>
      <c r="E3628" t="inlineStr">
        <is>
          <t>OSBY</t>
        </is>
      </c>
      <c r="F3628" t="inlineStr">
        <is>
          <t>Kommuner</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45400-2022</t>
        </is>
      </c>
      <c r="B3629" s="1" t="n">
        <v>44844.713125</v>
      </c>
      <c r="C3629" s="1" t="n">
        <v>45914</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27452-2024</t>
        </is>
      </c>
      <c r="B3630" s="1" t="n">
        <v>45474</v>
      </c>
      <c r="C3630" s="1" t="n">
        <v>45914</v>
      </c>
      <c r="D3630" t="inlineStr">
        <is>
          <t>SKÅNE LÄN</t>
        </is>
      </c>
      <c r="E3630" t="inlineStr">
        <is>
          <t>KLIPPAN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38230-2025</t>
        </is>
      </c>
      <c r="B3631" s="1" t="n">
        <v>45883.34923611111</v>
      </c>
      <c r="C3631" s="1" t="n">
        <v>45914</v>
      </c>
      <c r="D3631" t="inlineStr">
        <is>
          <t>SKÅNE LÄN</t>
        </is>
      </c>
      <c r="E3631" t="inlineStr">
        <is>
          <t>KRISTIANSTAD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13972-2025</t>
        </is>
      </c>
      <c r="B3632" s="1" t="n">
        <v>45738.65178240741</v>
      </c>
      <c r="C3632" s="1" t="n">
        <v>45914</v>
      </c>
      <c r="D3632" t="inlineStr">
        <is>
          <t>SKÅNE LÄN</t>
        </is>
      </c>
      <c r="E3632" t="inlineStr">
        <is>
          <t>KRISTIANSTAD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42232-2022</t>
        </is>
      </c>
      <c r="B3633" s="1" t="n">
        <v>44830.77591435185</v>
      </c>
      <c r="C3633" s="1" t="n">
        <v>45914</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53868-2022</t>
        </is>
      </c>
      <c r="B3634" s="1" t="n">
        <v>44880.64693287037</v>
      </c>
      <c r="C3634" s="1" t="n">
        <v>45914</v>
      </c>
      <c r="D3634" t="inlineStr">
        <is>
          <t>SKÅNE LÄN</t>
        </is>
      </c>
      <c r="E3634" t="inlineStr">
        <is>
          <t>KLIPPAN</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36211-2024</t>
        </is>
      </c>
      <c r="B3635" s="1" t="n">
        <v>45534</v>
      </c>
      <c r="C3635" s="1" t="n">
        <v>45914</v>
      </c>
      <c r="D3635" t="inlineStr">
        <is>
          <t>SKÅNE LÄN</t>
        </is>
      </c>
      <c r="E3635" t="inlineStr">
        <is>
          <t>HÖÖR</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33562-2025</t>
        </is>
      </c>
      <c r="B3636" s="1" t="n">
        <v>45841.57803240741</v>
      </c>
      <c r="C3636" s="1" t="n">
        <v>45914</v>
      </c>
      <c r="D3636" t="inlineStr">
        <is>
          <t>SKÅNE LÄN</t>
        </is>
      </c>
      <c r="E3636" t="inlineStr">
        <is>
          <t>HÄSSLEHOLM</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33950-2025</t>
        </is>
      </c>
      <c r="B3637" s="1" t="n">
        <v>45842</v>
      </c>
      <c r="C3637" s="1" t="n">
        <v>45914</v>
      </c>
      <c r="D3637" t="inlineStr">
        <is>
          <t>SKÅNE LÄN</t>
        </is>
      </c>
      <c r="E3637" t="inlineStr">
        <is>
          <t>HÄSSLEHOLM</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12413-2025</t>
        </is>
      </c>
      <c r="B3638" s="1" t="n">
        <v>45730.43767361111</v>
      </c>
      <c r="C3638" s="1" t="n">
        <v>45914</v>
      </c>
      <c r="D3638" t="inlineStr">
        <is>
          <t>SKÅNE LÄN</t>
        </is>
      </c>
      <c r="E3638" t="inlineStr">
        <is>
          <t>OSBY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46515-2020</t>
        </is>
      </c>
      <c r="B3639" s="1" t="n">
        <v>44092</v>
      </c>
      <c r="C3639" s="1" t="n">
        <v>45914</v>
      </c>
      <c r="D3639" t="inlineStr">
        <is>
          <t>SKÅNE LÄN</t>
        </is>
      </c>
      <c r="E3639" t="inlineStr">
        <is>
          <t>ÖSTRA GÖINGE</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46609-2020</t>
        </is>
      </c>
      <c r="B3640" s="1" t="n">
        <v>44092</v>
      </c>
      <c r="C3640" s="1" t="n">
        <v>45914</v>
      </c>
      <c r="D3640" t="inlineStr">
        <is>
          <t>SKÅNE LÄN</t>
        </is>
      </c>
      <c r="E3640" t="inlineStr">
        <is>
          <t>ÖSTRA GÖINGE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54782-2022</t>
        </is>
      </c>
      <c r="B3641" s="1" t="n">
        <v>44883</v>
      </c>
      <c r="C3641" s="1" t="n">
        <v>45914</v>
      </c>
      <c r="D3641" t="inlineStr">
        <is>
          <t>SKÅNE LÄN</t>
        </is>
      </c>
      <c r="E3641" t="inlineStr">
        <is>
          <t>SKURUP</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3396-2024</t>
        </is>
      </c>
      <c r="B3642" s="1" t="n">
        <v>45318</v>
      </c>
      <c r="C3642" s="1" t="n">
        <v>45914</v>
      </c>
      <c r="D3642" t="inlineStr">
        <is>
          <t>SKÅNE LÄN</t>
        </is>
      </c>
      <c r="E3642" t="inlineStr">
        <is>
          <t>SIMRISHAMN</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3405-2024</t>
        </is>
      </c>
      <c r="B3643" s="1" t="n">
        <v>45318</v>
      </c>
      <c r="C3643" s="1" t="n">
        <v>45914</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42692-2022</t>
        </is>
      </c>
      <c r="B3644" s="1" t="n">
        <v>44832</v>
      </c>
      <c r="C3644" s="1" t="n">
        <v>45914</v>
      </c>
      <c r="D3644" t="inlineStr">
        <is>
          <t>SKÅNE LÄN</t>
        </is>
      </c>
      <c r="E3644" t="inlineStr">
        <is>
          <t>HÖÖR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54874-2022</t>
        </is>
      </c>
      <c r="B3645" s="1" t="n">
        <v>44881</v>
      </c>
      <c r="C3645" s="1" t="n">
        <v>45914</v>
      </c>
      <c r="D3645" t="inlineStr">
        <is>
          <t>SKÅNE LÄN</t>
        </is>
      </c>
      <c r="E3645" t="inlineStr">
        <is>
          <t>HÄSSLEHOLM</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46566-2023</t>
        </is>
      </c>
      <c r="B3646" s="1" t="n">
        <v>45198</v>
      </c>
      <c r="C3646" s="1" t="n">
        <v>45914</v>
      </c>
      <c r="D3646" t="inlineStr">
        <is>
          <t>SKÅNE LÄN</t>
        </is>
      </c>
      <c r="E3646" t="inlineStr">
        <is>
          <t>ÖSTRA GÖINGE</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46618-2023</t>
        </is>
      </c>
      <c r="B3647" s="1" t="n">
        <v>45194</v>
      </c>
      <c r="C3647" s="1" t="n">
        <v>45914</v>
      </c>
      <c r="D3647" t="inlineStr">
        <is>
          <t>SKÅNE LÄN</t>
        </is>
      </c>
      <c r="E3647" t="inlineStr">
        <is>
          <t>ÖSTRA GÖINGE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23693-2023</t>
        </is>
      </c>
      <c r="B3648" s="1" t="n">
        <v>45077</v>
      </c>
      <c r="C3648" s="1" t="n">
        <v>45914</v>
      </c>
      <c r="D3648" t="inlineStr">
        <is>
          <t>SKÅNE LÄN</t>
        </is>
      </c>
      <c r="E3648" t="inlineStr">
        <is>
          <t>ÖRKELLJUNGA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18682-2023</t>
        </is>
      </c>
      <c r="B3649" s="1" t="n">
        <v>45043.60021990741</v>
      </c>
      <c r="C3649" s="1" t="n">
        <v>45914</v>
      </c>
      <c r="D3649" t="inlineStr">
        <is>
          <t>SKÅNE LÄN</t>
        </is>
      </c>
      <c r="E3649" t="inlineStr">
        <is>
          <t>SIMRISHAMN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1706-2025</t>
        </is>
      </c>
      <c r="B3650" s="1" t="n">
        <v>45670</v>
      </c>
      <c r="C3650" s="1" t="n">
        <v>45914</v>
      </c>
      <c r="D3650" t="inlineStr">
        <is>
          <t>SKÅNE LÄN</t>
        </is>
      </c>
      <c r="E3650" t="inlineStr">
        <is>
          <t>HÄSSLEHOLM</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43312-2024</t>
        </is>
      </c>
      <c r="B3651" s="1" t="n">
        <v>45568</v>
      </c>
      <c r="C3651" s="1" t="n">
        <v>45914</v>
      </c>
      <c r="D3651" t="inlineStr">
        <is>
          <t>SKÅNE LÄN</t>
        </is>
      </c>
      <c r="E3651" t="inlineStr">
        <is>
          <t>KRISTIANSTAD</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16495-2025</t>
        </is>
      </c>
      <c r="B3652" s="1" t="n">
        <v>45751.59857638889</v>
      </c>
      <c r="C3652" s="1" t="n">
        <v>45914</v>
      </c>
      <c r="D3652" t="inlineStr">
        <is>
          <t>SKÅNE LÄN</t>
        </is>
      </c>
      <c r="E3652" t="inlineStr">
        <is>
          <t>ÖSTRA GÖINGE</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61625-2022</t>
        </is>
      </c>
      <c r="B3653" s="1" t="n">
        <v>44916</v>
      </c>
      <c r="C3653" s="1" t="n">
        <v>45914</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36761-2022</t>
        </is>
      </c>
      <c r="B3654" s="1" t="n">
        <v>44805</v>
      </c>
      <c r="C3654" s="1" t="n">
        <v>45914</v>
      </c>
      <c r="D3654" t="inlineStr">
        <is>
          <t>SKÅNE LÄN</t>
        </is>
      </c>
      <c r="E3654" t="inlineStr">
        <is>
          <t>ESLÖV</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46525-2023</t>
        </is>
      </c>
      <c r="B3655" s="1" t="n">
        <v>45197</v>
      </c>
      <c r="C3655" s="1" t="n">
        <v>45914</v>
      </c>
      <c r="D3655" t="inlineStr">
        <is>
          <t>SKÅNE LÄN</t>
        </is>
      </c>
      <c r="E3655" t="inlineStr">
        <is>
          <t>KRISTIANSTAD</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9541-2025</t>
        </is>
      </c>
      <c r="B3656" s="1" t="n">
        <v>45714</v>
      </c>
      <c r="C3656" s="1" t="n">
        <v>45914</v>
      </c>
      <c r="D3656" t="inlineStr">
        <is>
          <t>SKÅNE LÄN</t>
        </is>
      </c>
      <c r="E3656" t="inlineStr">
        <is>
          <t>HÄSSLEHOLM</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37056-2024</t>
        </is>
      </c>
      <c r="B3657" s="1" t="n">
        <v>45539.44309027777</v>
      </c>
      <c r="C3657" s="1" t="n">
        <v>45914</v>
      </c>
      <c r="D3657" t="inlineStr">
        <is>
          <t>SKÅNE LÄN</t>
        </is>
      </c>
      <c r="E3657" t="inlineStr">
        <is>
          <t>ÖSTRA GÖINGE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50704-2023</t>
        </is>
      </c>
      <c r="B3658" s="1" t="n">
        <v>45217.55652777778</v>
      </c>
      <c r="C3658" s="1" t="n">
        <v>45914</v>
      </c>
      <c r="D3658" t="inlineStr">
        <is>
          <t>SKÅNE LÄN</t>
        </is>
      </c>
      <c r="E3658" t="inlineStr">
        <is>
          <t>HÖRBY</t>
        </is>
      </c>
      <c r="F3658" t="inlineStr">
        <is>
          <t>Sveaskog</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43276-2023</t>
        </is>
      </c>
      <c r="B3659" s="1" t="n">
        <v>45180</v>
      </c>
      <c r="C3659" s="1" t="n">
        <v>45914</v>
      </c>
      <c r="D3659" t="inlineStr">
        <is>
          <t>SKÅNE LÄN</t>
        </is>
      </c>
      <c r="E3659" t="inlineStr">
        <is>
          <t>BROMÖLLA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38829-2024</t>
        </is>
      </c>
      <c r="B3660" s="1" t="n">
        <v>45547.57247685185</v>
      </c>
      <c r="C3660" s="1" t="n">
        <v>45914</v>
      </c>
      <c r="D3660" t="inlineStr">
        <is>
          <t>SKÅNE LÄN</t>
        </is>
      </c>
      <c r="E3660" t="inlineStr">
        <is>
          <t>HÄSSLEHOLM</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22262-2023</t>
        </is>
      </c>
      <c r="B3661" s="1" t="n">
        <v>45070</v>
      </c>
      <c r="C3661" s="1" t="n">
        <v>45914</v>
      </c>
      <c r="D3661" t="inlineStr">
        <is>
          <t>SKÅNE LÄN</t>
        </is>
      </c>
      <c r="E3661" t="inlineStr">
        <is>
          <t>SVALÖV</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31195-2024</t>
        </is>
      </c>
      <c r="B3662" s="1" t="n">
        <v>45503</v>
      </c>
      <c r="C3662" s="1" t="n">
        <v>45914</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23990-2023</t>
        </is>
      </c>
      <c r="B3663" s="1" t="n">
        <v>45078</v>
      </c>
      <c r="C3663" s="1" t="n">
        <v>45914</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1299-2024</t>
        </is>
      </c>
      <c r="B3664" s="1" t="n">
        <v>45303</v>
      </c>
      <c r="C3664" s="1" t="n">
        <v>45914</v>
      </c>
      <c r="D3664" t="inlineStr">
        <is>
          <t>SKÅNE LÄN</t>
        </is>
      </c>
      <c r="E3664" t="inlineStr">
        <is>
          <t>ÄNGELHOLM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31268-2024</t>
        </is>
      </c>
      <c r="B3665" s="1" t="n">
        <v>45504</v>
      </c>
      <c r="C3665" s="1" t="n">
        <v>45914</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59679-2023</t>
        </is>
      </c>
      <c r="B3666" s="1" t="n">
        <v>45255.59284722222</v>
      </c>
      <c r="C3666" s="1" t="n">
        <v>45914</v>
      </c>
      <c r="D3666" t="inlineStr">
        <is>
          <t>SKÅNE LÄN</t>
        </is>
      </c>
      <c r="E3666" t="inlineStr">
        <is>
          <t>OSBY</t>
        </is>
      </c>
      <c r="G3666" t="n">
        <v>15.6</v>
      </c>
      <c r="H3666" t="n">
        <v>0</v>
      </c>
      <c r="I3666" t="n">
        <v>0</v>
      </c>
      <c r="J3666" t="n">
        <v>0</v>
      </c>
      <c r="K3666" t="n">
        <v>0</v>
      </c>
      <c r="L3666" t="n">
        <v>0</v>
      </c>
      <c r="M3666" t="n">
        <v>0</v>
      </c>
      <c r="N3666" t="n">
        <v>0</v>
      </c>
      <c r="O3666" t="n">
        <v>0</v>
      </c>
      <c r="P3666" t="n">
        <v>0</v>
      </c>
      <c r="Q3666" t="n">
        <v>0</v>
      </c>
      <c r="R3666" s="2" t="inlineStr"/>
    </row>
    <row r="3667" ht="15" customHeight="1">
      <c r="A3667" t="inlineStr">
        <is>
          <t>A 11908-2025</t>
        </is>
      </c>
      <c r="B3667" s="1" t="n">
        <v>45728.48403935185</v>
      </c>
      <c r="C3667" s="1" t="n">
        <v>45914</v>
      </c>
      <c r="D3667" t="inlineStr">
        <is>
          <t>SKÅNE LÄN</t>
        </is>
      </c>
      <c r="E3667" t="inlineStr">
        <is>
          <t>OSBY</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13856-2025</t>
        </is>
      </c>
      <c r="B3668" s="1" t="n">
        <v>45737.57289351852</v>
      </c>
      <c r="C3668" s="1" t="n">
        <v>45914</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36568-2024</t>
        </is>
      </c>
      <c r="B3669" s="1" t="n">
        <v>45537</v>
      </c>
      <c r="C3669" s="1" t="n">
        <v>45914</v>
      </c>
      <c r="D3669" t="inlineStr">
        <is>
          <t>SKÅNE LÄN</t>
        </is>
      </c>
      <c r="E3669" t="inlineStr">
        <is>
          <t>HÄSSLEHOLM</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36569-2024</t>
        </is>
      </c>
      <c r="B3670" s="1" t="n">
        <v>45537.48940972222</v>
      </c>
      <c r="C3670" s="1" t="n">
        <v>45914</v>
      </c>
      <c r="D3670" t="inlineStr">
        <is>
          <t>SKÅNE LÄN</t>
        </is>
      </c>
      <c r="E3670" t="inlineStr">
        <is>
          <t>OSBY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34591-2023</t>
        </is>
      </c>
      <c r="B3671" s="1" t="n">
        <v>45140</v>
      </c>
      <c r="C3671" s="1" t="n">
        <v>45914</v>
      </c>
      <c r="D3671" t="inlineStr">
        <is>
          <t>SKÅNE LÄN</t>
        </is>
      </c>
      <c r="E3671" t="inlineStr">
        <is>
          <t>ÖRKELLJUNGA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32794-2021</t>
        </is>
      </c>
      <c r="B3672" s="1" t="n">
        <v>44375</v>
      </c>
      <c r="C3672" s="1" t="n">
        <v>45914</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53491-2021</t>
        </is>
      </c>
      <c r="B3673" s="1" t="n">
        <v>44468</v>
      </c>
      <c r="C3673" s="1" t="n">
        <v>45914</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24855-2024</t>
        </is>
      </c>
      <c r="B3674" s="1" t="n">
        <v>45461.46796296296</v>
      </c>
      <c r="C3674" s="1" t="n">
        <v>45914</v>
      </c>
      <c r="D3674" t="inlineStr">
        <is>
          <t>SKÅNE LÄN</t>
        </is>
      </c>
      <c r="E3674" t="inlineStr">
        <is>
          <t>ÄNGELHOLM</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42050-2023</t>
        </is>
      </c>
      <c r="B3675" s="1" t="n">
        <v>45177</v>
      </c>
      <c r="C3675" s="1" t="n">
        <v>45914</v>
      </c>
      <c r="D3675" t="inlineStr">
        <is>
          <t>SKÅNE LÄN</t>
        </is>
      </c>
      <c r="E3675" t="inlineStr">
        <is>
          <t>ESLÖV</t>
        </is>
      </c>
      <c r="G3675" t="n">
        <v>10.3</v>
      </c>
      <c r="H3675" t="n">
        <v>0</v>
      </c>
      <c r="I3675" t="n">
        <v>0</v>
      </c>
      <c r="J3675" t="n">
        <v>0</v>
      </c>
      <c r="K3675" t="n">
        <v>0</v>
      </c>
      <c r="L3675" t="n">
        <v>0</v>
      </c>
      <c r="M3675" t="n">
        <v>0</v>
      </c>
      <c r="N3675" t="n">
        <v>0</v>
      </c>
      <c r="O3675" t="n">
        <v>0</v>
      </c>
      <c r="P3675" t="n">
        <v>0</v>
      </c>
      <c r="Q3675" t="n">
        <v>0</v>
      </c>
      <c r="R3675" s="2" t="inlineStr"/>
    </row>
    <row r="3676" ht="15" customHeight="1">
      <c r="A3676" t="inlineStr">
        <is>
          <t>A 8500-2025</t>
        </is>
      </c>
      <c r="B3676" s="1" t="n">
        <v>45709.52055555556</v>
      </c>
      <c r="C3676" s="1" t="n">
        <v>45914</v>
      </c>
      <c r="D3676" t="inlineStr">
        <is>
          <t>SKÅNE LÄN</t>
        </is>
      </c>
      <c r="E3676" t="inlineStr">
        <is>
          <t>OSBY</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24526-2023</t>
        </is>
      </c>
      <c r="B3677" s="1" t="n">
        <v>45082</v>
      </c>
      <c r="C3677" s="1" t="n">
        <v>45914</v>
      </c>
      <c r="D3677" t="inlineStr">
        <is>
          <t>SKÅNE LÄN</t>
        </is>
      </c>
      <c r="E3677" t="inlineStr">
        <is>
          <t>ÖSTRA GÖINGE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24583-2023</t>
        </is>
      </c>
      <c r="B3678" s="1" t="n">
        <v>45083</v>
      </c>
      <c r="C3678" s="1" t="n">
        <v>45914</v>
      </c>
      <c r="D3678" t="inlineStr">
        <is>
          <t>SKÅNE LÄN</t>
        </is>
      </c>
      <c r="E3678" t="inlineStr">
        <is>
          <t>KRISTIANSTAD</t>
        </is>
      </c>
      <c r="F3678" t="inlineStr">
        <is>
          <t>Övriga Aktiebolag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13961-2023</t>
        </is>
      </c>
      <c r="B3679" s="1" t="n">
        <v>45008</v>
      </c>
      <c r="C3679" s="1" t="n">
        <v>45914</v>
      </c>
      <c r="D3679" t="inlineStr">
        <is>
          <t>SKÅNE LÄN</t>
        </is>
      </c>
      <c r="E3679" t="inlineStr">
        <is>
          <t>HÄSSLEHOLM</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11780-2023</t>
        </is>
      </c>
      <c r="B3680" s="1" t="n">
        <v>44994.6522337963</v>
      </c>
      <c r="C3680" s="1" t="n">
        <v>45914</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13797-2025</t>
        </is>
      </c>
      <c r="B3681" s="1" t="n">
        <v>45737.48324074074</v>
      </c>
      <c r="C3681" s="1" t="n">
        <v>45914</v>
      </c>
      <c r="D3681" t="inlineStr">
        <is>
          <t>SKÅNE LÄN</t>
        </is>
      </c>
      <c r="E3681" t="inlineStr">
        <is>
          <t>ÖRKELLJUNGA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27590-2024</t>
        </is>
      </c>
      <c r="B3682" s="1" t="n">
        <v>45474</v>
      </c>
      <c r="C3682" s="1" t="n">
        <v>45914</v>
      </c>
      <c r="D3682" t="inlineStr">
        <is>
          <t>SKÅNE LÄN</t>
        </is>
      </c>
      <c r="E3682" t="inlineStr">
        <is>
          <t>KRISTIANSTAD</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62546-2023</t>
        </is>
      </c>
      <c r="B3683" s="1" t="n">
        <v>45268.90278935185</v>
      </c>
      <c r="C3683" s="1" t="n">
        <v>45914</v>
      </c>
      <c r="D3683" t="inlineStr">
        <is>
          <t>SKÅNE LÄN</t>
        </is>
      </c>
      <c r="E3683" t="inlineStr">
        <is>
          <t>ÖSTRA GÖINGE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19190-2023</t>
        </is>
      </c>
      <c r="B3684" s="1" t="n">
        <v>45048</v>
      </c>
      <c r="C3684" s="1" t="n">
        <v>45914</v>
      </c>
      <c r="D3684" t="inlineStr">
        <is>
          <t>SKÅNE LÄN</t>
        </is>
      </c>
      <c r="E3684" t="inlineStr">
        <is>
          <t>SVEDALA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62052-2022</t>
        </is>
      </c>
      <c r="B3685" s="1" t="n">
        <v>44918</v>
      </c>
      <c r="C3685" s="1" t="n">
        <v>45914</v>
      </c>
      <c r="D3685" t="inlineStr">
        <is>
          <t>SKÅNE LÄN</t>
        </is>
      </c>
      <c r="E3685" t="inlineStr">
        <is>
          <t>ÖSTRA GÖINGE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62066-2022</t>
        </is>
      </c>
      <c r="B3686" s="1" t="n">
        <v>44918</v>
      </c>
      <c r="C3686" s="1" t="n">
        <v>45914</v>
      </c>
      <c r="D3686" t="inlineStr">
        <is>
          <t>SKÅNE LÄN</t>
        </is>
      </c>
      <c r="E3686" t="inlineStr">
        <is>
          <t>KRISTIANSTAD</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21980-2023</t>
        </is>
      </c>
      <c r="B3687" s="1" t="n">
        <v>45068.67945601852</v>
      </c>
      <c r="C3687" s="1" t="n">
        <v>45914</v>
      </c>
      <c r="D3687" t="inlineStr">
        <is>
          <t>SKÅNE LÄN</t>
        </is>
      </c>
      <c r="E3687" t="inlineStr">
        <is>
          <t>BROMÖLLA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14441-2023</t>
        </is>
      </c>
      <c r="B3688" s="1" t="n">
        <v>45012.58659722222</v>
      </c>
      <c r="C3688" s="1" t="n">
        <v>45914</v>
      </c>
      <c r="D3688" t="inlineStr">
        <is>
          <t>SKÅNE LÄN</t>
        </is>
      </c>
      <c r="E3688" t="inlineStr">
        <is>
          <t>KRISTIANSTAD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14495-2023</t>
        </is>
      </c>
      <c r="B3689" s="1" t="n">
        <v>45012</v>
      </c>
      <c r="C3689" s="1" t="n">
        <v>45914</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3855-2023</t>
        </is>
      </c>
      <c r="B3690" s="1" t="n">
        <v>44951.69708333333</v>
      </c>
      <c r="C3690" s="1" t="n">
        <v>45914</v>
      </c>
      <c r="D3690" t="inlineStr">
        <is>
          <t>SKÅNE LÄN</t>
        </is>
      </c>
      <c r="E3690" t="inlineStr">
        <is>
          <t>HÄSSLEHOLM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52372-2021</t>
        </is>
      </c>
      <c r="B3691" s="1" t="n">
        <v>44465</v>
      </c>
      <c r="C3691" s="1" t="n">
        <v>45914</v>
      </c>
      <c r="D3691" t="inlineStr">
        <is>
          <t>SKÅNE LÄN</t>
        </is>
      </c>
      <c r="E3691" t="inlineStr">
        <is>
          <t>ÖRKELLJUNGA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68502-2020</t>
        </is>
      </c>
      <c r="B3692" s="1" t="n">
        <v>44186</v>
      </c>
      <c r="C3692" s="1" t="n">
        <v>45914</v>
      </c>
      <c r="D3692" t="inlineStr">
        <is>
          <t>SKÅNE LÄN</t>
        </is>
      </c>
      <c r="E3692" t="inlineStr">
        <is>
          <t>ÖRKELLJUNGA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34301-2024</t>
        </is>
      </c>
      <c r="B3693" s="1" t="n">
        <v>45524</v>
      </c>
      <c r="C3693" s="1" t="n">
        <v>45914</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11126-2025</t>
        </is>
      </c>
      <c r="B3694" s="1" t="n">
        <v>45723</v>
      </c>
      <c r="C3694" s="1" t="n">
        <v>45914</v>
      </c>
      <c r="D3694" t="inlineStr">
        <is>
          <t>SKÅNE LÄN</t>
        </is>
      </c>
      <c r="E3694" t="inlineStr">
        <is>
          <t>ÖRKELLJUNGA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3367-2024</t>
        </is>
      </c>
      <c r="B3695" s="1" t="n">
        <v>45317</v>
      </c>
      <c r="C3695" s="1" t="n">
        <v>45914</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15060-2023</t>
        </is>
      </c>
      <c r="B3696" s="1" t="n">
        <v>45015.69832175926</v>
      </c>
      <c r="C3696" s="1" t="n">
        <v>45914</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8601-2023</t>
        </is>
      </c>
      <c r="B3697" s="1" t="n">
        <v>44977</v>
      </c>
      <c r="C3697" s="1" t="n">
        <v>45914</v>
      </c>
      <c r="D3697" t="inlineStr">
        <is>
          <t>SKÅNE LÄN</t>
        </is>
      </c>
      <c r="E3697" t="inlineStr">
        <is>
          <t>LUND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54171-2021</t>
        </is>
      </c>
      <c r="B3698" s="1" t="n">
        <v>44470</v>
      </c>
      <c r="C3698" s="1" t="n">
        <v>45914</v>
      </c>
      <c r="D3698" t="inlineStr">
        <is>
          <t>SKÅNE LÄN</t>
        </is>
      </c>
      <c r="E3698" t="inlineStr">
        <is>
          <t>HÄSSLEHOLM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15105-2023</t>
        </is>
      </c>
      <c r="B3699" s="1" t="n">
        <v>45015</v>
      </c>
      <c r="C3699" s="1" t="n">
        <v>45914</v>
      </c>
      <c r="D3699" t="inlineStr">
        <is>
          <t>SKÅNE LÄN</t>
        </is>
      </c>
      <c r="E3699" t="inlineStr">
        <is>
          <t>KRISTIANSTAD</t>
        </is>
      </c>
      <c r="F3699" t="inlineStr">
        <is>
          <t>Kyrkan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61364-2023</t>
        </is>
      </c>
      <c r="B3700" s="1" t="n">
        <v>45264</v>
      </c>
      <c r="C3700" s="1" t="n">
        <v>45914</v>
      </c>
      <c r="D3700" t="inlineStr">
        <is>
          <t>SKÅNE LÄN</t>
        </is>
      </c>
      <c r="E3700" t="inlineStr">
        <is>
          <t>OSBY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45914</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39834-2021</t>
        </is>
      </c>
      <c r="B3702" s="1" t="n">
        <v>44417</v>
      </c>
      <c r="C3702" s="1" t="n">
        <v>45914</v>
      </c>
      <c r="D3702" t="inlineStr">
        <is>
          <t>SKÅNE LÄN</t>
        </is>
      </c>
      <c r="E3702" t="inlineStr">
        <is>
          <t>SIMRISHAMN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25542-2024</t>
        </is>
      </c>
      <c r="B3703" s="1" t="n">
        <v>45463</v>
      </c>
      <c r="C3703" s="1" t="n">
        <v>45914</v>
      </c>
      <c r="D3703" t="inlineStr">
        <is>
          <t>SKÅNE LÄN</t>
        </is>
      </c>
      <c r="E3703" t="inlineStr">
        <is>
          <t>HÄSSLEHOLM</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14670-2025</t>
        </is>
      </c>
      <c r="B3704" s="1" t="n">
        <v>45742.55079861111</v>
      </c>
      <c r="C3704" s="1" t="n">
        <v>45914</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7077-2025</t>
        </is>
      </c>
      <c r="B3705" s="1" t="n">
        <v>45701.68670138889</v>
      </c>
      <c r="C3705" s="1" t="n">
        <v>45914</v>
      </c>
      <c r="D3705" t="inlineStr">
        <is>
          <t>SKÅNE LÄN</t>
        </is>
      </c>
      <c r="E3705" t="inlineStr">
        <is>
          <t>ÖSTRA GÖINGE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55454-2021</t>
        </is>
      </c>
      <c r="B3706" s="1" t="n">
        <v>44475</v>
      </c>
      <c r="C3706" s="1" t="n">
        <v>45914</v>
      </c>
      <c r="D3706" t="inlineStr">
        <is>
          <t>SKÅNE LÄN</t>
        </is>
      </c>
      <c r="E3706" t="inlineStr">
        <is>
          <t>HÄSSLEHOLM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33752-2025</t>
        </is>
      </c>
      <c r="B3707" s="1" t="n">
        <v>45842.36796296296</v>
      </c>
      <c r="C3707" s="1" t="n">
        <v>45914</v>
      </c>
      <c r="D3707" t="inlineStr">
        <is>
          <t>SKÅNE LÄN</t>
        </is>
      </c>
      <c r="E3707" t="inlineStr">
        <is>
          <t>ÖRKELLJUNGA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43855-2022</t>
        </is>
      </c>
      <c r="B3708" s="1" t="n">
        <v>44838</v>
      </c>
      <c r="C3708" s="1" t="n">
        <v>45914</v>
      </c>
      <c r="D3708" t="inlineStr">
        <is>
          <t>SKÅNE LÄN</t>
        </is>
      </c>
      <c r="E3708" t="inlineStr">
        <is>
          <t>KLIPPAN</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43877-2022</t>
        </is>
      </c>
      <c r="B3709" s="1" t="n">
        <v>44838</v>
      </c>
      <c r="C3709" s="1" t="n">
        <v>45914</v>
      </c>
      <c r="D3709" t="inlineStr">
        <is>
          <t>SKÅNE LÄN</t>
        </is>
      </c>
      <c r="E3709" t="inlineStr">
        <is>
          <t>HÖÖR</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43897-2022</t>
        </is>
      </c>
      <c r="B3710" s="1" t="n">
        <v>44838</v>
      </c>
      <c r="C3710" s="1" t="n">
        <v>45914</v>
      </c>
      <c r="D3710" t="inlineStr">
        <is>
          <t>SKÅNE LÄN</t>
        </is>
      </c>
      <c r="E3710" t="inlineStr">
        <is>
          <t>HÖÖR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48279-2021</t>
        </is>
      </c>
      <c r="B3711" s="1" t="n">
        <v>44449</v>
      </c>
      <c r="C3711" s="1" t="n">
        <v>45914</v>
      </c>
      <c r="D3711" t="inlineStr">
        <is>
          <t>SKÅNE LÄN</t>
        </is>
      </c>
      <c r="E3711" t="inlineStr">
        <is>
          <t>SVALÖV</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38684-2022</t>
        </is>
      </c>
      <c r="B3712" s="1" t="n">
        <v>44814</v>
      </c>
      <c r="C3712" s="1" t="n">
        <v>45914</v>
      </c>
      <c r="D3712" t="inlineStr">
        <is>
          <t>SKÅNE LÄN</t>
        </is>
      </c>
      <c r="E3712" t="inlineStr">
        <is>
          <t>HÖRBY</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37757-2024</t>
        </is>
      </c>
      <c r="B3713" s="1" t="n">
        <v>45541</v>
      </c>
      <c r="C3713" s="1" t="n">
        <v>45914</v>
      </c>
      <c r="D3713" t="inlineStr">
        <is>
          <t>SKÅNE LÄN</t>
        </is>
      </c>
      <c r="E3713" t="inlineStr">
        <is>
          <t>HÖRBY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43931-2022</t>
        </is>
      </c>
      <c r="B3714" s="1" t="n">
        <v>44838</v>
      </c>
      <c r="C3714" s="1" t="n">
        <v>45914</v>
      </c>
      <c r="D3714" t="inlineStr">
        <is>
          <t>SKÅNE LÄN</t>
        </is>
      </c>
      <c r="E3714" t="inlineStr">
        <is>
          <t>OSBY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45906-2023</t>
        </is>
      </c>
      <c r="B3715" s="1" t="n">
        <v>45195.71341435185</v>
      </c>
      <c r="C3715" s="1" t="n">
        <v>45914</v>
      </c>
      <c r="D3715" t="inlineStr">
        <is>
          <t>SKÅNE LÄN</t>
        </is>
      </c>
      <c r="E3715" t="inlineStr">
        <is>
          <t>OSBY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19880-2023</t>
        </is>
      </c>
      <c r="B3716" s="1" t="n">
        <v>45054</v>
      </c>
      <c r="C3716" s="1" t="n">
        <v>45914</v>
      </c>
      <c r="D3716" t="inlineStr">
        <is>
          <t>SKÅNE LÄN</t>
        </is>
      </c>
      <c r="E3716" t="inlineStr">
        <is>
          <t>KRISTIANSTAD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69041-2021</t>
        </is>
      </c>
      <c r="B3717" s="1" t="n">
        <v>44529</v>
      </c>
      <c r="C3717" s="1" t="n">
        <v>45914</v>
      </c>
      <c r="D3717" t="inlineStr">
        <is>
          <t>SKÅNE LÄN</t>
        </is>
      </c>
      <c r="E3717" t="inlineStr">
        <is>
          <t>KLIPPAN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45900-2023</t>
        </is>
      </c>
      <c r="B3718" s="1" t="n">
        <v>45195.69958333333</v>
      </c>
      <c r="C3718" s="1" t="n">
        <v>45914</v>
      </c>
      <c r="D3718" t="inlineStr">
        <is>
          <t>SKÅNE LÄN</t>
        </is>
      </c>
      <c r="E3718" t="inlineStr">
        <is>
          <t>OSBY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10988-2023</t>
        </is>
      </c>
      <c r="B3719" s="1" t="n">
        <v>44991</v>
      </c>
      <c r="C3719" s="1" t="n">
        <v>45914</v>
      </c>
      <c r="D3719" t="inlineStr">
        <is>
          <t>SKÅNE LÄN</t>
        </is>
      </c>
      <c r="E3719" t="inlineStr">
        <is>
          <t>KRISTIANSTAD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13347-2025</t>
        </is>
      </c>
      <c r="B3720" s="1" t="n">
        <v>45735.63175925926</v>
      </c>
      <c r="C3720" s="1" t="n">
        <v>45914</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13611-2025</t>
        </is>
      </c>
      <c r="B3721" s="1" t="n">
        <v>45736.62430555555</v>
      </c>
      <c r="C3721" s="1" t="n">
        <v>45914</v>
      </c>
      <c r="D3721" t="inlineStr">
        <is>
          <t>SKÅNE LÄN</t>
        </is>
      </c>
      <c r="E3721" t="inlineStr">
        <is>
          <t>ÖRKELLJUNGA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10962-2025</t>
        </is>
      </c>
      <c r="B3722" s="1" t="n">
        <v>45723.37791666666</v>
      </c>
      <c r="C3722" s="1" t="n">
        <v>45914</v>
      </c>
      <c r="D3722" t="inlineStr">
        <is>
          <t>SKÅNE LÄN</t>
        </is>
      </c>
      <c r="E3722" t="inlineStr">
        <is>
          <t>KRISTIANSTAD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43516-2021</t>
        </is>
      </c>
      <c r="B3723" s="1" t="n">
        <v>44433</v>
      </c>
      <c r="C3723" s="1" t="n">
        <v>45914</v>
      </c>
      <c r="D3723" t="inlineStr">
        <is>
          <t>SKÅNE LÄN</t>
        </is>
      </c>
      <c r="E3723" t="inlineStr">
        <is>
          <t>OSBY</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9167-2025</t>
        </is>
      </c>
      <c r="B3724" s="1" t="n">
        <v>45714.3750462963</v>
      </c>
      <c r="C3724" s="1" t="n">
        <v>45914</v>
      </c>
      <c r="D3724" t="inlineStr">
        <is>
          <t>SKÅNE LÄN</t>
        </is>
      </c>
      <c r="E3724" t="inlineStr">
        <is>
          <t>BROMÖLLA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9184-2025</t>
        </is>
      </c>
      <c r="B3725" s="1" t="n">
        <v>45714</v>
      </c>
      <c r="C3725" s="1" t="n">
        <v>45914</v>
      </c>
      <c r="D3725" t="inlineStr">
        <is>
          <t>SKÅNE LÄN</t>
        </is>
      </c>
      <c r="E3725" t="inlineStr">
        <is>
          <t>OSBY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25765-2024</t>
        </is>
      </c>
      <c r="B3726" s="1" t="n">
        <v>45465.78322916666</v>
      </c>
      <c r="C3726" s="1" t="n">
        <v>45914</v>
      </c>
      <c r="D3726" t="inlineStr">
        <is>
          <t>SKÅNE LÄN</t>
        </is>
      </c>
      <c r="E3726" t="inlineStr">
        <is>
          <t>KRISTIANSTAD</t>
        </is>
      </c>
      <c r="G3726" t="n">
        <v>16.6</v>
      </c>
      <c r="H3726" t="n">
        <v>0</v>
      </c>
      <c r="I3726" t="n">
        <v>0</v>
      </c>
      <c r="J3726" t="n">
        <v>0</v>
      </c>
      <c r="K3726" t="n">
        <v>0</v>
      </c>
      <c r="L3726" t="n">
        <v>0</v>
      </c>
      <c r="M3726" t="n">
        <v>0</v>
      </c>
      <c r="N3726" t="n">
        <v>0</v>
      </c>
      <c r="O3726" t="n">
        <v>0</v>
      </c>
      <c r="P3726" t="n">
        <v>0</v>
      </c>
      <c r="Q3726" t="n">
        <v>0</v>
      </c>
      <c r="R3726" s="2" t="inlineStr"/>
    </row>
    <row r="3727" ht="15" customHeight="1">
      <c r="A3727" t="inlineStr">
        <is>
          <t>A 25767-2024</t>
        </is>
      </c>
      <c r="B3727" s="1" t="n">
        <v>45465.79103009259</v>
      </c>
      <c r="C3727" s="1" t="n">
        <v>45914</v>
      </c>
      <c r="D3727" t="inlineStr">
        <is>
          <t>SKÅNE LÄN</t>
        </is>
      </c>
      <c r="E3727" t="inlineStr">
        <is>
          <t>KRISTIANSTAD</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6170-2021</t>
        </is>
      </c>
      <c r="B3728" s="1" t="n">
        <v>44232</v>
      </c>
      <c r="C3728" s="1" t="n">
        <v>45914</v>
      </c>
      <c r="D3728" t="inlineStr">
        <is>
          <t>SKÅNE LÄN</t>
        </is>
      </c>
      <c r="E3728" t="inlineStr">
        <is>
          <t>BÅSTAD</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11260-2021</t>
        </is>
      </c>
      <c r="B3729" s="1" t="n">
        <v>44263</v>
      </c>
      <c r="C3729" s="1" t="n">
        <v>45914</v>
      </c>
      <c r="D3729" t="inlineStr">
        <is>
          <t>SKÅNE LÄN</t>
        </is>
      </c>
      <c r="E3729" t="inlineStr">
        <is>
          <t>HÄSSLEHOLM</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13198-2025</t>
        </is>
      </c>
      <c r="B3730" s="1" t="n">
        <v>45735</v>
      </c>
      <c r="C3730" s="1" t="n">
        <v>45914</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3135-2023</t>
        </is>
      </c>
      <c r="B3731" s="1" t="n">
        <v>44946.51672453704</v>
      </c>
      <c r="C3731" s="1" t="n">
        <v>45914</v>
      </c>
      <c r="D3731" t="inlineStr">
        <is>
          <t>SKÅNE LÄN</t>
        </is>
      </c>
      <c r="E3731" t="inlineStr">
        <is>
          <t>HÄSSLEHOLM</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16121-2025</t>
        </is>
      </c>
      <c r="B3732" s="1" t="n">
        <v>45750.40384259259</v>
      </c>
      <c r="C3732" s="1" t="n">
        <v>45914</v>
      </c>
      <c r="D3732" t="inlineStr">
        <is>
          <t>SKÅNE LÄN</t>
        </is>
      </c>
      <c r="E3732" t="inlineStr">
        <is>
          <t>HÄSSLEHOLM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7086-2023</t>
        </is>
      </c>
      <c r="B3733" s="1" t="n">
        <v>44965</v>
      </c>
      <c r="C3733" s="1" t="n">
        <v>45914</v>
      </c>
      <c r="D3733" t="inlineStr">
        <is>
          <t>SKÅNE LÄN</t>
        </is>
      </c>
      <c r="E3733" t="inlineStr">
        <is>
          <t>OSBY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28966-2022</t>
        </is>
      </c>
      <c r="B3734" s="1" t="n">
        <v>44749</v>
      </c>
      <c r="C3734" s="1" t="n">
        <v>45914</v>
      </c>
      <c r="D3734" t="inlineStr">
        <is>
          <t>SKÅNE LÄN</t>
        </is>
      </c>
      <c r="E3734" t="inlineStr">
        <is>
          <t>TOMELILLA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59429-2023</t>
        </is>
      </c>
      <c r="B3735" s="1" t="n">
        <v>45254.2875</v>
      </c>
      <c r="C3735" s="1" t="n">
        <v>45914</v>
      </c>
      <c r="D3735" t="inlineStr">
        <is>
          <t>SKÅNE LÄN</t>
        </is>
      </c>
      <c r="E3735" t="inlineStr">
        <is>
          <t>HÄSSLEHOLM</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33816-2022</t>
        </is>
      </c>
      <c r="B3736" s="1" t="n">
        <v>44790</v>
      </c>
      <c r="C3736" s="1" t="n">
        <v>45914</v>
      </c>
      <c r="D3736" t="inlineStr">
        <is>
          <t>SKÅNE LÄN</t>
        </is>
      </c>
      <c r="E3736" t="inlineStr">
        <is>
          <t>OSBY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11635-2025</t>
        </is>
      </c>
      <c r="B3737" s="1" t="n">
        <v>45727</v>
      </c>
      <c r="C3737" s="1" t="n">
        <v>45914</v>
      </c>
      <c r="D3737" t="inlineStr">
        <is>
          <t>SKÅNE LÄN</t>
        </is>
      </c>
      <c r="E3737" t="inlineStr">
        <is>
          <t>ÖSTRA GÖINGE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40202-2022</t>
        </is>
      </c>
      <c r="B3738" s="1" t="n">
        <v>44820.60614583334</v>
      </c>
      <c r="C3738" s="1" t="n">
        <v>45914</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36363-2021</t>
        </is>
      </c>
      <c r="B3739" s="1" t="n">
        <v>44390</v>
      </c>
      <c r="C3739" s="1" t="n">
        <v>45914</v>
      </c>
      <c r="D3739" t="inlineStr">
        <is>
          <t>SKÅNE LÄN</t>
        </is>
      </c>
      <c r="E3739" t="inlineStr">
        <is>
          <t>SJÖBO</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23741-2023</t>
        </is>
      </c>
      <c r="B3740" s="1" t="n">
        <v>45077.77087962963</v>
      </c>
      <c r="C3740" s="1" t="n">
        <v>45914</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23785-2023</t>
        </is>
      </c>
      <c r="B3741" s="1" t="n">
        <v>45078.29748842592</v>
      </c>
      <c r="C3741" s="1" t="n">
        <v>45914</v>
      </c>
      <c r="D3741" t="inlineStr">
        <is>
          <t>SKÅNE LÄN</t>
        </is>
      </c>
      <c r="E3741" t="inlineStr">
        <is>
          <t>PERSTORP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70933-2021</t>
        </is>
      </c>
      <c r="B3742" s="1" t="n">
        <v>44538</v>
      </c>
      <c r="C3742" s="1" t="n">
        <v>45914</v>
      </c>
      <c r="D3742" t="inlineStr">
        <is>
          <t>SKÅNE LÄN</t>
        </is>
      </c>
      <c r="E3742" t="inlineStr">
        <is>
          <t>SJÖBO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25393-2023</t>
        </is>
      </c>
      <c r="B3743" s="1" t="n">
        <v>45079</v>
      </c>
      <c r="C3743" s="1" t="n">
        <v>45914</v>
      </c>
      <c r="D3743" t="inlineStr">
        <is>
          <t>SKÅNE LÄN</t>
        </is>
      </c>
      <c r="E3743" t="inlineStr">
        <is>
          <t>KLIPPAN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61489-2024</t>
        </is>
      </c>
      <c r="B3744" s="1" t="n">
        <v>45646.54875</v>
      </c>
      <c r="C3744" s="1" t="n">
        <v>45914</v>
      </c>
      <c r="D3744" t="inlineStr">
        <is>
          <t>SKÅNE LÄN</t>
        </is>
      </c>
      <c r="E3744" t="inlineStr">
        <is>
          <t>HÄSSLEHOLM</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34170-2023</t>
        </is>
      </c>
      <c r="B3745" s="1" t="n">
        <v>45138</v>
      </c>
      <c r="C3745" s="1" t="n">
        <v>45914</v>
      </c>
      <c r="D3745" t="inlineStr">
        <is>
          <t>SKÅNE LÄN</t>
        </is>
      </c>
      <c r="E3745" t="inlineStr">
        <is>
          <t>ESLÖV</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8712-2023</t>
        </is>
      </c>
      <c r="B3746" s="1" t="n">
        <v>44978.3975462963</v>
      </c>
      <c r="C3746" s="1" t="n">
        <v>45914</v>
      </c>
      <c r="D3746" t="inlineStr">
        <is>
          <t>SKÅNE LÄN</t>
        </is>
      </c>
      <c r="E3746" t="inlineStr">
        <is>
          <t>KLIPPAN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6591-2025</t>
        </is>
      </c>
      <c r="B3747" s="1" t="n">
        <v>45700.30478009259</v>
      </c>
      <c r="C3747" s="1" t="n">
        <v>45914</v>
      </c>
      <c r="D3747" t="inlineStr">
        <is>
          <t>SKÅNE LÄN</t>
        </is>
      </c>
      <c r="E3747" t="inlineStr">
        <is>
          <t>HÖRBY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49032-2022</t>
        </is>
      </c>
      <c r="B3748" s="1" t="n">
        <v>44860.44083333333</v>
      </c>
      <c r="C3748" s="1" t="n">
        <v>45914</v>
      </c>
      <c r="D3748" t="inlineStr">
        <is>
          <t>SKÅNE LÄN</t>
        </is>
      </c>
      <c r="E3748" t="inlineStr">
        <is>
          <t>SVALÖV</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17587-2023</t>
        </is>
      </c>
      <c r="B3749" s="1" t="n">
        <v>45036</v>
      </c>
      <c r="C3749" s="1" t="n">
        <v>45914</v>
      </c>
      <c r="D3749" t="inlineStr">
        <is>
          <t>SKÅNE LÄN</t>
        </is>
      </c>
      <c r="E3749" t="inlineStr">
        <is>
          <t>OSBY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54667-2023</t>
        </is>
      </c>
      <c r="B3750" s="1" t="n">
        <v>45235.62601851852</v>
      </c>
      <c r="C3750" s="1" t="n">
        <v>45914</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39455-2024</t>
        </is>
      </c>
      <c r="B3751" s="1" t="n">
        <v>45551</v>
      </c>
      <c r="C3751" s="1" t="n">
        <v>45914</v>
      </c>
      <c r="D3751" t="inlineStr">
        <is>
          <t>SKÅNE LÄN</t>
        </is>
      </c>
      <c r="E3751" t="inlineStr">
        <is>
          <t>BROMÖLLA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65097-2021</t>
        </is>
      </c>
      <c r="B3752" s="1" t="n">
        <v>44513</v>
      </c>
      <c r="C3752" s="1" t="n">
        <v>45914</v>
      </c>
      <c r="D3752" t="inlineStr">
        <is>
          <t>SKÅNE LÄN</t>
        </is>
      </c>
      <c r="E3752" t="inlineStr">
        <is>
          <t>KRISTIANSTAD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28493-2023</t>
        </is>
      </c>
      <c r="B3753" s="1" t="n">
        <v>45103.44575231482</v>
      </c>
      <c r="C3753" s="1" t="n">
        <v>45914</v>
      </c>
      <c r="D3753" t="inlineStr">
        <is>
          <t>SKÅNE LÄN</t>
        </is>
      </c>
      <c r="E3753" t="inlineStr">
        <is>
          <t>HÖRBY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54326-2022</t>
        </is>
      </c>
      <c r="B3754" s="1" t="n">
        <v>44882.42965277778</v>
      </c>
      <c r="C3754" s="1" t="n">
        <v>45914</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22074-2023</t>
        </is>
      </c>
      <c r="B3755" s="1" t="n">
        <v>45069.46530092593</v>
      </c>
      <c r="C3755" s="1" t="n">
        <v>45914</v>
      </c>
      <c r="D3755" t="inlineStr">
        <is>
          <t>SKÅNE LÄN</t>
        </is>
      </c>
      <c r="E3755" t="inlineStr">
        <is>
          <t>KRISTIANSTAD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22081-2023</t>
        </is>
      </c>
      <c r="B3756" s="1" t="n">
        <v>45069</v>
      </c>
      <c r="C3756" s="1" t="n">
        <v>45914</v>
      </c>
      <c r="D3756" t="inlineStr">
        <is>
          <t>SKÅNE LÄN</t>
        </is>
      </c>
      <c r="E3756" t="inlineStr">
        <is>
          <t>ÖSTRA GÖINGE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41998-2021</t>
        </is>
      </c>
      <c r="B3757" s="1" t="n">
        <v>44425</v>
      </c>
      <c r="C3757" s="1" t="n">
        <v>45914</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54392-2023</t>
        </is>
      </c>
      <c r="B3758" s="1" t="n">
        <v>45226</v>
      </c>
      <c r="C3758" s="1" t="n">
        <v>45914</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65200-2021</t>
        </is>
      </c>
      <c r="B3759" s="1" t="n">
        <v>44515</v>
      </c>
      <c r="C3759" s="1" t="n">
        <v>45914</v>
      </c>
      <c r="D3759" t="inlineStr">
        <is>
          <t>SKÅNE LÄN</t>
        </is>
      </c>
      <c r="E3759" t="inlineStr">
        <is>
          <t>HÖÖR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7707-2025</t>
        </is>
      </c>
      <c r="B3760" s="1" t="n">
        <v>45705</v>
      </c>
      <c r="C3760" s="1" t="n">
        <v>45914</v>
      </c>
      <c r="D3760" t="inlineStr">
        <is>
          <t>SKÅNE LÄN</t>
        </is>
      </c>
      <c r="E3760" t="inlineStr">
        <is>
          <t>ÄNGELHOLM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25933-2023</t>
        </is>
      </c>
      <c r="B3761" s="1" t="n">
        <v>45090.6815625</v>
      </c>
      <c r="C3761" s="1" t="n">
        <v>45914</v>
      </c>
      <c r="D3761" t="inlineStr">
        <is>
          <t>SKÅNE LÄN</t>
        </is>
      </c>
      <c r="E3761" t="inlineStr">
        <is>
          <t>ÖSTRA GÖINGE</t>
        </is>
      </c>
      <c r="G3761" t="n">
        <v>12.8</v>
      </c>
      <c r="H3761" t="n">
        <v>0</v>
      </c>
      <c r="I3761" t="n">
        <v>0</v>
      </c>
      <c r="J3761" t="n">
        <v>0</v>
      </c>
      <c r="K3761" t="n">
        <v>0</v>
      </c>
      <c r="L3761" t="n">
        <v>0</v>
      </c>
      <c r="M3761" t="n">
        <v>0</v>
      </c>
      <c r="N3761" t="n">
        <v>0</v>
      </c>
      <c r="O3761" t="n">
        <v>0</v>
      </c>
      <c r="P3761" t="n">
        <v>0</v>
      </c>
      <c r="Q3761" t="n">
        <v>0</v>
      </c>
      <c r="R3761" s="2" t="inlineStr"/>
    </row>
    <row r="3762" ht="15" customHeight="1">
      <c r="A3762" t="inlineStr">
        <is>
          <t>A 23496-2024</t>
        </is>
      </c>
      <c r="B3762" s="1" t="n">
        <v>45453</v>
      </c>
      <c r="C3762" s="1" t="n">
        <v>45914</v>
      </c>
      <c r="D3762" t="inlineStr">
        <is>
          <t>SKÅNE LÄN</t>
        </is>
      </c>
      <c r="E3762" t="inlineStr">
        <is>
          <t>TOMELILLA</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61520-2022</t>
        </is>
      </c>
      <c r="B3763" s="1" t="n">
        <v>44910</v>
      </c>
      <c r="C3763" s="1" t="n">
        <v>45914</v>
      </c>
      <c r="D3763" t="inlineStr">
        <is>
          <t>SKÅNE LÄN</t>
        </is>
      </c>
      <c r="E3763" t="inlineStr">
        <is>
          <t>OSBY</t>
        </is>
      </c>
      <c r="F3763" t="inlineStr">
        <is>
          <t>Kyrkan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61524-2022</t>
        </is>
      </c>
      <c r="B3764" s="1" t="n">
        <v>44910</v>
      </c>
      <c r="C3764" s="1" t="n">
        <v>45914</v>
      </c>
      <c r="D3764" t="inlineStr">
        <is>
          <t>SKÅNE LÄN</t>
        </is>
      </c>
      <c r="E3764" t="inlineStr">
        <is>
          <t>HÄSSLEHOLM</t>
        </is>
      </c>
      <c r="F3764" t="inlineStr">
        <is>
          <t>Kyrkan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26879-2024</t>
        </is>
      </c>
      <c r="B3765" s="1" t="n">
        <v>45470</v>
      </c>
      <c r="C3765" s="1" t="n">
        <v>45914</v>
      </c>
      <c r="D3765" t="inlineStr">
        <is>
          <t>SKÅNE LÄN</t>
        </is>
      </c>
      <c r="E3765" t="inlineStr">
        <is>
          <t>HÄSSLEHOLM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23328-2023</t>
        </is>
      </c>
      <c r="B3766" s="1" t="n">
        <v>45076</v>
      </c>
      <c r="C3766" s="1" t="n">
        <v>45914</v>
      </c>
      <c r="D3766" t="inlineStr">
        <is>
          <t>SKÅNE LÄN</t>
        </is>
      </c>
      <c r="E3766" t="inlineStr">
        <is>
          <t>HÖRBY</t>
        </is>
      </c>
      <c r="F3766" t="inlineStr">
        <is>
          <t>Sveaskog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45914</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36842-2024</t>
        </is>
      </c>
      <c r="B3768" s="1" t="n">
        <v>45538</v>
      </c>
      <c r="C3768" s="1" t="n">
        <v>45914</v>
      </c>
      <c r="D3768" t="inlineStr">
        <is>
          <t>SKÅNE LÄN</t>
        </is>
      </c>
      <c r="E3768" t="inlineStr">
        <is>
          <t>KLIPPAN</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46737-2024</t>
        </is>
      </c>
      <c r="B3769" s="1" t="n">
        <v>45583.47193287037</v>
      </c>
      <c r="C3769" s="1" t="n">
        <v>45914</v>
      </c>
      <c r="D3769" t="inlineStr">
        <is>
          <t>SKÅNE LÄN</t>
        </is>
      </c>
      <c r="E3769" t="inlineStr">
        <is>
          <t>PERSTORP</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60913-2023</t>
        </is>
      </c>
      <c r="B3770" s="1" t="n">
        <v>45261.39200231482</v>
      </c>
      <c r="C3770" s="1" t="n">
        <v>45914</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68856-2021</t>
        </is>
      </c>
      <c r="B3771" s="1" t="n">
        <v>44530</v>
      </c>
      <c r="C3771" s="1" t="n">
        <v>45914</v>
      </c>
      <c r="D3771" t="inlineStr">
        <is>
          <t>SKÅNE LÄN</t>
        </is>
      </c>
      <c r="E3771" t="inlineStr">
        <is>
          <t>KLIPPAN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24904-2025</t>
        </is>
      </c>
      <c r="B3772" s="1" t="n">
        <v>45799</v>
      </c>
      <c r="C3772" s="1" t="n">
        <v>45914</v>
      </c>
      <c r="D3772" t="inlineStr">
        <is>
          <t>SKÅNE LÄN</t>
        </is>
      </c>
      <c r="E3772" t="inlineStr">
        <is>
          <t>HÄSSLEHOLM</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29292-2023</t>
        </is>
      </c>
      <c r="B3773" s="1" t="n">
        <v>45105</v>
      </c>
      <c r="C3773" s="1" t="n">
        <v>45914</v>
      </c>
      <c r="D3773" t="inlineStr">
        <is>
          <t>SKÅNE LÄN</t>
        </is>
      </c>
      <c r="E3773" t="inlineStr">
        <is>
          <t>OSBY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61533-2022</t>
        </is>
      </c>
      <c r="B3774" s="1" t="n">
        <v>44910</v>
      </c>
      <c r="C3774" s="1" t="n">
        <v>45914</v>
      </c>
      <c r="D3774" t="inlineStr">
        <is>
          <t>SKÅNE LÄN</t>
        </is>
      </c>
      <c r="E3774" t="inlineStr">
        <is>
          <t>HÄSSLEHOLM</t>
        </is>
      </c>
      <c r="F3774" t="inlineStr">
        <is>
          <t>Kyrkan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7871-2025</t>
        </is>
      </c>
      <c r="B3775" s="1" t="n">
        <v>45706</v>
      </c>
      <c r="C3775" s="1" t="n">
        <v>45914</v>
      </c>
      <c r="D3775" t="inlineStr">
        <is>
          <t>SKÅNE LÄN</t>
        </is>
      </c>
      <c r="E3775" t="inlineStr">
        <is>
          <t>ÄNGELHOLM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19629-2025</t>
        </is>
      </c>
      <c r="B3776" s="1" t="n">
        <v>45770.64084490741</v>
      </c>
      <c r="C3776" s="1" t="n">
        <v>45914</v>
      </c>
      <c r="D3776" t="inlineStr">
        <is>
          <t>SKÅNE LÄN</t>
        </is>
      </c>
      <c r="E3776" t="inlineStr">
        <is>
          <t>HÖÖR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593-2023</t>
        </is>
      </c>
      <c r="B3777" s="1" t="n">
        <v>44930.55528935185</v>
      </c>
      <c r="C3777" s="1" t="n">
        <v>45914</v>
      </c>
      <c r="D3777" t="inlineStr">
        <is>
          <t>SKÅNE LÄN</t>
        </is>
      </c>
      <c r="E3777" t="inlineStr">
        <is>
          <t>KLIPPAN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59675-2023</t>
        </is>
      </c>
      <c r="B3778" s="1" t="n">
        <v>45255.57924768519</v>
      </c>
      <c r="C3778" s="1" t="n">
        <v>45914</v>
      </c>
      <c r="D3778" t="inlineStr">
        <is>
          <t>SKÅNE LÄN</t>
        </is>
      </c>
      <c r="E3778" t="inlineStr">
        <is>
          <t>OSBY</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59677-2023</t>
        </is>
      </c>
      <c r="B3779" s="1" t="n">
        <v>45255</v>
      </c>
      <c r="C3779" s="1" t="n">
        <v>45914</v>
      </c>
      <c r="D3779" t="inlineStr">
        <is>
          <t>SKÅNE LÄN</t>
        </is>
      </c>
      <c r="E3779" t="inlineStr">
        <is>
          <t>OSBY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61024-2023</t>
        </is>
      </c>
      <c r="B3780" s="1" t="n">
        <v>45259</v>
      </c>
      <c r="C3780" s="1" t="n">
        <v>45914</v>
      </c>
      <c r="D3780" t="inlineStr">
        <is>
          <t>SKÅNE LÄN</t>
        </is>
      </c>
      <c r="E3780" t="inlineStr">
        <is>
          <t>OSBY</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56820-2024</t>
        </is>
      </c>
      <c r="B3781" s="1" t="n">
        <v>45628</v>
      </c>
      <c r="C3781" s="1" t="n">
        <v>45914</v>
      </c>
      <c r="D3781" t="inlineStr">
        <is>
          <t>SKÅNE LÄN</t>
        </is>
      </c>
      <c r="E3781" t="inlineStr">
        <is>
          <t>SIMRISHAMN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427-2023</t>
        </is>
      </c>
      <c r="B3782" s="1" t="n">
        <v>44929</v>
      </c>
      <c r="C3782" s="1" t="n">
        <v>45914</v>
      </c>
      <c r="D3782" t="inlineStr">
        <is>
          <t>SKÅNE LÄN</t>
        </is>
      </c>
      <c r="E3782" t="inlineStr">
        <is>
          <t>ÖSTRA GÖINGE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6589-2025</t>
        </is>
      </c>
      <c r="B3783" s="1" t="n">
        <v>45700.30015046296</v>
      </c>
      <c r="C3783" s="1" t="n">
        <v>45914</v>
      </c>
      <c r="D3783" t="inlineStr">
        <is>
          <t>SKÅNE LÄN</t>
        </is>
      </c>
      <c r="E3783" t="inlineStr">
        <is>
          <t>HÖÖR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57709-2022</t>
        </is>
      </c>
      <c r="B3784" s="1" t="n">
        <v>44897</v>
      </c>
      <c r="C3784" s="1" t="n">
        <v>45914</v>
      </c>
      <c r="D3784" t="inlineStr">
        <is>
          <t>SKÅNE LÄN</t>
        </is>
      </c>
      <c r="E3784" t="inlineStr">
        <is>
          <t>ÖRKELLJUNGA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59728-2022</t>
        </is>
      </c>
      <c r="B3785" s="1" t="n">
        <v>44900</v>
      </c>
      <c r="C3785" s="1" t="n">
        <v>45914</v>
      </c>
      <c r="D3785" t="inlineStr">
        <is>
          <t>SKÅNE LÄN</t>
        </is>
      </c>
      <c r="E3785" t="inlineStr">
        <is>
          <t>HÄSSLEHOLM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58985-2022</t>
        </is>
      </c>
      <c r="B3786" s="1" t="n">
        <v>44903.69670138889</v>
      </c>
      <c r="C3786" s="1" t="n">
        <v>45914</v>
      </c>
      <c r="D3786" t="inlineStr">
        <is>
          <t>SKÅNE LÄN</t>
        </is>
      </c>
      <c r="E3786" t="inlineStr">
        <is>
          <t>SIMRISHAMN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62149-2022</t>
        </is>
      </c>
      <c r="B3787" s="1" t="n">
        <v>44922</v>
      </c>
      <c r="C3787" s="1" t="n">
        <v>45914</v>
      </c>
      <c r="D3787" t="inlineStr">
        <is>
          <t>SKÅNE LÄN</t>
        </is>
      </c>
      <c r="E3787" t="inlineStr">
        <is>
          <t>SIMRISHAMN</t>
        </is>
      </c>
      <c r="F3787" t="inlineStr">
        <is>
          <t>Övriga Aktiebolag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8619-2023</t>
        </is>
      </c>
      <c r="B3788" s="1" t="n">
        <v>44977.81979166667</v>
      </c>
      <c r="C3788" s="1" t="n">
        <v>45914</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578-2024</t>
        </is>
      </c>
      <c r="B3789" s="1" t="n">
        <v>45299</v>
      </c>
      <c r="C3789" s="1" t="n">
        <v>45914</v>
      </c>
      <c r="D3789" t="inlineStr">
        <is>
          <t>SKÅNE LÄN</t>
        </is>
      </c>
      <c r="E3789" t="inlineStr">
        <is>
          <t>TOMELILLA</t>
        </is>
      </c>
      <c r="F3789" t="inlineStr">
        <is>
          <t>Övriga Aktiebolag</t>
        </is>
      </c>
      <c r="G3789" t="n">
        <v>67.40000000000001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25183-2023</t>
        </is>
      </c>
      <c r="B3790" s="1" t="n">
        <v>45079</v>
      </c>
      <c r="C3790" s="1" t="n">
        <v>45914</v>
      </c>
      <c r="D3790" t="inlineStr">
        <is>
          <t>SKÅNE LÄN</t>
        </is>
      </c>
      <c r="E3790" t="inlineStr">
        <is>
          <t>HÖRBY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13243-2025</t>
        </is>
      </c>
      <c r="B3791" s="1" t="n">
        <v>45735</v>
      </c>
      <c r="C3791" s="1" t="n">
        <v>45914</v>
      </c>
      <c r="D3791" t="inlineStr">
        <is>
          <t>SKÅNE LÄN</t>
        </is>
      </c>
      <c r="E3791" t="inlineStr">
        <is>
          <t>ÄNGELHOLM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6667-2025</t>
        </is>
      </c>
      <c r="B3792" s="1" t="n">
        <v>45700.46334490741</v>
      </c>
      <c r="C3792" s="1" t="n">
        <v>45914</v>
      </c>
      <c r="D3792" t="inlineStr">
        <is>
          <t>SKÅNE LÄN</t>
        </is>
      </c>
      <c r="E3792" t="inlineStr">
        <is>
          <t>ÄNGELHOLM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3769-2024</t>
        </is>
      </c>
      <c r="B3793" s="1" t="n">
        <v>45321</v>
      </c>
      <c r="C3793" s="1" t="n">
        <v>45914</v>
      </c>
      <c r="D3793" t="inlineStr">
        <is>
          <t>SKÅNE LÄN</t>
        </is>
      </c>
      <c r="E3793" t="inlineStr">
        <is>
          <t>KRISTIANSTAD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16525-2024</t>
        </is>
      </c>
      <c r="B3794" s="1" t="n">
        <v>45408.42017361111</v>
      </c>
      <c r="C3794" s="1" t="n">
        <v>45914</v>
      </c>
      <c r="D3794" t="inlineStr">
        <is>
          <t>SKÅNE LÄN</t>
        </is>
      </c>
      <c r="E3794" t="inlineStr">
        <is>
          <t>KRISTIANSTAD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6874-2024</t>
        </is>
      </c>
      <c r="B3795" s="1" t="n">
        <v>45342</v>
      </c>
      <c r="C3795" s="1" t="n">
        <v>45914</v>
      </c>
      <c r="D3795" t="inlineStr">
        <is>
          <t>SKÅNE LÄN</t>
        </is>
      </c>
      <c r="E3795" t="inlineStr">
        <is>
          <t>OSBY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6769-2021</t>
        </is>
      </c>
      <c r="B3796" s="1" t="n">
        <v>44236</v>
      </c>
      <c r="C3796" s="1" t="n">
        <v>45914</v>
      </c>
      <c r="D3796" t="inlineStr">
        <is>
          <t>SKÅNE LÄN</t>
        </is>
      </c>
      <c r="E3796" t="inlineStr">
        <is>
          <t>HÖÖR</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45764-2022</t>
        </is>
      </c>
      <c r="B3797" s="1" t="n">
        <v>44846.37982638889</v>
      </c>
      <c r="C3797" s="1" t="n">
        <v>45914</v>
      </c>
      <c r="D3797" t="inlineStr">
        <is>
          <t>SKÅNE LÄN</t>
        </is>
      </c>
      <c r="E3797" t="inlineStr">
        <is>
          <t>KRISTIANSTAD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49219-2021</t>
        </is>
      </c>
      <c r="B3798" s="1" t="n">
        <v>44454</v>
      </c>
      <c r="C3798" s="1" t="n">
        <v>45914</v>
      </c>
      <c r="D3798" t="inlineStr">
        <is>
          <t>SKÅNE LÄN</t>
        </is>
      </c>
      <c r="E3798" t="inlineStr">
        <is>
          <t>HÄSSLEHOLM</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31721-2023</t>
        </is>
      </c>
      <c r="B3799" s="1" t="n">
        <v>45117.89976851852</v>
      </c>
      <c r="C3799" s="1" t="n">
        <v>45914</v>
      </c>
      <c r="D3799" t="inlineStr">
        <is>
          <t>SKÅNE LÄN</t>
        </is>
      </c>
      <c r="E3799" t="inlineStr">
        <is>
          <t>OSBY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46147-2022</t>
        </is>
      </c>
      <c r="B3800" s="1" t="n">
        <v>44846</v>
      </c>
      <c r="C3800" s="1" t="n">
        <v>45914</v>
      </c>
      <c r="D3800" t="inlineStr">
        <is>
          <t>SKÅNE LÄN</t>
        </is>
      </c>
      <c r="E3800" t="inlineStr">
        <is>
          <t>KLIPPAN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20591-2023</t>
        </is>
      </c>
      <c r="B3801" s="1" t="n">
        <v>45055</v>
      </c>
      <c r="C3801" s="1" t="n">
        <v>45914</v>
      </c>
      <c r="D3801" t="inlineStr">
        <is>
          <t>SKÅNE LÄN</t>
        </is>
      </c>
      <c r="E3801" t="inlineStr">
        <is>
          <t>KLIPPAN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57990-2022</t>
        </is>
      </c>
      <c r="B3802" s="1" t="n">
        <v>44900.48835648148</v>
      </c>
      <c r="C3802" s="1" t="n">
        <v>45914</v>
      </c>
      <c r="D3802" t="inlineStr">
        <is>
          <t>SKÅNE LÄN</t>
        </is>
      </c>
      <c r="E3802" t="inlineStr">
        <is>
          <t>OSBY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46000-2021</t>
        </is>
      </c>
      <c r="B3803" s="1" t="n">
        <v>44441</v>
      </c>
      <c r="C3803" s="1" t="n">
        <v>45914</v>
      </c>
      <c r="D3803" t="inlineStr">
        <is>
          <t>SKÅNE LÄN</t>
        </is>
      </c>
      <c r="E3803" t="inlineStr">
        <is>
          <t>HÄSSLEHOLM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8968-2021</t>
        </is>
      </c>
      <c r="B3804" s="1" t="n">
        <v>44249</v>
      </c>
      <c r="C3804" s="1" t="n">
        <v>45914</v>
      </c>
      <c r="D3804" t="inlineStr">
        <is>
          <t>SKÅNE LÄN</t>
        </is>
      </c>
      <c r="E3804" t="inlineStr">
        <is>
          <t>KRISTIANSTAD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27932-2023</t>
        </is>
      </c>
      <c r="B3805" s="1" t="n">
        <v>45098</v>
      </c>
      <c r="C3805" s="1" t="n">
        <v>45914</v>
      </c>
      <c r="D3805" t="inlineStr">
        <is>
          <t>SKÅNE LÄN</t>
        </is>
      </c>
      <c r="E3805" t="inlineStr">
        <is>
          <t>KRISTIANSTAD</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25388-2023</t>
        </is>
      </c>
      <c r="B3806" s="1" t="n">
        <v>45089.34219907408</v>
      </c>
      <c r="C3806" s="1" t="n">
        <v>45914</v>
      </c>
      <c r="D3806" t="inlineStr">
        <is>
          <t>SKÅNE LÄN</t>
        </is>
      </c>
      <c r="E3806" t="inlineStr">
        <is>
          <t>ESLÖV</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34126-2025</t>
        </is>
      </c>
      <c r="B3807" s="1" t="n">
        <v>45845.53</v>
      </c>
      <c r="C3807" s="1" t="n">
        <v>45914</v>
      </c>
      <c r="D3807" t="inlineStr">
        <is>
          <t>SKÅNE LÄN</t>
        </is>
      </c>
      <c r="E3807" t="inlineStr">
        <is>
          <t>KRISTIANSTAD</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62142-2023</t>
        </is>
      </c>
      <c r="B3808" s="1" t="n">
        <v>45267</v>
      </c>
      <c r="C3808" s="1" t="n">
        <v>45914</v>
      </c>
      <c r="D3808" t="inlineStr">
        <is>
          <t>SKÅNE LÄN</t>
        </is>
      </c>
      <c r="E3808" t="inlineStr">
        <is>
          <t>ÖSTRA GÖINGE</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38682-2025</t>
        </is>
      </c>
      <c r="B3809" s="1" t="n">
        <v>45884.65219907407</v>
      </c>
      <c r="C3809" s="1" t="n">
        <v>45914</v>
      </c>
      <c r="D3809" t="inlineStr">
        <is>
          <t>SKÅNE LÄN</t>
        </is>
      </c>
      <c r="E3809" t="inlineStr">
        <is>
          <t>OSBY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62171-2022</t>
        </is>
      </c>
      <c r="B3810" s="1" t="n">
        <v>44915</v>
      </c>
      <c r="C3810" s="1" t="n">
        <v>45914</v>
      </c>
      <c r="D3810" t="inlineStr">
        <is>
          <t>SKÅNE LÄN</t>
        </is>
      </c>
      <c r="E3810" t="inlineStr">
        <is>
          <t>HÄSSLEHOLM</t>
        </is>
      </c>
      <c r="F3810" t="inlineStr">
        <is>
          <t>Kyrkan</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61011-2023</t>
        </is>
      </c>
      <c r="B3811" s="1" t="n">
        <v>45261</v>
      </c>
      <c r="C3811" s="1" t="n">
        <v>45914</v>
      </c>
      <c r="D3811" t="inlineStr">
        <is>
          <t>SKÅNE LÄN</t>
        </is>
      </c>
      <c r="E3811" t="inlineStr">
        <is>
          <t>HÖÖR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55588-2021</t>
        </is>
      </c>
      <c r="B3812" s="1" t="n">
        <v>44475</v>
      </c>
      <c r="C3812" s="1" t="n">
        <v>45914</v>
      </c>
      <c r="D3812" t="inlineStr">
        <is>
          <t>SKÅNE LÄN</t>
        </is>
      </c>
      <c r="E3812" t="inlineStr">
        <is>
          <t>KLIPPAN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34344-2025</t>
        </is>
      </c>
      <c r="B3813" s="1" t="n">
        <v>45846.4655324074</v>
      </c>
      <c r="C3813" s="1" t="n">
        <v>45914</v>
      </c>
      <c r="D3813" t="inlineStr">
        <is>
          <t>SKÅNE LÄN</t>
        </is>
      </c>
      <c r="E3813" t="inlineStr">
        <is>
          <t>ÖSTRA GÖINGE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30063-2025</t>
        </is>
      </c>
      <c r="B3814" s="1" t="n">
        <v>45826</v>
      </c>
      <c r="C3814" s="1" t="n">
        <v>45914</v>
      </c>
      <c r="D3814" t="inlineStr">
        <is>
          <t>SKÅNE LÄN</t>
        </is>
      </c>
      <c r="E3814" t="inlineStr">
        <is>
          <t>PERSTORP</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38897-2025</t>
        </is>
      </c>
      <c r="B3815" s="1" t="n">
        <v>45887.59670138889</v>
      </c>
      <c r="C3815" s="1" t="n">
        <v>45914</v>
      </c>
      <c r="D3815" t="inlineStr">
        <is>
          <t>SKÅNE LÄN</t>
        </is>
      </c>
      <c r="E3815" t="inlineStr">
        <is>
          <t>ÖRKELLJUNGA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38790-2025</t>
        </is>
      </c>
      <c r="B3816" s="1" t="n">
        <v>45887.44887731481</v>
      </c>
      <c r="C3816" s="1" t="n">
        <v>45914</v>
      </c>
      <c r="D3816" t="inlineStr">
        <is>
          <t>SKÅNE LÄN</t>
        </is>
      </c>
      <c r="E3816" t="inlineStr">
        <is>
          <t>KRISTIANSTAD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32100-2024</t>
        </is>
      </c>
      <c r="B3817" s="1" t="n">
        <v>45511.41451388889</v>
      </c>
      <c r="C3817" s="1" t="n">
        <v>45914</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33481-2024</t>
        </is>
      </c>
      <c r="B3818" s="1" t="n">
        <v>45519</v>
      </c>
      <c r="C3818" s="1" t="n">
        <v>45914</v>
      </c>
      <c r="D3818" t="inlineStr">
        <is>
          <t>SKÅNE LÄN</t>
        </is>
      </c>
      <c r="E3818" t="inlineStr">
        <is>
          <t>HÄSSLEHOLM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48807-2021</t>
        </is>
      </c>
      <c r="B3819" s="1" t="n">
        <v>44452</v>
      </c>
      <c r="C3819" s="1" t="n">
        <v>45914</v>
      </c>
      <c r="D3819" t="inlineStr">
        <is>
          <t>SKÅNE LÄN</t>
        </is>
      </c>
      <c r="E3819" t="inlineStr">
        <is>
          <t>HÄSSLEHOLM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9769-2024</t>
        </is>
      </c>
      <c r="B3820" s="1" t="n">
        <v>45362</v>
      </c>
      <c r="C3820" s="1" t="n">
        <v>45914</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29024-2022</t>
        </is>
      </c>
      <c r="B3821" s="1" t="n">
        <v>44749.86331018519</v>
      </c>
      <c r="C3821" s="1" t="n">
        <v>45914</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61018-2023</t>
        </is>
      </c>
      <c r="B3822" s="1" t="n">
        <v>45259</v>
      </c>
      <c r="C3822" s="1" t="n">
        <v>45914</v>
      </c>
      <c r="D3822" t="inlineStr">
        <is>
          <t>SKÅNE LÄN</t>
        </is>
      </c>
      <c r="E3822" t="inlineStr">
        <is>
          <t>OSBY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2790-2021</t>
        </is>
      </c>
      <c r="B3823" s="1" t="n">
        <v>44215.67376157407</v>
      </c>
      <c r="C3823" s="1" t="n">
        <v>45914</v>
      </c>
      <c r="D3823" t="inlineStr">
        <is>
          <t>SKÅNE LÄN</t>
        </is>
      </c>
      <c r="E3823" t="inlineStr">
        <is>
          <t>ÖRKELLJUNGA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308-2023</t>
        </is>
      </c>
      <c r="B3824" s="1" t="n">
        <v>44929</v>
      </c>
      <c r="C3824" s="1" t="n">
        <v>45914</v>
      </c>
      <c r="D3824" t="inlineStr">
        <is>
          <t>SKÅNE LÄN</t>
        </is>
      </c>
      <c r="E3824" t="inlineStr">
        <is>
          <t>ÄNGELHOLM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54176-2022</t>
        </is>
      </c>
      <c r="B3825" s="1" t="n">
        <v>44881</v>
      </c>
      <c r="C3825" s="1" t="n">
        <v>45914</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3294-2025</t>
        </is>
      </c>
      <c r="B3826" s="1" t="n">
        <v>45679.64125</v>
      </c>
      <c r="C3826" s="1" t="n">
        <v>45914</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42333-2023</t>
        </is>
      </c>
      <c r="B3827" s="1" t="n">
        <v>45180.49457175926</v>
      </c>
      <c r="C3827" s="1" t="n">
        <v>45914</v>
      </c>
      <c r="D3827" t="inlineStr">
        <is>
          <t>SKÅNE LÄN</t>
        </is>
      </c>
      <c r="E3827" t="inlineStr">
        <is>
          <t>BROMÖLLA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16337-2025</t>
        </is>
      </c>
      <c r="B3828" s="1" t="n">
        <v>45751.36584490741</v>
      </c>
      <c r="C3828" s="1" t="n">
        <v>45914</v>
      </c>
      <c r="D3828" t="inlineStr">
        <is>
          <t>SKÅNE LÄN</t>
        </is>
      </c>
      <c r="E3828" t="inlineStr">
        <is>
          <t>PERSTORP</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37571-2024</t>
        </is>
      </c>
      <c r="B3829" s="1" t="n">
        <v>45541.45120370371</v>
      </c>
      <c r="C3829" s="1" t="n">
        <v>45914</v>
      </c>
      <c r="D3829" t="inlineStr">
        <is>
          <t>SKÅNE LÄN</t>
        </is>
      </c>
      <c r="E3829" t="inlineStr">
        <is>
          <t>ÖSTRA GÖINGE</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37578-2024</t>
        </is>
      </c>
      <c r="B3830" s="1" t="n">
        <v>45541.4572800926</v>
      </c>
      <c r="C3830" s="1" t="n">
        <v>45914</v>
      </c>
      <c r="D3830" t="inlineStr">
        <is>
          <t>SKÅNE LÄN</t>
        </is>
      </c>
      <c r="E3830" t="inlineStr">
        <is>
          <t>ÖSTRA GÖINGE</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16614-2025</t>
        </is>
      </c>
      <c r="B3831" s="1" t="n">
        <v>45754.283125</v>
      </c>
      <c r="C3831" s="1" t="n">
        <v>45914</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37756-2024</t>
        </is>
      </c>
      <c r="B3832" s="1" t="n">
        <v>45541.74803240741</v>
      </c>
      <c r="C3832" s="1" t="n">
        <v>45914</v>
      </c>
      <c r="D3832" t="inlineStr">
        <is>
          <t>SKÅNE LÄN</t>
        </is>
      </c>
      <c r="E3832" t="inlineStr">
        <is>
          <t>HÖRBY</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28830-2025</t>
        </is>
      </c>
      <c r="B3833" s="1" t="n">
        <v>45820</v>
      </c>
      <c r="C3833" s="1" t="n">
        <v>45914</v>
      </c>
      <c r="D3833" t="inlineStr">
        <is>
          <t>SKÅNE LÄN</t>
        </is>
      </c>
      <c r="E3833" t="inlineStr">
        <is>
          <t>HÖÖR</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8190-2024</t>
        </is>
      </c>
      <c r="B3834" s="1" t="n">
        <v>45338</v>
      </c>
      <c r="C3834" s="1" t="n">
        <v>45914</v>
      </c>
      <c r="D3834" t="inlineStr">
        <is>
          <t>SKÅNE LÄN</t>
        </is>
      </c>
      <c r="E3834" t="inlineStr">
        <is>
          <t>TOMELILLA</t>
        </is>
      </c>
      <c r="F3834" t="inlineStr">
        <is>
          <t>Kyrkan</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8192-2024</t>
        </is>
      </c>
      <c r="B3835" s="1" t="n">
        <v>45338</v>
      </c>
      <c r="C3835" s="1" t="n">
        <v>45914</v>
      </c>
      <c r="D3835" t="inlineStr">
        <is>
          <t>SKÅNE LÄN</t>
        </is>
      </c>
      <c r="E3835" t="inlineStr">
        <is>
          <t>TOMELILLA</t>
        </is>
      </c>
      <c r="F3835" t="inlineStr">
        <is>
          <t>Kyrkan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9596-2025</t>
        </is>
      </c>
      <c r="B3836" s="1" t="n">
        <v>45715</v>
      </c>
      <c r="C3836" s="1" t="n">
        <v>45914</v>
      </c>
      <c r="D3836" t="inlineStr">
        <is>
          <t>SKÅNE LÄN</t>
        </is>
      </c>
      <c r="E3836" t="inlineStr">
        <is>
          <t>KRISTIANSTAD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23723-2023</t>
        </is>
      </c>
      <c r="B3837" s="1" t="n">
        <v>45077</v>
      </c>
      <c r="C3837" s="1" t="n">
        <v>45914</v>
      </c>
      <c r="D3837" t="inlineStr">
        <is>
          <t>SKÅNE LÄN</t>
        </is>
      </c>
      <c r="E3837" t="inlineStr">
        <is>
          <t>HÄSSLEHOLM</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50922-2021</t>
        </is>
      </c>
      <c r="B3838" s="1" t="n">
        <v>44459</v>
      </c>
      <c r="C3838" s="1" t="n">
        <v>45914</v>
      </c>
      <c r="D3838" t="inlineStr">
        <is>
          <t>SKÅNE LÄN</t>
        </is>
      </c>
      <c r="E3838" t="inlineStr">
        <is>
          <t>ÖSTRA GÖINGE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34174-2025</t>
        </is>
      </c>
      <c r="B3839" s="1" t="n">
        <v>45844</v>
      </c>
      <c r="C3839" s="1" t="n">
        <v>45914</v>
      </c>
      <c r="D3839" t="inlineStr">
        <is>
          <t>SKÅNE LÄN</t>
        </is>
      </c>
      <c r="E3839" t="inlineStr">
        <is>
          <t>HÄSSLEHOLM</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34204-2025</t>
        </is>
      </c>
      <c r="B3840" s="1" t="n">
        <v>45844</v>
      </c>
      <c r="C3840" s="1" t="n">
        <v>45914</v>
      </c>
      <c r="D3840" t="inlineStr">
        <is>
          <t>SKÅNE LÄN</t>
        </is>
      </c>
      <c r="E3840" t="inlineStr">
        <is>
          <t>OSBY</t>
        </is>
      </c>
      <c r="F3840" t="inlineStr">
        <is>
          <t>Naturvårdsverket</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34236-2025</t>
        </is>
      </c>
      <c r="B3841" s="1" t="n">
        <v>45845.66458333333</v>
      </c>
      <c r="C3841" s="1" t="n">
        <v>45914</v>
      </c>
      <c r="D3841" t="inlineStr">
        <is>
          <t>SKÅNE LÄN</t>
        </is>
      </c>
      <c r="E3841" t="inlineStr">
        <is>
          <t>PERSTORP</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3565-2025</t>
        </is>
      </c>
      <c r="B3842" s="1" t="n">
        <v>45680.68038194445</v>
      </c>
      <c r="C3842" s="1" t="n">
        <v>45914</v>
      </c>
      <c r="D3842" t="inlineStr">
        <is>
          <t>SKÅNE LÄN</t>
        </is>
      </c>
      <c r="E3842" t="inlineStr">
        <is>
          <t>ÄNGELHOLM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16110-2024</t>
        </is>
      </c>
      <c r="B3843" s="1" t="n">
        <v>45406</v>
      </c>
      <c r="C3843" s="1" t="n">
        <v>45914</v>
      </c>
      <c r="D3843" t="inlineStr">
        <is>
          <t>SKÅNE LÄN</t>
        </is>
      </c>
      <c r="E3843" t="inlineStr">
        <is>
          <t>HÖÖR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16199-2024</t>
        </is>
      </c>
      <c r="B3844" s="1" t="n">
        <v>45406</v>
      </c>
      <c r="C3844" s="1" t="n">
        <v>45914</v>
      </c>
      <c r="D3844" t="inlineStr">
        <is>
          <t>SKÅNE LÄN</t>
        </is>
      </c>
      <c r="E3844" t="inlineStr">
        <is>
          <t>SVEDALA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63561-2023</t>
        </is>
      </c>
      <c r="B3845" s="1" t="n">
        <v>45274</v>
      </c>
      <c r="C3845" s="1" t="n">
        <v>45914</v>
      </c>
      <c r="D3845" t="inlineStr">
        <is>
          <t>SKÅNE LÄN</t>
        </is>
      </c>
      <c r="E3845" t="inlineStr">
        <is>
          <t>KRISTIANSTAD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63082-2020</t>
        </is>
      </c>
      <c r="B3846" s="1" t="n">
        <v>44162</v>
      </c>
      <c r="C3846" s="1" t="n">
        <v>45914</v>
      </c>
      <c r="D3846" t="inlineStr">
        <is>
          <t>SKÅNE LÄN</t>
        </is>
      </c>
      <c r="E3846" t="inlineStr">
        <is>
          <t>KLIPPAN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13897-2024</t>
        </is>
      </c>
      <c r="B3847" s="1" t="n">
        <v>45391</v>
      </c>
      <c r="C3847" s="1" t="n">
        <v>45914</v>
      </c>
      <c r="D3847" t="inlineStr">
        <is>
          <t>SKÅNE LÄN</t>
        </is>
      </c>
      <c r="E3847" t="inlineStr">
        <is>
          <t>HÄSSLEHOLM</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69500-2020</t>
        </is>
      </c>
      <c r="B3848" s="1" t="n">
        <v>44194</v>
      </c>
      <c r="C3848" s="1" t="n">
        <v>45914</v>
      </c>
      <c r="D3848" t="inlineStr">
        <is>
          <t>SKÅNE LÄN</t>
        </is>
      </c>
      <c r="E3848" t="inlineStr">
        <is>
          <t>HÄSSLEHOLM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58638-2022</t>
        </is>
      </c>
      <c r="B3849" s="1" t="n">
        <v>44902.62528935185</v>
      </c>
      <c r="C3849" s="1" t="n">
        <v>45914</v>
      </c>
      <c r="D3849" t="inlineStr">
        <is>
          <t>SKÅNE LÄN</t>
        </is>
      </c>
      <c r="E3849" t="inlineStr">
        <is>
          <t>OSBY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3361-2022</t>
        </is>
      </c>
      <c r="B3850" s="1" t="n">
        <v>44585.40355324074</v>
      </c>
      <c r="C3850" s="1" t="n">
        <v>45914</v>
      </c>
      <c r="D3850" t="inlineStr">
        <is>
          <t>SKÅNE LÄN</t>
        </is>
      </c>
      <c r="E3850" t="inlineStr">
        <is>
          <t>OSBY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66045-2020</t>
        </is>
      </c>
      <c r="B3851" s="1" t="n">
        <v>44175</v>
      </c>
      <c r="C3851" s="1" t="n">
        <v>45914</v>
      </c>
      <c r="D3851" t="inlineStr">
        <is>
          <t>SKÅNE LÄN</t>
        </is>
      </c>
      <c r="E3851" t="inlineStr">
        <is>
          <t>TOMELILLA</t>
        </is>
      </c>
      <c r="F3851" t="inlineStr">
        <is>
          <t>Kyrkan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7604-2024</t>
        </is>
      </c>
      <c r="B3852" s="1" t="n">
        <v>45348</v>
      </c>
      <c r="C3852" s="1" t="n">
        <v>45914</v>
      </c>
      <c r="D3852" t="inlineStr">
        <is>
          <t>SKÅNE LÄN</t>
        </is>
      </c>
      <c r="E3852" t="inlineStr">
        <is>
          <t>HÄSSLEHOLM</t>
        </is>
      </c>
      <c r="G3852" t="n">
        <v>11.1</v>
      </c>
      <c r="H3852" t="n">
        <v>0</v>
      </c>
      <c r="I3852" t="n">
        <v>0</v>
      </c>
      <c r="J3852" t="n">
        <v>0</v>
      </c>
      <c r="K3852" t="n">
        <v>0</v>
      </c>
      <c r="L3852" t="n">
        <v>0</v>
      </c>
      <c r="M3852" t="n">
        <v>0</v>
      </c>
      <c r="N3852" t="n">
        <v>0</v>
      </c>
      <c r="O3852" t="n">
        <v>0</v>
      </c>
      <c r="P3852" t="n">
        <v>0</v>
      </c>
      <c r="Q3852" t="n">
        <v>0</v>
      </c>
      <c r="R3852" s="2" t="inlineStr"/>
    </row>
    <row r="3853" ht="15" customHeight="1">
      <c r="A3853" t="inlineStr">
        <is>
          <t>A 4928-2022</t>
        </is>
      </c>
      <c r="B3853" s="1" t="n">
        <v>44593.47482638889</v>
      </c>
      <c r="C3853" s="1" t="n">
        <v>45914</v>
      </c>
      <c r="D3853" t="inlineStr">
        <is>
          <t>SKÅNE LÄN</t>
        </is>
      </c>
      <c r="E3853" t="inlineStr">
        <is>
          <t>HÖÖR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4945-2022</t>
        </is>
      </c>
      <c r="B3854" s="1" t="n">
        <v>44593</v>
      </c>
      <c r="C3854" s="1" t="n">
        <v>45914</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57703-2022</t>
        </is>
      </c>
      <c r="B3855" s="1" t="n">
        <v>44897</v>
      </c>
      <c r="C3855" s="1" t="n">
        <v>45914</v>
      </c>
      <c r="D3855" t="inlineStr">
        <is>
          <t>SKÅNE LÄN</t>
        </is>
      </c>
      <c r="E3855" t="inlineStr">
        <is>
          <t>ÖRKELLJUNGA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2708-2021</t>
        </is>
      </c>
      <c r="B3856" s="1" t="n">
        <v>44215</v>
      </c>
      <c r="C3856" s="1" t="n">
        <v>45914</v>
      </c>
      <c r="D3856" t="inlineStr">
        <is>
          <t>SKÅNE LÄN</t>
        </is>
      </c>
      <c r="E3856" t="inlineStr">
        <is>
          <t>ÖSTRA GÖINGE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24-2023</t>
        </is>
      </c>
      <c r="B3857" s="1" t="n">
        <v>44928</v>
      </c>
      <c r="C3857" s="1" t="n">
        <v>45914</v>
      </c>
      <c r="D3857" t="inlineStr">
        <is>
          <t>SKÅNE LÄN</t>
        </is>
      </c>
      <c r="E3857" t="inlineStr">
        <is>
          <t>BÅSTAD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13235-2025</t>
        </is>
      </c>
      <c r="B3858" s="1" t="n">
        <v>45735</v>
      </c>
      <c r="C3858" s="1" t="n">
        <v>45914</v>
      </c>
      <c r="D3858" t="inlineStr">
        <is>
          <t>SKÅNE LÄN</t>
        </is>
      </c>
      <c r="E3858" t="inlineStr">
        <is>
          <t>ÄNGELHOLM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47248-2023</t>
        </is>
      </c>
      <c r="B3859" s="1" t="n">
        <v>45202</v>
      </c>
      <c r="C3859" s="1" t="n">
        <v>45914</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61440-2024</t>
        </is>
      </c>
      <c r="B3860" s="1" t="n">
        <v>45646.46715277778</v>
      </c>
      <c r="C3860" s="1" t="n">
        <v>45914</v>
      </c>
      <c r="D3860" t="inlineStr">
        <is>
          <t>SKÅNE LÄN</t>
        </is>
      </c>
      <c r="E3860" t="inlineStr">
        <is>
          <t>KRISTIANSTAD</t>
        </is>
      </c>
      <c r="F3860" t="inlineStr">
        <is>
          <t>Övriga Aktiebolag</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26339-2023</t>
        </is>
      </c>
      <c r="B3861" s="1" t="n">
        <v>45091.87535879629</v>
      </c>
      <c r="C3861" s="1" t="n">
        <v>45914</v>
      </c>
      <c r="D3861" t="inlineStr">
        <is>
          <t>SKÅNE LÄN</t>
        </is>
      </c>
      <c r="E3861" t="inlineStr">
        <is>
          <t>ÖSTRA GÖINGE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32013-2023</t>
        </is>
      </c>
      <c r="B3862" s="1" t="n">
        <v>45119</v>
      </c>
      <c r="C3862" s="1" t="n">
        <v>45914</v>
      </c>
      <c r="D3862" t="inlineStr">
        <is>
          <t>SKÅNE LÄN</t>
        </is>
      </c>
      <c r="E3862" t="inlineStr">
        <is>
          <t>KRISTIANSTAD</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8084-2022</t>
        </is>
      </c>
      <c r="B3863" s="1" t="n">
        <v>44608</v>
      </c>
      <c r="C3863" s="1" t="n">
        <v>45914</v>
      </c>
      <c r="D3863" t="inlineStr">
        <is>
          <t>SKÅNE LÄN</t>
        </is>
      </c>
      <c r="E3863" t="inlineStr">
        <is>
          <t>HÖRBY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38306-2022</t>
        </is>
      </c>
      <c r="B3864" s="1" t="n">
        <v>44812.57515046297</v>
      </c>
      <c r="C3864" s="1" t="n">
        <v>45914</v>
      </c>
      <c r="D3864" t="inlineStr">
        <is>
          <t>SKÅNE LÄN</t>
        </is>
      </c>
      <c r="E3864" t="inlineStr">
        <is>
          <t>HÄSSLEHOLM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12872-2025</t>
        </is>
      </c>
      <c r="B3865" s="1" t="n">
        <v>45733</v>
      </c>
      <c r="C3865" s="1" t="n">
        <v>45914</v>
      </c>
      <c r="D3865" t="inlineStr">
        <is>
          <t>SKÅNE LÄN</t>
        </is>
      </c>
      <c r="E3865" t="inlineStr">
        <is>
          <t>OSBY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54580-2023</t>
        </is>
      </c>
      <c r="B3866" s="1" t="n">
        <v>45233</v>
      </c>
      <c r="C3866" s="1" t="n">
        <v>45914</v>
      </c>
      <c r="D3866" t="inlineStr">
        <is>
          <t>SKÅNE LÄN</t>
        </is>
      </c>
      <c r="E3866" t="inlineStr">
        <is>
          <t>SVEDALA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54689-2023</t>
        </is>
      </c>
      <c r="B3867" s="1" t="n">
        <v>45235</v>
      </c>
      <c r="C3867" s="1" t="n">
        <v>45914</v>
      </c>
      <c r="D3867" t="inlineStr">
        <is>
          <t>SKÅNE LÄN</t>
        </is>
      </c>
      <c r="E3867" t="inlineStr">
        <is>
          <t>BROMÖLLA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13437-2023</t>
        </is>
      </c>
      <c r="B3868" s="1" t="n">
        <v>45005</v>
      </c>
      <c r="C3868" s="1" t="n">
        <v>45914</v>
      </c>
      <c r="D3868" t="inlineStr">
        <is>
          <t>SKÅNE LÄN</t>
        </is>
      </c>
      <c r="E3868" t="inlineStr">
        <is>
          <t>HÖÖR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35845-2022</t>
        </is>
      </c>
      <c r="B3869" s="1" t="n">
        <v>44802</v>
      </c>
      <c r="C3869" s="1" t="n">
        <v>45914</v>
      </c>
      <c r="D3869" t="inlineStr">
        <is>
          <t>SKÅNE LÄN</t>
        </is>
      </c>
      <c r="E3869" t="inlineStr">
        <is>
          <t>HÄSSLEHOLM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61402-2023</t>
        </is>
      </c>
      <c r="B3870" s="1" t="n">
        <v>45260</v>
      </c>
      <c r="C3870" s="1" t="n">
        <v>45914</v>
      </c>
      <c r="D3870" t="inlineStr">
        <is>
          <t>SKÅNE LÄN</t>
        </is>
      </c>
      <c r="E3870" t="inlineStr">
        <is>
          <t>KRISTIANSTAD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34400-2025</t>
        </is>
      </c>
      <c r="B3871" s="1" t="n">
        <v>45846.61351851852</v>
      </c>
      <c r="C3871" s="1" t="n">
        <v>45914</v>
      </c>
      <c r="D3871" t="inlineStr">
        <is>
          <t>SKÅNE LÄN</t>
        </is>
      </c>
      <c r="E3871" t="inlineStr">
        <is>
          <t>BÅSTAD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34401-2025</t>
        </is>
      </c>
      <c r="B3872" s="1" t="n">
        <v>45846.6140162037</v>
      </c>
      <c r="C3872" s="1" t="n">
        <v>45914</v>
      </c>
      <c r="D3872" t="inlineStr">
        <is>
          <t>SKÅNE LÄN</t>
        </is>
      </c>
      <c r="E3872" t="inlineStr">
        <is>
          <t>BÅSTAD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32154-2024</t>
        </is>
      </c>
      <c r="B3873" s="1" t="n">
        <v>45511</v>
      </c>
      <c r="C3873" s="1" t="n">
        <v>45914</v>
      </c>
      <c r="D3873" t="inlineStr">
        <is>
          <t>SKÅNE LÄN</t>
        </is>
      </c>
      <c r="E3873" t="inlineStr">
        <is>
          <t>HÄSSLEHOLM</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41322-2021</t>
        </is>
      </c>
      <c r="B3874" s="1" t="n">
        <v>44424</v>
      </c>
      <c r="C3874" s="1" t="n">
        <v>45914</v>
      </c>
      <c r="D3874" t="inlineStr">
        <is>
          <t>SKÅNE LÄN</t>
        </is>
      </c>
      <c r="E3874" t="inlineStr">
        <is>
          <t>OSBY</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56102-2022</t>
        </is>
      </c>
      <c r="B3875" s="1" t="n">
        <v>44889</v>
      </c>
      <c r="C3875" s="1" t="n">
        <v>45914</v>
      </c>
      <c r="D3875" t="inlineStr">
        <is>
          <t>SKÅNE LÄN</t>
        </is>
      </c>
      <c r="E3875" t="inlineStr">
        <is>
          <t>ÖSTRA GÖINGE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2935-2024</t>
        </is>
      </c>
      <c r="B3876" s="1" t="n">
        <v>45315</v>
      </c>
      <c r="C3876" s="1" t="n">
        <v>45914</v>
      </c>
      <c r="D3876" t="inlineStr">
        <is>
          <t>SKÅNE LÄN</t>
        </is>
      </c>
      <c r="E3876" t="inlineStr">
        <is>
          <t>HÖÖR</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18744-2025</t>
        </is>
      </c>
      <c r="B3877" s="1" t="n">
        <v>45763.75098379629</v>
      </c>
      <c r="C3877" s="1" t="n">
        <v>45914</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57222-2022</t>
        </is>
      </c>
      <c r="B3878" s="1" t="n">
        <v>44895.66276620371</v>
      </c>
      <c r="C3878" s="1" t="n">
        <v>45914</v>
      </c>
      <c r="D3878" t="inlineStr">
        <is>
          <t>SKÅNE LÄN</t>
        </is>
      </c>
      <c r="E3878" t="inlineStr">
        <is>
          <t>OSBY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12503-2022</t>
        </is>
      </c>
      <c r="B3879" s="1" t="n">
        <v>44638</v>
      </c>
      <c r="C3879" s="1" t="n">
        <v>45914</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47856-2024</t>
        </is>
      </c>
      <c r="B3880" s="1" t="n">
        <v>45588.6680324074</v>
      </c>
      <c r="C3880" s="1" t="n">
        <v>45914</v>
      </c>
      <c r="D3880" t="inlineStr">
        <is>
          <t>SKÅNE LÄN</t>
        </is>
      </c>
      <c r="E3880" t="inlineStr">
        <is>
          <t>KLIPPAN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40423-2024</t>
        </is>
      </c>
      <c r="B3881" s="1" t="n">
        <v>45555</v>
      </c>
      <c r="C3881" s="1" t="n">
        <v>45914</v>
      </c>
      <c r="D3881" t="inlineStr">
        <is>
          <t>SKÅNE LÄN</t>
        </is>
      </c>
      <c r="E3881" t="inlineStr">
        <is>
          <t>KRISTIANSTAD</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7059-2025</t>
        </is>
      </c>
      <c r="B3882" s="1" t="n">
        <v>45701.65484953704</v>
      </c>
      <c r="C3882" s="1" t="n">
        <v>45914</v>
      </c>
      <c r="D3882" t="inlineStr">
        <is>
          <t>SKÅNE LÄN</t>
        </is>
      </c>
      <c r="E3882" t="inlineStr">
        <is>
          <t>SJÖBO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15158-2025</t>
        </is>
      </c>
      <c r="B3883" s="1" t="n">
        <v>45744</v>
      </c>
      <c r="C3883" s="1" t="n">
        <v>45914</v>
      </c>
      <c r="D3883" t="inlineStr">
        <is>
          <t>SKÅNE LÄN</t>
        </is>
      </c>
      <c r="E3883" t="inlineStr">
        <is>
          <t>TOMELILLA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6103-2021</t>
        </is>
      </c>
      <c r="B3884" s="1" t="n">
        <v>44232</v>
      </c>
      <c r="C3884" s="1" t="n">
        <v>45914</v>
      </c>
      <c r="D3884" t="inlineStr">
        <is>
          <t>SKÅNE LÄN</t>
        </is>
      </c>
      <c r="E3884" t="inlineStr">
        <is>
          <t>ÖSTRA GÖINGE</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53055-2021</t>
        </is>
      </c>
      <c r="B3885" s="1" t="n">
        <v>44467</v>
      </c>
      <c r="C3885" s="1" t="n">
        <v>45914</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53131-2021</t>
        </is>
      </c>
      <c r="B3886" s="1" t="n">
        <v>44468</v>
      </c>
      <c r="C3886" s="1" t="n">
        <v>45914</v>
      </c>
      <c r="D3886" t="inlineStr">
        <is>
          <t>SKÅNE LÄN</t>
        </is>
      </c>
      <c r="E3886" t="inlineStr">
        <is>
          <t>BÅSTAD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12988-2024</t>
        </is>
      </c>
      <c r="B3887" s="1" t="n">
        <v>45385.55417824074</v>
      </c>
      <c r="C3887" s="1" t="n">
        <v>45914</v>
      </c>
      <c r="D3887" t="inlineStr">
        <is>
          <t>SKÅNE LÄN</t>
        </is>
      </c>
      <c r="E3887" t="inlineStr">
        <is>
          <t>TOMELILLA</t>
        </is>
      </c>
      <c r="F3887" t="inlineStr">
        <is>
          <t>Övriga Aktiebolag</t>
        </is>
      </c>
      <c r="G3887" t="n">
        <v>16.2</v>
      </c>
      <c r="H3887" t="n">
        <v>0</v>
      </c>
      <c r="I3887" t="n">
        <v>0</v>
      </c>
      <c r="J3887" t="n">
        <v>0</v>
      </c>
      <c r="K3887" t="n">
        <v>0</v>
      </c>
      <c r="L3887" t="n">
        <v>0</v>
      </c>
      <c r="M3887" t="n">
        <v>0</v>
      </c>
      <c r="N3887" t="n">
        <v>0</v>
      </c>
      <c r="O3887" t="n">
        <v>0</v>
      </c>
      <c r="P3887" t="n">
        <v>0</v>
      </c>
      <c r="Q3887" t="n">
        <v>0</v>
      </c>
      <c r="R3887" s="2" t="inlineStr"/>
    </row>
    <row r="3888" ht="15" customHeight="1">
      <c r="A3888" t="inlineStr">
        <is>
          <t>A 21572-2023</t>
        </is>
      </c>
      <c r="B3888" s="1" t="n">
        <v>45063</v>
      </c>
      <c r="C3888" s="1" t="n">
        <v>45914</v>
      </c>
      <c r="D3888" t="inlineStr">
        <is>
          <t>SKÅNE LÄN</t>
        </is>
      </c>
      <c r="E3888" t="inlineStr">
        <is>
          <t>BÅSTAD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23950-2023</t>
        </is>
      </c>
      <c r="B3889" s="1" t="n">
        <v>45078.61771990741</v>
      </c>
      <c r="C3889" s="1" t="n">
        <v>45914</v>
      </c>
      <c r="D3889" t="inlineStr">
        <is>
          <t>SKÅNE LÄN</t>
        </is>
      </c>
      <c r="E3889" t="inlineStr">
        <is>
          <t>HÄSSLEHOLM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23952-2023</t>
        </is>
      </c>
      <c r="B3890" s="1" t="n">
        <v>45078.62064814815</v>
      </c>
      <c r="C3890" s="1" t="n">
        <v>45914</v>
      </c>
      <c r="D3890" t="inlineStr">
        <is>
          <t>SKÅNE LÄN</t>
        </is>
      </c>
      <c r="E3890" t="inlineStr">
        <is>
          <t>HÄSSLEHOLM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26764-2023</t>
        </is>
      </c>
      <c r="B3891" s="1" t="n">
        <v>45093</v>
      </c>
      <c r="C3891" s="1" t="n">
        <v>45914</v>
      </c>
      <c r="D3891" t="inlineStr">
        <is>
          <t>SKÅNE LÄN</t>
        </is>
      </c>
      <c r="E3891" t="inlineStr">
        <is>
          <t>HÖÖR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30087-2023</t>
        </is>
      </c>
      <c r="B3892" s="1" t="n">
        <v>45110</v>
      </c>
      <c r="C3892" s="1" t="n">
        <v>45914</v>
      </c>
      <c r="D3892" t="inlineStr">
        <is>
          <t>SKÅNE LÄN</t>
        </is>
      </c>
      <c r="E3892" t="inlineStr">
        <is>
          <t>HÖÖR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30101-2023</t>
        </is>
      </c>
      <c r="B3893" s="1" t="n">
        <v>45110.45901620371</v>
      </c>
      <c r="C3893" s="1" t="n">
        <v>45914</v>
      </c>
      <c r="D3893" t="inlineStr">
        <is>
          <t>SKÅNE LÄN</t>
        </is>
      </c>
      <c r="E3893" t="inlineStr">
        <is>
          <t>BROMÖLLA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28247-2023</t>
        </is>
      </c>
      <c r="B3894" s="1" t="n">
        <v>45099</v>
      </c>
      <c r="C3894" s="1" t="n">
        <v>45914</v>
      </c>
      <c r="D3894" t="inlineStr">
        <is>
          <t>SKÅNE LÄN</t>
        </is>
      </c>
      <c r="E3894" t="inlineStr">
        <is>
          <t>KLIPPAN</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58137-2022</t>
        </is>
      </c>
      <c r="B3895" s="1" t="n">
        <v>44900.69418981481</v>
      </c>
      <c r="C3895" s="1" t="n">
        <v>45914</v>
      </c>
      <c r="D3895" t="inlineStr">
        <is>
          <t>SKÅNE LÄN</t>
        </is>
      </c>
      <c r="E3895" t="inlineStr">
        <is>
          <t>ÄNGELHOLM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18121-2025</t>
        </is>
      </c>
      <c r="B3896" s="1" t="n">
        <v>45761</v>
      </c>
      <c r="C3896" s="1" t="n">
        <v>45914</v>
      </c>
      <c r="D3896" t="inlineStr">
        <is>
          <t>SKÅNE LÄN</t>
        </is>
      </c>
      <c r="E3896" t="inlineStr">
        <is>
          <t>SVALÖV</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69384-2021</t>
        </is>
      </c>
      <c r="B3897" s="1" t="n">
        <v>44531</v>
      </c>
      <c r="C3897" s="1" t="n">
        <v>45914</v>
      </c>
      <c r="D3897" t="inlineStr">
        <is>
          <t>SKÅNE LÄN</t>
        </is>
      </c>
      <c r="E3897" t="inlineStr">
        <is>
          <t>ÖSTRA GÖINGE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2090-2023</t>
        </is>
      </c>
      <c r="B3898" s="1" t="n">
        <v>44939</v>
      </c>
      <c r="C3898" s="1" t="n">
        <v>45914</v>
      </c>
      <c r="D3898" t="inlineStr">
        <is>
          <t>SKÅNE LÄN</t>
        </is>
      </c>
      <c r="E3898" t="inlineStr">
        <is>
          <t>ÖRKELLJUNGA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13562-2025</t>
        </is>
      </c>
      <c r="B3899" s="1" t="n">
        <v>45736.56064814814</v>
      </c>
      <c r="C3899" s="1" t="n">
        <v>45914</v>
      </c>
      <c r="D3899" t="inlineStr">
        <is>
          <t>SKÅNE LÄN</t>
        </is>
      </c>
      <c r="E3899" t="inlineStr">
        <is>
          <t>KRISTIANSTAD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16331-2025</t>
        </is>
      </c>
      <c r="B3900" s="1" t="n">
        <v>45751.36126157407</v>
      </c>
      <c r="C3900" s="1" t="n">
        <v>45914</v>
      </c>
      <c r="D3900" t="inlineStr">
        <is>
          <t>SKÅNE LÄN</t>
        </is>
      </c>
      <c r="E3900" t="inlineStr">
        <is>
          <t>PERSTORP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38857-2025</t>
        </is>
      </c>
      <c r="B3901" s="1" t="n">
        <v>45887.55858796297</v>
      </c>
      <c r="C3901" s="1" t="n">
        <v>45914</v>
      </c>
      <c r="D3901" t="inlineStr">
        <is>
          <t>SKÅNE LÄN</t>
        </is>
      </c>
      <c r="E3901" t="inlineStr">
        <is>
          <t>ÖRKELLJUNGA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38779-2025</t>
        </is>
      </c>
      <c r="B3902" s="1" t="n">
        <v>45887.4405787037</v>
      </c>
      <c r="C3902" s="1" t="n">
        <v>45914</v>
      </c>
      <c r="D3902" t="inlineStr">
        <is>
          <t>SKÅNE LÄN</t>
        </is>
      </c>
      <c r="E3902" t="inlineStr">
        <is>
          <t>KRISTIANSTAD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38781-2025</t>
        </is>
      </c>
      <c r="B3903" s="1" t="n">
        <v>45887.44121527778</v>
      </c>
      <c r="C3903" s="1" t="n">
        <v>45914</v>
      </c>
      <c r="D3903" t="inlineStr">
        <is>
          <t>SKÅNE LÄN</t>
        </is>
      </c>
      <c r="E3903" t="inlineStr">
        <is>
          <t>KRISTIANSTAD</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34043-2025</t>
        </is>
      </c>
      <c r="B3904" s="1" t="n">
        <v>45845.37958333334</v>
      </c>
      <c r="C3904" s="1" t="n">
        <v>45914</v>
      </c>
      <c r="D3904" t="inlineStr">
        <is>
          <t>SKÅNE LÄN</t>
        </is>
      </c>
      <c r="E3904" t="inlineStr">
        <is>
          <t>ÖSTRA GÖINGE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34223-2025</t>
        </is>
      </c>
      <c r="B3905" s="1" t="n">
        <v>45844</v>
      </c>
      <c r="C3905" s="1" t="n">
        <v>45914</v>
      </c>
      <c r="D3905" t="inlineStr">
        <is>
          <t>SKÅNE LÄN</t>
        </is>
      </c>
      <c r="E3905" t="inlineStr">
        <is>
          <t>OSBY</t>
        </is>
      </c>
      <c r="F3905" t="inlineStr">
        <is>
          <t>Naturvårdsverket</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34238-2025</t>
        </is>
      </c>
      <c r="B3906" s="1" t="n">
        <v>45844</v>
      </c>
      <c r="C3906" s="1" t="n">
        <v>45914</v>
      </c>
      <c r="D3906" t="inlineStr">
        <is>
          <t>SKÅNE LÄN</t>
        </is>
      </c>
      <c r="E3906" t="inlineStr">
        <is>
          <t>OSBY</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2144-2023</t>
        </is>
      </c>
      <c r="B3907" s="1" t="n">
        <v>44940.79054398148</v>
      </c>
      <c r="C3907" s="1" t="n">
        <v>45914</v>
      </c>
      <c r="D3907" t="inlineStr">
        <is>
          <t>SKÅNE LÄN</t>
        </is>
      </c>
      <c r="E3907" t="inlineStr">
        <is>
          <t>HÄSSLEHOLM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60780-2022</t>
        </is>
      </c>
      <c r="B3908" s="1" t="n">
        <v>44914.38637731481</v>
      </c>
      <c r="C3908" s="1" t="n">
        <v>45914</v>
      </c>
      <c r="D3908" t="inlineStr">
        <is>
          <t>SKÅNE LÄN</t>
        </is>
      </c>
      <c r="E3908" t="inlineStr">
        <is>
          <t>ÖSTRA GÖINGE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38772-2025</t>
        </is>
      </c>
      <c r="B3909" s="1" t="n">
        <v>45887.42040509259</v>
      </c>
      <c r="C3909" s="1" t="n">
        <v>45914</v>
      </c>
      <c r="D3909" t="inlineStr">
        <is>
          <t>SKÅNE LÄN</t>
        </is>
      </c>
      <c r="E3909" t="inlineStr">
        <is>
          <t>ÖRKELLJUNGA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66526-2021</t>
        </is>
      </c>
      <c r="B3910" s="1" t="n">
        <v>44519.36761574074</v>
      </c>
      <c r="C3910" s="1" t="n">
        <v>45914</v>
      </c>
      <c r="D3910" t="inlineStr">
        <is>
          <t>SKÅNE LÄN</t>
        </is>
      </c>
      <c r="E3910" t="inlineStr">
        <is>
          <t>ÖSTRA GÖINGE</t>
        </is>
      </c>
      <c r="G3910" t="n">
        <v>0</v>
      </c>
      <c r="H3910" t="n">
        <v>0</v>
      </c>
      <c r="I3910" t="n">
        <v>0</v>
      </c>
      <c r="J3910" t="n">
        <v>0</v>
      </c>
      <c r="K3910" t="n">
        <v>0</v>
      </c>
      <c r="L3910" t="n">
        <v>0</v>
      </c>
      <c r="M3910" t="n">
        <v>0</v>
      </c>
      <c r="N3910" t="n">
        <v>0</v>
      </c>
      <c r="O3910" t="n">
        <v>0</v>
      </c>
      <c r="P3910" t="n">
        <v>0</v>
      </c>
      <c r="Q3910" t="n">
        <v>0</v>
      </c>
      <c r="R3910" s="2" t="inlineStr"/>
    </row>
    <row r="3911" ht="15" customHeight="1">
      <c r="A3911" t="inlineStr">
        <is>
          <t>A 34173-2025</t>
        </is>
      </c>
      <c r="B3911" s="1" t="n">
        <v>45845.5909837963</v>
      </c>
      <c r="C3911" s="1" t="n">
        <v>45914</v>
      </c>
      <c r="D3911" t="inlineStr">
        <is>
          <t>SKÅNE LÄN</t>
        </is>
      </c>
      <c r="E3911" t="inlineStr">
        <is>
          <t>SJÖBO</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45914</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15277-2024</t>
        </is>
      </c>
      <c r="B3913" s="1" t="n">
        <v>45400</v>
      </c>
      <c r="C3913" s="1" t="n">
        <v>45914</v>
      </c>
      <c r="D3913" t="inlineStr">
        <is>
          <t>SKÅNE LÄN</t>
        </is>
      </c>
      <c r="E3913" t="inlineStr">
        <is>
          <t>SVEDALA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34131-2025</t>
        </is>
      </c>
      <c r="B3914" s="1" t="n">
        <v>45845.53181712963</v>
      </c>
      <c r="C3914" s="1" t="n">
        <v>45914</v>
      </c>
      <c r="D3914" t="inlineStr">
        <is>
          <t>SKÅNE LÄN</t>
        </is>
      </c>
      <c r="E3914" t="inlineStr">
        <is>
          <t>KRISTIANSTAD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12965-2024</t>
        </is>
      </c>
      <c r="B3915" s="1" t="n">
        <v>45385</v>
      </c>
      <c r="C3915" s="1" t="n">
        <v>45914</v>
      </c>
      <c r="D3915" t="inlineStr">
        <is>
          <t>SKÅNE LÄN</t>
        </is>
      </c>
      <c r="E3915" t="inlineStr">
        <is>
          <t>SJÖBO</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3000-2021</t>
        </is>
      </c>
      <c r="B3916" s="1" t="n">
        <v>44216</v>
      </c>
      <c r="C3916" s="1" t="n">
        <v>45914</v>
      </c>
      <c r="D3916" t="inlineStr">
        <is>
          <t>SKÅNE LÄN</t>
        </is>
      </c>
      <c r="E3916" t="inlineStr">
        <is>
          <t>ÖRKELLJUNGA</t>
        </is>
      </c>
      <c r="F3916" t="inlineStr">
        <is>
          <t>Kyrkan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65863-2020</t>
        </is>
      </c>
      <c r="B3917" s="1" t="n">
        <v>44173</v>
      </c>
      <c r="C3917" s="1" t="n">
        <v>45914</v>
      </c>
      <c r="D3917" t="inlineStr">
        <is>
          <t>SKÅNE LÄN</t>
        </is>
      </c>
      <c r="E3917" t="inlineStr">
        <is>
          <t>SVALÖV</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38879-2025</t>
        </is>
      </c>
      <c r="B3918" s="1" t="n">
        <v>45887.5771875</v>
      </c>
      <c r="C3918" s="1" t="n">
        <v>45914</v>
      </c>
      <c r="D3918" t="inlineStr">
        <is>
          <t>SKÅNE LÄN</t>
        </is>
      </c>
      <c r="E3918" t="inlineStr">
        <is>
          <t>ÖRKELLJUNGA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34177-2025</t>
        </is>
      </c>
      <c r="B3919" s="1" t="n">
        <v>45844</v>
      </c>
      <c r="C3919" s="1" t="n">
        <v>45914</v>
      </c>
      <c r="D3919" t="inlineStr">
        <is>
          <t>SKÅNE LÄN</t>
        </is>
      </c>
      <c r="E3919" t="inlineStr">
        <is>
          <t>HÄSSLEHOLM</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38893-2025</t>
        </is>
      </c>
      <c r="B3920" s="1" t="n">
        <v>45887.58900462963</v>
      </c>
      <c r="C3920" s="1" t="n">
        <v>45914</v>
      </c>
      <c r="D3920" t="inlineStr">
        <is>
          <t>SKÅNE LÄN</t>
        </is>
      </c>
      <c r="E3920" t="inlineStr">
        <is>
          <t>ÖRKELLJUNGA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7802-2025</t>
        </is>
      </c>
      <c r="B3921" s="1" t="n">
        <v>45706</v>
      </c>
      <c r="C3921" s="1" t="n">
        <v>45914</v>
      </c>
      <c r="D3921" t="inlineStr">
        <is>
          <t>SKÅNE LÄN</t>
        </is>
      </c>
      <c r="E3921" t="inlineStr">
        <is>
          <t>KRISTIANSTAD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61680-2022</t>
        </is>
      </c>
      <c r="B3922" s="1" t="n">
        <v>44917.36372685185</v>
      </c>
      <c r="C3922" s="1" t="n">
        <v>45914</v>
      </c>
      <c r="D3922" t="inlineStr">
        <is>
          <t>SKÅNE LÄN</t>
        </is>
      </c>
      <c r="E3922" t="inlineStr">
        <is>
          <t>HÄSSLEHOLM</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12111-2025</t>
        </is>
      </c>
      <c r="B3923" s="1" t="n">
        <v>45729.35930555555</v>
      </c>
      <c r="C3923" s="1" t="n">
        <v>45914</v>
      </c>
      <c r="D3923" t="inlineStr">
        <is>
          <t>SKÅNE LÄN</t>
        </is>
      </c>
      <c r="E3923" t="inlineStr">
        <is>
          <t>HÖÖR</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13662-2025</t>
        </is>
      </c>
      <c r="B3924" s="1" t="n">
        <v>45736.77020833334</v>
      </c>
      <c r="C3924" s="1" t="n">
        <v>45914</v>
      </c>
      <c r="D3924" t="inlineStr">
        <is>
          <t>SKÅNE LÄN</t>
        </is>
      </c>
      <c r="E3924" t="inlineStr">
        <is>
          <t>ÄNGELHOLM</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13664-2025</t>
        </is>
      </c>
      <c r="B3925" s="1" t="n">
        <v>45736.79643518518</v>
      </c>
      <c r="C3925" s="1" t="n">
        <v>45914</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28269-2025</t>
        </is>
      </c>
      <c r="B3926" s="1" t="n">
        <v>45818</v>
      </c>
      <c r="C3926" s="1" t="n">
        <v>45914</v>
      </c>
      <c r="D3926" t="inlineStr">
        <is>
          <t>SKÅNE LÄN</t>
        </is>
      </c>
      <c r="E3926" t="inlineStr">
        <is>
          <t>SIMRISHAMN</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34053-2025</t>
        </is>
      </c>
      <c r="B3927" s="1" t="n">
        <v>45845.40922453703</v>
      </c>
      <c r="C3927" s="1" t="n">
        <v>45914</v>
      </c>
      <c r="D3927" t="inlineStr">
        <is>
          <t>SKÅNE LÄN</t>
        </is>
      </c>
      <c r="E3927" t="inlineStr">
        <is>
          <t>OSBY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34115-2025</t>
        </is>
      </c>
      <c r="B3928" s="1" t="n">
        <v>45845.50957175926</v>
      </c>
      <c r="C3928" s="1" t="n">
        <v>45914</v>
      </c>
      <c r="D3928" t="inlineStr">
        <is>
          <t>SKÅNE LÄN</t>
        </is>
      </c>
      <c r="E3928" t="inlineStr">
        <is>
          <t>SJÖBO</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2621-2022</t>
        </is>
      </c>
      <c r="B3929" s="1" t="n">
        <v>44580</v>
      </c>
      <c r="C3929" s="1" t="n">
        <v>45914</v>
      </c>
      <c r="D3929" t="inlineStr">
        <is>
          <t>SKÅNE LÄN</t>
        </is>
      </c>
      <c r="E3929" t="inlineStr">
        <is>
          <t>OSBY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16550-2025</t>
        </is>
      </c>
      <c r="B3930" s="1" t="n">
        <v>45751.69412037037</v>
      </c>
      <c r="C3930" s="1" t="n">
        <v>45914</v>
      </c>
      <c r="D3930" t="inlineStr">
        <is>
          <t>SKÅNE LÄN</t>
        </is>
      </c>
      <c r="E3930" t="inlineStr">
        <is>
          <t>HÄSSLEHOLM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18369-2025</t>
        </is>
      </c>
      <c r="B3931" s="1" t="n">
        <v>45762</v>
      </c>
      <c r="C3931" s="1" t="n">
        <v>45914</v>
      </c>
      <c r="D3931" t="inlineStr">
        <is>
          <t>SKÅNE LÄN</t>
        </is>
      </c>
      <c r="E3931" t="inlineStr">
        <is>
          <t>HÖRBY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16285-2025</t>
        </is>
      </c>
      <c r="B3932" s="1" t="n">
        <v>45751.30045138889</v>
      </c>
      <c r="C3932" s="1" t="n">
        <v>45914</v>
      </c>
      <c r="D3932" t="inlineStr">
        <is>
          <t>SKÅNE LÄN</t>
        </is>
      </c>
      <c r="E3932" t="inlineStr">
        <is>
          <t>HÄSSLEHOLM</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30601-2024</t>
        </is>
      </c>
      <c r="B3933" s="1" t="n">
        <v>45493.90299768518</v>
      </c>
      <c r="C3933" s="1" t="n">
        <v>45914</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30136-2022</t>
        </is>
      </c>
      <c r="B3934" s="1" t="n">
        <v>44757.46511574074</v>
      </c>
      <c r="C3934" s="1" t="n">
        <v>45914</v>
      </c>
      <c r="D3934" t="inlineStr">
        <is>
          <t>SKÅNE LÄN</t>
        </is>
      </c>
      <c r="E3934" t="inlineStr">
        <is>
          <t>ÖRKELLJUNGA</t>
        </is>
      </c>
      <c r="F3934" t="inlineStr">
        <is>
          <t>Kyrkan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5780-2024</t>
        </is>
      </c>
      <c r="B3935" s="1" t="n">
        <v>45335.41983796296</v>
      </c>
      <c r="C3935" s="1" t="n">
        <v>45914</v>
      </c>
      <c r="D3935" t="inlineStr">
        <is>
          <t>SKÅNE LÄN</t>
        </is>
      </c>
      <c r="E3935" t="inlineStr">
        <is>
          <t>HÄSSLEHOLM</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36706-2022</t>
        </is>
      </c>
      <c r="B3936" s="1" t="n">
        <v>44805.32891203704</v>
      </c>
      <c r="C3936" s="1" t="n">
        <v>45914</v>
      </c>
      <c r="D3936" t="inlineStr">
        <is>
          <t>SKÅNE LÄN</t>
        </is>
      </c>
      <c r="E3936" t="inlineStr">
        <is>
          <t>HÄSSLEHOLM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34227-2025</t>
        </is>
      </c>
      <c r="B3937" s="1" t="n">
        <v>45844</v>
      </c>
      <c r="C3937" s="1" t="n">
        <v>45914</v>
      </c>
      <c r="D3937" t="inlineStr">
        <is>
          <t>SKÅNE LÄN</t>
        </is>
      </c>
      <c r="E3937" t="inlineStr">
        <is>
          <t>OSBY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34197-2025</t>
        </is>
      </c>
      <c r="B3938" s="1" t="n">
        <v>45844</v>
      </c>
      <c r="C3938" s="1" t="n">
        <v>45914</v>
      </c>
      <c r="D3938" t="inlineStr">
        <is>
          <t>SKÅNE LÄN</t>
        </is>
      </c>
      <c r="E3938" t="inlineStr">
        <is>
          <t>OSBY</t>
        </is>
      </c>
      <c r="F3938" t="inlineStr">
        <is>
          <t>Naturvårdsverket</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22678-2025</t>
        </is>
      </c>
      <c r="B3939" s="1" t="n">
        <v>45789.49725694444</v>
      </c>
      <c r="C3939" s="1" t="n">
        <v>45914</v>
      </c>
      <c r="D3939" t="inlineStr">
        <is>
          <t>SKÅNE LÄN</t>
        </is>
      </c>
      <c r="E3939" t="inlineStr">
        <is>
          <t>HÄSSLEHOLM</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34040-2025</t>
        </is>
      </c>
      <c r="B3940" s="1" t="n">
        <v>45845.37525462963</v>
      </c>
      <c r="C3940" s="1" t="n">
        <v>45914</v>
      </c>
      <c r="D3940" t="inlineStr">
        <is>
          <t>SKÅNE LÄN</t>
        </is>
      </c>
      <c r="E3940" t="inlineStr">
        <is>
          <t>ÖSTRA GÖINGE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34049-2025</t>
        </is>
      </c>
      <c r="B3941" s="1" t="n">
        <v>45845.39140046296</v>
      </c>
      <c r="C3941" s="1" t="n">
        <v>45914</v>
      </c>
      <c r="D3941" t="inlineStr">
        <is>
          <t>SKÅNE LÄN</t>
        </is>
      </c>
      <c r="E3941" t="inlineStr">
        <is>
          <t>OSBY</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34109-2025</t>
        </is>
      </c>
      <c r="B3942" s="1" t="n">
        <v>45845.49778935185</v>
      </c>
      <c r="C3942" s="1" t="n">
        <v>45914</v>
      </c>
      <c r="D3942" t="inlineStr">
        <is>
          <t>SKÅNE LÄN</t>
        </is>
      </c>
      <c r="E3942" t="inlineStr">
        <is>
          <t>HÖÖR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34217-2025</t>
        </is>
      </c>
      <c r="B3943" s="1" t="n">
        <v>45844</v>
      </c>
      <c r="C3943" s="1" t="n">
        <v>45914</v>
      </c>
      <c r="D3943" t="inlineStr">
        <is>
          <t>SKÅNE LÄN</t>
        </is>
      </c>
      <c r="E3943" t="inlineStr">
        <is>
          <t>OSBY</t>
        </is>
      </c>
      <c r="F3943" t="inlineStr">
        <is>
          <t>Naturvårdsverket</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32958-2023</t>
        </is>
      </c>
      <c r="B3944" s="1" t="n">
        <v>45125.52142361111</v>
      </c>
      <c r="C3944" s="1" t="n">
        <v>45914</v>
      </c>
      <c r="D3944" t="inlineStr">
        <is>
          <t>SKÅNE LÄN</t>
        </is>
      </c>
      <c r="E3944" t="inlineStr">
        <is>
          <t>HÄSSLEHOLM</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32596-2024</t>
        </is>
      </c>
      <c r="B3945" s="1" t="n">
        <v>45513.61667824074</v>
      </c>
      <c r="C3945" s="1" t="n">
        <v>45914</v>
      </c>
      <c r="D3945" t="inlineStr">
        <is>
          <t>SKÅNE LÄN</t>
        </is>
      </c>
      <c r="E3945" t="inlineStr">
        <is>
          <t>YSTAD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11880-2024</t>
        </is>
      </c>
      <c r="B3946" s="1" t="n">
        <v>45376.48771990741</v>
      </c>
      <c r="C3946" s="1" t="n">
        <v>45914</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38684-2025</t>
        </is>
      </c>
      <c r="B3947" s="1" t="n">
        <v>45884.65519675926</v>
      </c>
      <c r="C3947" s="1" t="n">
        <v>45914</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42748-2022</t>
        </is>
      </c>
      <c r="B3948" s="1" t="n">
        <v>44831</v>
      </c>
      <c r="C3948" s="1" t="n">
        <v>45914</v>
      </c>
      <c r="D3948" t="inlineStr">
        <is>
          <t>SKÅNE LÄN</t>
        </is>
      </c>
      <c r="E3948" t="inlineStr">
        <is>
          <t>BROMÖLLA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41547-2022</t>
        </is>
      </c>
      <c r="B3949" s="1" t="n">
        <v>44826</v>
      </c>
      <c r="C3949" s="1" t="n">
        <v>45914</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6791-2021</t>
        </is>
      </c>
      <c r="B3950" s="1" t="n">
        <v>44236</v>
      </c>
      <c r="C3950" s="1" t="n">
        <v>45914</v>
      </c>
      <c r="D3950" t="inlineStr">
        <is>
          <t>SKÅNE LÄN</t>
        </is>
      </c>
      <c r="E3950" t="inlineStr">
        <is>
          <t>HÄSSLEHOLM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6719-2024</t>
        </is>
      </c>
      <c r="B3951" s="1" t="n">
        <v>45342.37055555556</v>
      </c>
      <c r="C3951" s="1" t="n">
        <v>45914</v>
      </c>
      <c r="D3951" t="inlineStr">
        <is>
          <t>SKÅNE LÄN</t>
        </is>
      </c>
      <c r="E3951" t="inlineStr">
        <is>
          <t>KRISTIANSTAD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15897-2025</t>
        </is>
      </c>
      <c r="B3952" s="1" t="n">
        <v>45749.41598379629</v>
      </c>
      <c r="C3952" s="1" t="n">
        <v>45914</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15917-2025</t>
        </is>
      </c>
      <c r="B3953" s="1" t="n">
        <v>45749.45480324074</v>
      </c>
      <c r="C3953" s="1" t="n">
        <v>45914</v>
      </c>
      <c r="D3953" t="inlineStr">
        <is>
          <t>SKÅNE LÄN</t>
        </is>
      </c>
      <c r="E3953" t="inlineStr">
        <is>
          <t>TOMELILLA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38848-2025</t>
        </is>
      </c>
      <c r="B3954" s="1" t="n">
        <v>45887</v>
      </c>
      <c r="C3954" s="1" t="n">
        <v>45914</v>
      </c>
      <c r="D3954" t="inlineStr">
        <is>
          <t>SKÅNE LÄN</t>
        </is>
      </c>
      <c r="E3954" t="inlineStr">
        <is>
          <t>ÄNGELHOLM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38856-2025</t>
        </is>
      </c>
      <c r="B3955" s="1" t="n">
        <v>45887</v>
      </c>
      <c r="C3955" s="1" t="n">
        <v>45914</v>
      </c>
      <c r="D3955" t="inlineStr">
        <is>
          <t>SKÅNE LÄN</t>
        </is>
      </c>
      <c r="E3955" t="inlineStr">
        <is>
          <t>ÄNGELHOLM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34157-2025</t>
        </is>
      </c>
      <c r="B3956" s="1" t="n">
        <v>45845.5739699074</v>
      </c>
      <c r="C3956" s="1" t="n">
        <v>45914</v>
      </c>
      <c r="D3956" t="inlineStr">
        <is>
          <t>SKÅNE LÄN</t>
        </is>
      </c>
      <c r="E3956" t="inlineStr">
        <is>
          <t>SJÖBO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13975-2025</t>
        </is>
      </c>
      <c r="B3957" s="1" t="n">
        <v>45738</v>
      </c>
      <c r="C3957" s="1" t="n">
        <v>45914</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13976-2025</t>
        </is>
      </c>
      <c r="B3958" s="1" t="n">
        <v>45738.68306712963</v>
      </c>
      <c r="C3958" s="1" t="n">
        <v>45914</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34180-2025</t>
        </is>
      </c>
      <c r="B3959" s="1" t="n">
        <v>45844</v>
      </c>
      <c r="C3959" s="1" t="n">
        <v>45914</v>
      </c>
      <c r="D3959" t="inlineStr">
        <is>
          <t>SKÅNE LÄN</t>
        </is>
      </c>
      <c r="E3959" t="inlineStr">
        <is>
          <t>OSBY</t>
        </is>
      </c>
      <c r="F3959" t="inlineStr">
        <is>
          <t>Naturvårdsverket</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52495-2024</t>
        </is>
      </c>
      <c r="B3960" s="1" t="n">
        <v>45609.57256944444</v>
      </c>
      <c r="C3960" s="1" t="n">
        <v>45914</v>
      </c>
      <c r="D3960" t="inlineStr">
        <is>
          <t>SKÅNE LÄN</t>
        </is>
      </c>
      <c r="E3960" t="inlineStr">
        <is>
          <t>KRISTIANSTAD</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35996-2025</t>
        </is>
      </c>
      <c r="B3961" s="1" t="n">
        <v>45863</v>
      </c>
      <c r="C3961" s="1" t="n">
        <v>45914</v>
      </c>
      <c r="D3961" t="inlineStr">
        <is>
          <t>SKÅNE LÄN</t>
        </is>
      </c>
      <c r="E3961" t="inlineStr">
        <is>
          <t>ESLÖV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9651-2024</t>
        </is>
      </c>
      <c r="B3962" s="1" t="n">
        <v>45360</v>
      </c>
      <c r="C3962" s="1" t="n">
        <v>45914</v>
      </c>
      <c r="D3962" t="inlineStr">
        <is>
          <t>SKÅNE LÄN</t>
        </is>
      </c>
      <c r="E3962" t="inlineStr">
        <is>
          <t>OSBY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38846-2024</t>
        </is>
      </c>
      <c r="B3963" s="1" t="n">
        <v>45547.60444444444</v>
      </c>
      <c r="C3963" s="1" t="n">
        <v>45914</v>
      </c>
      <c r="D3963" t="inlineStr">
        <is>
          <t>SKÅNE LÄN</t>
        </is>
      </c>
      <c r="E3963" t="inlineStr">
        <is>
          <t>SIMRISHAMN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34047-2025</t>
        </is>
      </c>
      <c r="B3964" s="1" t="n">
        <v>45845.38695601852</v>
      </c>
      <c r="C3964" s="1" t="n">
        <v>45914</v>
      </c>
      <c r="D3964" t="inlineStr">
        <is>
          <t>SKÅNE LÄN</t>
        </is>
      </c>
      <c r="E3964" t="inlineStr">
        <is>
          <t>OSBY</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441-2022</t>
        </is>
      </c>
      <c r="B3965" s="1" t="n">
        <v>44565.97125</v>
      </c>
      <c r="C3965" s="1" t="n">
        <v>45914</v>
      </c>
      <c r="D3965" t="inlineStr">
        <is>
          <t>SKÅNE LÄN</t>
        </is>
      </c>
      <c r="E3965" t="inlineStr">
        <is>
          <t>HÄSSLEHOLM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34377-2025</t>
        </is>
      </c>
      <c r="B3966" s="1" t="n">
        <v>45846.5358912037</v>
      </c>
      <c r="C3966" s="1" t="n">
        <v>45914</v>
      </c>
      <c r="D3966" t="inlineStr">
        <is>
          <t>SKÅNE LÄN</t>
        </is>
      </c>
      <c r="E3966" t="inlineStr">
        <is>
          <t>KRISTIANSTAD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28625-2023</t>
        </is>
      </c>
      <c r="B3967" s="1" t="n">
        <v>45103.60590277778</v>
      </c>
      <c r="C3967" s="1" t="n">
        <v>45914</v>
      </c>
      <c r="D3967" t="inlineStr">
        <is>
          <t>SKÅNE LÄN</t>
        </is>
      </c>
      <c r="E3967" t="inlineStr">
        <is>
          <t>HÖRBY</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61504-2022</t>
        </is>
      </c>
      <c r="B3968" s="1" t="n">
        <v>44910</v>
      </c>
      <c r="C3968" s="1" t="n">
        <v>45914</v>
      </c>
      <c r="D3968" t="inlineStr">
        <is>
          <t>SKÅNE LÄN</t>
        </is>
      </c>
      <c r="E3968" t="inlineStr">
        <is>
          <t>HÄSSLEHOLM</t>
        </is>
      </c>
      <c r="F3968" t="inlineStr">
        <is>
          <t>Kyrkan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19435-2024</t>
        </is>
      </c>
      <c r="B3969" s="1" t="n">
        <v>45429</v>
      </c>
      <c r="C3969" s="1" t="n">
        <v>45914</v>
      </c>
      <c r="D3969" t="inlineStr">
        <is>
          <t>SKÅNE LÄN</t>
        </is>
      </c>
      <c r="E3969" t="inlineStr">
        <is>
          <t>SIMRISHAMN</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19626-2021</t>
        </is>
      </c>
      <c r="B3970" s="1" t="n">
        <v>44309</v>
      </c>
      <c r="C3970" s="1" t="n">
        <v>45914</v>
      </c>
      <c r="D3970" t="inlineStr">
        <is>
          <t>SKÅNE LÄN</t>
        </is>
      </c>
      <c r="E3970" t="inlineStr">
        <is>
          <t>SVALÖV</t>
        </is>
      </c>
      <c r="G3970" t="n">
        <v>17.8</v>
      </c>
      <c r="H3970" t="n">
        <v>0</v>
      </c>
      <c r="I3970" t="n">
        <v>0</v>
      </c>
      <c r="J3970" t="n">
        <v>0</v>
      </c>
      <c r="K3970" t="n">
        <v>0</v>
      </c>
      <c r="L3970" t="n">
        <v>0</v>
      </c>
      <c r="M3970" t="n">
        <v>0</v>
      </c>
      <c r="N3970" t="n">
        <v>0</v>
      </c>
      <c r="O3970" t="n">
        <v>0</v>
      </c>
      <c r="P3970" t="n">
        <v>0</v>
      </c>
      <c r="Q3970" t="n">
        <v>0</v>
      </c>
      <c r="R3970" s="2" t="inlineStr"/>
    </row>
    <row r="3971" ht="15" customHeight="1">
      <c r="A3971" t="inlineStr">
        <is>
          <t>A 16783-2025</t>
        </is>
      </c>
      <c r="B3971" s="1" t="n">
        <v>45754</v>
      </c>
      <c r="C3971" s="1" t="n">
        <v>45914</v>
      </c>
      <c r="D3971" t="inlineStr">
        <is>
          <t>SKÅNE LÄN</t>
        </is>
      </c>
      <c r="E3971" t="inlineStr">
        <is>
          <t>KRISTIANSTAD</t>
        </is>
      </c>
      <c r="G3971" t="n">
        <v>20.2</v>
      </c>
      <c r="H3971" t="n">
        <v>0</v>
      </c>
      <c r="I3971" t="n">
        <v>0</v>
      </c>
      <c r="J3971" t="n">
        <v>0</v>
      </c>
      <c r="K3971" t="n">
        <v>0</v>
      </c>
      <c r="L3971" t="n">
        <v>0</v>
      </c>
      <c r="M3971" t="n">
        <v>0</v>
      </c>
      <c r="N3971" t="n">
        <v>0</v>
      </c>
      <c r="O3971" t="n">
        <v>0</v>
      </c>
      <c r="P3971" t="n">
        <v>0</v>
      </c>
      <c r="Q3971" t="n">
        <v>0</v>
      </c>
      <c r="R3971" s="2" t="inlineStr"/>
    </row>
    <row r="3972" ht="15" customHeight="1">
      <c r="A3972" t="inlineStr">
        <is>
          <t>A 17980-2025</t>
        </is>
      </c>
      <c r="B3972" s="1" t="n">
        <v>45761.36854166666</v>
      </c>
      <c r="C3972" s="1" t="n">
        <v>45914</v>
      </c>
      <c r="D3972" t="inlineStr">
        <is>
          <t>SKÅNE LÄN</t>
        </is>
      </c>
      <c r="E3972" t="inlineStr">
        <is>
          <t>SVALÖV</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29273-2023</t>
        </is>
      </c>
      <c r="B3973" s="1" t="n">
        <v>45105</v>
      </c>
      <c r="C3973" s="1" t="n">
        <v>45914</v>
      </c>
      <c r="D3973" t="inlineStr">
        <is>
          <t>SKÅNE LÄN</t>
        </is>
      </c>
      <c r="E3973" t="inlineStr">
        <is>
          <t>ÖSTRA GÖINGE</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29275-2023</t>
        </is>
      </c>
      <c r="B3974" s="1" t="n">
        <v>45105</v>
      </c>
      <c r="C3974" s="1" t="n">
        <v>45914</v>
      </c>
      <c r="D3974" t="inlineStr">
        <is>
          <t>SKÅNE LÄN</t>
        </is>
      </c>
      <c r="E3974" t="inlineStr">
        <is>
          <t>HÄSSLEHOLM</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29285-2023</t>
        </is>
      </c>
      <c r="B3975" s="1" t="n">
        <v>45105</v>
      </c>
      <c r="C3975" s="1" t="n">
        <v>45914</v>
      </c>
      <c r="D3975" t="inlineStr">
        <is>
          <t>SKÅNE LÄN</t>
        </is>
      </c>
      <c r="E3975" t="inlineStr">
        <is>
          <t>ÖSTRA GÖINGE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30725-2021</t>
        </is>
      </c>
      <c r="B3976" s="1" t="n">
        <v>44365.44506944445</v>
      </c>
      <c r="C3976" s="1" t="n">
        <v>45914</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39080-2025</t>
        </is>
      </c>
      <c r="B3977" s="1" t="n">
        <v>45888.48535879629</v>
      </c>
      <c r="C3977" s="1" t="n">
        <v>45914</v>
      </c>
      <c r="D3977" t="inlineStr">
        <is>
          <t>SKÅNE LÄN</t>
        </is>
      </c>
      <c r="E3977" t="inlineStr">
        <is>
          <t>PERSTORP</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11454-2023</t>
        </is>
      </c>
      <c r="B3978" s="1" t="n">
        <v>44993</v>
      </c>
      <c r="C3978" s="1" t="n">
        <v>45914</v>
      </c>
      <c r="D3978" t="inlineStr">
        <is>
          <t>SKÅNE LÄN</t>
        </is>
      </c>
      <c r="E3978" t="inlineStr">
        <is>
          <t>BROMÖLLA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61211-2020</t>
        </is>
      </c>
      <c r="B3979" s="1" t="n">
        <v>44155</v>
      </c>
      <c r="C3979" s="1" t="n">
        <v>45914</v>
      </c>
      <c r="D3979" t="inlineStr">
        <is>
          <t>SKÅNE LÄN</t>
        </is>
      </c>
      <c r="E3979" t="inlineStr">
        <is>
          <t>ÖRKELLJUNGA</t>
        </is>
      </c>
      <c r="F3979" t="inlineStr">
        <is>
          <t>Kyrkan</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34484-2025</t>
        </is>
      </c>
      <c r="B3980" s="1" t="n">
        <v>45847.39517361111</v>
      </c>
      <c r="C3980" s="1" t="n">
        <v>45914</v>
      </c>
      <c r="D3980" t="inlineStr">
        <is>
          <t>SKÅNE LÄN</t>
        </is>
      </c>
      <c r="E3980" t="inlineStr">
        <is>
          <t>LUND</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37052-2025</t>
        </is>
      </c>
      <c r="B3981" s="1" t="n">
        <v>45875</v>
      </c>
      <c r="C3981" s="1" t="n">
        <v>45914</v>
      </c>
      <c r="D3981" t="inlineStr">
        <is>
          <t>SKÅNE LÄN</t>
        </is>
      </c>
      <c r="E3981" t="inlineStr">
        <is>
          <t>SIMRISHAMN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11048-2025</t>
        </is>
      </c>
      <c r="B3982" s="1" t="n">
        <v>45723.49292824074</v>
      </c>
      <c r="C3982" s="1" t="n">
        <v>45914</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2755-2023</t>
        </is>
      </c>
      <c r="B3983" s="1" t="n">
        <v>44944</v>
      </c>
      <c r="C3983" s="1" t="n">
        <v>45914</v>
      </c>
      <c r="D3983" t="inlineStr">
        <is>
          <t>SKÅNE LÄN</t>
        </is>
      </c>
      <c r="E3983" t="inlineStr">
        <is>
          <t>KLIPPAN</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60498-2023</t>
        </is>
      </c>
      <c r="B3984" s="1" t="n">
        <v>45259</v>
      </c>
      <c r="C3984" s="1" t="n">
        <v>45914</v>
      </c>
      <c r="D3984" t="inlineStr">
        <is>
          <t>SKÅNE LÄN</t>
        </is>
      </c>
      <c r="E3984" t="inlineStr">
        <is>
          <t>PERSTORP</t>
        </is>
      </c>
      <c r="F3984" t="inlineStr">
        <is>
          <t>Övriga Aktiebolag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27502-2023</t>
        </is>
      </c>
      <c r="B3985" s="1" t="n">
        <v>45092</v>
      </c>
      <c r="C3985" s="1" t="n">
        <v>45914</v>
      </c>
      <c r="D3985" t="inlineStr">
        <is>
          <t>SKÅNE LÄN</t>
        </is>
      </c>
      <c r="E3985" t="inlineStr">
        <is>
          <t>HÄSSLEHOLM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25963-2023</t>
        </is>
      </c>
      <c r="B3986" s="1" t="n">
        <v>45090</v>
      </c>
      <c r="C3986" s="1" t="n">
        <v>45914</v>
      </c>
      <c r="D3986" t="inlineStr">
        <is>
          <t>SKÅNE LÄN</t>
        </is>
      </c>
      <c r="E3986" t="inlineStr">
        <is>
          <t>ÖRKELLJUNGA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6056-2023</t>
        </is>
      </c>
      <c r="B3987" s="1" t="n">
        <v>44964</v>
      </c>
      <c r="C3987" s="1" t="n">
        <v>45914</v>
      </c>
      <c r="D3987" t="inlineStr">
        <is>
          <t>SKÅNE LÄN</t>
        </is>
      </c>
      <c r="E3987" t="inlineStr">
        <is>
          <t>HÖRBY</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54473-2023</t>
        </is>
      </c>
      <c r="B3988" s="1" t="n">
        <v>45233</v>
      </c>
      <c r="C3988" s="1" t="n">
        <v>45914</v>
      </c>
      <c r="D3988" t="inlineStr">
        <is>
          <t>SKÅNE LÄN</t>
        </is>
      </c>
      <c r="E3988" t="inlineStr">
        <is>
          <t>HÄSSLEHOLM</t>
        </is>
      </c>
      <c r="G3988" t="n">
        <v>24.5</v>
      </c>
      <c r="H3988" t="n">
        <v>0</v>
      </c>
      <c r="I3988" t="n">
        <v>0</v>
      </c>
      <c r="J3988" t="n">
        <v>0</v>
      </c>
      <c r="K3988" t="n">
        <v>0</v>
      </c>
      <c r="L3988" t="n">
        <v>0</v>
      </c>
      <c r="M3988" t="n">
        <v>0</v>
      </c>
      <c r="N3988" t="n">
        <v>0</v>
      </c>
      <c r="O3988" t="n">
        <v>0</v>
      </c>
      <c r="P3988" t="n">
        <v>0</v>
      </c>
      <c r="Q3988" t="n">
        <v>0</v>
      </c>
      <c r="R3988" s="2" t="inlineStr"/>
    </row>
    <row r="3989" ht="15" customHeight="1">
      <c r="A3989" t="inlineStr">
        <is>
          <t>A 19282-2025</t>
        </is>
      </c>
      <c r="B3989" s="1" t="n">
        <v>45769</v>
      </c>
      <c r="C3989" s="1" t="n">
        <v>45914</v>
      </c>
      <c r="D3989" t="inlineStr">
        <is>
          <t>SKÅNE LÄN</t>
        </is>
      </c>
      <c r="E3989" t="inlineStr">
        <is>
          <t>SVALÖV</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34631-2025</t>
        </is>
      </c>
      <c r="B3990" s="1" t="n">
        <v>45848.26144675926</v>
      </c>
      <c r="C3990" s="1" t="n">
        <v>45914</v>
      </c>
      <c r="D3990" t="inlineStr">
        <is>
          <t>SKÅNE LÄN</t>
        </is>
      </c>
      <c r="E3990" t="inlineStr">
        <is>
          <t>ÖRKELLJUNGA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34632-2025</t>
        </is>
      </c>
      <c r="B3991" s="1" t="n">
        <v>45848.26725694445</v>
      </c>
      <c r="C3991" s="1" t="n">
        <v>45914</v>
      </c>
      <c r="D3991" t="inlineStr">
        <is>
          <t>SKÅNE LÄN</t>
        </is>
      </c>
      <c r="E3991" t="inlineStr">
        <is>
          <t>ÖRKELLJUNGA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55066-2020</t>
        </is>
      </c>
      <c r="B3992" s="1" t="n">
        <v>44127</v>
      </c>
      <c r="C3992" s="1" t="n">
        <v>45914</v>
      </c>
      <c r="D3992" t="inlineStr">
        <is>
          <t>SKÅNE LÄN</t>
        </is>
      </c>
      <c r="E3992" t="inlineStr">
        <is>
          <t>YSTAD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26641-2023</t>
        </is>
      </c>
      <c r="B3993" s="1" t="n">
        <v>45092.89619212963</v>
      </c>
      <c r="C3993" s="1" t="n">
        <v>45914</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3364-2023</t>
        </is>
      </c>
      <c r="B3994" s="1" t="n">
        <v>44949</v>
      </c>
      <c r="C3994" s="1" t="n">
        <v>45914</v>
      </c>
      <c r="D3994" t="inlineStr">
        <is>
          <t>SKÅNE LÄN</t>
        </is>
      </c>
      <c r="E3994" t="inlineStr">
        <is>
          <t>HÄSSLEHOLM</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14731-2021</t>
        </is>
      </c>
      <c r="B3995" s="1" t="n">
        <v>44280</v>
      </c>
      <c r="C3995" s="1" t="n">
        <v>45914</v>
      </c>
      <c r="D3995" t="inlineStr">
        <is>
          <t>SKÅNE LÄN</t>
        </is>
      </c>
      <c r="E3995" t="inlineStr">
        <is>
          <t>OSBY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37189-2025</t>
        </is>
      </c>
      <c r="B3996" s="1" t="n">
        <v>45875</v>
      </c>
      <c r="C3996" s="1" t="n">
        <v>45914</v>
      </c>
      <c r="D3996" t="inlineStr">
        <is>
          <t>SKÅNE LÄN</t>
        </is>
      </c>
      <c r="E3996" t="inlineStr">
        <is>
          <t>SIMRISHAMN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3289-2024</t>
        </is>
      </c>
      <c r="B3997" s="1" t="n">
        <v>45316</v>
      </c>
      <c r="C3997" s="1" t="n">
        <v>45914</v>
      </c>
      <c r="D3997" t="inlineStr">
        <is>
          <t>SKÅNE LÄN</t>
        </is>
      </c>
      <c r="E3997" t="inlineStr">
        <is>
          <t>ÖSTRA GÖINGE</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71741-2021</t>
        </is>
      </c>
      <c r="B3998" s="1" t="n">
        <v>44539</v>
      </c>
      <c r="C3998" s="1" t="n">
        <v>45914</v>
      </c>
      <c r="D3998" t="inlineStr">
        <is>
          <t>SKÅNE LÄN</t>
        </is>
      </c>
      <c r="E3998" t="inlineStr">
        <is>
          <t>ÖSTRA GÖINGE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11115-2025</t>
        </is>
      </c>
      <c r="B3999" s="1" t="n">
        <v>45723</v>
      </c>
      <c r="C3999" s="1" t="n">
        <v>45914</v>
      </c>
      <c r="D3999" t="inlineStr">
        <is>
          <t>SKÅNE LÄN</t>
        </is>
      </c>
      <c r="E3999" t="inlineStr">
        <is>
          <t>ÖRKELLJUNGA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22553-2021</t>
        </is>
      </c>
      <c r="B4000" s="1" t="n">
        <v>44326</v>
      </c>
      <c r="C4000" s="1" t="n">
        <v>45914</v>
      </c>
      <c r="D4000" t="inlineStr">
        <is>
          <t>SKÅNE LÄN</t>
        </is>
      </c>
      <c r="E4000" t="inlineStr">
        <is>
          <t>ÖSTRA GÖINGE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60837-2020</t>
        </is>
      </c>
      <c r="B4001" s="1" t="n">
        <v>44154</v>
      </c>
      <c r="C4001" s="1" t="n">
        <v>45914</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18015-2025</t>
        </is>
      </c>
      <c r="B4002" s="1" t="n">
        <v>45761.43996527778</v>
      </c>
      <c r="C4002" s="1" t="n">
        <v>45914</v>
      </c>
      <c r="D4002" t="inlineStr">
        <is>
          <t>SKÅNE LÄN</t>
        </is>
      </c>
      <c r="E4002" t="inlineStr">
        <is>
          <t>KRISTIANSTAD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14104-2024</t>
        </is>
      </c>
      <c r="B4003" s="1" t="n">
        <v>45392.61707175926</v>
      </c>
      <c r="C4003" s="1" t="n">
        <v>45914</v>
      </c>
      <c r="D4003" t="inlineStr">
        <is>
          <t>SKÅNE LÄN</t>
        </is>
      </c>
      <c r="E4003" t="inlineStr">
        <is>
          <t>SIMRISHAMN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14106-2024</t>
        </is>
      </c>
      <c r="B4004" s="1" t="n">
        <v>45392</v>
      </c>
      <c r="C4004" s="1" t="n">
        <v>45914</v>
      </c>
      <c r="D4004" t="inlineStr">
        <is>
          <t>SKÅNE LÄN</t>
        </is>
      </c>
      <c r="E4004" t="inlineStr">
        <is>
          <t>SIMRISHAMN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25129-2024</t>
        </is>
      </c>
      <c r="B4005" s="1" t="n">
        <v>45462.46355324074</v>
      </c>
      <c r="C4005" s="1" t="n">
        <v>45914</v>
      </c>
      <c r="D4005" t="inlineStr">
        <is>
          <t>SKÅNE LÄN</t>
        </is>
      </c>
      <c r="E4005" t="inlineStr">
        <is>
          <t>ÄNGELHOLM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44073-2024</t>
        </is>
      </c>
      <c r="B4006" s="1" t="n">
        <v>45572</v>
      </c>
      <c r="C4006" s="1" t="n">
        <v>45914</v>
      </c>
      <c r="D4006" t="inlineStr">
        <is>
          <t>SKÅNE LÄN</t>
        </is>
      </c>
      <c r="E4006" t="inlineStr">
        <is>
          <t>HÖRBY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7387-2022</t>
        </is>
      </c>
      <c r="B4007" s="1" t="n">
        <v>44606.62732638889</v>
      </c>
      <c r="C4007" s="1" t="n">
        <v>45914</v>
      </c>
      <c r="D4007" t="inlineStr">
        <is>
          <t>SKÅNE LÄN</t>
        </is>
      </c>
      <c r="E4007" t="inlineStr">
        <is>
          <t>ÖSTRA GÖINGE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42284-2024</t>
        </is>
      </c>
      <c r="B4008" s="1" t="n">
        <v>45562</v>
      </c>
      <c r="C4008" s="1" t="n">
        <v>45914</v>
      </c>
      <c r="D4008" t="inlineStr">
        <is>
          <t>SKÅNE LÄN</t>
        </is>
      </c>
      <c r="E4008" t="inlineStr">
        <is>
          <t>KLIPPAN</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20636-2024</t>
        </is>
      </c>
      <c r="B4009" s="1" t="n">
        <v>45436</v>
      </c>
      <c r="C4009" s="1" t="n">
        <v>45914</v>
      </c>
      <c r="D4009" t="inlineStr">
        <is>
          <t>SKÅNE LÄN</t>
        </is>
      </c>
      <c r="E4009" t="inlineStr">
        <is>
          <t>OSBY</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37276-2024</t>
        </is>
      </c>
      <c r="B4010" s="1" t="n">
        <v>45540.40679398148</v>
      </c>
      <c r="C4010" s="1" t="n">
        <v>45914</v>
      </c>
      <c r="D4010" t="inlineStr">
        <is>
          <t>SKÅNE LÄN</t>
        </is>
      </c>
      <c r="E4010" t="inlineStr">
        <is>
          <t>HÖRBY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4964-2022</t>
        </is>
      </c>
      <c r="B4011" s="1" t="n">
        <v>44593</v>
      </c>
      <c r="C4011" s="1" t="n">
        <v>45914</v>
      </c>
      <c r="D4011" t="inlineStr">
        <is>
          <t>SKÅNE LÄN</t>
        </is>
      </c>
      <c r="E4011" t="inlineStr">
        <is>
          <t>SVALÖV</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34472-2025</t>
        </is>
      </c>
      <c r="B4012" s="1" t="n">
        <v>45847.35877314815</v>
      </c>
      <c r="C4012" s="1" t="n">
        <v>45914</v>
      </c>
      <c r="D4012" t="inlineStr">
        <is>
          <t>SKÅNE LÄN</t>
        </is>
      </c>
      <c r="E4012" t="inlineStr">
        <is>
          <t>KLIPPAN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34479-2025</t>
        </is>
      </c>
      <c r="B4013" s="1" t="n">
        <v>45847.37570601852</v>
      </c>
      <c r="C4013" s="1" t="n">
        <v>45914</v>
      </c>
      <c r="D4013" t="inlineStr">
        <is>
          <t>SKÅNE LÄN</t>
        </is>
      </c>
      <c r="E4013" t="inlineStr">
        <is>
          <t>KLIPPAN</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55416-2022</t>
        </is>
      </c>
      <c r="B4014" s="1" t="n">
        <v>44882</v>
      </c>
      <c r="C4014" s="1" t="n">
        <v>45914</v>
      </c>
      <c r="D4014" t="inlineStr">
        <is>
          <t>SKÅNE LÄN</t>
        </is>
      </c>
      <c r="E4014" t="inlineStr">
        <is>
          <t>PERSTORP</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5196-2022</t>
        </is>
      </c>
      <c r="B4015" s="1" t="n">
        <v>44593</v>
      </c>
      <c r="C4015" s="1" t="n">
        <v>45914</v>
      </c>
      <c r="D4015" t="inlineStr">
        <is>
          <t>SKÅNE LÄN</t>
        </is>
      </c>
      <c r="E4015" t="inlineStr">
        <is>
          <t>KLIPPAN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2437-2024</t>
        </is>
      </c>
      <c r="B4016" s="1" t="n">
        <v>45311</v>
      </c>
      <c r="C4016" s="1" t="n">
        <v>45914</v>
      </c>
      <c r="D4016" t="inlineStr">
        <is>
          <t>SKÅNE LÄN</t>
        </is>
      </c>
      <c r="E4016" t="inlineStr">
        <is>
          <t>KRISTIANSTAD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28847-2023</t>
        </is>
      </c>
      <c r="B4017" s="1" t="n">
        <v>45104</v>
      </c>
      <c r="C4017" s="1" t="n">
        <v>45914</v>
      </c>
      <c r="D4017" t="inlineStr">
        <is>
          <t>SKÅNE LÄN</t>
        </is>
      </c>
      <c r="E4017" t="inlineStr">
        <is>
          <t>KLIPPAN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2575-2024</t>
        </is>
      </c>
      <c r="B4018" s="1" t="n">
        <v>45313.63804398148</v>
      </c>
      <c r="C4018" s="1" t="n">
        <v>45914</v>
      </c>
      <c r="D4018" t="inlineStr">
        <is>
          <t>SKÅNE LÄN</t>
        </is>
      </c>
      <c r="E4018" t="inlineStr">
        <is>
          <t>ÄNGELHOLM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1280-2023</t>
        </is>
      </c>
      <c r="B4019" s="1" t="n">
        <v>44936</v>
      </c>
      <c r="C4019" s="1" t="n">
        <v>45914</v>
      </c>
      <c r="D4019" t="inlineStr">
        <is>
          <t>SKÅNE LÄN</t>
        </is>
      </c>
      <c r="E4019" t="inlineStr">
        <is>
          <t>KLIPPAN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34633-2025</t>
        </is>
      </c>
      <c r="B4020" s="1" t="n">
        <v>45848.27251157408</v>
      </c>
      <c r="C4020" s="1" t="n">
        <v>45914</v>
      </c>
      <c r="D4020" t="inlineStr">
        <is>
          <t>SKÅNE LÄN</t>
        </is>
      </c>
      <c r="E4020" t="inlineStr">
        <is>
          <t>ÖRKELLJUNGA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34687-2025</t>
        </is>
      </c>
      <c r="B4021" s="1" t="n">
        <v>45848.43571759259</v>
      </c>
      <c r="C4021" s="1" t="n">
        <v>45914</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35997-2025</t>
        </is>
      </c>
      <c r="B4022" s="1" t="n">
        <v>45863</v>
      </c>
      <c r="C4022" s="1" t="n">
        <v>45914</v>
      </c>
      <c r="D4022" t="inlineStr">
        <is>
          <t>SKÅNE LÄN</t>
        </is>
      </c>
      <c r="E4022" t="inlineStr">
        <is>
          <t>ESLÖV</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43629-2023</t>
        </is>
      </c>
      <c r="B4023" s="1" t="n">
        <v>45184</v>
      </c>
      <c r="C4023" s="1" t="n">
        <v>45914</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57656-2022</t>
        </is>
      </c>
      <c r="B4024" s="1" t="n">
        <v>44897.4325925926</v>
      </c>
      <c r="C4024" s="1" t="n">
        <v>45914</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39332-2025</t>
        </is>
      </c>
      <c r="B4025" s="1" t="n">
        <v>45889</v>
      </c>
      <c r="C4025" s="1" t="n">
        <v>45914</v>
      </c>
      <c r="D4025" t="inlineStr">
        <is>
          <t>SKÅNE LÄN</t>
        </is>
      </c>
      <c r="E4025" t="inlineStr">
        <is>
          <t>KRISTIANSTAD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39453-2025</t>
        </is>
      </c>
      <c r="B4026" s="1" t="n">
        <v>45889</v>
      </c>
      <c r="C4026" s="1" t="n">
        <v>45914</v>
      </c>
      <c r="D4026" t="inlineStr">
        <is>
          <t>SKÅNE LÄN</t>
        </is>
      </c>
      <c r="E4026" t="inlineStr">
        <is>
          <t>HÄSSLEHOLM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39284-2025</t>
        </is>
      </c>
      <c r="B4027" s="1" t="n">
        <v>45889.4053125</v>
      </c>
      <c r="C4027" s="1" t="n">
        <v>45914</v>
      </c>
      <c r="D4027" t="inlineStr">
        <is>
          <t>SKÅNE LÄN</t>
        </is>
      </c>
      <c r="E4027" t="inlineStr">
        <is>
          <t>BROMÖLLA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8250-2023</t>
        </is>
      </c>
      <c r="B4028" s="1" t="n">
        <v>44974</v>
      </c>
      <c r="C4028" s="1" t="n">
        <v>45914</v>
      </c>
      <c r="D4028" t="inlineStr">
        <is>
          <t>SKÅNE LÄN</t>
        </is>
      </c>
      <c r="E4028" t="inlineStr">
        <is>
          <t>HÄSSLEHOLM</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51752-2023</t>
        </is>
      </c>
      <c r="B4029" s="1" t="n">
        <v>45222</v>
      </c>
      <c r="C4029" s="1" t="n">
        <v>45914</v>
      </c>
      <c r="D4029" t="inlineStr">
        <is>
          <t>SKÅNE LÄN</t>
        </is>
      </c>
      <c r="E4029" t="inlineStr">
        <is>
          <t>HÄSSLEHOLM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1225-2025</t>
        </is>
      </c>
      <c r="B4030" s="1" t="n">
        <v>45667.43741898148</v>
      </c>
      <c r="C4030" s="1" t="n">
        <v>45914</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1575-2023</t>
        </is>
      </c>
      <c r="B4031" s="1" t="n">
        <v>44937.61728009259</v>
      </c>
      <c r="C4031" s="1" t="n">
        <v>45914</v>
      </c>
      <c r="D4031" t="inlineStr">
        <is>
          <t>SKÅNE LÄN</t>
        </is>
      </c>
      <c r="E4031" t="inlineStr">
        <is>
          <t>ÖSTRA GÖINGE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16434-2025</t>
        </is>
      </c>
      <c r="B4032" s="1" t="n">
        <v>45751.48209490741</v>
      </c>
      <c r="C4032" s="1" t="n">
        <v>45914</v>
      </c>
      <c r="D4032" t="inlineStr">
        <is>
          <t>SKÅNE LÄN</t>
        </is>
      </c>
      <c r="E4032" t="inlineStr">
        <is>
          <t>HÖÖR</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49622-2023</t>
        </is>
      </c>
      <c r="B4033" s="1" t="n">
        <v>45211</v>
      </c>
      <c r="C4033" s="1" t="n">
        <v>45914</v>
      </c>
      <c r="D4033" t="inlineStr">
        <is>
          <t>SKÅNE LÄN</t>
        </is>
      </c>
      <c r="E4033" t="inlineStr">
        <is>
          <t>OSBY</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4044-2021</t>
        </is>
      </c>
      <c r="B4034" s="1" t="n">
        <v>44222</v>
      </c>
      <c r="C4034" s="1" t="n">
        <v>45914</v>
      </c>
      <c r="D4034" t="inlineStr">
        <is>
          <t>SKÅNE LÄN</t>
        </is>
      </c>
      <c r="E4034" t="inlineStr">
        <is>
          <t>HÖRBY</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6101-2022</t>
        </is>
      </c>
      <c r="B4035" s="1" t="n">
        <v>44599.63016203704</v>
      </c>
      <c r="C4035" s="1" t="n">
        <v>45914</v>
      </c>
      <c r="D4035" t="inlineStr">
        <is>
          <t>SKÅNE LÄN</t>
        </is>
      </c>
      <c r="E4035" t="inlineStr">
        <is>
          <t>HÄSSLEHOLM</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34690-2025</t>
        </is>
      </c>
      <c r="B4036" s="1" t="n">
        <v>45848.44622685185</v>
      </c>
      <c r="C4036" s="1" t="n">
        <v>45914</v>
      </c>
      <c r="D4036" t="inlineStr">
        <is>
          <t>SKÅNE LÄN</t>
        </is>
      </c>
      <c r="E4036" t="inlineStr">
        <is>
          <t>ÖSTRA GÖINGE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32855-2023</t>
        </is>
      </c>
      <c r="B4037" s="1" t="n">
        <v>45124</v>
      </c>
      <c r="C4037" s="1" t="n">
        <v>45914</v>
      </c>
      <c r="D4037" t="inlineStr">
        <is>
          <t>SKÅNE LÄN</t>
        </is>
      </c>
      <c r="E4037" t="inlineStr">
        <is>
          <t>ÖRKELLJUNGA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20800-2023</t>
        </is>
      </c>
      <c r="B4038" s="1" t="n">
        <v>45058.61640046296</v>
      </c>
      <c r="C4038" s="1" t="n">
        <v>45914</v>
      </c>
      <c r="D4038" t="inlineStr">
        <is>
          <t>SKÅNE LÄN</t>
        </is>
      </c>
      <c r="E4038" t="inlineStr">
        <is>
          <t>HÄSSLEHOLM</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14780-2025</t>
        </is>
      </c>
      <c r="B4039" s="1" t="n">
        <v>45742.7065162037</v>
      </c>
      <c r="C4039" s="1" t="n">
        <v>45914</v>
      </c>
      <c r="D4039" t="inlineStr">
        <is>
          <t>SKÅNE LÄN</t>
        </is>
      </c>
      <c r="E4039" t="inlineStr">
        <is>
          <t>OSBY</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49219-2024</t>
        </is>
      </c>
      <c r="B4040" s="1" t="n">
        <v>45595.40923611111</v>
      </c>
      <c r="C4040" s="1" t="n">
        <v>45914</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1871-2024</t>
        </is>
      </c>
      <c r="B4041" s="1" t="n">
        <v>45307</v>
      </c>
      <c r="C4041" s="1" t="n">
        <v>45914</v>
      </c>
      <c r="D4041" t="inlineStr">
        <is>
          <t>SKÅNE LÄN</t>
        </is>
      </c>
      <c r="E4041" t="inlineStr">
        <is>
          <t>KRISTIANSTAD</t>
        </is>
      </c>
      <c r="F4041" t="inlineStr">
        <is>
          <t>Övriga Aktiebolag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7152-2025</t>
        </is>
      </c>
      <c r="B4042" s="1" t="n">
        <v>45702.3837037037</v>
      </c>
      <c r="C4042" s="1" t="n">
        <v>45914</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7160-2025</t>
        </is>
      </c>
      <c r="B4043" s="1" t="n">
        <v>45702.3875462963</v>
      </c>
      <c r="C4043" s="1" t="n">
        <v>45914</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14939-2023</t>
        </is>
      </c>
      <c r="B4044" s="1" t="n">
        <v>45014</v>
      </c>
      <c r="C4044" s="1" t="n">
        <v>45914</v>
      </c>
      <c r="D4044" t="inlineStr">
        <is>
          <t>SKÅNE LÄN</t>
        </is>
      </c>
      <c r="E4044" t="inlineStr">
        <is>
          <t>HÄSSLEHOLM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42281-2024</t>
        </is>
      </c>
      <c r="B4045" s="1" t="n">
        <v>45562.6105787037</v>
      </c>
      <c r="C4045" s="1" t="n">
        <v>45914</v>
      </c>
      <c r="D4045" t="inlineStr">
        <is>
          <t>SKÅNE LÄN</t>
        </is>
      </c>
      <c r="E4045" t="inlineStr">
        <is>
          <t>KLIPPAN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39366-2025</t>
        </is>
      </c>
      <c r="B4046" s="1" t="n">
        <v>45889</v>
      </c>
      <c r="C4046" s="1" t="n">
        <v>45914</v>
      </c>
      <c r="D4046" t="inlineStr">
        <is>
          <t>SKÅNE LÄN</t>
        </is>
      </c>
      <c r="E4046" t="inlineStr">
        <is>
          <t>HÄSSLEHOLM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39457-2025</t>
        </is>
      </c>
      <c r="B4047" s="1" t="n">
        <v>45889.76887731482</v>
      </c>
      <c r="C4047" s="1" t="n">
        <v>45914</v>
      </c>
      <c r="D4047" t="inlineStr">
        <is>
          <t>SKÅNE LÄN</t>
        </is>
      </c>
      <c r="E4047" t="inlineStr">
        <is>
          <t>HÄSSLEHOLM</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61648-2022</t>
        </is>
      </c>
      <c r="B4048" s="1" t="n">
        <v>44916.88560185185</v>
      </c>
      <c r="C4048" s="1" t="n">
        <v>45914</v>
      </c>
      <c r="D4048" t="inlineStr">
        <is>
          <t>SKÅNE LÄN</t>
        </is>
      </c>
      <c r="E4048" t="inlineStr">
        <is>
          <t>OSBY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6842-2023</t>
        </is>
      </c>
      <c r="B4049" s="1" t="n">
        <v>44967</v>
      </c>
      <c r="C4049" s="1" t="n">
        <v>45914</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3875-2023</t>
        </is>
      </c>
      <c r="B4050" s="1" t="n">
        <v>44951.85590277778</v>
      </c>
      <c r="C4050" s="1" t="n">
        <v>45914</v>
      </c>
      <c r="D4050" t="inlineStr">
        <is>
          <t>SKÅNE LÄN</t>
        </is>
      </c>
      <c r="E4050" t="inlineStr">
        <is>
          <t>OSBY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30092-2023</t>
        </is>
      </c>
      <c r="B4051" s="1" t="n">
        <v>45110</v>
      </c>
      <c r="C4051" s="1" t="n">
        <v>45914</v>
      </c>
      <c r="D4051" t="inlineStr">
        <is>
          <t>SKÅNE LÄN</t>
        </is>
      </c>
      <c r="E4051" t="inlineStr">
        <is>
          <t>KRISTIANSTAD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31502-2023</t>
        </is>
      </c>
      <c r="B4052" s="1" t="n">
        <v>45115</v>
      </c>
      <c r="C4052" s="1" t="n">
        <v>45914</v>
      </c>
      <c r="D4052" t="inlineStr">
        <is>
          <t>SKÅNE LÄN</t>
        </is>
      </c>
      <c r="E4052" t="inlineStr">
        <is>
          <t>ÄNGELHOLM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18035-2025</t>
        </is>
      </c>
      <c r="B4053" s="1" t="n">
        <v>45761.45442129629</v>
      </c>
      <c r="C4053" s="1" t="n">
        <v>45914</v>
      </c>
      <c r="D4053" t="inlineStr">
        <is>
          <t>SKÅNE LÄN</t>
        </is>
      </c>
      <c r="E4053" t="inlineStr">
        <is>
          <t>KRISTIANSTAD</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46469-2024</t>
        </is>
      </c>
      <c r="B4054" s="1" t="n">
        <v>45582</v>
      </c>
      <c r="C4054" s="1" t="n">
        <v>45914</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10464-2024</t>
        </is>
      </c>
      <c r="B4055" s="1" t="n">
        <v>45366.37332175926</v>
      </c>
      <c r="C4055" s="1" t="n">
        <v>45914</v>
      </c>
      <c r="D4055" t="inlineStr">
        <is>
          <t>SKÅNE LÄN</t>
        </is>
      </c>
      <c r="E4055" t="inlineStr">
        <is>
          <t>KRISTIANSTAD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12911-2025</t>
        </is>
      </c>
      <c r="B4056" s="1" t="n">
        <v>45733.83363425926</v>
      </c>
      <c r="C4056" s="1" t="n">
        <v>45914</v>
      </c>
      <c r="D4056" t="inlineStr">
        <is>
          <t>SKÅNE LÄN</t>
        </is>
      </c>
      <c r="E4056" t="inlineStr">
        <is>
          <t>PERSTORP</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12912-2025</t>
        </is>
      </c>
      <c r="B4057" s="1" t="n">
        <v>45733</v>
      </c>
      <c r="C4057" s="1" t="n">
        <v>45914</v>
      </c>
      <c r="D4057" t="inlineStr">
        <is>
          <t>SKÅNE LÄN</t>
        </is>
      </c>
      <c r="E4057" t="inlineStr">
        <is>
          <t>PERSTORP</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15057-2023</t>
        </is>
      </c>
      <c r="B4058" s="1" t="n">
        <v>45015.69164351852</v>
      </c>
      <c r="C4058" s="1" t="n">
        <v>45914</v>
      </c>
      <c r="D4058" t="inlineStr">
        <is>
          <t>SKÅNE LÄN</t>
        </is>
      </c>
      <c r="E4058" t="inlineStr">
        <is>
          <t>ÖSTRA GÖINGE</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22277-2024</t>
        </is>
      </c>
      <c r="B4059" s="1" t="n">
        <v>45446</v>
      </c>
      <c r="C4059" s="1" t="n">
        <v>45914</v>
      </c>
      <c r="D4059" t="inlineStr">
        <is>
          <t>SKÅNE LÄN</t>
        </is>
      </c>
      <c r="E4059" t="inlineStr">
        <is>
          <t>KRISTIANSTAD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17151-2024</t>
        </is>
      </c>
      <c r="B4060" s="1" t="n">
        <v>45412</v>
      </c>
      <c r="C4060" s="1" t="n">
        <v>45914</v>
      </c>
      <c r="D4060" t="inlineStr">
        <is>
          <t>SKÅNE LÄN</t>
        </is>
      </c>
      <c r="E4060" t="inlineStr">
        <is>
          <t>TOMELILLA</t>
        </is>
      </c>
      <c r="F4060" t="inlineStr">
        <is>
          <t>Övriga Aktiebolag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15104-2023</t>
        </is>
      </c>
      <c r="B4061" s="1" t="n">
        <v>45016.40576388889</v>
      </c>
      <c r="C4061" s="1" t="n">
        <v>45914</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66321-2021</t>
        </is>
      </c>
      <c r="B4062" s="1" t="n">
        <v>44518</v>
      </c>
      <c r="C4062" s="1" t="n">
        <v>45914</v>
      </c>
      <c r="D4062" t="inlineStr">
        <is>
          <t>SKÅNE LÄN</t>
        </is>
      </c>
      <c r="E4062" t="inlineStr">
        <is>
          <t>HÄSSLEHOLM</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19633-2023</t>
        </is>
      </c>
      <c r="B4063" s="1" t="n">
        <v>45051</v>
      </c>
      <c r="C4063" s="1" t="n">
        <v>45914</v>
      </c>
      <c r="D4063" t="inlineStr">
        <is>
          <t>SKÅNE LÄN</t>
        </is>
      </c>
      <c r="E4063" t="inlineStr">
        <is>
          <t>HÖÖR</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21494-2023</t>
        </is>
      </c>
      <c r="B4064" s="1" t="n">
        <v>45063</v>
      </c>
      <c r="C4064" s="1" t="n">
        <v>45914</v>
      </c>
      <c r="D4064" t="inlineStr">
        <is>
          <t>SKÅNE LÄN</t>
        </is>
      </c>
      <c r="E4064" t="inlineStr">
        <is>
          <t>HÄSSLEHOLM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45914</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43314-2024</t>
        </is>
      </c>
      <c r="B4066" s="1" t="n">
        <v>45568</v>
      </c>
      <c r="C4066" s="1" t="n">
        <v>45914</v>
      </c>
      <c r="D4066" t="inlineStr">
        <is>
          <t>SKÅNE LÄN</t>
        </is>
      </c>
      <c r="E4066" t="inlineStr">
        <is>
          <t>KRISTIANSTAD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42916-2024</t>
        </is>
      </c>
      <c r="B4067" s="1" t="n">
        <v>45566</v>
      </c>
      <c r="C4067" s="1" t="n">
        <v>45914</v>
      </c>
      <c r="D4067" t="inlineStr">
        <is>
          <t>SKÅNE LÄN</t>
        </is>
      </c>
      <c r="E4067" t="inlineStr">
        <is>
          <t>KRISTIANSTAD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15890-2025</t>
        </is>
      </c>
      <c r="B4068" s="1" t="n">
        <v>45749.41003472222</v>
      </c>
      <c r="C4068" s="1" t="n">
        <v>45914</v>
      </c>
      <c r="D4068" t="inlineStr">
        <is>
          <t>SKÅNE LÄN</t>
        </is>
      </c>
      <c r="E4068" t="inlineStr">
        <is>
          <t>KRISTIANSTAD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17228-2024</t>
        </is>
      </c>
      <c r="B4069" s="1" t="n">
        <v>45414.36306712963</v>
      </c>
      <c r="C4069" s="1" t="n">
        <v>45914</v>
      </c>
      <c r="D4069" t="inlineStr">
        <is>
          <t>SKÅNE LÄN</t>
        </is>
      </c>
      <c r="E4069" t="inlineStr">
        <is>
          <t>OSBY</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7565-2023</t>
        </is>
      </c>
      <c r="B4070" s="1" t="n">
        <v>44972.35990740741</v>
      </c>
      <c r="C4070" s="1" t="n">
        <v>45914</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43347-2024</t>
        </is>
      </c>
      <c r="B4071" s="1" t="n">
        <v>45568</v>
      </c>
      <c r="C4071" s="1" t="n">
        <v>45914</v>
      </c>
      <c r="D4071" t="inlineStr">
        <is>
          <t>SKÅNE LÄN</t>
        </is>
      </c>
      <c r="E4071" t="inlineStr">
        <is>
          <t>KRISTIANSTAD</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3864-2023</t>
        </is>
      </c>
      <c r="B4072" s="1" t="n">
        <v>44951.76491898148</v>
      </c>
      <c r="C4072" s="1" t="n">
        <v>45914</v>
      </c>
      <c r="D4072" t="inlineStr">
        <is>
          <t>SKÅNE LÄN</t>
        </is>
      </c>
      <c r="E4072" t="inlineStr">
        <is>
          <t>ÖRKELLJUNGA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3874-2023</t>
        </is>
      </c>
      <c r="B4073" s="1" t="n">
        <v>44951.85414351852</v>
      </c>
      <c r="C4073" s="1" t="n">
        <v>45914</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42454-2024</t>
        </is>
      </c>
      <c r="B4074" s="1" t="n">
        <v>45565</v>
      </c>
      <c r="C4074" s="1" t="n">
        <v>45914</v>
      </c>
      <c r="D4074" t="inlineStr">
        <is>
          <t>SKÅNE LÄN</t>
        </is>
      </c>
      <c r="E4074" t="inlineStr">
        <is>
          <t>PERSTORP</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20595-2024</t>
        </is>
      </c>
      <c r="B4075" s="1" t="n">
        <v>45436</v>
      </c>
      <c r="C4075" s="1" t="n">
        <v>45914</v>
      </c>
      <c r="D4075" t="inlineStr">
        <is>
          <t>SKÅNE LÄN</t>
        </is>
      </c>
      <c r="E4075" t="inlineStr">
        <is>
          <t>HÖRBY</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20601-2024</t>
        </is>
      </c>
      <c r="B4076" s="1" t="n">
        <v>45436.43732638889</v>
      </c>
      <c r="C4076" s="1" t="n">
        <v>45914</v>
      </c>
      <c r="D4076" t="inlineStr">
        <is>
          <t>SKÅNE LÄN</t>
        </is>
      </c>
      <c r="E4076" t="inlineStr">
        <is>
          <t>OSBY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27378-2022</t>
        </is>
      </c>
      <c r="B4077" s="1" t="n">
        <v>44742.46596064815</v>
      </c>
      <c r="C4077" s="1" t="n">
        <v>45914</v>
      </c>
      <c r="D4077" t="inlineStr">
        <is>
          <t>SKÅNE LÄN</t>
        </is>
      </c>
      <c r="E4077" t="inlineStr">
        <is>
          <t>OSBY</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59201-2022</t>
        </is>
      </c>
      <c r="B4078" s="1" t="n">
        <v>44897</v>
      </c>
      <c r="C4078" s="1" t="n">
        <v>45914</v>
      </c>
      <c r="D4078" t="inlineStr">
        <is>
          <t>SKÅNE LÄN</t>
        </is>
      </c>
      <c r="E4078" t="inlineStr">
        <is>
          <t>ÖSTRA GÖINGE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39937-2025</t>
        </is>
      </c>
      <c r="B4079" s="1" t="n">
        <v>45891.73162037037</v>
      </c>
      <c r="C4079" s="1" t="n">
        <v>45914</v>
      </c>
      <c r="D4079" t="inlineStr">
        <is>
          <t>SKÅNE LÄN</t>
        </is>
      </c>
      <c r="E4079" t="inlineStr">
        <is>
          <t>HÄSSLEHOLM</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40000-2025</t>
        </is>
      </c>
      <c r="B4080" s="1" t="n">
        <v>45894</v>
      </c>
      <c r="C4080" s="1" t="n">
        <v>45914</v>
      </c>
      <c r="D4080" t="inlineStr">
        <is>
          <t>SKÅNE LÄN</t>
        </is>
      </c>
      <c r="E4080" t="inlineStr">
        <is>
          <t>KRISTIANSTAD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39997-2025</t>
        </is>
      </c>
      <c r="B4081" s="1" t="n">
        <v>45894</v>
      </c>
      <c r="C4081" s="1" t="n">
        <v>45914</v>
      </c>
      <c r="D4081" t="inlineStr">
        <is>
          <t>SKÅNE LÄN</t>
        </is>
      </c>
      <c r="E4081" t="inlineStr">
        <is>
          <t>KRISTIANSTAD</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40005-2025</t>
        </is>
      </c>
      <c r="B4082" s="1" t="n">
        <v>45894</v>
      </c>
      <c r="C4082" s="1" t="n">
        <v>45914</v>
      </c>
      <c r="D4082" t="inlineStr">
        <is>
          <t>SKÅNE LÄN</t>
        </is>
      </c>
      <c r="E4082" t="inlineStr">
        <is>
          <t>KRISTIANSTAD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7202-2022</t>
        </is>
      </c>
      <c r="B4083" s="1" t="n">
        <v>44606</v>
      </c>
      <c r="C4083" s="1" t="n">
        <v>45914</v>
      </c>
      <c r="D4083" t="inlineStr">
        <is>
          <t>SKÅNE LÄN</t>
        </is>
      </c>
      <c r="E4083" t="inlineStr">
        <is>
          <t>HÄSSLEHOLM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39994-2025</t>
        </is>
      </c>
      <c r="B4084" s="1" t="n">
        <v>45894.31759259259</v>
      </c>
      <c r="C4084" s="1" t="n">
        <v>45914</v>
      </c>
      <c r="D4084" t="inlineStr">
        <is>
          <t>SKÅNE LÄN</t>
        </is>
      </c>
      <c r="E4084" t="inlineStr">
        <is>
          <t>KRISTIANSTAD</t>
        </is>
      </c>
      <c r="G4084" t="n">
        <v>12.8</v>
      </c>
      <c r="H4084" t="n">
        <v>0</v>
      </c>
      <c r="I4084" t="n">
        <v>0</v>
      </c>
      <c r="J4084" t="n">
        <v>0</v>
      </c>
      <c r="K4084" t="n">
        <v>0</v>
      </c>
      <c r="L4084" t="n">
        <v>0</v>
      </c>
      <c r="M4084" t="n">
        <v>0</v>
      </c>
      <c r="N4084" t="n">
        <v>0</v>
      </c>
      <c r="O4084" t="n">
        <v>0</v>
      </c>
      <c r="P4084" t="n">
        <v>0</v>
      </c>
      <c r="Q4084" t="n">
        <v>0</v>
      </c>
      <c r="R4084" s="2" t="inlineStr"/>
    </row>
    <row r="4085" ht="15" customHeight="1">
      <c r="A4085" t="inlineStr">
        <is>
          <t>A 65288-2020</t>
        </is>
      </c>
      <c r="B4085" s="1" t="n">
        <v>44173</v>
      </c>
      <c r="C4085" s="1" t="n">
        <v>45914</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47628-2022</t>
        </is>
      </c>
      <c r="B4086" s="1" t="n">
        <v>44852</v>
      </c>
      <c r="C4086" s="1" t="n">
        <v>45914</v>
      </c>
      <c r="D4086" t="inlineStr">
        <is>
          <t>SKÅNE LÄN</t>
        </is>
      </c>
      <c r="E4086" t="inlineStr">
        <is>
          <t>ÖSTRA GÖINGE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45650-2022</t>
        </is>
      </c>
      <c r="B4087" s="1" t="n">
        <v>44845</v>
      </c>
      <c r="C4087" s="1" t="n">
        <v>45914</v>
      </c>
      <c r="D4087" t="inlineStr">
        <is>
          <t>SKÅNE LÄN</t>
        </is>
      </c>
      <c r="E4087" t="inlineStr">
        <is>
          <t>OSBY</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40083-2025</t>
        </is>
      </c>
      <c r="B4088" s="1" t="n">
        <v>45894.46975694445</v>
      </c>
      <c r="C4088" s="1" t="n">
        <v>45914</v>
      </c>
      <c r="D4088" t="inlineStr">
        <is>
          <t>SKÅNE LÄN</t>
        </is>
      </c>
      <c r="E4088" t="inlineStr">
        <is>
          <t>HÖÖR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5098-2022</t>
        </is>
      </c>
      <c r="B4089" s="1" t="n">
        <v>44593</v>
      </c>
      <c r="C4089" s="1" t="n">
        <v>45914</v>
      </c>
      <c r="D4089" t="inlineStr">
        <is>
          <t>SKÅNE LÄN</t>
        </is>
      </c>
      <c r="E4089" t="inlineStr">
        <is>
          <t>ÖSTRA GÖINGE</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28161-2025</t>
        </is>
      </c>
      <c r="B4090" s="1" t="n">
        <v>45818</v>
      </c>
      <c r="C4090" s="1" t="n">
        <v>45914</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24115-2022</t>
        </is>
      </c>
      <c r="B4091" s="1" t="n">
        <v>44725</v>
      </c>
      <c r="C4091" s="1" t="n">
        <v>45914</v>
      </c>
      <c r="D4091" t="inlineStr">
        <is>
          <t>SKÅNE LÄN</t>
        </is>
      </c>
      <c r="E4091" t="inlineStr">
        <is>
          <t>ESLÖV</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19710-2021</t>
        </is>
      </c>
      <c r="B4092" s="1" t="n">
        <v>44312.8218287037</v>
      </c>
      <c r="C4092" s="1" t="n">
        <v>45914</v>
      </c>
      <c r="D4092" t="inlineStr">
        <is>
          <t>SKÅNE LÄN</t>
        </is>
      </c>
      <c r="E4092" t="inlineStr">
        <is>
          <t>OSBY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29169-2021</t>
        </is>
      </c>
      <c r="B4093" s="1" t="n">
        <v>44358</v>
      </c>
      <c r="C4093" s="1" t="n">
        <v>45914</v>
      </c>
      <c r="D4093" t="inlineStr">
        <is>
          <t>SKÅNE LÄN</t>
        </is>
      </c>
      <c r="E4093" t="inlineStr">
        <is>
          <t>ÖRKELLJUNGA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27113-2022</t>
        </is>
      </c>
      <c r="B4094" s="1" t="n">
        <v>44741</v>
      </c>
      <c r="C4094" s="1" t="n">
        <v>45914</v>
      </c>
      <c r="D4094" t="inlineStr">
        <is>
          <t>SKÅNE LÄN</t>
        </is>
      </c>
      <c r="E4094" t="inlineStr">
        <is>
          <t>SVEDALA</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4688-2022</t>
        </is>
      </c>
      <c r="B4095" s="1" t="n">
        <v>44592</v>
      </c>
      <c r="C4095" s="1" t="n">
        <v>45914</v>
      </c>
      <c r="D4095" t="inlineStr">
        <is>
          <t>SKÅNE LÄN</t>
        </is>
      </c>
      <c r="E4095" t="inlineStr">
        <is>
          <t>PERSTORP</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34907-2025</t>
        </is>
      </c>
      <c r="B4096" s="1" t="n">
        <v>45849.52086805556</v>
      </c>
      <c r="C4096" s="1" t="n">
        <v>45914</v>
      </c>
      <c r="D4096" t="inlineStr">
        <is>
          <t>SKÅNE LÄN</t>
        </is>
      </c>
      <c r="E4096" t="inlineStr">
        <is>
          <t>PERSTORP</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11177-2023</t>
        </is>
      </c>
      <c r="B4097" s="1" t="n">
        <v>44987</v>
      </c>
      <c r="C4097" s="1" t="n">
        <v>45914</v>
      </c>
      <c r="D4097" t="inlineStr">
        <is>
          <t>SKÅNE LÄN</t>
        </is>
      </c>
      <c r="E4097" t="inlineStr">
        <is>
          <t>SVALÖV</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34869-2025</t>
        </is>
      </c>
      <c r="B4098" s="1" t="n">
        <v>45849</v>
      </c>
      <c r="C4098" s="1" t="n">
        <v>45914</v>
      </c>
      <c r="D4098" t="inlineStr">
        <is>
          <t>SKÅNE LÄN</t>
        </is>
      </c>
      <c r="E4098" t="inlineStr">
        <is>
          <t>HÄSSLEHOLM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5054-2022</t>
        </is>
      </c>
      <c r="B4099" s="1" t="n">
        <v>44593.69065972222</v>
      </c>
      <c r="C4099" s="1" t="n">
        <v>45914</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6616-2022</t>
        </is>
      </c>
      <c r="B4100" s="1" t="n">
        <v>44601.705</v>
      </c>
      <c r="C4100" s="1" t="n">
        <v>45914</v>
      </c>
      <c r="D4100" t="inlineStr">
        <is>
          <t>SKÅNE LÄN</t>
        </is>
      </c>
      <c r="E4100" t="inlineStr">
        <is>
          <t>KRISTIANSTAD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12181-2023</t>
        </is>
      </c>
      <c r="B4101" s="1" t="n">
        <v>44998.55116898148</v>
      </c>
      <c r="C4101" s="1" t="n">
        <v>45914</v>
      </c>
      <c r="D4101" t="inlineStr">
        <is>
          <t>SKÅNE LÄN</t>
        </is>
      </c>
      <c r="E4101" t="inlineStr">
        <is>
          <t>TOMELILLA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12235-2023</t>
        </is>
      </c>
      <c r="B4102" s="1" t="n">
        <v>44998</v>
      </c>
      <c r="C4102" s="1" t="n">
        <v>45914</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27724-2024</t>
        </is>
      </c>
      <c r="B4103" s="1" t="n">
        <v>45475</v>
      </c>
      <c r="C4103" s="1" t="n">
        <v>45914</v>
      </c>
      <c r="D4103" t="inlineStr">
        <is>
          <t>SKÅNE LÄN</t>
        </is>
      </c>
      <c r="E4103" t="inlineStr">
        <is>
          <t>ÖSTRA GÖINGE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49181-2024</t>
        </is>
      </c>
      <c r="B4104" s="1" t="n">
        <v>45595</v>
      </c>
      <c r="C4104" s="1" t="n">
        <v>45914</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58944-2024</t>
        </is>
      </c>
      <c r="B4105" s="1" t="n">
        <v>45636.54423611111</v>
      </c>
      <c r="C4105" s="1" t="n">
        <v>45914</v>
      </c>
      <c r="D4105" t="inlineStr">
        <is>
          <t>SKÅNE LÄN</t>
        </is>
      </c>
      <c r="E4105" t="inlineStr">
        <is>
          <t>ÖSTRA GÖINGE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12070-2023</t>
        </is>
      </c>
      <c r="B4106" s="1" t="n">
        <v>44997</v>
      </c>
      <c r="C4106" s="1" t="n">
        <v>45914</v>
      </c>
      <c r="D4106" t="inlineStr">
        <is>
          <t>SKÅNE LÄN</t>
        </is>
      </c>
      <c r="E4106" t="inlineStr">
        <is>
          <t>OSBY</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37546-2021</t>
        </is>
      </c>
      <c r="B4107" s="1" t="n">
        <v>44390</v>
      </c>
      <c r="C4107" s="1" t="n">
        <v>45914</v>
      </c>
      <c r="D4107" t="inlineStr">
        <is>
          <t>SKÅNE LÄN</t>
        </is>
      </c>
      <c r="E4107" t="inlineStr">
        <is>
          <t>KRISTIANSTAD</t>
        </is>
      </c>
      <c r="F4107" t="inlineStr">
        <is>
          <t>Kyrkan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69462-2020</t>
        </is>
      </c>
      <c r="B4108" s="1" t="n">
        <v>44193</v>
      </c>
      <c r="C4108" s="1" t="n">
        <v>45914</v>
      </c>
      <c r="D4108" t="inlineStr">
        <is>
          <t>SKÅNE LÄN</t>
        </is>
      </c>
      <c r="E4108" t="inlineStr">
        <is>
          <t>ÖSTRA GÖINGE</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61238-2020</t>
        </is>
      </c>
      <c r="B4109" s="1" t="n">
        <v>44155</v>
      </c>
      <c r="C4109" s="1" t="n">
        <v>45914</v>
      </c>
      <c r="D4109" t="inlineStr">
        <is>
          <t>SKÅNE LÄN</t>
        </is>
      </c>
      <c r="E4109" t="inlineStr">
        <is>
          <t>HÖRBY</t>
        </is>
      </c>
      <c r="F4109" t="inlineStr">
        <is>
          <t>Kyrkan</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3349-2023</t>
        </is>
      </c>
      <c r="B4110" s="1" t="n">
        <v>44949</v>
      </c>
      <c r="C4110" s="1" t="n">
        <v>45914</v>
      </c>
      <c r="D4110" t="inlineStr">
        <is>
          <t>SKÅNE LÄN</t>
        </is>
      </c>
      <c r="E4110" t="inlineStr">
        <is>
          <t>HÄSSLEHOLM</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46959-2024</t>
        </is>
      </c>
      <c r="B4111" s="1" t="n">
        <v>45586.29178240741</v>
      </c>
      <c r="C4111" s="1" t="n">
        <v>45914</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39810-2025</t>
        </is>
      </c>
      <c r="B4112" s="1" t="n">
        <v>45891.5194675926</v>
      </c>
      <c r="C4112" s="1" t="n">
        <v>45914</v>
      </c>
      <c r="D4112" t="inlineStr">
        <is>
          <t>SKÅNE LÄN</t>
        </is>
      </c>
      <c r="E4112" t="inlineStr">
        <is>
          <t>ÄNGELHOLM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30857-2023</t>
        </is>
      </c>
      <c r="B4113" s="1" t="n">
        <v>45112</v>
      </c>
      <c r="C4113" s="1" t="n">
        <v>45914</v>
      </c>
      <c r="D4113" t="inlineStr">
        <is>
          <t>SKÅNE LÄN</t>
        </is>
      </c>
      <c r="E4113" t="inlineStr">
        <is>
          <t>KRISTIANSTAD</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44430-2024</t>
        </is>
      </c>
      <c r="B4114" s="1" t="n">
        <v>45573.97584490741</v>
      </c>
      <c r="C4114" s="1" t="n">
        <v>45914</v>
      </c>
      <c r="D4114" t="inlineStr">
        <is>
          <t>SKÅNE LÄN</t>
        </is>
      </c>
      <c r="E4114" t="inlineStr">
        <is>
          <t>OSBY</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40090-2025</t>
        </is>
      </c>
      <c r="B4115" s="1" t="n">
        <v>45894.47711805555</v>
      </c>
      <c r="C4115" s="1" t="n">
        <v>45914</v>
      </c>
      <c r="D4115" t="inlineStr">
        <is>
          <t>SKÅNE LÄN</t>
        </is>
      </c>
      <c r="E4115" t="inlineStr">
        <is>
          <t>HÖÖR</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39864-2025</t>
        </is>
      </c>
      <c r="B4116" s="1" t="n">
        <v>45891.60197916667</v>
      </c>
      <c r="C4116" s="1" t="n">
        <v>45914</v>
      </c>
      <c r="D4116" t="inlineStr">
        <is>
          <t>SKÅNE LÄN</t>
        </is>
      </c>
      <c r="E4116" t="inlineStr">
        <is>
          <t>ÖRKELLJUNGA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39934-2025</t>
        </is>
      </c>
      <c r="B4117" s="1" t="n">
        <v>45891.71465277778</v>
      </c>
      <c r="C4117" s="1" t="n">
        <v>45914</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35168-2025</t>
        </is>
      </c>
      <c r="B4118" s="1" t="n">
        <v>45852</v>
      </c>
      <c r="C4118" s="1" t="n">
        <v>45914</v>
      </c>
      <c r="D4118" t="inlineStr">
        <is>
          <t>SKÅNE LÄN</t>
        </is>
      </c>
      <c r="E4118" t="inlineStr">
        <is>
          <t>ÖRKELLJUNGA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34237-2025</t>
        </is>
      </c>
      <c r="B4119" s="1" t="n">
        <v>45844</v>
      </c>
      <c r="C4119" s="1" t="n">
        <v>45914</v>
      </c>
      <c r="D4119" t="inlineStr">
        <is>
          <t>SKÅNE LÄN</t>
        </is>
      </c>
      <c r="E4119" t="inlineStr">
        <is>
          <t>OSBY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1865-2025</t>
        </is>
      </c>
      <c r="B4120" s="1" t="n">
        <v>45671</v>
      </c>
      <c r="C4120" s="1" t="n">
        <v>45914</v>
      </c>
      <c r="D4120" t="inlineStr">
        <is>
          <t>SKÅNE LÄN</t>
        </is>
      </c>
      <c r="E4120" t="inlineStr">
        <is>
          <t>SJÖBO</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119-2023</t>
        </is>
      </c>
      <c r="B4121" s="1" t="n">
        <v>44928</v>
      </c>
      <c r="C4121" s="1" t="n">
        <v>45914</v>
      </c>
      <c r="D4121" t="inlineStr">
        <is>
          <t>SKÅNE LÄN</t>
        </is>
      </c>
      <c r="E4121" t="inlineStr">
        <is>
          <t>HÖRBY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40240-2025</t>
        </is>
      </c>
      <c r="B4122" s="1" t="n">
        <v>45894.86383101852</v>
      </c>
      <c r="C4122" s="1" t="n">
        <v>45914</v>
      </c>
      <c r="D4122" t="inlineStr">
        <is>
          <t>SKÅNE LÄN</t>
        </is>
      </c>
      <c r="E4122" t="inlineStr">
        <is>
          <t>PERSTORP</t>
        </is>
      </c>
      <c r="F4122" t="inlineStr">
        <is>
          <t>Övriga Aktiebolag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40241-2025</t>
        </is>
      </c>
      <c r="B4123" s="1" t="n">
        <v>45894.87251157407</v>
      </c>
      <c r="C4123" s="1" t="n">
        <v>45914</v>
      </c>
      <c r="D4123" t="inlineStr">
        <is>
          <t>SKÅNE LÄN</t>
        </is>
      </c>
      <c r="E4123" t="inlineStr">
        <is>
          <t>HÄSSLEHOLM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1164-2024</t>
        </is>
      </c>
      <c r="B4124" s="1" t="n">
        <v>45302</v>
      </c>
      <c r="C4124" s="1" t="n">
        <v>45914</v>
      </c>
      <c r="D4124" t="inlineStr">
        <is>
          <t>SKÅNE LÄN</t>
        </is>
      </c>
      <c r="E4124" t="inlineStr">
        <is>
          <t>PERSTORP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40286-2025</t>
        </is>
      </c>
      <c r="B4125" s="1" t="n">
        <v>45895</v>
      </c>
      <c r="C4125" s="1" t="n">
        <v>45914</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40287-2025</t>
        </is>
      </c>
      <c r="B4126" s="1" t="n">
        <v>45895</v>
      </c>
      <c r="C4126" s="1" t="n">
        <v>45914</v>
      </c>
      <c r="D4126" t="inlineStr">
        <is>
          <t>SKÅNE LÄN</t>
        </is>
      </c>
      <c r="E4126" t="inlineStr">
        <is>
          <t>ÄNGELHOLM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58284-2023</t>
        </is>
      </c>
      <c r="B4127" s="1" t="n">
        <v>45250.53486111111</v>
      </c>
      <c r="C4127" s="1" t="n">
        <v>45914</v>
      </c>
      <c r="D4127" t="inlineStr">
        <is>
          <t>SKÅNE LÄN</t>
        </is>
      </c>
      <c r="E4127" t="inlineStr">
        <is>
          <t>ÖRKELLJUNGA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16215-2022</t>
        </is>
      </c>
      <c r="B4128" s="1" t="n">
        <v>44670</v>
      </c>
      <c r="C4128" s="1" t="n">
        <v>45914</v>
      </c>
      <c r="D4128" t="inlineStr">
        <is>
          <t>SKÅNE LÄN</t>
        </is>
      </c>
      <c r="E4128" t="inlineStr">
        <is>
          <t>SVALÖV</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2086-2023</t>
        </is>
      </c>
      <c r="B4129" s="1" t="n">
        <v>44939</v>
      </c>
      <c r="C4129" s="1" t="n">
        <v>45914</v>
      </c>
      <c r="D4129" t="inlineStr">
        <is>
          <t>SKÅNE LÄN</t>
        </is>
      </c>
      <c r="E4129" t="inlineStr">
        <is>
          <t>ÖRKELLJUNGA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39796-2025</t>
        </is>
      </c>
      <c r="B4130" s="1" t="n">
        <v>45891</v>
      </c>
      <c r="C4130" s="1" t="n">
        <v>45914</v>
      </c>
      <c r="D4130" t="inlineStr">
        <is>
          <t>SKÅNE LÄN</t>
        </is>
      </c>
      <c r="E4130" t="inlineStr">
        <is>
          <t>TOMELILLA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40500-2025</t>
        </is>
      </c>
      <c r="B4131" s="1" t="n">
        <v>45896</v>
      </c>
      <c r="C4131" s="1" t="n">
        <v>45914</v>
      </c>
      <c r="D4131" t="inlineStr">
        <is>
          <t>SKÅNE LÄN</t>
        </is>
      </c>
      <c r="E4131" t="inlineStr">
        <is>
          <t>KRISTIANSTAD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35259-2025</t>
        </is>
      </c>
      <c r="B4132" s="1" t="n">
        <v>45853.76912037037</v>
      </c>
      <c r="C4132" s="1" t="n">
        <v>45914</v>
      </c>
      <c r="D4132" t="inlineStr">
        <is>
          <t>SKÅNE LÄN</t>
        </is>
      </c>
      <c r="E4132" t="inlineStr">
        <is>
          <t>HÄSSLEHOLM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57487-2023</t>
        </is>
      </c>
      <c r="B4133" s="1" t="n">
        <v>45246.40434027778</v>
      </c>
      <c r="C4133" s="1" t="n">
        <v>45914</v>
      </c>
      <c r="D4133" t="inlineStr">
        <is>
          <t>SKÅNE LÄN</t>
        </is>
      </c>
      <c r="E4133" t="inlineStr">
        <is>
          <t>ÖSTRA GÖINGE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20970-2025</t>
        </is>
      </c>
      <c r="B4134" s="1" t="n">
        <v>45777.45417824074</v>
      </c>
      <c r="C4134" s="1" t="n">
        <v>45914</v>
      </c>
      <c r="D4134" t="inlineStr">
        <is>
          <t>SKÅNE LÄN</t>
        </is>
      </c>
      <c r="E4134" t="inlineStr">
        <is>
          <t>HÄSSLEHOLM</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39244-2022</t>
        </is>
      </c>
      <c r="B4135" s="1" t="n">
        <v>44817.60482638889</v>
      </c>
      <c r="C4135" s="1" t="n">
        <v>45914</v>
      </c>
      <c r="D4135" t="inlineStr">
        <is>
          <t>SKÅNE LÄN</t>
        </is>
      </c>
      <c r="E4135" t="inlineStr">
        <is>
          <t>KLIPPAN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35364-2025</t>
        </is>
      </c>
      <c r="B4136" s="1" t="n">
        <v>45854.68505787037</v>
      </c>
      <c r="C4136" s="1" t="n">
        <v>45914</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35401-2025</t>
        </is>
      </c>
      <c r="B4137" s="1" t="n">
        <v>45854</v>
      </c>
      <c r="C4137" s="1" t="n">
        <v>45914</v>
      </c>
      <c r="D4137" t="inlineStr">
        <is>
          <t>SKÅNE LÄN</t>
        </is>
      </c>
      <c r="E4137" t="inlineStr">
        <is>
          <t>BROMÖLLA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37712-2025</t>
        </is>
      </c>
      <c r="B4138" s="1" t="n">
        <v>45880</v>
      </c>
      <c r="C4138" s="1" t="n">
        <v>45914</v>
      </c>
      <c r="D4138" t="inlineStr">
        <is>
          <t>SKÅNE LÄN</t>
        </is>
      </c>
      <c r="E4138" t="inlineStr">
        <is>
          <t>ÖSTRA GÖINGE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38849-2025</t>
        </is>
      </c>
      <c r="B4139" s="1" t="n">
        <v>45887</v>
      </c>
      <c r="C4139" s="1" t="n">
        <v>45914</v>
      </c>
      <c r="D4139" t="inlineStr">
        <is>
          <t>SKÅNE LÄN</t>
        </is>
      </c>
      <c r="E4139" t="inlineStr">
        <is>
          <t>KRISTIANSTAD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49384-2021</t>
        </is>
      </c>
      <c r="B4140" s="1" t="n">
        <v>44454</v>
      </c>
      <c r="C4140" s="1" t="n">
        <v>45914</v>
      </c>
      <c r="D4140" t="inlineStr">
        <is>
          <t>SKÅNE LÄN</t>
        </is>
      </c>
      <c r="E4140" t="inlineStr">
        <is>
          <t>HÄSSLEHOLM</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40395-2024</t>
        </is>
      </c>
      <c r="B4141" s="1" t="n">
        <v>45555.43620370371</v>
      </c>
      <c r="C4141" s="1" t="n">
        <v>45914</v>
      </c>
      <c r="D4141" t="inlineStr">
        <is>
          <t>SKÅNE LÄN</t>
        </is>
      </c>
      <c r="E4141" t="inlineStr">
        <is>
          <t>OSBY</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4798-2023</t>
        </is>
      </c>
      <c r="B4142" s="1" t="n">
        <v>44957.61608796296</v>
      </c>
      <c r="C4142" s="1" t="n">
        <v>45914</v>
      </c>
      <c r="D4142" t="inlineStr">
        <is>
          <t>SKÅNE LÄN</t>
        </is>
      </c>
      <c r="E4142" t="inlineStr">
        <is>
          <t>OSBY</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37161-2025</t>
        </is>
      </c>
      <c r="B4143" s="1" t="n">
        <v>45875</v>
      </c>
      <c r="C4143" s="1" t="n">
        <v>45914</v>
      </c>
      <c r="D4143" t="inlineStr">
        <is>
          <t>SKÅNE LÄN</t>
        </is>
      </c>
      <c r="E4143" t="inlineStr">
        <is>
          <t>KRISTIANSTAD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60959-2022</t>
        </is>
      </c>
      <c r="B4144" s="1" t="n">
        <v>44914.64777777778</v>
      </c>
      <c r="C4144" s="1" t="n">
        <v>45914</v>
      </c>
      <c r="D4144" t="inlineStr">
        <is>
          <t>SKÅNE LÄN</t>
        </is>
      </c>
      <c r="E4144" t="inlineStr">
        <is>
          <t>HÄSSLEHOLM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22815-2023</t>
        </is>
      </c>
      <c r="B4145" s="1" t="n">
        <v>45072</v>
      </c>
      <c r="C4145" s="1" t="n">
        <v>45914</v>
      </c>
      <c r="D4145" t="inlineStr">
        <is>
          <t>SKÅNE LÄN</t>
        </is>
      </c>
      <c r="E4145" t="inlineStr">
        <is>
          <t>KRISTIANSTAD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40463-2025</t>
        </is>
      </c>
      <c r="B4146" s="1" t="n">
        <v>45895</v>
      </c>
      <c r="C4146" s="1" t="n">
        <v>45914</v>
      </c>
      <c r="D4146" t="inlineStr">
        <is>
          <t>SKÅNE LÄN</t>
        </is>
      </c>
      <c r="E4146" t="inlineStr">
        <is>
          <t>SJÖBO</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45914</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10937-2022</t>
        </is>
      </c>
      <c r="B4148" s="1" t="n">
        <v>44627</v>
      </c>
      <c r="C4148" s="1" t="n">
        <v>45914</v>
      </c>
      <c r="D4148" t="inlineStr">
        <is>
          <t>SKÅNE LÄN</t>
        </is>
      </c>
      <c r="E4148" t="inlineStr">
        <is>
          <t>ÖSTRA GÖINGE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11555-2022</t>
        </is>
      </c>
      <c r="B4149" s="1" t="n">
        <v>44631.45570601852</v>
      </c>
      <c r="C4149" s="1" t="n">
        <v>45914</v>
      </c>
      <c r="D4149" t="inlineStr">
        <is>
          <t>SKÅNE LÄN</t>
        </is>
      </c>
      <c r="E4149" t="inlineStr">
        <is>
          <t>OSBY</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39791-2025</t>
        </is>
      </c>
      <c r="B4150" s="1" t="n">
        <v>45891</v>
      </c>
      <c r="C4150" s="1" t="n">
        <v>45914</v>
      </c>
      <c r="D4150" t="inlineStr">
        <is>
          <t>SKÅNE LÄN</t>
        </is>
      </c>
      <c r="E4150" t="inlineStr">
        <is>
          <t>TOMELILLA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61031-2022</t>
        </is>
      </c>
      <c r="B4151" s="1" t="n">
        <v>44914</v>
      </c>
      <c r="C4151" s="1" t="n">
        <v>45914</v>
      </c>
      <c r="D4151" t="inlineStr">
        <is>
          <t>SKÅNE LÄN</t>
        </is>
      </c>
      <c r="E4151" t="inlineStr">
        <is>
          <t>SJÖBO</t>
        </is>
      </c>
      <c r="F4151" t="inlineStr">
        <is>
          <t>Övriga Aktiebolag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38899-2025</t>
        </is>
      </c>
      <c r="B4152" s="1" t="n">
        <v>45887.60034722222</v>
      </c>
      <c r="C4152" s="1" t="n">
        <v>45914</v>
      </c>
      <c r="D4152" t="inlineStr">
        <is>
          <t>SKÅNE LÄN</t>
        </is>
      </c>
      <c r="E4152" t="inlineStr">
        <is>
          <t>ÖRKELLJUNGA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18285-2025</t>
        </is>
      </c>
      <c r="B4153" s="1" t="n">
        <v>45762</v>
      </c>
      <c r="C4153" s="1" t="n">
        <v>45914</v>
      </c>
      <c r="D4153" t="inlineStr">
        <is>
          <t>SKÅNE LÄN</t>
        </is>
      </c>
      <c r="E4153" t="inlineStr">
        <is>
          <t>ÖRKELLJUNGA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40301-2025</t>
        </is>
      </c>
      <c r="B4154" s="1" t="n">
        <v>45895</v>
      </c>
      <c r="C4154" s="1" t="n">
        <v>45914</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37155-2025</t>
        </is>
      </c>
      <c r="B4155" s="1" t="n">
        <v>45875</v>
      </c>
      <c r="C4155" s="1" t="n">
        <v>45914</v>
      </c>
      <c r="D4155" t="inlineStr">
        <is>
          <t>SKÅNE LÄN</t>
        </is>
      </c>
      <c r="E4155" t="inlineStr">
        <is>
          <t>KRISTIANSTAD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1846-2025</t>
        </is>
      </c>
      <c r="B4156" s="1" t="n">
        <v>45671</v>
      </c>
      <c r="C4156" s="1" t="n">
        <v>45914</v>
      </c>
      <c r="D4156" t="inlineStr">
        <is>
          <t>SKÅNE LÄN</t>
        </is>
      </c>
      <c r="E4156" t="inlineStr">
        <is>
          <t>SJÖBO</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1858-2025</t>
        </is>
      </c>
      <c r="B4157" s="1" t="n">
        <v>45671</v>
      </c>
      <c r="C4157" s="1" t="n">
        <v>45914</v>
      </c>
      <c r="D4157" t="inlineStr">
        <is>
          <t>SKÅNE LÄN</t>
        </is>
      </c>
      <c r="E4157" t="inlineStr">
        <is>
          <t>SJÖBO</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1879-2025</t>
        </is>
      </c>
      <c r="B4158" s="1" t="n">
        <v>45671</v>
      </c>
      <c r="C4158" s="1" t="n">
        <v>45914</v>
      </c>
      <c r="D4158" t="inlineStr">
        <is>
          <t>SKÅNE LÄN</t>
        </is>
      </c>
      <c r="E4158" t="inlineStr">
        <is>
          <t>SJÖBO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17413-2025</t>
        </is>
      </c>
      <c r="B4159" s="1" t="n">
        <v>45757.37480324074</v>
      </c>
      <c r="C4159" s="1" t="n">
        <v>45914</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35392-2025</t>
        </is>
      </c>
      <c r="B4160" s="1" t="n">
        <v>45854</v>
      </c>
      <c r="C4160" s="1" t="n">
        <v>45914</v>
      </c>
      <c r="D4160" t="inlineStr">
        <is>
          <t>SKÅNE LÄN</t>
        </is>
      </c>
      <c r="E4160" t="inlineStr">
        <is>
          <t>BROMÖLLA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35397-2025</t>
        </is>
      </c>
      <c r="B4161" s="1" t="n">
        <v>45854</v>
      </c>
      <c r="C4161" s="1" t="n">
        <v>45914</v>
      </c>
      <c r="D4161" t="inlineStr">
        <is>
          <t>SKÅNE LÄN</t>
        </is>
      </c>
      <c r="E4161" t="inlineStr">
        <is>
          <t>BROMÖLLA</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41166-2025</t>
        </is>
      </c>
      <c r="B4162" s="1" t="n">
        <v>45898</v>
      </c>
      <c r="C4162" s="1" t="n">
        <v>45914</v>
      </c>
      <c r="D4162" t="inlineStr">
        <is>
          <t>SKÅNE LÄN</t>
        </is>
      </c>
      <c r="E4162" t="inlineStr">
        <is>
          <t>ÄNGELHOLM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2359-2023</t>
        </is>
      </c>
      <c r="B4163" s="1" t="n">
        <v>44942</v>
      </c>
      <c r="C4163" s="1" t="n">
        <v>45914</v>
      </c>
      <c r="D4163" t="inlineStr">
        <is>
          <t>SKÅNE LÄN</t>
        </is>
      </c>
      <c r="E4163" t="inlineStr">
        <is>
          <t>ÖRKELLJUNGA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37286-2025</t>
        </is>
      </c>
      <c r="B4164" s="1" t="n">
        <v>45876.50116898148</v>
      </c>
      <c r="C4164" s="1" t="n">
        <v>45914</v>
      </c>
      <c r="D4164" t="inlineStr">
        <is>
          <t>SKÅNE LÄN</t>
        </is>
      </c>
      <c r="E4164" t="inlineStr">
        <is>
          <t>HÄSSLEHOLM</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6314-2022</t>
        </is>
      </c>
      <c r="B4165" s="1" t="n">
        <v>44600</v>
      </c>
      <c r="C4165" s="1" t="n">
        <v>45914</v>
      </c>
      <c r="D4165" t="inlineStr">
        <is>
          <t>SKÅNE LÄN</t>
        </is>
      </c>
      <c r="E4165" t="inlineStr">
        <is>
          <t>TRELLEBORG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41270-2025</t>
        </is>
      </c>
      <c r="B4166" s="1" t="n">
        <v>45898.61960648148</v>
      </c>
      <c r="C4166" s="1" t="n">
        <v>45914</v>
      </c>
      <c r="D4166" t="inlineStr">
        <is>
          <t>SKÅNE LÄN</t>
        </is>
      </c>
      <c r="E4166" t="inlineStr">
        <is>
          <t>OSBY</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42105-2022</t>
        </is>
      </c>
      <c r="B4167" s="1" t="n">
        <v>44830.55204861111</v>
      </c>
      <c r="C4167" s="1" t="n">
        <v>45914</v>
      </c>
      <c r="D4167" t="inlineStr">
        <is>
          <t>SKÅNE LÄN</t>
        </is>
      </c>
      <c r="E4167" t="inlineStr">
        <is>
          <t>ÄNGELHOLM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11669-2023</t>
        </is>
      </c>
      <c r="B4168" s="1" t="n">
        <v>44992</v>
      </c>
      <c r="C4168" s="1" t="n">
        <v>45914</v>
      </c>
      <c r="D4168" t="inlineStr">
        <is>
          <t>SKÅNE LÄN</t>
        </is>
      </c>
      <c r="E4168" t="inlineStr">
        <is>
          <t>PERSTORP</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61620-2022</t>
        </is>
      </c>
      <c r="B4169" s="1" t="n">
        <v>44910</v>
      </c>
      <c r="C4169" s="1" t="n">
        <v>45914</v>
      </c>
      <c r="D4169" t="inlineStr">
        <is>
          <t>SKÅNE LÄN</t>
        </is>
      </c>
      <c r="E4169" t="inlineStr">
        <is>
          <t>SVALÖV</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3746-2024</t>
        </is>
      </c>
      <c r="B4170" s="1" t="n">
        <v>45321.50745370371</v>
      </c>
      <c r="C4170" s="1" t="n">
        <v>45914</v>
      </c>
      <c r="D4170" t="inlineStr">
        <is>
          <t>SKÅNE LÄN</t>
        </is>
      </c>
      <c r="E4170" t="inlineStr">
        <is>
          <t>HÄSSLEHOLM</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61602-2024</t>
        </is>
      </c>
      <c r="B4171" s="1" t="n">
        <v>45646.6387962963</v>
      </c>
      <c r="C4171" s="1" t="n">
        <v>45914</v>
      </c>
      <c r="D4171" t="inlineStr">
        <is>
          <t>SKÅNE LÄN</t>
        </is>
      </c>
      <c r="E4171" t="inlineStr">
        <is>
          <t>ÖRKELLJUNGA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6638-2021</t>
        </is>
      </c>
      <c r="B4172" s="1" t="n">
        <v>44235</v>
      </c>
      <c r="C4172" s="1" t="n">
        <v>45914</v>
      </c>
      <c r="D4172" t="inlineStr">
        <is>
          <t>SKÅNE LÄN</t>
        </is>
      </c>
      <c r="E4172" t="inlineStr">
        <is>
          <t>HÄSSLEHOLM</t>
        </is>
      </c>
      <c r="G4172" t="n">
        <v>112.4</v>
      </c>
      <c r="H4172" t="n">
        <v>0</v>
      </c>
      <c r="I4172" t="n">
        <v>0</v>
      </c>
      <c r="J4172" t="n">
        <v>0</v>
      </c>
      <c r="K4172" t="n">
        <v>0</v>
      </c>
      <c r="L4172" t="n">
        <v>0</v>
      </c>
      <c r="M4172" t="n">
        <v>0</v>
      </c>
      <c r="N4172" t="n">
        <v>0</v>
      </c>
      <c r="O4172" t="n">
        <v>0</v>
      </c>
      <c r="P4172" t="n">
        <v>0</v>
      </c>
      <c r="Q4172" t="n">
        <v>0</v>
      </c>
      <c r="R4172" s="2" t="inlineStr"/>
    </row>
    <row r="4173" ht="15" customHeight="1">
      <c r="A4173" t="inlineStr">
        <is>
          <t>A 27233-2022</t>
        </is>
      </c>
      <c r="B4173" s="1" t="n">
        <v>44741</v>
      </c>
      <c r="C4173" s="1" t="n">
        <v>45914</v>
      </c>
      <c r="D4173" t="inlineStr">
        <is>
          <t>SKÅNE LÄN</t>
        </is>
      </c>
      <c r="E4173" t="inlineStr">
        <is>
          <t>HÖÖR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44262-2021</t>
        </is>
      </c>
      <c r="B4174" s="1" t="n">
        <v>44434</v>
      </c>
      <c r="C4174" s="1" t="n">
        <v>45914</v>
      </c>
      <c r="D4174" t="inlineStr">
        <is>
          <t>SKÅNE LÄN</t>
        </is>
      </c>
      <c r="E4174" t="inlineStr">
        <is>
          <t>HÄSSLEHOLM</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50196-2022</t>
        </is>
      </c>
      <c r="B4175" s="1" t="n">
        <v>44860</v>
      </c>
      <c r="C4175" s="1" t="n">
        <v>45914</v>
      </c>
      <c r="D4175" t="inlineStr">
        <is>
          <t>SKÅNE LÄN</t>
        </is>
      </c>
      <c r="E4175" t="inlineStr">
        <is>
          <t>HÖÖR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26590-2025</t>
        </is>
      </c>
      <c r="B4176" s="1" t="n">
        <v>45807</v>
      </c>
      <c r="C4176" s="1" t="n">
        <v>45914</v>
      </c>
      <c r="D4176" t="inlineStr">
        <is>
          <t>SKÅNE LÄN</t>
        </is>
      </c>
      <c r="E4176" t="inlineStr">
        <is>
          <t>HÖÖR</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41157-2025</t>
        </is>
      </c>
      <c r="B4177" s="1" t="n">
        <v>45898.52972222222</v>
      </c>
      <c r="C4177" s="1" t="n">
        <v>45914</v>
      </c>
      <c r="D4177" t="inlineStr">
        <is>
          <t>SKÅNE LÄN</t>
        </is>
      </c>
      <c r="E4177" t="inlineStr">
        <is>
          <t>SIMRISHAMN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41139-2025</t>
        </is>
      </c>
      <c r="B4178" s="1" t="n">
        <v>45898</v>
      </c>
      <c r="C4178" s="1" t="n">
        <v>45914</v>
      </c>
      <c r="D4178" t="inlineStr">
        <is>
          <t>SKÅNE LÄN</t>
        </is>
      </c>
      <c r="E4178" t="inlineStr">
        <is>
          <t>KRISTIANSTAD</t>
        </is>
      </c>
      <c r="G4178" t="n">
        <v>24.3</v>
      </c>
      <c r="H4178" t="n">
        <v>0</v>
      </c>
      <c r="I4178" t="n">
        <v>0</v>
      </c>
      <c r="J4178" t="n">
        <v>0</v>
      </c>
      <c r="K4178" t="n">
        <v>0</v>
      </c>
      <c r="L4178" t="n">
        <v>0</v>
      </c>
      <c r="M4178" t="n">
        <v>0</v>
      </c>
      <c r="N4178" t="n">
        <v>0</v>
      </c>
      <c r="O4178" t="n">
        <v>0</v>
      </c>
      <c r="P4178" t="n">
        <v>0</v>
      </c>
      <c r="Q4178" t="n">
        <v>0</v>
      </c>
      <c r="R4178" s="2" t="inlineStr"/>
    </row>
    <row r="4179" ht="15" customHeight="1">
      <c r="A4179" t="inlineStr">
        <is>
          <t>A 35581-2025</t>
        </is>
      </c>
      <c r="B4179" s="1" t="n">
        <v>45856.71502314815</v>
      </c>
      <c r="C4179" s="1" t="n">
        <v>45914</v>
      </c>
      <c r="D4179" t="inlineStr">
        <is>
          <t>SKÅNE LÄN</t>
        </is>
      </c>
      <c r="E4179" t="inlineStr">
        <is>
          <t>KRISTIANSTAD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34780-2025</t>
        </is>
      </c>
      <c r="B4180" s="1" t="n">
        <v>45848</v>
      </c>
      <c r="C4180" s="1" t="n">
        <v>45914</v>
      </c>
      <c r="D4180" t="inlineStr">
        <is>
          <t>SKÅNE LÄN</t>
        </is>
      </c>
      <c r="E4180" t="inlineStr">
        <is>
          <t>SJÖBO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40621-2025</t>
        </is>
      </c>
      <c r="B4181" s="1" t="n">
        <v>45896</v>
      </c>
      <c r="C4181" s="1" t="n">
        <v>45914</v>
      </c>
      <c r="D4181" t="inlineStr">
        <is>
          <t>SKÅNE LÄN</t>
        </is>
      </c>
      <c r="E4181" t="inlineStr">
        <is>
          <t>ÖSTRA GÖINGE</t>
        </is>
      </c>
      <c r="F4181" t="inlineStr">
        <is>
          <t>Kyrkan</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35454-2025</t>
        </is>
      </c>
      <c r="B4182" s="1" t="n">
        <v>45855</v>
      </c>
      <c r="C4182" s="1" t="n">
        <v>45914</v>
      </c>
      <c r="D4182" t="inlineStr">
        <is>
          <t>SKÅNE LÄN</t>
        </is>
      </c>
      <c r="E4182" t="inlineStr">
        <is>
          <t>SJÖBO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35490-2025</t>
        </is>
      </c>
      <c r="B4183" s="1" t="n">
        <v>45855.79797453704</v>
      </c>
      <c r="C4183" s="1" t="n">
        <v>45914</v>
      </c>
      <c r="D4183" t="inlineStr">
        <is>
          <t>SKÅNE LÄN</t>
        </is>
      </c>
      <c r="E4183" t="inlineStr">
        <is>
          <t>ÖRKELLJUNGA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56969-2023</t>
        </is>
      </c>
      <c r="B4184" s="1" t="n">
        <v>45244</v>
      </c>
      <c r="C4184" s="1" t="n">
        <v>45914</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3158-2023</t>
        </is>
      </c>
      <c r="B4185" s="1" t="n">
        <v>44946.56618055556</v>
      </c>
      <c r="C4185" s="1" t="n">
        <v>45914</v>
      </c>
      <c r="D4185" t="inlineStr">
        <is>
          <t>SKÅNE LÄN</t>
        </is>
      </c>
      <c r="E4185" t="inlineStr">
        <is>
          <t>ÖSTRA GÖINGE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35536-2025</t>
        </is>
      </c>
      <c r="B4186" s="1" t="n">
        <v>45856</v>
      </c>
      <c r="C4186" s="1" t="n">
        <v>45914</v>
      </c>
      <c r="D4186" t="inlineStr">
        <is>
          <t>SKÅNE LÄN</t>
        </is>
      </c>
      <c r="E4186" t="inlineStr">
        <is>
          <t>LANDSKRONA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43479-2023</t>
        </is>
      </c>
      <c r="B4187" s="1" t="n">
        <v>45184</v>
      </c>
      <c r="C4187" s="1" t="n">
        <v>45914</v>
      </c>
      <c r="D4187" t="inlineStr">
        <is>
          <t>SKÅNE LÄN</t>
        </is>
      </c>
      <c r="E4187" t="inlineStr">
        <is>
          <t>ÖSTRA GÖINGE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41023-2025</t>
        </is>
      </c>
      <c r="B4188" s="1" t="n">
        <v>45898</v>
      </c>
      <c r="C4188" s="1" t="n">
        <v>45914</v>
      </c>
      <c r="D4188" t="inlineStr">
        <is>
          <t>SKÅNE LÄN</t>
        </is>
      </c>
      <c r="E4188" t="inlineStr">
        <is>
          <t>KRISTIANSTAD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40618-2025</t>
        </is>
      </c>
      <c r="B4189" s="1" t="n">
        <v>45896</v>
      </c>
      <c r="C4189" s="1" t="n">
        <v>45914</v>
      </c>
      <c r="D4189" t="inlineStr">
        <is>
          <t>SKÅNE LÄN</t>
        </is>
      </c>
      <c r="E4189" t="inlineStr">
        <is>
          <t>ÖSTRA GÖINGE</t>
        </is>
      </c>
      <c r="F4189" t="inlineStr">
        <is>
          <t>Kyrkan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47652-2023</t>
        </is>
      </c>
      <c r="B4190" s="1" t="n">
        <v>45198</v>
      </c>
      <c r="C4190" s="1" t="n">
        <v>45914</v>
      </c>
      <c r="D4190" t="inlineStr">
        <is>
          <t>SKÅNE LÄN</t>
        </is>
      </c>
      <c r="E4190" t="inlineStr">
        <is>
          <t>KRISTIANSTAD</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47656-2023</t>
        </is>
      </c>
      <c r="B4191" s="1" t="n">
        <v>45203</v>
      </c>
      <c r="C4191" s="1" t="n">
        <v>45914</v>
      </c>
      <c r="D4191" t="inlineStr">
        <is>
          <t>SKÅNE LÄN</t>
        </is>
      </c>
      <c r="E4191" t="inlineStr">
        <is>
          <t>SJÖBO</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1553-2023</t>
        </is>
      </c>
      <c r="B4192" s="1" t="n">
        <v>44937</v>
      </c>
      <c r="C4192" s="1" t="n">
        <v>45914</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1562-2023</t>
        </is>
      </c>
      <c r="B4193" s="1" t="n">
        <v>44937.60450231482</v>
      </c>
      <c r="C4193" s="1" t="n">
        <v>45914</v>
      </c>
      <c r="D4193" t="inlineStr">
        <is>
          <t>SKÅNE LÄN</t>
        </is>
      </c>
      <c r="E4193" t="inlineStr">
        <is>
          <t>HÄSSLEHOLM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23310-2022</t>
        </is>
      </c>
      <c r="B4194" s="1" t="n">
        <v>44720.47737268519</v>
      </c>
      <c r="C4194" s="1" t="n">
        <v>45914</v>
      </c>
      <c r="D4194" t="inlineStr">
        <is>
          <t>SKÅNE LÄN</t>
        </is>
      </c>
      <c r="E4194" t="inlineStr">
        <is>
          <t>TOMELILLA</t>
        </is>
      </c>
      <c r="F4194" t="inlineStr">
        <is>
          <t>Övriga Aktiebolag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3452-2023</t>
        </is>
      </c>
      <c r="B4195" s="1" t="n">
        <v>44949</v>
      </c>
      <c r="C4195" s="1" t="n">
        <v>45914</v>
      </c>
      <c r="D4195" t="inlineStr">
        <is>
          <t>SKÅNE LÄN</t>
        </is>
      </c>
      <c r="E4195" t="inlineStr">
        <is>
          <t>HÄSSLEHOLM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19693-2025</t>
        </is>
      </c>
      <c r="B4196" s="1" t="n">
        <v>45771.25997685185</v>
      </c>
      <c r="C4196" s="1" t="n">
        <v>45914</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3172-2024</t>
        </is>
      </c>
      <c r="B4197" s="1" t="n">
        <v>45316.6327662037</v>
      </c>
      <c r="C4197" s="1" t="n">
        <v>45914</v>
      </c>
      <c r="D4197" t="inlineStr">
        <is>
          <t>SKÅNE LÄN</t>
        </is>
      </c>
      <c r="E4197" t="inlineStr">
        <is>
          <t>ÖSTRA GÖINGE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70984-2021</t>
        </is>
      </c>
      <c r="B4198" s="1" t="n">
        <v>44538</v>
      </c>
      <c r="C4198" s="1" t="n">
        <v>45914</v>
      </c>
      <c r="D4198" t="inlineStr">
        <is>
          <t>SKÅNE LÄN</t>
        </is>
      </c>
      <c r="E4198" t="inlineStr">
        <is>
          <t>HÖÖR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55954-2023</t>
        </is>
      </c>
      <c r="B4199" s="1" t="n">
        <v>45233</v>
      </c>
      <c r="C4199" s="1" t="n">
        <v>45914</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55959-2023</t>
        </is>
      </c>
      <c r="B4200" s="1" t="n">
        <v>45233</v>
      </c>
      <c r="C4200" s="1" t="n">
        <v>45914</v>
      </c>
      <c r="D4200" t="inlineStr">
        <is>
          <t>SKÅNE LÄN</t>
        </is>
      </c>
      <c r="E4200" t="inlineStr">
        <is>
          <t>KRISTIANSTAD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2596-2024</t>
        </is>
      </c>
      <c r="B4201" s="1" t="n">
        <v>45313.69969907407</v>
      </c>
      <c r="C4201" s="1" t="n">
        <v>45914</v>
      </c>
      <c r="D4201" t="inlineStr">
        <is>
          <t>SKÅNE LÄN</t>
        </is>
      </c>
      <c r="E4201" t="inlineStr">
        <is>
          <t>HÄSSLEHOLM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2681-2024</t>
        </is>
      </c>
      <c r="B4202" s="1" t="n">
        <v>45314</v>
      </c>
      <c r="C4202" s="1" t="n">
        <v>45914</v>
      </c>
      <c r="D4202" t="inlineStr">
        <is>
          <t>SKÅNE LÄN</t>
        </is>
      </c>
      <c r="E4202" t="inlineStr">
        <is>
          <t>HÄSSLEHOLM</t>
        </is>
      </c>
      <c r="F4202" t="inlineStr">
        <is>
          <t>Övriga Aktiebolag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5400-2024</t>
        </is>
      </c>
      <c r="B4203" s="1" t="n">
        <v>45331</v>
      </c>
      <c r="C4203" s="1" t="n">
        <v>45914</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43685-2022</t>
        </is>
      </c>
      <c r="B4204" s="1" t="n">
        <v>44837</v>
      </c>
      <c r="C4204" s="1" t="n">
        <v>45914</v>
      </c>
      <c r="D4204" t="inlineStr">
        <is>
          <t>SKÅNE LÄN</t>
        </is>
      </c>
      <c r="E4204" t="inlineStr">
        <is>
          <t>HÖRBY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7043-2024</t>
        </is>
      </c>
      <c r="B4205" s="1" t="n">
        <v>45343</v>
      </c>
      <c r="C4205" s="1" t="n">
        <v>45914</v>
      </c>
      <c r="D4205" t="inlineStr">
        <is>
          <t>SKÅNE LÄN</t>
        </is>
      </c>
      <c r="E4205" t="inlineStr">
        <is>
          <t>KRISTIANSTAD</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15154-2023</t>
        </is>
      </c>
      <c r="B4206" s="1" t="n">
        <v>45016</v>
      </c>
      <c r="C4206" s="1" t="n">
        <v>45914</v>
      </c>
      <c r="D4206" t="inlineStr">
        <is>
          <t>SKÅNE LÄN</t>
        </is>
      </c>
      <c r="E4206" t="inlineStr">
        <is>
          <t>ÄNGELHOLM</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4187-2023</t>
        </is>
      </c>
      <c r="B4207" s="1" t="n">
        <v>44953</v>
      </c>
      <c r="C4207" s="1" t="n">
        <v>45914</v>
      </c>
      <c r="D4207" t="inlineStr">
        <is>
          <t>SKÅNE LÄN</t>
        </is>
      </c>
      <c r="E4207" t="inlineStr">
        <is>
          <t>HÄSSLEHOLM</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4382-2023</t>
        </is>
      </c>
      <c r="B4208" s="1" t="n">
        <v>44955.61152777778</v>
      </c>
      <c r="C4208" s="1" t="n">
        <v>45914</v>
      </c>
      <c r="D4208" t="inlineStr">
        <is>
          <t>SKÅNE LÄN</t>
        </is>
      </c>
      <c r="E4208" t="inlineStr">
        <is>
          <t>HÄSSLEHOLM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35489-2025</t>
        </is>
      </c>
      <c r="B4209" s="1" t="n">
        <v>45855.79260416667</v>
      </c>
      <c r="C4209" s="1" t="n">
        <v>45914</v>
      </c>
      <c r="D4209" t="inlineStr">
        <is>
          <t>SKÅNE LÄN</t>
        </is>
      </c>
      <c r="E4209" t="inlineStr">
        <is>
          <t>ÖRKELLJUNGA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48217-2022</t>
        </is>
      </c>
      <c r="B4210" s="1" t="n">
        <v>44853</v>
      </c>
      <c r="C4210" s="1" t="n">
        <v>45914</v>
      </c>
      <c r="D4210" t="inlineStr">
        <is>
          <t>SKÅNE LÄN</t>
        </is>
      </c>
      <c r="E4210" t="inlineStr">
        <is>
          <t>KRISTIANSTAD</t>
        </is>
      </c>
      <c r="F4210" t="inlineStr">
        <is>
          <t>Kyrkan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15525-2023</t>
        </is>
      </c>
      <c r="B4211" s="1" t="n">
        <v>45016</v>
      </c>
      <c r="C4211" s="1" t="n">
        <v>45914</v>
      </c>
      <c r="D4211" t="inlineStr">
        <is>
          <t>SKÅNE LÄN</t>
        </is>
      </c>
      <c r="E4211" t="inlineStr">
        <is>
          <t>OSBY</t>
        </is>
      </c>
      <c r="F4211" t="inlineStr">
        <is>
          <t>Naturvårdsverket</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57161-2022</t>
        </is>
      </c>
      <c r="B4212" s="1" t="n">
        <v>44895.59303240741</v>
      </c>
      <c r="C4212" s="1" t="n">
        <v>45914</v>
      </c>
      <c r="D4212" t="inlineStr">
        <is>
          <t>SKÅNE LÄN</t>
        </is>
      </c>
      <c r="E4212" t="inlineStr">
        <is>
          <t>ÖRKELLJUNGA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44043-2023</t>
        </is>
      </c>
      <c r="B4213" s="1" t="n">
        <v>45188.38028935185</v>
      </c>
      <c r="C4213" s="1" t="n">
        <v>45914</v>
      </c>
      <c r="D4213" t="inlineStr">
        <is>
          <t>SKÅNE LÄN</t>
        </is>
      </c>
      <c r="E4213" t="inlineStr">
        <is>
          <t>ÖSTRA GÖINGE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38084-2024</t>
        </is>
      </c>
      <c r="B4214" s="1" t="n">
        <v>45545.31864583334</v>
      </c>
      <c r="C4214" s="1" t="n">
        <v>45914</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27967-2024</t>
        </is>
      </c>
      <c r="B4215" s="1" t="n">
        <v>45476.37760416666</v>
      </c>
      <c r="C4215" s="1" t="n">
        <v>45914</v>
      </c>
      <c r="D4215" t="inlineStr">
        <is>
          <t>SKÅNE LÄN</t>
        </is>
      </c>
      <c r="E4215" t="inlineStr">
        <is>
          <t>ÖRKELLJUNGA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27979-2024</t>
        </is>
      </c>
      <c r="B4216" s="1" t="n">
        <v>45476</v>
      </c>
      <c r="C4216" s="1" t="n">
        <v>45914</v>
      </c>
      <c r="D4216" t="inlineStr">
        <is>
          <t>SKÅNE LÄN</t>
        </is>
      </c>
      <c r="E4216" t="inlineStr">
        <is>
          <t>KRISTIANSTAD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30852-2021</t>
        </is>
      </c>
      <c r="B4217" s="1" t="n">
        <v>44365</v>
      </c>
      <c r="C4217" s="1" t="n">
        <v>45914</v>
      </c>
      <c r="D4217" t="inlineStr">
        <is>
          <t>SKÅNE LÄN</t>
        </is>
      </c>
      <c r="E4217" t="inlineStr">
        <is>
          <t>KLIPPAN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34793-2023</t>
        </is>
      </c>
      <c r="B4218" s="1" t="n">
        <v>45141.58101851852</v>
      </c>
      <c r="C4218" s="1" t="n">
        <v>45914</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11116-2023</t>
        </is>
      </c>
      <c r="B4219" s="1" t="n">
        <v>44986</v>
      </c>
      <c r="C4219" s="1" t="n">
        <v>45914</v>
      </c>
      <c r="D4219" t="inlineStr">
        <is>
          <t>SKÅNE LÄN</t>
        </is>
      </c>
      <c r="E4219" t="inlineStr">
        <is>
          <t>HÄSSLEHOLM</t>
        </is>
      </c>
      <c r="F4219" t="inlineStr">
        <is>
          <t>Kommuner</t>
        </is>
      </c>
      <c r="G4219" t="n">
        <v>15.1</v>
      </c>
      <c r="H4219" t="n">
        <v>0</v>
      </c>
      <c r="I4219" t="n">
        <v>0</v>
      </c>
      <c r="J4219" t="n">
        <v>0</v>
      </c>
      <c r="K4219" t="n">
        <v>0</v>
      </c>
      <c r="L4219" t="n">
        <v>0</v>
      </c>
      <c r="M4219" t="n">
        <v>0</v>
      </c>
      <c r="N4219" t="n">
        <v>0</v>
      </c>
      <c r="O4219" t="n">
        <v>0</v>
      </c>
      <c r="P4219" t="n">
        <v>0</v>
      </c>
      <c r="Q4219" t="n">
        <v>0</v>
      </c>
      <c r="R4219" s="2" t="inlineStr"/>
    </row>
    <row r="4220" ht="15" customHeight="1">
      <c r="A4220" t="inlineStr">
        <is>
          <t>A 11121-2023</t>
        </is>
      </c>
      <c r="B4220" s="1" t="n">
        <v>44986</v>
      </c>
      <c r="C4220" s="1" t="n">
        <v>45914</v>
      </c>
      <c r="D4220" t="inlineStr">
        <is>
          <t>SKÅNE LÄN</t>
        </is>
      </c>
      <c r="E4220" t="inlineStr">
        <is>
          <t>HÄSSLEHOLM</t>
        </is>
      </c>
      <c r="F4220" t="inlineStr">
        <is>
          <t>Kommuner</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38323-2023</t>
        </is>
      </c>
      <c r="B4221" s="1" t="n">
        <v>45161</v>
      </c>
      <c r="C4221" s="1" t="n">
        <v>45914</v>
      </c>
      <c r="D4221" t="inlineStr">
        <is>
          <t>SKÅNE LÄN</t>
        </is>
      </c>
      <c r="E4221" t="inlineStr">
        <is>
          <t>KLIPPAN</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38325-2023</t>
        </is>
      </c>
      <c r="B4222" s="1" t="n">
        <v>45161</v>
      </c>
      <c r="C4222" s="1" t="n">
        <v>45914</v>
      </c>
      <c r="D4222" t="inlineStr">
        <is>
          <t>SKÅNE LÄN</t>
        </is>
      </c>
      <c r="E4222" t="inlineStr">
        <is>
          <t>KLIPPAN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44646-2023</t>
        </is>
      </c>
      <c r="B4223" s="1" t="n">
        <v>45189</v>
      </c>
      <c r="C4223" s="1" t="n">
        <v>45914</v>
      </c>
      <c r="D4223" t="inlineStr">
        <is>
          <t>SKÅNE LÄN</t>
        </is>
      </c>
      <c r="E4223" t="inlineStr">
        <is>
          <t>LUND</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52653-2020</t>
        </is>
      </c>
      <c r="B4224" s="1" t="n">
        <v>44117</v>
      </c>
      <c r="C4224" s="1" t="n">
        <v>45914</v>
      </c>
      <c r="D4224" t="inlineStr">
        <is>
          <t>SKÅNE LÄN</t>
        </is>
      </c>
      <c r="E4224" t="inlineStr">
        <is>
          <t>KLIPPAN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30918-2022</t>
        </is>
      </c>
      <c r="B4225" s="1" t="n">
        <v>44767</v>
      </c>
      <c r="C4225" s="1" t="n">
        <v>45914</v>
      </c>
      <c r="D4225" t="inlineStr">
        <is>
          <t>SKÅNE LÄN</t>
        </is>
      </c>
      <c r="E4225" t="inlineStr">
        <is>
          <t>KRISTIANSTAD</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24976-2024</t>
        </is>
      </c>
      <c r="B4226" s="1" t="n">
        <v>45461.66430555555</v>
      </c>
      <c r="C4226" s="1" t="n">
        <v>45914</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41516-2025</t>
        </is>
      </c>
      <c r="B4227" s="1" t="n">
        <v>45901.54479166667</v>
      </c>
      <c r="C4227" s="1" t="n">
        <v>45914</v>
      </c>
      <c r="D4227" t="inlineStr">
        <is>
          <t>SKÅNE LÄN</t>
        </is>
      </c>
      <c r="E4227" t="inlineStr">
        <is>
          <t>HÖÖR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49239-2022</t>
        </is>
      </c>
      <c r="B4228" s="1" t="n">
        <v>44858</v>
      </c>
      <c r="C4228" s="1" t="n">
        <v>45914</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6782-2022</t>
        </is>
      </c>
      <c r="B4229" s="1" t="n">
        <v>44602.54034722222</v>
      </c>
      <c r="C4229" s="1" t="n">
        <v>45914</v>
      </c>
      <c r="D4229" t="inlineStr">
        <is>
          <t>SKÅNE LÄN</t>
        </is>
      </c>
      <c r="E4229" t="inlineStr">
        <is>
          <t>ÖSTRA GÖINGE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41359-2025</t>
        </is>
      </c>
      <c r="B4230" s="1" t="n">
        <v>45900.46728009259</v>
      </c>
      <c r="C4230" s="1" t="n">
        <v>45914</v>
      </c>
      <c r="D4230" t="inlineStr">
        <is>
          <t>SKÅNE LÄN</t>
        </is>
      </c>
      <c r="E4230" t="inlineStr">
        <is>
          <t>KRISTIANSTAD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1228-2022</t>
        </is>
      </c>
      <c r="B4231" s="1" t="n">
        <v>44572</v>
      </c>
      <c r="C4231" s="1" t="n">
        <v>45914</v>
      </c>
      <c r="D4231" t="inlineStr">
        <is>
          <t>SKÅNE LÄN</t>
        </is>
      </c>
      <c r="E4231" t="inlineStr">
        <is>
          <t>KRISTIANSTAD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15232-2025</t>
        </is>
      </c>
      <c r="B4232" s="1" t="n">
        <v>45744.60167824074</v>
      </c>
      <c r="C4232" s="1" t="n">
        <v>45914</v>
      </c>
      <c r="D4232" t="inlineStr">
        <is>
          <t>SKÅNE LÄN</t>
        </is>
      </c>
      <c r="E4232" t="inlineStr">
        <is>
          <t>OSBY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47890-2022</t>
        </is>
      </c>
      <c r="B4233" s="1" t="n">
        <v>44855</v>
      </c>
      <c r="C4233" s="1" t="n">
        <v>45914</v>
      </c>
      <c r="D4233" t="inlineStr">
        <is>
          <t>SKÅNE LÄN</t>
        </is>
      </c>
      <c r="E4233" t="inlineStr">
        <is>
          <t>ÖRKELLJUNGA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9840-2022</t>
        </is>
      </c>
      <c r="B4234" s="1" t="n">
        <v>44620</v>
      </c>
      <c r="C4234" s="1" t="n">
        <v>45914</v>
      </c>
      <c r="D4234" t="inlineStr">
        <is>
          <t>SKÅNE LÄN</t>
        </is>
      </c>
      <c r="E4234" t="inlineStr">
        <is>
          <t>OSBY</t>
        </is>
      </c>
      <c r="F4234" t="inlineStr">
        <is>
          <t>Kommuner</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2462-2021</t>
        </is>
      </c>
      <c r="B4235" s="1" t="n">
        <v>44213</v>
      </c>
      <c r="C4235" s="1" t="n">
        <v>45914</v>
      </c>
      <c r="D4235" t="inlineStr">
        <is>
          <t>SKÅNE LÄN</t>
        </is>
      </c>
      <c r="E4235" t="inlineStr">
        <is>
          <t>ÖRKELLJUNGA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26591-2025</t>
        </is>
      </c>
      <c r="B4236" s="1" t="n">
        <v>45807</v>
      </c>
      <c r="C4236" s="1" t="n">
        <v>45914</v>
      </c>
      <c r="D4236" t="inlineStr">
        <is>
          <t>SKÅNE LÄN</t>
        </is>
      </c>
      <c r="E4236" t="inlineStr">
        <is>
          <t>HÖÖR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24724-2024</t>
        </is>
      </c>
      <c r="B4237" s="1" t="n">
        <v>45460.64310185185</v>
      </c>
      <c r="C4237" s="1" t="n">
        <v>45914</v>
      </c>
      <c r="D4237" t="inlineStr">
        <is>
          <t>SKÅNE LÄN</t>
        </is>
      </c>
      <c r="E4237" t="inlineStr">
        <is>
          <t>HÖRBY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49107-2023</t>
        </is>
      </c>
      <c r="B4238" s="1" t="n">
        <v>45210.44337962963</v>
      </c>
      <c r="C4238" s="1" t="n">
        <v>45914</v>
      </c>
      <c r="D4238" t="inlineStr">
        <is>
          <t>SKÅNE LÄN</t>
        </is>
      </c>
      <c r="E4238" t="inlineStr">
        <is>
          <t>HÄSSLEHOLM</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5282-2023</t>
        </is>
      </c>
      <c r="B4239" s="1" t="n">
        <v>44959.50471064815</v>
      </c>
      <c r="C4239" s="1" t="n">
        <v>45914</v>
      </c>
      <c r="D4239" t="inlineStr">
        <is>
          <t>SKÅNE LÄN</t>
        </is>
      </c>
      <c r="E4239" t="inlineStr">
        <is>
          <t>HÄSSLEHOLM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6154-2021</t>
        </is>
      </c>
      <c r="B4240" s="1" t="n">
        <v>44232</v>
      </c>
      <c r="C4240" s="1" t="n">
        <v>45914</v>
      </c>
      <c r="D4240" t="inlineStr">
        <is>
          <t>SKÅNE LÄN</t>
        </is>
      </c>
      <c r="E4240" t="inlineStr">
        <is>
          <t>ÖRKELLJUNGA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6180-2021</t>
        </is>
      </c>
      <c r="B4241" s="1" t="n">
        <v>44232</v>
      </c>
      <c r="C4241" s="1" t="n">
        <v>45914</v>
      </c>
      <c r="D4241" t="inlineStr">
        <is>
          <t>SKÅNE LÄN</t>
        </is>
      </c>
      <c r="E4241" t="inlineStr">
        <is>
          <t>HÄSSLEHOLM</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51903-2024</t>
        </is>
      </c>
      <c r="B4242" s="1" t="n">
        <v>45607.59041666667</v>
      </c>
      <c r="C4242" s="1" t="n">
        <v>45914</v>
      </c>
      <c r="D4242" t="inlineStr">
        <is>
          <t>SKÅNE LÄN</t>
        </is>
      </c>
      <c r="E4242" t="inlineStr">
        <is>
          <t>KRISTIANSTAD</t>
        </is>
      </c>
      <c r="F4242" t="inlineStr">
        <is>
          <t>Övriga Aktiebolag</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41539-2025</t>
        </is>
      </c>
      <c r="B4243" s="1" t="n">
        <v>45901.56731481481</v>
      </c>
      <c r="C4243" s="1" t="n">
        <v>45914</v>
      </c>
      <c r="D4243" t="inlineStr">
        <is>
          <t>SKÅNE LÄN</t>
        </is>
      </c>
      <c r="E4243" t="inlineStr">
        <is>
          <t>ESLÖV</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41636-2025</t>
        </is>
      </c>
      <c r="B4244" s="1" t="n">
        <v>45902.25947916666</v>
      </c>
      <c r="C4244" s="1" t="n">
        <v>45914</v>
      </c>
      <c r="D4244" t="inlineStr">
        <is>
          <t>SKÅNE LÄN</t>
        </is>
      </c>
      <c r="E4244" t="inlineStr">
        <is>
          <t>KRISTIANSTAD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35721-2025</t>
        </is>
      </c>
      <c r="B4245" s="1" t="n">
        <v>45860.43550925926</v>
      </c>
      <c r="C4245" s="1" t="n">
        <v>45914</v>
      </c>
      <c r="D4245" t="inlineStr">
        <is>
          <t>SKÅNE LÄN</t>
        </is>
      </c>
      <c r="E4245" t="inlineStr">
        <is>
          <t>KRISTIANSTAD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41309-2025</t>
        </is>
      </c>
      <c r="B4246" s="1" t="n">
        <v>45898.74201388889</v>
      </c>
      <c r="C4246" s="1" t="n">
        <v>45914</v>
      </c>
      <c r="D4246" t="inlineStr">
        <is>
          <t>SKÅNE LÄN</t>
        </is>
      </c>
      <c r="E4246" t="inlineStr">
        <is>
          <t>BROMÖLLA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56646-2023</t>
        </is>
      </c>
      <c r="B4247" s="1" t="n">
        <v>45243</v>
      </c>
      <c r="C4247" s="1" t="n">
        <v>45914</v>
      </c>
      <c r="D4247" t="inlineStr">
        <is>
          <t>SKÅNE LÄN</t>
        </is>
      </c>
      <c r="E4247" t="inlineStr">
        <is>
          <t>ÖSTRA GÖINGE</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41635-2025</t>
        </is>
      </c>
      <c r="B4248" s="1" t="n">
        <v>45902.25789351852</v>
      </c>
      <c r="C4248" s="1" t="n">
        <v>45914</v>
      </c>
      <c r="D4248" t="inlineStr">
        <is>
          <t>SKÅNE LÄN</t>
        </is>
      </c>
      <c r="E4248" t="inlineStr">
        <is>
          <t>KRISTIANSTAD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35719-2025</t>
        </is>
      </c>
      <c r="B4249" s="1" t="n">
        <v>45860.43425925926</v>
      </c>
      <c r="C4249" s="1" t="n">
        <v>45914</v>
      </c>
      <c r="D4249" t="inlineStr">
        <is>
          <t>SKÅNE LÄN</t>
        </is>
      </c>
      <c r="E4249" t="inlineStr">
        <is>
          <t>KRISTIANSTAD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38784-2025</t>
        </is>
      </c>
      <c r="B4250" s="1" t="n">
        <v>45887.4477662037</v>
      </c>
      <c r="C4250" s="1" t="n">
        <v>45914</v>
      </c>
      <c r="D4250" t="inlineStr">
        <is>
          <t>SKÅNE LÄN</t>
        </is>
      </c>
      <c r="E4250" t="inlineStr">
        <is>
          <t>KRISTIANSTAD</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14517-2023</t>
        </is>
      </c>
      <c r="B4251" s="1" t="n">
        <v>45012</v>
      </c>
      <c r="C4251" s="1" t="n">
        <v>45914</v>
      </c>
      <c r="D4251" t="inlineStr">
        <is>
          <t>SKÅNE LÄN</t>
        </is>
      </c>
      <c r="E4251" t="inlineStr">
        <is>
          <t>ÅSTORP</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46452-2020</t>
        </is>
      </c>
      <c r="B4252" s="1" t="n">
        <v>44092</v>
      </c>
      <c r="C4252" s="1" t="n">
        <v>45914</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46480-2020</t>
        </is>
      </c>
      <c r="B4253" s="1" t="n">
        <v>44092</v>
      </c>
      <c r="C4253" s="1" t="n">
        <v>45914</v>
      </c>
      <c r="D4253" t="inlineStr">
        <is>
          <t>SKÅNE LÄN</t>
        </is>
      </c>
      <c r="E4253" t="inlineStr">
        <is>
          <t>ÖSTRA GÖINGE</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53897-2023</t>
        </is>
      </c>
      <c r="B4254" s="1" t="n">
        <v>45231.53934027778</v>
      </c>
      <c r="C4254" s="1" t="n">
        <v>45914</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12953-2025</t>
        </is>
      </c>
      <c r="B4255" s="1" t="n">
        <v>45734</v>
      </c>
      <c r="C4255" s="1" t="n">
        <v>45914</v>
      </c>
      <c r="D4255" t="inlineStr">
        <is>
          <t>SKÅNE LÄN</t>
        </is>
      </c>
      <c r="E4255" t="inlineStr">
        <is>
          <t>SVEDALA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55682-2023</t>
        </is>
      </c>
      <c r="B4256" s="1" t="n">
        <v>45239.34430555555</v>
      </c>
      <c r="C4256" s="1" t="n">
        <v>45914</v>
      </c>
      <c r="D4256" t="inlineStr">
        <is>
          <t>SKÅNE LÄN</t>
        </is>
      </c>
      <c r="E4256" t="inlineStr">
        <is>
          <t>OSBY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25450-2022</t>
        </is>
      </c>
      <c r="B4257" s="1" t="n">
        <v>44732</v>
      </c>
      <c r="C4257" s="1" t="n">
        <v>45914</v>
      </c>
      <c r="D4257" t="inlineStr">
        <is>
          <t>SKÅNE LÄN</t>
        </is>
      </c>
      <c r="E4257" t="inlineStr">
        <is>
          <t>KRISTIANSTAD</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6605-2024</t>
        </is>
      </c>
      <c r="B4258" s="1" t="n">
        <v>45341.56746527777</v>
      </c>
      <c r="C4258" s="1" t="n">
        <v>45914</v>
      </c>
      <c r="D4258" t="inlineStr">
        <is>
          <t>SKÅNE LÄN</t>
        </is>
      </c>
      <c r="E4258" t="inlineStr">
        <is>
          <t>OSBY</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37554-2024</t>
        </is>
      </c>
      <c r="B4259" s="1" t="n">
        <v>45541.43700231481</v>
      </c>
      <c r="C4259" s="1" t="n">
        <v>45914</v>
      </c>
      <c r="D4259" t="inlineStr">
        <is>
          <t>SKÅNE LÄN</t>
        </is>
      </c>
      <c r="E4259" t="inlineStr">
        <is>
          <t>ÖSTRA GÖINGE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37558-2024</t>
        </is>
      </c>
      <c r="B4260" s="1" t="n">
        <v>45541.43848379629</v>
      </c>
      <c r="C4260" s="1" t="n">
        <v>45914</v>
      </c>
      <c r="D4260" t="inlineStr">
        <is>
          <t>SKÅNE LÄN</t>
        </is>
      </c>
      <c r="E4260" t="inlineStr">
        <is>
          <t>ÖSTRA GÖINGE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37559-2024</t>
        </is>
      </c>
      <c r="B4261" s="1" t="n">
        <v>45541.44021990741</v>
      </c>
      <c r="C4261" s="1" t="n">
        <v>45914</v>
      </c>
      <c r="D4261" t="inlineStr">
        <is>
          <t>SKÅNE LÄN</t>
        </is>
      </c>
      <c r="E4261" t="inlineStr">
        <is>
          <t>ÖSTRA GÖINGE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41245-2025</t>
        </is>
      </c>
      <c r="B4262" s="1" t="n">
        <v>45898.60077546296</v>
      </c>
      <c r="C4262" s="1" t="n">
        <v>45914</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40296-2025</t>
        </is>
      </c>
      <c r="B4263" s="1" t="n">
        <v>45895</v>
      </c>
      <c r="C4263" s="1" t="n">
        <v>45914</v>
      </c>
      <c r="D4263" t="inlineStr">
        <is>
          <t>SKÅNE LÄN</t>
        </is>
      </c>
      <c r="E4263" t="inlineStr">
        <is>
          <t>KRISTIANSTAD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27957-2022</t>
        </is>
      </c>
      <c r="B4264" s="1" t="n">
        <v>44743</v>
      </c>
      <c r="C4264" s="1" t="n">
        <v>45914</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41680-2024</t>
        </is>
      </c>
      <c r="B4265" s="1" t="n">
        <v>45560</v>
      </c>
      <c r="C4265" s="1" t="n">
        <v>45914</v>
      </c>
      <c r="D4265" t="inlineStr">
        <is>
          <t>SKÅNE LÄN</t>
        </is>
      </c>
      <c r="E4265" t="inlineStr">
        <is>
          <t>HÄSSLEHOLM</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30845-2022</t>
        </is>
      </c>
      <c r="B4266" s="1" t="n">
        <v>44767</v>
      </c>
      <c r="C4266" s="1" t="n">
        <v>45914</v>
      </c>
      <c r="D4266" t="inlineStr">
        <is>
          <t>SKÅNE LÄN</t>
        </is>
      </c>
      <c r="E4266" t="inlineStr">
        <is>
          <t>KRISTIANSTAD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41363-2025</t>
        </is>
      </c>
      <c r="B4267" s="1" t="n">
        <v>45900.47556712963</v>
      </c>
      <c r="C4267" s="1" t="n">
        <v>45914</v>
      </c>
      <c r="D4267" t="inlineStr">
        <is>
          <t>SKÅNE LÄN</t>
        </is>
      </c>
      <c r="E4267" t="inlineStr">
        <is>
          <t>KRISTIANSTAD</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20990-2023</t>
        </is>
      </c>
      <c r="B4268" s="1" t="n">
        <v>45061.46186342592</v>
      </c>
      <c r="C4268" s="1" t="n">
        <v>45914</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21066-2023</t>
        </is>
      </c>
      <c r="B4269" s="1" t="n">
        <v>45061</v>
      </c>
      <c r="C4269" s="1" t="n">
        <v>45914</v>
      </c>
      <c r="D4269" t="inlineStr">
        <is>
          <t>SKÅNE LÄN</t>
        </is>
      </c>
      <c r="E4269" t="inlineStr">
        <is>
          <t>HÖÖR</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41609-2025</t>
        </is>
      </c>
      <c r="B4270" s="1" t="n">
        <v>45901</v>
      </c>
      <c r="C4270" s="1" t="n">
        <v>45914</v>
      </c>
      <c r="D4270" t="inlineStr">
        <is>
          <t>SKÅNE LÄN</t>
        </is>
      </c>
      <c r="E4270" t="inlineStr">
        <is>
          <t>KRISTIANSTAD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41357-2025</t>
        </is>
      </c>
      <c r="B4271" s="1" t="n">
        <v>45900.45480324074</v>
      </c>
      <c r="C4271" s="1" t="n">
        <v>45914</v>
      </c>
      <c r="D4271" t="inlineStr">
        <is>
          <t>SKÅNE LÄN</t>
        </is>
      </c>
      <c r="E4271" t="inlineStr">
        <is>
          <t>KRISTIANSTAD</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41361-2025</t>
        </is>
      </c>
      <c r="B4272" s="1" t="n">
        <v>45900.47006944445</v>
      </c>
      <c r="C4272" s="1" t="n">
        <v>45914</v>
      </c>
      <c r="D4272" t="inlineStr">
        <is>
          <t>SKÅNE LÄN</t>
        </is>
      </c>
      <c r="E4272" t="inlineStr">
        <is>
          <t>KRISTIANSTAD</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41362-2025</t>
        </is>
      </c>
      <c r="B4273" s="1" t="n">
        <v>45900.47234953703</v>
      </c>
      <c r="C4273" s="1" t="n">
        <v>45914</v>
      </c>
      <c r="D4273" t="inlineStr">
        <is>
          <t>SKÅNE LÄN</t>
        </is>
      </c>
      <c r="E4273" t="inlineStr">
        <is>
          <t>KRISTIANSTAD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41400-2025</t>
        </is>
      </c>
      <c r="B4274" s="1" t="n">
        <v>45901</v>
      </c>
      <c r="C4274" s="1" t="n">
        <v>45914</v>
      </c>
      <c r="D4274" t="inlineStr">
        <is>
          <t>SKÅNE LÄN</t>
        </is>
      </c>
      <c r="E4274" t="inlineStr">
        <is>
          <t>HÄSSLEHOLM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41401-2025</t>
        </is>
      </c>
      <c r="B4275" s="1" t="n">
        <v>45901</v>
      </c>
      <c r="C4275" s="1" t="n">
        <v>45914</v>
      </c>
      <c r="D4275" t="inlineStr">
        <is>
          <t>SKÅNE LÄN</t>
        </is>
      </c>
      <c r="E4275" t="inlineStr">
        <is>
          <t>HÄSSLEHOLM</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5557-2022</t>
        </is>
      </c>
      <c r="B4276" s="1" t="n">
        <v>44593</v>
      </c>
      <c r="C4276" s="1" t="n">
        <v>45914</v>
      </c>
      <c r="D4276" t="inlineStr">
        <is>
          <t>SKÅNE LÄN</t>
        </is>
      </c>
      <c r="E4276" t="inlineStr">
        <is>
          <t>KLIPPAN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41358-2025</t>
        </is>
      </c>
      <c r="B4277" s="1" t="n">
        <v>45900.46421296296</v>
      </c>
      <c r="C4277" s="1" t="n">
        <v>45914</v>
      </c>
      <c r="D4277" t="inlineStr">
        <is>
          <t>SKÅNE LÄN</t>
        </is>
      </c>
      <c r="E4277" t="inlineStr">
        <is>
          <t>KRISTIANSTAD</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15984-2025</t>
        </is>
      </c>
      <c r="B4278" s="1" t="n">
        <v>45749</v>
      </c>
      <c r="C4278" s="1" t="n">
        <v>45914</v>
      </c>
      <c r="D4278" t="inlineStr">
        <is>
          <t>SKÅNE LÄN</t>
        </is>
      </c>
      <c r="E4278" t="inlineStr">
        <is>
          <t>LUND</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6830-2025</t>
        </is>
      </c>
      <c r="B4279" s="1" t="n">
        <v>45700</v>
      </c>
      <c r="C4279" s="1" t="n">
        <v>45914</v>
      </c>
      <c r="D4279" t="inlineStr">
        <is>
          <t>SKÅNE LÄN</t>
        </is>
      </c>
      <c r="E4279" t="inlineStr">
        <is>
          <t>SIMRISHAMN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38813-2025</t>
        </is>
      </c>
      <c r="B4280" s="1" t="n">
        <v>45887</v>
      </c>
      <c r="C4280" s="1" t="n">
        <v>45914</v>
      </c>
      <c r="D4280" t="inlineStr">
        <is>
          <t>SKÅNE LÄN</t>
        </is>
      </c>
      <c r="E4280" t="inlineStr">
        <is>
          <t>HÖÖR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20643-2024</t>
        </is>
      </c>
      <c r="B4281" s="1" t="n">
        <v>45436</v>
      </c>
      <c r="C4281" s="1" t="n">
        <v>45914</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58337-2021</t>
        </is>
      </c>
      <c r="B4282" s="1" t="n">
        <v>44487</v>
      </c>
      <c r="C4282" s="1" t="n">
        <v>45914</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13255-2021</t>
        </is>
      </c>
      <c r="B4283" s="1" t="n">
        <v>44272</v>
      </c>
      <c r="C4283" s="1" t="n">
        <v>45914</v>
      </c>
      <c r="D4283" t="inlineStr">
        <is>
          <t>SKÅNE LÄN</t>
        </is>
      </c>
      <c r="E4283" t="inlineStr">
        <is>
          <t>KRISTIANSTAD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53299-2023</t>
        </is>
      </c>
      <c r="B4284" s="1" t="n">
        <v>45229</v>
      </c>
      <c r="C4284" s="1" t="n">
        <v>45914</v>
      </c>
      <c r="D4284" t="inlineStr">
        <is>
          <t>SKÅNE LÄN</t>
        </is>
      </c>
      <c r="E4284" t="inlineStr">
        <is>
          <t>KRISTIANSTAD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8752-2021</t>
        </is>
      </c>
      <c r="B4285" s="1" t="n">
        <v>44246</v>
      </c>
      <c r="C4285" s="1" t="n">
        <v>45914</v>
      </c>
      <c r="D4285" t="inlineStr">
        <is>
          <t>SKÅNE LÄN</t>
        </is>
      </c>
      <c r="E4285" t="inlineStr">
        <is>
          <t>ÖRKELLJUNGA</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13591-2021</t>
        </is>
      </c>
      <c r="B4286" s="1" t="n">
        <v>44274</v>
      </c>
      <c r="C4286" s="1" t="n">
        <v>45914</v>
      </c>
      <c r="D4286" t="inlineStr">
        <is>
          <t>SKÅNE LÄN</t>
        </is>
      </c>
      <c r="E4286" t="inlineStr">
        <is>
          <t>KRISTIANSTAD</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22636-2023</t>
        </is>
      </c>
      <c r="B4287" s="1" t="n">
        <v>45071</v>
      </c>
      <c r="C4287" s="1" t="n">
        <v>45914</v>
      </c>
      <c r="D4287" t="inlineStr">
        <is>
          <t>SKÅNE LÄN</t>
        </is>
      </c>
      <c r="E4287" t="inlineStr">
        <is>
          <t>OSBY</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22696-2023</t>
        </is>
      </c>
      <c r="B4288" s="1" t="n">
        <v>45071.69464120371</v>
      </c>
      <c r="C4288" s="1" t="n">
        <v>45914</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5027-2024</t>
        </is>
      </c>
      <c r="B4289" s="1" t="n">
        <v>45329</v>
      </c>
      <c r="C4289" s="1" t="n">
        <v>45914</v>
      </c>
      <c r="D4289" t="inlineStr">
        <is>
          <t>SKÅNE LÄN</t>
        </is>
      </c>
      <c r="E4289" t="inlineStr">
        <is>
          <t>TOMELILLA</t>
        </is>
      </c>
      <c r="F4289" t="inlineStr">
        <is>
          <t>Övriga Aktiebolag</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13754-2023</t>
        </is>
      </c>
      <c r="B4290" s="1" t="n">
        <v>45007.40105324074</v>
      </c>
      <c r="C4290" s="1" t="n">
        <v>45914</v>
      </c>
      <c r="D4290" t="inlineStr">
        <is>
          <t>SKÅNE LÄN</t>
        </is>
      </c>
      <c r="E4290" t="inlineStr">
        <is>
          <t>SJÖBO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53466-2022</t>
        </is>
      </c>
      <c r="B4291" s="1" t="n">
        <v>44879</v>
      </c>
      <c r="C4291" s="1" t="n">
        <v>45914</v>
      </c>
      <c r="D4291" t="inlineStr">
        <is>
          <t>SKÅNE LÄN</t>
        </is>
      </c>
      <c r="E4291" t="inlineStr">
        <is>
          <t>KRISTIANSTAD</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52877-2022</t>
        </is>
      </c>
      <c r="B4292" s="1" t="n">
        <v>44875.53217592592</v>
      </c>
      <c r="C4292" s="1" t="n">
        <v>45914</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42323-2025</t>
        </is>
      </c>
      <c r="B4293" s="1" t="n">
        <v>45903</v>
      </c>
      <c r="C4293" s="1" t="n">
        <v>45914</v>
      </c>
      <c r="D4293" t="inlineStr">
        <is>
          <t>SKÅNE LÄN</t>
        </is>
      </c>
      <c r="E4293" t="inlineStr">
        <is>
          <t>SJÖBO</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33873-2021</t>
        </is>
      </c>
      <c r="B4294" s="1" t="n">
        <v>44378</v>
      </c>
      <c r="C4294" s="1" t="n">
        <v>45914</v>
      </c>
      <c r="D4294" t="inlineStr">
        <is>
          <t>SKÅNE LÄN</t>
        </is>
      </c>
      <c r="E4294" t="inlineStr">
        <is>
          <t>HÄSSLEHOLM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49885-2022</t>
        </is>
      </c>
      <c r="B4295" s="1" t="n">
        <v>44864</v>
      </c>
      <c r="C4295" s="1" t="n">
        <v>45914</v>
      </c>
      <c r="D4295" t="inlineStr">
        <is>
          <t>SKÅNE LÄN</t>
        </is>
      </c>
      <c r="E4295" t="inlineStr">
        <is>
          <t>ÄNGELHOLM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34348-2022</t>
        </is>
      </c>
      <c r="B4296" s="1" t="n">
        <v>44792</v>
      </c>
      <c r="C4296" s="1" t="n">
        <v>45914</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42092-2025</t>
        </is>
      </c>
      <c r="B4297" s="1" t="n">
        <v>45903</v>
      </c>
      <c r="C4297" s="1" t="n">
        <v>45914</v>
      </c>
      <c r="D4297" t="inlineStr">
        <is>
          <t>SKÅNE LÄN</t>
        </is>
      </c>
      <c r="E4297" t="inlineStr">
        <is>
          <t>KRISTIANSTAD</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65863-2020</t>
        </is>
      </c>
      <c r="B4298" s="1" t="n">
        <v>44173</v>
      </c>
      <c r="C4298" s="1" t="n">
        <v>45914</v>
      </c>
      <c r="D4298" t="inlineStr">
        <is>
          <t>SKÅNE LÄN</t>
        </is>
      </c>
      <c r="E4298" t="inlineStr">
        <is>
          <t>SVALÖV</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41887-2025</t>
        </is>
      </c>
      <c r="B4299" s="1" t="n">
        <v>45903.37215277777</v>
      </c>
      <c r="C4299" s="1" t="n">
        <v>45914</v>
      </c>
      <c r="D4299" t="inlineStr">
        <is>
          <t>SKÅNE LÄN</t>
        </is>
      </c>
      <c r="E4299" t="inlineStr">
        <is>
          <t>ÖRKELLJUNGA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23798-2024</t>
        </is>
      </c>
      <c r="B4300" s="1" t="n">
        <v>45455.43208333333</v>
      </c>
      <c r="C4300" s="1" t="n">
        <v>45914</v>
      </c>
      <c r="D4300" t="inlineStr">
        <is>
          <t>SKÅNE LÄN</t>
        </is>
      </c>
      <c r="E4300" t="inlineStr">
        <is>
          <t>ÅSTORP</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23400-2023</t>
        </is>
      </c>
      <c r="B4301" s="1" t="n">
        <v>45076</v>
      </c>
      <c r="C4301" s="1" t="n">
        <v>45914</v>
      </c>
      <c r="D4301" t="inlineStr">
        <is>
          <t>SKÅNE LÄN</t>
        </is>
      </c>
      <c r="E4301" t="inlineStr">
        <is>
          <t>ÖSTRA GÖINGE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23405-2023</t>
        </is>
      </c>
      <c r="B4302" s="1" t="n">
        <v>45076</v>
      </c>
      <c r="C4302" s="1" t="n">
        <v>45914</v>
      </c>
      <c r="D4302" t="inlineStr">
        <is>
          <t>SKÅNE LÄN</t>
        </is>
      </c>
      <c r="E4302" t="inlineStr">
        <is>
          <t>ÖSTRA GÖINGE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40470-2025</t>
        </is>
      </c>
      <c r="B4303" s="1" t="n">
        <v>45895</v>
      </c>
      <c r="C4303" s="1" t="n">
        <v>45914</v>
      </c>
      <c r="D4303" t="inlineStr">
        <is>
          <t>SKÅNE LÄN</t>
        </is>
      </c>
      <c r="E4303" t="inlineStr">
        <is>
          <t>SVALÖV</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41926-2025</t>
        </is>
      </c>
      <c r="B4304" s="1" t="n">
        <v>45903.42753472222</v>
      </c>
      <c r="C4304" s="1" t="n">
        <v>45914</v>
      </c>
      <c r="D4304" t="inlineStr">
        <is>
          <t>SKÅNE LÄN</t>
        </is>
      </c>
      <c r="E4304" t="inlineStr">
        <is>
          <t>ÖRKELLJUNGA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6836-2023</t>
        </is>
      </c>
      <c r="B4305" s="1" t="n">
        <v>44967</v>
      </c>
      <c r="C4305" s="1" t="n">
        <v>45914</v>
      </c>
      <c r="D4305" t="inlineStr">
        <is>
          <t>SKÅNE LÄN</t>
        </is>
      </c>
      <c r="E4305" t="inlineStr">
        <is>
          <t>HÄSSLEHOLM</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4708-2025</t>
        </is>
      </c>
      <c r="B4306" s="1" t="n">
        <v>45688</v>
      </c>
      <c r="C4306" s="1" t="n">
        <v>45914</v>
      </c>
      <c r="D4306" t="inlineStr">
        <is>
          <t>SKÅNE LÄN</t>
        </is>
      </c>
      <c r="E4306" t="inlineStr">
        <is>
          <t>OSBY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35792-2025</t>
        </is>
      </c>
      <c r="B4307" s="1" t="n">
        <v>45861.34115740741</v>
      </c>
      <c r="C4307" s="1" t="n">
        <v>45914</v>
      </c>
      <c r="D4307" t="inlineStr">
        <is>
          <t>SKÅNE LÄN</t>
        </is>
      </c>
      <c r="E4307" t="inlineStr">
        <is>
          <t>TOMELILLA</t>
        </is>
      </c>
      <c r="F4307" t="inlineStr">
        <is>
          <t>Övriga Aktiebolag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12996-2021</t>
        </is>
      </c>
      <c r="B4308" s="1" t="n">
        <v>44271.64799768518</v>
      </c>
      <c r="C4308" s="1" t="n">
        <v>45914</v>
      </c>
      <c r="D4308" t="inlineStr">
        <is>
          <t>SKÅNE LÄN</t>
        </is>
      </c>
      <c r="E4308" t="inlineStr">
        <is>
          <t>OSBY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31931-2024</t>
        </is>
      </c>
      <c r="B4309" s="1" t="n">
        <v>45510.40878472223</v>
      </c>
      <c r="C4309" s="1" t="n">
        <v>45914</v>
      </c>
      <c r="D4309" t="inlineStr">
        <is>
          <t>SKÅNE LÄN</t>
        </is>
      </c>
      <c r="E4309" t="inlineStr">
        <is>
          <t>HÄSSLEHOLM</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8803-2023</t>
        </is>
      </c>
      <c r="B4310" s="1" t="n">
        <v>44978.61712962963</v>
      </c>
      <c r="C4310" s="1" t="n">
        <v>45914</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11681-2023</t>
        </is>
      </c>
      <c r="B4311" s="1" t="n">
        <v>44992</v>
      </c>
      <c r="C4311" s="1" t="n">
        <v>45914</v>
      </c>
      <c r="D4311" t="inlineStr">
        <is>
          <t>SKÅNE LÄN</t>
        </is>
      </c>
      <c r="E4311" t="inlineStr">
        <is>
          <t>HÄSSLEHOLM</t>
        </is>
      </c>
      <c r="F4311" t="inlineStr">
        <is>
          <t>Övriga Aktiebolag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27529-2025</t>
        </is>
      </c>
      <c r="B4312" s="1" t="n">
        <v>45813</v>
      </c>
      <c r="C4312" s="1" t="n">
        <v>45914</v>
      </c>
      <c r="D4312" t="inlineStr">
        <is>
          <t>SKÅNE LÄN</t>
        </is>
      </c>
      <c r="E4312" t="inlineStr">
        <is>
          <t>KLIPPAN</t>
        </is>
      </c>
      <c r="F4312" t="inlineStr">
        <is>
          <t>Övriga Aktiebolag</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41912-2025</t>
        </is>
      </c>
      <c r="B4313" s="1" t="n">
        <v>45903.40931712963</v>
      </c>
      <c r="C4313" s="1" t="n">
        <v>45914</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43401-2024</t>
        </is>
      </c>
      <c r="B4314" s="1" t="n">
        <v>45568</v>
      </c>
      <c r="C4314" s="1" t="n">
        <v>45914</v>
      </c>
      <c r="D4314" t="inlineStr">
        <is>
          <t>SKÅNE LÄN</t>
        </is>
      </c>
      <c r="E4314" t="inlineStr">
        <is>
          <t>ÖSTRA GÖINGE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743-2024</t>
        </is>
      </c>
      <c r="B4315" s="1" t="n">
        <v>45300</v>
      </c>
      <c r="C4315" s="1" t="n">
        <v>45914</v>
      </c>
      <c r="D4315" t="inlineStr">
        <is>
          <t>SKÅNE LÄN</t>
        </is>
      </c>
      <c r="E4315" t="inlineStr">
        <is>
          <t>TOMELILLA</t>
        </is>
      </c>
      <c r="F4315" t="inlineStr">
        <is>
          <t>Övriga Aktiebolag</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35922-2025</t>
        </is>
      </c>
      <c r="B4316" s="1" t="n">
        <v>45862.5662962963</v>
      </c>
      <c r="C4316" s="1" t="n">
        <v>45914</v>
      </c>
      <c r="D4316" t="inlineStr">
        <is>
          <t>SKÅNE LÄN</t>
        </is>
      </c>
      <c r="E4316" t="inlineStr">
        <is>
          <t>PERSTORP</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46472-2020</t>
        </is>
      </c>
      <c r="B4317" s="1" t="n">
        <v>44092</v>
      </c>
      <c r="C4317" s="1" t="n">
        <v>45914</v>
      </c>
      <c r="D4317" t="inlineStr">
        <is>
          <t>SKÅNE LÄN</t>
        </is>
      </c>
      <c r="E4317" t="inlineStr">
        <is>
          <t>ÖSTRA GÖINGE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35946-2025</t>
        </is>
      </c>
      <c r="B4318" s="1" t="n">
        <v>45862.72125</v>
      </c>
      <c r="C4318" s="1" t="n">
        <v>45914</v>
      </c>
      <c r="D4318" t="inlineStr">
        <is>
          <t>SKÅNE LÄN</t>
        </is>
      </c>
      <c r="E4318" t="inlineStr">
        <is>
          <t>KRISTIANSTAD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46222-2022</t>
        </is>
      </c>
      <c r="B4319" s="1" t="n">
        <v>44847.58725694445</v>
      </c>
      <c r="C4319" s="1" t="n">
        <v>45914</v>
      </c>
      <c r="D4319" t="inlineStr">
        <is>
          <t>SKÅNE LÄN</t>
        </is>
      </c>
      <c r="E4319" t="inlineStr">
        <is>
          <t>HÄSSLEHOLM</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52051-2022</t>
        </is>
      </c>
      <c r="B4320" s="1" t="n">
        <v>44873.32849537037</v>
      </c>
      <c r="C4320" s="1" t="n">
        <v>45914</v>
      </c>
      <c r="D4320" t="inlineStr">
        <is>
          <t>SKÅNE LÄN</t>
        </is>
      </c>
      <c r="E4320" t="inlineStr">
        <is>
          <t>ÖSTRA GÖINGE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6558-2025</t>
        </is>
      </c>
      <c r="B4321" s="1" t="n">
        <v>45699</v>
      </c>
      <c r="C4321" s="1" t="n">
        <v>45914</v>
      </c>
      <c r="D4321" t="inlineStr">
        <is>
          <t>SKÅNE LÄN</t>
        </is>
      </c>
      <c r="E4321" t="inlineStr">
        <is>
          <t>HÖRBY</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57428-2023</t>
        </is>
      </c>
      <c r="B4322" s="1" t="n">
        <v>45240</v>
      </c>
      <c r="C4322" s="1" t="n">
        <v>45914</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27492-2023</t>
        </is>
      </c>
      <c r="B4323" s="1" t="n">
        <v>45097</v>
      </c>
      <c r="C4323" s="1" t="n">
        <v>45914</v>
      </c>
      <c r="D4323" t="inlineStr">
        <is>
          <t>SKÅNE LÄN</t>
        </is>
      </c>
      <c r="E4323" t="inlineStr">
        <is>
          <t>OSBY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53978-2022</t>
        </is>
      </c>
      <c r="B4324" s="1" t="n">
        <v>44876</v>
      </c>
      <c r="C4324" s="1" t="n">
        <v>45914</v>
      </c>
      <c r="D4324" t="inlineStr">
        <is>
          <t>SKÅNE LÄN</t>
        </is>
      </c>
      <c r="E4324" t="inlineStr">
        <is>
          <t>SIMRISHAMN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54046-2020</t>
        </is>
      </c>
      <c r="B4325" s="1" t="n">
        <v>44125</v>
      </c>
      <c r="C4325" s="1" t="n">
        <v>45914</v>
      </c>
      <c r="D4325" t="inlineStr">
        <is>
          <t>SKÅNE LÄN</t>
        </is>
      </c>
      <c r="E4325" t="inlineStr">
        <is>
          <t>BROMÖLLA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35808-2025</t>
        </is>
      </c>
      <c r="B4326" s="1" t="n">
        <v>45861.41337962963</v>
      </c>
      <c r="C4326" s="1" t="n">
        <v>45914</v>
      </c>
      <c r="D4326" t="inlineStr">
        <is>
          <t>SKÅNE LÄN</t>
        </is>
      </c>
      <c r="E4326" t="inlineStr">
        <is>
          <t>ÖRKELLJUNGA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40105-2025</t>
        </is>
      </c>
      <c r="B4327" s="1" t="n">
        <v>45894</v>
      </c>
      <c r="C4327" s="1" t="n">
        <v>45914</v>
      </c>
      <c r="D4327" t="inlineStr">
        <is>
          <t>SKÅNE LÄN</t>
        </is>
      </c>
      <c r="E4327" t="inlineStr">
        <is>
          <t>KLIPPAN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40092-2025</t>
        </is>
      </c>
      <c r="B4328" s="1" t="n">
        <v>45894</v>
      </c>
      <c r="C4328" s="1" t="n">
        <v>45914</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41803-2025</t>
        </is>
      </c>
      <c r="B4329" s="1" t="n">
        <v>45902.63017361111</v>
      </c>
      <c r="C4329" s="1" t="n">
        <v>45914</v>
      </c>
      <c r="D4329" t="inlineStr">
        <is>
          <t>SKÅNE LÄN</t>
        </is>
      </c>
      <c r="E4329" t="inlineStr">
        <is>
          <t>ESLÖV</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5927-2023</t>
        </is>
      </c>
      <c r="B4330" s="1" t="n">
        <v>44963</v>
      </c>
      <c r="C4330" s="1" t="n">
        <v>45914</v>
      </c>
      <c r="D4330" t="inlineStr">
        <is>
          <t>SKÅNE LÄN</t>
        </is>
      </c>
      <c r="E4330" t="inlineStr">
        <is>
          <t>ÖRKELLJUNGA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50039-2020</t>
        </is>
      </c>
      <c r="B4331" s="1" t="n">
        <v>44109</v>
      </c>
      <c r="C4331" s="1" t="n">
        <v>45914</v>
      </c>
      <c r="D4331" t="inlineStr">
        <is>
          <t>SKÅNE LÄN</t>
        </is>
      </c>
      <c r="E4331" t="inlineStr">
        <is>
          <t>ÖSTRA GÖINGE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50046-2020</t>
        </is>
      </c>
      <c r="B4332" s="1" t="n">
        <v>44109</v>
      </c>
      <c r="C4332" s="1" t="n">
        <v>45914</v>
      </c>
      <c r="D4332" t="inlineStr">
        <is>
          <t>SKÅNE LÄN</t>
        </is>
      </c>
      <c r="E4332" t="inlineStr">
        <is>
          <t>HÄSSLEHOLM</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9794-2023</t>
        </is>
      </c>
      <c r="B4333" s="1" t="n">
        <v>44984</v>
      </c>
      <c r="C4333" s="1" t="n">
        <v>45914</v>
      </c>
      <c r="D4333" t="inlineStr">
        <is>
          <t>SKÅNE LÄN</t>
        </is>
      </c>
      <c r="E4333" t="inlineStr">
        <is>
          <t>KRISTIANSTAD</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52266-2020</t>
        </is>
      </c>
      <c r="B4334" s="1" t="n">
        <v>44117</v>
      </c>
      <c r="C4334" s="1" t="n">
        <v>45914</v>
      </c>
      <c r="D4334" t="inlineStr">
        <is>
          <t>SKÅNE LÄN</t>
        </is>
      </c>
      <c r="E4334" t="inlineStr">
        <is>
          <t>HÖÖR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42610-2025</t>
        </is>
      </c>
      <c r="B4335" s="1" t="n">
        <v>45905</v>
      </c>
      <c r="C4335" s="1" t="n">
        <v>45914</v>
      </c>
      <c r="D4335" t="inlineStr">
        <is>
          <t>SKÅNE LÄN</t>
        </is>
      </c>
      <c r="E4335" t="inlineStr">
        <is>
          <t>OSBY</t>
        </is>
      </c>
      <c r="F4335" t="inlineStr">
        <is>
          <t>Kyrkan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28250-2023</t>
        </is>
      </c>
      <c r="B4336" s="1" t="n">
        <v>45099.60018518518</v>
      </c>
      <c r="C4336" s="1" t="n">
        <v>45914</v>
      </c>
      <c r="D4336" t="inlineStr">
        <is>
          <t>SKÅNE LÄN</t>
        </is>
      </c>
      <c r="E4336" t="inlineStr">
        <is>
          <t>HELSINGBORG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22029-2022</t>
        </is>
      </c>
      <c r="B4337" s="1" t="n">
        <v>44711.62016203703</v>
      </c>
      <c r="C4337" s="1" t="n">
        <v>45914</v>
      </c>
      <c r="D4337" t="inlineStr">
        <is>
          <t>SKÅNE LÄN</t>
        </is>
      </c>
      <c r="E4337" t="inlineStr">
        <is>
          <t>OSBY</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59302-2023</t>
        </is>
      </c>
      <c r="B4338" s="1" t="n">
        <v>45253</v>
      </c>
      <c r="C4338" s="1" t="n">
        <v>45914</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62156-2022</t>
        </is>
      </c>
      <c r="B4339" s="1" t="n">
        <v>44915</v>
      </c>
      <c r="C4339" s="1" t="n">
        <v>45914</v>
      </c>
      <c r="D4339" t="inlineStr">
        <is>
          <t>SKÅNE LÄN</t>
        </is>
      </c>
      <c r="E4339" t="inlineStr">
        <is>
          <t>KRISTIANSTAD</t>
        </is>
      </c>
      <c r="F4339" t="inlineStr">
        <is>
          <t>Kyrkan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42698-2025</t>
        </is>
      </c>
      <c r="B4340" s="1" t="n">
        <v>45908.3650462963</v>
      </c>
      <c r="C4340" s="1" t="n">
        <v>45914</v>
      </c>
      <c r="D4340" t="inlineStr">
        <is>
          <t>SKÅNE LÄN</t>
        </is>
      </c>
      <c r="E4340" t="inlineStr">
        <is>
          <t>SVALÖV</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42708-2025</t>
        </is>
      </c>
      <c r="B4341" s="1" t="n">
        <v>45908.37359953704</v>
      </c>
      <c r="C4341" s="1" t="n">
        <v>45914</v>
      </c>
      <c r="D4341" t="inlineStr">
        <is>
          <t>SKÅNE LÄN</t>
        </is>
      </c>
      <c r="E4341" t="inlineStr">
        <is>
          <t>ÖRKELLJUNGA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31925-2024</t>
        </is>
      </c>
      <c r="B4342" s="1" t="n">
        <v>45510</v>
      </c>
      <c r="C4342" s="1" t="n">
        <v>45914</v>
      </c>
      <c r="D4342" t="inlineStr">
        <is>
          <t>SKÅNE LÄN</t>
        </is>
      </c>
      <c r="E4342" t="inlineStr">
        <is>
          <t>ÖRKELLJUNGA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35673-2023</t>
        </is>
      </c>
      <c r="B4343" s="1" t="n">
        <v>45147</v>
      </c>
      <c r="C4343" s="1" t="n">
        <v>45914</v>
      </c>
      <c r="D4343" t="inlineStr">
        <is>
          <t>SKÅNE LÄN</t>
        </is>
      </c>
      <c r="E4343" t="inlineStr">
        <is>
          <t>ÖSTRA GÖINGE</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50249-2024</t>
        </is>
      </c>
      <c r="B4344" s="1" t="n">
        <v>45600.56866898148</v>
      </c>
      <c r="C4344" s="1" t="n">
        <v>45914</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51955-2024</t>
        </is>
      </c>
      <c r="B4345" s="1" t="n">
        <v>45607</v>
      </c>
      <c r="C4345" s="1" t="n">
        <v>45914</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36085-2025</t>
        </is>
      </c>
      <c r="B4346" s="1" t="n">
        <v>45866.46190972222</v>
      </c>
      <c r="C4346" s="1" t="n">
        <v>45914</v>
      </c>
      <c r="D4346" t="inlineStr">
        <is>
          <t>SKÅNE LÄN</t>
        </is>
      </c>
      <c r="E4346" t="inlineStr">
        <is>
          <t>HÄSSLEHOLM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42793-2025</t>
        </is>
      </c>
      <c r="B4347" s="1" t="n">
        <v>45908.5246412037</v>
      </c>
      <c r="C4347" s="1" t="n">
        <v>45914</v>
      </c>
      <c r="D4347" t="inlineStr">
        <is>
          <t>SKÅNE LÄN</t>
        </is>
      </c>
      <c r="E4347" t="inlineStr">
        <is>
          <t>OSBY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42798-2025</t>
        </is>
      </c>
      <c r="B4348" s="1" t="n">
        <v>45908.53063657408</v>
      </c>
      <c r="C4348" s="1" t="n">
        <v>45914</v>
      </c>
      <c r="D4348" t="inlineStr">
        <is>
          <t>SKÅNE LÄN</t>
        </is>
      </c>
      <c r="E4348" t="inlineStr">
        <is>
          <t>OSBY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25764-2024</t>
        </is>
      </c>
      <c r="B4349" s="1" t="n">
        <v>45465.77907407407</v>
      </c>
      <c r="C4349" s="1" t="n">
        <v>45914</v>
      </c>
      <c r="D4349" t="inlineStr">
        <is>
          <t>SKÅNE LÄN</t>
        </is>
      </c>
      <c r="E4349" t="inlineStr">
        <is>
          <t>KRISTIANSTAD</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48262-2021</t>
        </is>
      </c>
      <c r="B4350" s="1" t="n">
        <v>44449.66324074074</v>
      </c>
      <c r="C4350" s="1" t="n">
        <v>45914</v>
      </c>
      <c r="D4350" t="inlineStr">
        <is>
          <t>SKÅNE LÄN</t>
        </is>
      </c>
      <c r="E4350" t="inlineStr">
        <is>
          <t>SVALÖV</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42417-2025</t>
        </is>
      </c>
      <c r="B4351" s="1" t="n">
        <v>45905.39577546297</v>
      </c>
      <c r="C4351" s="1" t="n">
        <v>45914</v>
      </c>
      <c r="D4351" t="inlineStr">
        <is>
          <t>SKÅNE LÄN</t>
        </is>
      </c>
      <c r="E4351" t="inlineStr">
        <is>
          <t>BÅSTAD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42565-2025</t>
        </is>
      </c>
      <c r="B4352" s="1" t="n">
        <v>45905.6021412037</v>
      </c>
      <c r="C4352" s="1" t="n">
        <v>45914</v>
      </c>
      <c r="D4352" t="inlineStr">
        <is>
          <t>SKÅNE LÄN</t>
        </is>
      </c>
      <c r="E4352" t="inlineStr">
        <is>
          <t>OSBY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60843-2022</t>
        </is>
      </c>
      <c r="B4353" s="1" t="n">
        <v>44914</v>
      </c>
      <c r="C4353" s="1" t="n">
        <v>45914</v>
      </c>
      <c r="D4353" t="inlineStr">
        <is>
          <t>SKÅNE LÄN</t>
        </is>
      </c>
      <c r="E4353" t="inlineStr">
        <is>
          <t>HÄSSLEHOLM</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33741-2024</t>
        </is>
      </c>
      <c r="B4354" s="1" t="n">
        <v>45520</v>
      </c>
      <c r="C4354" s="1" t="n">
        <v>45914</v>
      </c>
      <c r="D4354" t="inlineStr">
        <is>
          <t>SKÅNE LÄN</t>
        </is>
      </c>
      <c r="E4354" t="inlineStr">
        <is>
          <t>OSBY</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63073-2020</t>
        </is>
      </c>
      <c r="B4355" s="1" t="n">
        <v>44162</v>
      </c>
      <c r="C4355" s="1" t="n">
        <v>45914</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51040-2024</t>
        </is>
      </c>
      <c r="B4356" s="1" t="n">
        <v>45603.43222222223</v>
      </c>
      <c r="C4356" s="1" t="n">
        <v>45914</v>
      </c>
      <c r="D4356" t="inlineStr">
        <is>
          <t>SKÅNE LÄN</t>
        </is>
      </c>
      <c r="E4356" t="inlineStr">
        <is>
          <t>HÄSSLEHOLM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56881-2021</t>
        </is>
      </c>
      <c r="B4357" s="1" t="n">
        <v>44481</v>
      </c>
      <c r="C4357" s="1" t="n">
        <v>45914</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20096-2024</t>
        </is>
      </c>
      <c r="B4358" s="1" t="n">
        <v>45434</v>
      </c>
      <c r="C4358" s="1" t="n">
        <v>45914</v>
      </c>
      <c r="D4358" t="inlineStr">
        <is>
          <t>SKÅNE LÄN</t>
        </is>
      </c>
      <c r="E4358" t="inlineStr">
        <is>
          <t>SIMRISHAMN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42714-2025</t>
        </is>
      </c>
      <c r="B4359" s="1" t="n">
        <v>45908.381875</v>
      </c>
      <c r="C4359" s="1" t="n">
        <v>45914</v>
      </c>
      <c r="D4359" t="inlineStr">
        <is>
          <t>SKÅNE LÄN</t>
        </is>
      </c>
      <c r="E4359" t="inlineStr">
        <is>
          <t>ÖRKELLJUNGA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2026-2022</t>
        </is>
      </c>
      <c r="B4360" s="1" t="n">
        <v>44575</v>
      </c>
      <c r="C4360" s="1" t="n">
        <v>45914</v>
      </c>
      <c r="D4360" t="inlineStr">
        <is>
          <t>SKÅNE LÄN</t>
        </is>
      </c>
      <c r="E4360" t="inlineStr">
        <is>
          <t>SJÖBO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30749-2024</t>
        </is>
      </c>
      <c r="B4361" s="1" t="n">
        <v>45496</v>
      </c>
      <c r="C4361" s="1" t="n">
        <v>45914</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42400-2025</t>
        </is>
      </c>
      <c r="B4362" s="1" t="n">
        <v>45905.3710300926</v>
      </c>
      <c r="C4362" s="1" t="n">
        <v>45914</v>
      </c>
      <c r="D4362" t="inlineStr">
        <is>
          <t>SKÅNE LÄN</t>
        </is>
      </c>
      <c r="E4362" t="inlineStr">
        <is>
          <t>OSBY</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35971-2025</t>
        </is>
      </c>
      <c r="B4363" s="1" t="n">
        <v>45863</v>
      </c>
      <c r="C4363" s="1" t="n">
        <v>45914</v>
      </c>
      <c r="D4363" t="inlineStr">
        <is>
          <t>SKÅNE LÄN</t>
        </is>
      </c>
      <c r="E4363" t="inlineStr">
        <is>
          <t>TOMELILLA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42713-2025</t>
        </is>
      </c>
      <c r="B4364" s="1" t="n">
        <v>45908.37888888889</v>
      </c>
      <c r="C4364" s="1" t="n">
        <v>45914</v>
      </c>
      <c r="D4364" t="inlineStr">
        <is>
          <t>SKÅNE LÄN</t>
        </is>
      </c>
      <c r="E4364" t="inlineStr">
        <is>
          <t>ÖRKELLJUNGA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1468-2022</t>
        </is>
      </c>
      <c r="B4365" s="1" t="n">
        <v>44573</v>
      </c>
      <c r="C4365" s="1" t="n">
        <v>45914</v>
      </c>
      <c r="D4365" t="inlineStr">
        <is>
          <t>SKÅNE LÄN</t>
        </is>
      </c>
      <c r="E4365" t="inlineStr">
        <is>
          <t>KÄVLINGE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45653-2024</t>
        </is>
      </c>
      <c r="B4366" s="1" t="n">
        <v>45579.48872685185</v>
      </c>
      <c r="C4366" s="1" t="n">
        <v>45914</v>
      </c>
      <c r="D4366" t="inlineStr">
        <is>
          <t>SKÅNE LÄN</t>
        </is>
      </c>
      <c r="E4366" t="inlineStr">
        <is>
          <t>HÄSSLEHOLM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42567-2025</t>
        </is>
      </c>
      <c r="B4367" s="1" t="n">
        <v>45905.60511574074</v>
      </c>
      <c r="C4367" s="1" t="n">
        <v>45914</v>
      </c>
      <c r="D4367" t="inlineStr">
        <is>
          <t>SKÅNE LÄN</t>
        </is>
      </c>
      <c r="E4367" t="inlineStr">
        <is>
          <t>OSBY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42423-2025</t>
        </is>
      </c>
      <c r="B4368" s="1" t="n">
        <v>45905.41005787037</v>
      </c>
      <c r="C4368" s="1" t="n">
        <v>45914</v>
      </c>
      <c r="D4368" t="inlineStr">
        <is>
          <t>SKÅNE LÄN</t>
        </is>
      </c>
      <c r="E4368" t="inlineStr">
        <is>
          <t>KLIPPAN</t>
        </is>
      </c>
      <c r="F4368" t="inlineStr">
        <is>
          <t>Sveaskog</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56956-2024</t>
        </is>
      </c>
      <c r="B4369" s="1" t="n">
        <v>45626</v>
      </c>
      <c r="C4369" s="1" t="n">
        <v>45914</v>
      </c>
      <c r="D4369" t="inlineStr">
        <is>
          <t>SKÅNE LÄN</t>
        </is>
      </c>
      <c r="E4369" t="inlineStr">
        <is>
          <t>HÄSSLEHOLM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42570-2025</t>
        </is>
      </c>
      <c r="B4370" s="1" t="n">
        <v>45905.60903935185</v>
      </c>
      <c r="C4370" s="1" t="n">
        <v>45914</v>
      </c>
      <c r="D4370" t="inlineStr">
        <is>
          <t>SKÅNE LÄN</t>
        </is>
      </c>
      <c r="E4370" t="inlineStr">
        <is>
          <t>OSBY</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64897-2023</t>
        </is>
      </c>
      <c r="B4371" s="1" t="n">
        <v>45282.61424768518</v>
      </c>
      <c r="C4371" s="1" t="n">
        <v>45914</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64905-2023</t>
        </is>
      </c>
      <c r="B4372" s="1" t="n">
        <v>45282</v>
      </c>
      <c r="C4372" s="1" t="n">
        <v>45914</v>
      </c>
      <c r="D4372" t="inlineStr">
        <is>
          <t>SKÅNE LÄN</t>
        </is>
      </c>
      <c r="E4372" t="inlineStr">
        <is>
          <t>SJÖBO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2399-2025</t>
        </is>
      </c>
      <c r="B4373" s="1" t="n">
        <v>45672</v>
      </c>
      <c r="C4373" s="1" t="n">
        <v>45914</v>
      </c>
      <c r="D4373" t="inlineStr">
        <is>
          <t>SKÅNE LÄN</t>
        </is>
      </c>
      <c r="E4373" t="inlineStr">
        <is>
          <t>ÖRKELLJUNGA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3604-2024</t>
        </is>
      </c>
      <c r="B4374" s="1" t="n">
        <v>45320</v>
      </c>
      <c r="C4374" s="1" t="n">
        <v>45914</v>
      </c>
      <c r="D4374" t="inlineStr">
        <is>
          <t>SKÅNE LÄN</t>
        </is>
      </c>
      <c r="E4374" t="inlineStr">
        <is>
          <t>SIMRISHAMN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58883-2024</t>
        </is>
      </c>
      <c r="B4375" s="1" t="n">
        <v>45636.44962962963</v>
      </c>
      <c r="C4375" s="1" t="n">
        <v>45914</v>
      </c>
      <c r="D4375" t="inlineStr">
        <is>
          <t>SKÅNE LÄN</t>
        </is>
      </c>
      <c r="E4375" t="inlineStr">
        <is>
          <t>HÄSSLEHOLM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5145-2021</t>
        </is>
      </c>
      <c r="B4376" s="1" t="n">
        <v>44228</v>
      </c>
      <c r="C4376" s="1" t="n">
        <v>45914</v>
      </c>
      <c r="D4376" t="inlineStr">
        <is>
          <t>SKÅNE LÄN</t>
        </is>
      </c>
      <c r="E4376" t="inlineStr">
        <is>
          <t>ÖSTRA GÖINGE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42706-2025</t>
        </is>
      </c>
      <c r="B4377" s="1" t="n">
        <v>45908.37222222222</v>
      </c>
      <c r="C4377" s="1" t="n">
        <v>45914</v>
      </c>
      <c r="D4377" t="inlineStr">
        <is>
          <t>SKÅNE LÄN</t>
        </is>
      </c>
      <c r="E4377" t="inlineStr">
        <is>
          <t>SVALÖV</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42728-2025</t>
        </is>
      </c>
      <c r="B4378" s="1" t="n">
        <v>45908.40429398148</v>
      </c>
      <c r="C4378" s="1" t="n">
        <v>45914</v>
      </c>
      <c r="D4378" t="inlineStr">
        <is>
          <t>SKÅNE LÄN</t>
        </is>
      </c>
      <c r="E4378" t="inlineStr">
        <is>
          <t>ÖRKELLJUNGA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11105-2021</t>
        </is>
      </c>
      <c r="B4379" s="1" t="n">
        <v>44259</v>
      </c>
      <c r="C4379" s="1" t="n">
        <v>45914</v>
      </c>
      <c r="D4379" t="inlineStr">
        <is>
          <t>SKÅNE LÄN</t>
        </is>
      </c>
      <c r="E4379" t="inlineStr">
        <is>
          <t>KLIPPAN</t>
        </is>
      </c>
      <c r="F4379" t="inlineStr">
        <is>
          <t>Övriga Aktiebolag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45392-2024</t>
        </is>
      </c>
      <c r="B4380" s="1" t="n">
        <v>45576.55008101852</v>
      </c>
      <c r="C4380" s="1" t="n">
        <v>45914</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30457-2025</t>
        </is>
      </c>
      <c r="B4381" s="1" t="n">
        <v>45827.68927083333</v>
      </c>
      <c r="C4381" s="1" t="n">
        <v>45914</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20187-2023</t>
        </is>
      </c>
      <c r="B4382" s="1" t="n">
        <v>45055.57027777778</v>
      </c>
      <c r="C4382" s="1" t="n">
        <v>45914</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42399-2023</t>
        </is>
      </c>
      <c r="B4383" s="1" t="n">
        <v>45180.59017361111</v>
      </c>
      <c r="C4383" s="1" t="n">
        <v>45914</v>
      </c>
      <c r="D4383" t="inlineStr">
        <is>
          <t>SKÅNE LÄN</t>
        </is>
      </c>
      <c r="E4383" t="inlineStr">
        <is>
          <t>ÖSTRA GÖINGE</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1616-2025</t>
        </is>
      </c>
      <c r="B4384" s="1" t="n">
        <v>45670</v>
      </c>
      <c r="C4384" s="1" t="n">
        <v>45914</v>
      </c>
      <c r="D4384" t="inlineStr">
        <is>
          <t>SKÅNE LÄN</t>
        </is>
      </c>
      <c r="E4384" t="inlineStr">
        <is>
          <t>HÄSSLEHOLM</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42520-2025</t>
        </is>
      </c>
      <c r="B4385" s="1" t="n">
        <v>45905.54846064815</v>
      </c>
      <c r="C4385" s="1" t="n">
        <v>45914</v>
      </c>
      <c r="D4385" t="inlineStr">
        <is>
          <t>SKÅNE LÄN</t>
        </is>
      </c>
      <c r="E4385" t="inlineStr">
        <is>
          <t>HÄSSLEHOLM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9555-2025</t>
        </is>
      </c>
      <c r="B4386" s="1" t="n">
        <v>45714</v>
      </c>
      <c r="C4386" s="1" t="n">
        <v>45914</v>
      </c>
      <c r="D4386" t="inlineStr">
        <is>
          <t>SKÅNE LÄN</t>
        </is>
      </c>
      <c r="E4386" t="inlineStr">
        <is>
          <t>HÄSSLEHOLM</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42614-2025</t>
        </is>
      </c>
      <c r="B4387" s="1" t="n">
        <v>45905</v>
      </c>
      <c r="C4387" s="1" t="n">
        <v>45914</v>
      </c>
      <c r="D4387" t="inlineStr">
        <is>
          <t>SKÅNE LÄN</t>
        </is>
      </c>
      <c r="E4387" t="inlineStr">
        <is>
          <t>OSBY</t>
        </is>
      </c>
      <c r="F4387" t="inlineStr">
        <is>
          <t>Kyrkan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42627-2025</t>
        </is>
      </c>
      <c r="B4388" s="1" t="n">
        <v>45905.77766203704</v>
      </c>
      <c r="C4388" s="1" t="n">
        <v>45914</v>
      </c>
      <c r="D4388" t="inlineStr">
        <is>
          <t>SKÅNE LÄN</t>
        </is>
      </c>
      <c r="E4388" t="inlineStr">
        <is>
          <t>KLIPPAN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25552-2025</t>
        </is>
      </c>
      <c r="B4389" s="1" t="n">
        <v>45803</v>
      </c>
      <c r="C4389" s="1" t="n">
        <v>45914</v>
      </c>
      <c r="D4389" t="inlineStr">
        <is>
          <t>SKÅNE LÄN</t>
        </is>
      </c>
      <c r="E4389" t="inlineStr">
        <is>
          <t>HÖRBY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1543-2024</t>
        </is>
      </c>
      <c r="B4390" s="1" t="n">
        <v>45306</v>
      </c>
      <c r="C4390" s="1" t="n">
        <v>45914</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17855-2025</t>
        </is>
      </c>
      <c r="B4391" s="1" t="n">
        <v>45758.61925925926</v>
      </c>
      <c r="C4391" s="1" t="n">
        <v>45914</v>
      </c>
      <c r="D4391" t="inlineStr">
        <is>
          <t>SKÅNE LÄN</t>
        </is>
      </c>
      <c r="E4391" t="inlineStr">
        <is>
          <t>ÖSTRA GÖINGE</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17860-2025</t>
        </is>
      </c>
      <c r="B4392" s="1" t="n">
        <v>45758.62509259259</v>
      </c>
      <c r="C4392" s="1" t="n">
        <v>45914</v>
      </c>
      <c r="D4392" t="inlineStr">
        <is>
          <t>SKÅNE LÄN</t>
        </is>
      </c>
      <c r="E4392" t="inlineStr">
        <is>
          <t>ÖSTRA GÖINGE</t>
        </is>
      </c>
      <c r="F4392" t="inlineStr">
        <is>
          <t>Sveaskog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8924-2023</t>
        </is>
      </c>
      <c r="B4393" s="1" t="n">
        <v>44974</v>
      </c>
      <c r="C4393" s="1" t="n">
        <v>45914</v>
      </c>
      <c r="D4393" t="inlineStr">
        <is>
          <t>SKÅNE LÄN</t>
        </is>
      </c>
      <c r="E4393" t="inlineStr">
        <is>
          <t>SVALÖV</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12721-2023</t>
        </is>
      </c>
      <c r="B4394" s="1" t="n">
        <v>45000.78096064815</v>
      </c>
      <c r="C4394" s="1" t="n">
        <v>45914</v>
      </c>
      <c r="D4394" t="inlineStr">
        <is>
          <t>SKÅNE LÄN</t>
        </is>
      </c>
      <c r="E4394" t="inlineStr">
        <is>
          <t>BROMÖLLA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2554-2023</t>
        </is>
      </c>
      <c r="B4395" s="1" t="n">
        <v>44943.67172453704</v>
      </c>
      <c r="C4395" s="1" t="n">
        <v>45914</v>
      </c>
      <c r="D4395" t="inlineStr">
        <is>
          <t>SKÅNE LÄN</t>
        </is>
      </c>
      <c r="E4395" t="inlineStr">
        <is>
          <t>SIMRISHAMN</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23454-2023</t>
        </is>
      </c>
      <c r="B4396" s="1" t="n">
        <v>45076</v>
      </c>
      <c r="C4396" s="1" t="n">
        <v>45914</v>
      </c>
      <c r="D4396" t="inlineStr">
        <is>
          <t>SKÅNE LÄN</t>
        </is>
      </c>
      <c r="E4396" t="inlineStr">
        <is>
          <t>ÖSTRA GÖINGE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7337-2024</t>
        </is>
      </c>
      <c r="B4397" s="1" t="n">
        <v>45345</v>
      </c>
      <c r="C4397" s="1" t="n">
        <v>45914</v>
      </c>
      <c r="D4397" t="inlineStr">
        <is>
          <t>SKÅNE LÄN</t>
        </is>
      </c>
      <c r="E4397" t="inlineStr">
        <is>
          <t>ÄNGELHOLM</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42826-2025</t>
        </is>
      </c>
      <c r="B4398" s="1" t="n">
        <v>45908.57619212963</v>
      </c>
      <c r="C4398" s="1" t="n">
        <v>45914</v>
      </c>
      <c r="D4398" t="inlineStr">
        <is>
          <t>SKÅNE LÄN</t>
        </is>
      </c>
      <c r="E4398" t="inlineStr">
        <is>
          <t>ÄNGELHOLM</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36130-2025</t>
        </is>
      </c>
      <c r="B4399" s="1" t="n">
        <v>45866.62273148148</v>
      </c>
      <c r="C4399" s="1" t="n">
        <v>45914</v>
      </c>
      <c r="D4399" t="inlineStr">
        <is>
          <t>SKÅNE LÄN</t>
        </is>
      </c>
      <c r="E4399" t="inlineStr">
        <is>
          <t>HÄSSLEHOLM</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29335-2022</t>
        </is>
      </c>
      <c r="B4400" s="1" t="n">
        <v>44752</v>
      </c>
      <c r="C4400" s="1" t="n">
        <v>45914</v>
      </c>
      <c r="D4400" t="inlineStr">
        <is>
          <t>SKÅNE LÄN</t>
        </is>
      </c>
      <c r="E4400" t="inlineStr">
        <is>
          <t>ÖRKELLJUNGA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52064-2024</t>
        </is>
      </c>
      <c r="B4401" s="1" t="n">
        <v>45608.36141203704</v>
      </c>
      <c r="C4401" s="1" t="n">
        <v>45914</v>
      </c>
      <c r="D4401" t="inlineStr">
        <is>
          <t>SKÅNE LÄN</t>
        </is>
      </c>
      <c r="E4401" t="inlineStr">
        <is>
          <t>KRISTIANSTAD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38394-2025</t>
        </is>
      </c>
      <c r="B4402" s="1" t="n">
        <v>45883</v>
      </c>
      <c r="C4402" s="1" t="n">
        <v>45914</v>
      </c>
      <c r="D4402" t="inlineStr">
        <is>
          <t>SKÅNE LÄN</t>
        </is>
      </c>
      <c r="E4402" t="inlineStr">
        <is>
          <t>SVALÖV</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46253-2024</t>
        </is>
      </c>
      <c r="B4403" s="1" t="n">
        <v>45581</v>
      </c>
      <c r="C4403" s="1" t="n">
        <v>45914</v>
      </c>
      <c r="D4403" t="inlineStr">
        <is>
          <t>SKÅNE LÄN</t>
        </is>
      </c>
      <c r="E4403" t="inlineStr">
        <is>
          <t>KLIPPAN</t>
        </is>
      </c>
      <c r="F4403" t="inlineStr">
        <is>
          <t>Sveaskog</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42725-2025</t>
        </is>
      </c>
      <c r="B4404" s="1" t="n">
        <v>45908.40152777778</v>
      </c>
      <c r="C4404" s="1" t="n">
        <v>45914</v>
      </c>
      <c r="D4404" t="inlineStr">
        <is>
          <t>SKÅNE LÄN</t>
        </is>
      </c>
      <c r="E4404" t="inlineStr">
        <is>
          <t>ÖRKELLJUNGA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37038-2022</t>
        </is>
      </c>
      <c r="B4405" s="1" t="n">
        <v>44806.44232638889</v>
      </c>
      <c r="C4405" s="1" t="n">
        <v>45914</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49610-2024</t>
        </is>
      </c>
      <c r="B4406" s="1" t="n">
        <v>45596</v>
      </c>
      <c r="C4406" s="1" t="n">
        <v>45914</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42599-2025</t>
        </is>
      </c>
      <c r="B4407" s="1" t="n">
        <v>45905.66563657407</v>
      </c>
      <c r="C4407" s="1" t="n">
        <v>45914</v>
      </c>
      <c r="D4407" t="inlineStr">
        <is>
          <t>SKÅNE LÄN</t>
        </is>
      </c>
      <c r="E4407" t="inlineStr">
        <is>
          <t>SJÖBO</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21425-2022</t>
        </is>
      </c>
      <c r="B4408" s="1" t="n">
        <v>44706</v>
      </c>
      <c r="C4408" s="1" t="n">
        <v>45914</v>
      </c>
      <c r="D4408" t="inlineStr">
        <is>
          <t>SKÅNE LÄN</t>
        </is>
      </c>
      <c r="E4408" t="inlineStr">
        <is>
          <t>SJÖBO</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18735-2024</t>
        </is>
      </c>
      <c r="B4409" s="1" t="n">
        <v>45426</v>
      </c>
      <c r="C4409" s="1" t="n">
        <v>45914</v>
      </c>
      <c r="D4409" t="inlineStr">
        <is>
          <t>SKÅNE LÄN</t>
        </is>
      </c>
      <c r="E4409" t="inlineStr">
        <is>
          <t>KRISTIANSTAD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2747-2023</t>
        </is>
      </c>
      <c r="B4410" s="1" t="n">
        <v>44944</v>
      </c>
      <c r="C4410" s="1" t="n">
        <v>45914</v>
      </c>
      <c r="D4410" t="inlineStr">
        <is>
          <t>SKÅNE LÄN</t>
        </is>
      </c>
      <c r="E4410" t="inlineStr">
        <is>
          <t>HÖRBY</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18360-2025</t>
        </is>
      </c>
      <c r="B4411" s="1" t="n">
        <v>45762</v>
      </c>
      <c r="C4411" s="1" t="n">
        <v>45914</v>
      </c>
      <c r="D4411" t="inlineStr">
        <is>
          <t>SKÅNE LÄN</t>
        </is>
      </c>
      <c r="E4411" t="inlineStr">
        <is>
          <t>HÖRBY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58154-2024</t>
        </is>
      </c>
      <c r="B4412" s="1" t="n">
        <v>45632.44180555556</v>
      </c>
      <c r="C4412" s="1" t="n">
        <v>45914</v>
      </c>
      <c r="D4412" t="inlineStr">
        <is>
          <t>SKÅNE LÄN</t>
        </is>
      </c>
      <c r="E4412" t="inlineStr">
        <is>
          <t>OSBY</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19666-2025</t>
        </is>
      </c>
      <c r="B4413" s="1" t="n">
        <v>45770.69326388889</v>
      </c>
      <c r="C4413" s="1" t="n">
        <v>45914</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59094-2024</t>
        </is>
      </c>
      <c r="B4414" s="1" t="n">
        <v>45636</v>
      </c>
      <c r="C4414" s="1" t="n">
        <v>45914</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41654-2025</t>
        </is>
      </c>
      <c r="B4415" s="1" t="n">
        <v>45902</v>
      </c>
      <c r="C4415" s="1" t="n">
        <v>45914</v>
      </c>
      <c r="D4415" t="inlineStr">
        <is>
          <t>SKÅNE LÄN</t>
        </is>
      </c>
      <c r="E4415" t="inlineStr">
        <is>
          <t>OSBY</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39113-2025</t>
        </is>
      </c>
      <c r="B4416" s="1" t="n">
        <v>45888</v>
      </c>
      <c r="C4416" s="1" t="n">
        <v>45914</v>
      </c>
      <c r="D4416" t="inlineStr">
        <is>
          <t>SKÅNE LÄN</t>
        </is>
      </c>
      <c r="E4416" t="inlineStr">
        <is>
          <t>PERSTORP</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26827-2024</t>
        </is>
      </c>
      <c r="B4417" s="1" t="n">
        <v>45470.5659837963</v>
      </c>
      <c r="C4417" s="1" t="n">
        <v>45914</v>
      </c>
      <c r="D4417" t="inlineStr">
        <is>
          <t>SKÅNE LÄN</t>
        </is>
      </c>
      <c r="E4417" t="inlineStr">
        <is>
          <t>KRISTIANSTAD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43332-2025</t>
        </is>
      </c>
      <c r="B4418" s="1" t="n">
        <v>45910.70217592592</v>
      </c>
      <c r="C4418" s="1" t="n">
        <v>45914</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43004-2025</t>
        </is>
      </c>
      <c r="B4419" s="1" t="n">
        <v>45909</v>
      </c>
      <c r="C4419" s="1" t="n">
        <v>45914</v>
      </c>
      <c r="D4419" t="inlineStr">
        <is>
          <t>SKÅNE LÄN</t>
        </is>
      </c>
      <c r="E4419" t="inlineStr">
        <is>
          <t>SVALÖV</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22699-2024</t>
        </is>
      </c>
      <c r="B4420" s="1" t="n">
        <v>45448.32910879629</v>
      </c>
      <c r="C4420" s="1" t="n">
        <v>45914</v>
      </c>
      <c r="D4420" t="inlineStr">
        <is>
          <t>SKÅNE LÄN</t>
        </is>
      </c>
      <c r="E4420" t="inlineStr">
        <is>
          <t>ÖRKELLJUNGA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43054-2025</t>
        </is>
      </c>
      <c r="B4421" s="1" t="n">
        <v>45909.5709375</v>
      </c>
      <c r="C4421" s="1" t="n">
        <v>45914</v>
      </c>
      <c r="D4421" t="inlineStr">
        <is>
          <t>SKÅNE LÄN</t>
        </is>
      </c>
      <c r="E4421" t="inlineStr">
        <is>
          <t>ÖSTRA GÖINGE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16454-2023</t>
        </is>
      </c>
      <c r="B4422" s="1" t="n">
        <v>45029.48425925926</v>
      </c>
      <c r="C4422" s="1" t="n">
        <v>45914</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3447-2024</t>
        </is>
      </c>
      <c r="B4423" s="1" t="n">
        <v>45320.37907407407</v>
      </c>
      <c r="C4423" s="1" t="n">
        <v>45914</v>
      </c>
      <c r="D4423" t="inlineStr">
        <is>
          <t>SKÅNE LÄN</t>
        </is>
      </c>
      <c r="E4423" t="inlineStr">
        <is>
          <t>ÖSTRA GÖINGE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34154-2025</t>
        </is>
      </c>
      <c r="B4424" s="1" t="n">
        <v>45845</v>
      </c>
      <c r="C4424" s="1" t="n">
        <v>45914</v>
      </c>
      <c r="D4424" t="inlineStr">
        <is>
          <t>SKÅNE LÄN</t>
        </is>
      </c>
      <c r="E4424" t="inlineStr">
        <is>
          <t>HÖRBY</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31522-2022</t>
        </is>
      </c>
      <c r="B4425" s="1" t="n">
        <v>44775.0827662037</v>
      </c>
      <c r="C4425" s="1" t="n">
        <v>45914</v>
      </c>
      <c r="D4425" t="inlineStr">
        <is>
          <t>SKÅNE LÄN</t>
        </is>
      </c>
      <c r="E4425" t="inlineStr">
        <is>
          <t>HÖRBY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31572-2022</t>
        </is>
      </c>
      <c r="B4426" s="1" t="n">
        <v>44775</v>
      </c>
      <c r="C4426" s="1" t="n">
        <v>45914</v>
      </c>
      <c r="D4426" t="inlineStr">
        <is>
          <t>SKÅNE LÄN</t>
        </is>
      </c>
      <c r="E4426" t="inlineStr">
        <is>
          <t>HÄSSLEHOLM</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43057-2025</t>
        </is>
      </c>
      <c r="B4427" s="1" t="n">
        <v>45909.57569444444</v>
      </c>
      <c r="C4427" s="1" t="n">
        <v>45914</v>
      </c>
      <c r="D4427" t="inlineStr">
        <is>
          <t>SKÅNE LÄN</t>
        </is>
      </c>
      <c r="E4427" t="inlineStr">
        <is>
          <t>ÖSTRA GÖINGE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43063-2025</t>
        </is>
      </c>
      <c r="B4428" s="1" t="n">
        <v>45909.58454861111</v>
      </c>
      <c r="C4428" s="1" t="n">
        <v>45914</v>
      </c>
      <c r="D4428" t="inlineStr">
        <is>
          <t>SKÅNE LÄN</t>
        </is>
      </c>
      <c r="E4428" t="inlineStr">
        <is>
          <t>ÖSTRA GÖINGE</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25965-2023</t>
        </is>
      </c>
      <c r="B4429" s="1" t="n">
        <v>45090.79171296296</v>
      </c>
      <c r="C4429" s="1" t="n">
        <v>45914</v>
      </c>
      <c r="D4429" t="inlineStr">
        <is>
          <t>SKÅNE LÄN</t>
        </is>
      </c>
      <c r="E4429" t="inlineStr">
        <is>
          <t>ÖRKELLJUNGA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70087-2021</t>
        </is>
      </c>
      <c r="B4430" s="1" t="n">
        <v>44533</v>
      </c>
      <c r="C4430" s="1" t="n">
        <v>45914</v>
      </c>
      <c r="D4430" t="inlineStr">
        <is>
          <t>SKÅNE LÄN</t>
        </is>
      </c>
      <c r="E4430" t="inlineStr">
        <is>
          <t>HÄSSLEHOLM</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53977-2022</t>
        </is>
      </c>
      <c r="B4431" s="1" t="n">
        <v>44876</v>
      </c>
      <c r="C4431" s="1" t="n">
        <v>45914</v>
      </c>
      <c r="D4431" t="inlineStr">
        <is>
          <t>SKÅNE LÄN</t>
        </is>
      </c>
      <c r="E4431" t="inlineStr">
        <is>
          <t>TOMELILLA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53982-2022</t>
        </is>
      </c>
      <c r="B4432" s="1" t="n">
        <v>44876</v>
      </c>
      <c r="C4432" s="1" t="n">
        <v>45914</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22292-2022</t>
        </is>
      </c>
      <c r="B4433" s="1" t="n">
        <v>44712</v>
      </c>
      <c r="C4433" s="1" t="n">
        <v>45914</v>
      </c>
      <c r="D4433" t="inlineStr">
        <is>
          <t>SKÅNE LÄN</t>
        </is>
      </c>
      <c r="E4433" t="inlineStr">
        <is>
          <t>KRISTIANSTAD</t>
        </is>
      </c>
      <c r="F4433" t="inlineStr">
        <is>
          <t>Övriga Aktiebolag</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23657-2022</t>
        </is>
      </c>
      <c r="B4434" s="1" t="n">
        <v>44721.72640046296</v>
      </c>
      <c r="C4434" s="1" t="n">
        <v>45914</v>
      </c>
      <c r="D4434" t="inlineStr">
        <is>
          <t>SKÅNE LÄN</t>
        </is>
      </c>
      <c r="E4434" t="inlineStr">
        <is>
          <t>BJUV</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43851-2024</t>
        </is>
      </c>
      <c r="B4435" s="1" t="n">
        <v>45572.35173611111</v>
      </c>
      <c r="C4435" s="1" t="n">
        <v>45914</v>
      </c>
      <c r="D4435" t="inlineStr">
        <is>
          <t>SKÅNE LÄN</t>
        </is>
      </c>
      <c r="E4435" t="inlineStr">
        <is>
          <t>SIMRISHAMN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29083-2023</t>
        </is>
      </c>
      <c r="B4436" s="1" t="n">
        <v>45105</v>
      </c>
      <c r="C4436" s="1" t="n">
        <v>45914</v>
      </c>
      <c r="D4436" t="inlineStr">
        <is>
          <t>SKÅNE LÄN</t>
        </is>
      </c>
      <c r="E4436" t="inlineStr">
        <is>
          <t>LUND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36355-2025</t>
        </is>
      </c>
      <c r="B4437" s="1" t="n">
        <v>45868.50842592592</v>
      </c>
      <c r="C4437" s="1" t="n">
        <v>45914</v>
      </c>
      <c r="D4437" t="inlineStr">
        <is>
          <t>SKÅNE LÄN</t>
        </is>
      </c>
      <c r="E4437" t="inlineStr">
        <is>
          <t>HÖRBY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9375-2023</t>
        </is>
      </c>
      <c r="B4438" s="1" t="n">
        <v>44981</v>
      </c>
      <c r="C4438" s="1" t="n">
        <v>45914</v>
      </c>
      <c r="D4438" t="inlineStr">
        <is>
          <t>SKÅNE LÄN</t>
        </is>
      </c>
      <c r="E4438" t="inlineStr">
        <is>
          <t>HÄSSLEHOLM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36361-2025</t>
        </is>
      </c>
      <c r="B4439" s="1" t="n">
        <v>45867</v>
      </c>
      <c r="C4439" s="1" t="n">
        <v>45914</v>
      </c>
      <c r="D4439" t="inlineStr">
        <is>
          <t>SKÅNE LÄN</t>
        </is>
      </c>
      <c r="E4439" t="inlineStr">
        <is>
          <t>HÄSSLEHOLM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1426-2025</t>
        </is>
      </c>
      <c r="B4440" s="1" t="n">
        <v>45668.69042824074</v>
      </c>
      <c r="C4440" s="1" t="n">
        <v>45914</v>
      </c>
      <c r="D4440" t="inlineStr">
        <is>
          <t>SKÅNE LÄN</t>
        </is>
      </c>
      <c r="E4440" t="inlineStr">
        <is>
          <t>KRISTIANSTAD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11802-2025</t>
        </is>
      </c>
      <c r="B4441" s="1" t="n">
        <v>45727.86231481482</v>
      </c>
      <c r="C4441" s="1" t="n">
        <v>45914</v>
      </c>
      <c r="D4441" t="inlineStr">
        <is>
          <t>SKÅNE LÄN</t>
        </is>
      </c>
      <c r="E4441" t="inlineStr">
        <is>
          <t>ÖSTRA GÖINGE</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19390-2023</t>
        </is>
      </c>
      <c r="B4442" s="1" t="n">
        <v>45048</v>
      </c>
      <c r="C4442" s="1" t="n">
        <v>45914</v>
      </c>
      <c r="D4442" t="inlineStr">
        <is>
          <t>SKÅNE LÄN</t>
        </is>
      </c>
      <c r="E4442" t="inlineStr">
        <is>
          <t>ÖRKELLJUNGA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36267-2025</t>
        </is>
      </c>
      <c r="B4443" s="1" t="n">
        <v>45867.6165625</v>
      </c>
      <c r="C4443" s="1" t="n">
        <v>45914</v>
      </c>
      <c r="D4443" t="inlineStr">
        <is>
          <t>SKÅNE LÄN</t>
        </is>
      </c>
      <c r="E4443" t="inlineStr">
        <is>
          <t>OSBY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42929-2025</t>
        </is>
      </c>
      <c r="B4444" s="1" t="n">
        <v>45909</v>
      </c>
      <c r="C4444" s="1" t="n">
        <v>45914</v>
      </c>
      <c r="D4444" t="inlineStr">
        <is>
          <t>SKÅNE LÄN</t>
        </is>
      </c>
      <c r="E4444" t="inlineStr">
        <is>
          <t>TOMELILLA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18118-2022</t>
        </is>
      </c>
      <c r="B4445" s="1" t="n">
        <v>44684</v>
      </c>
      <c r="C4445" s="1" t="n">
        <v>45914</v>
      </c>
      <c r="D4445" t="inlineStr">
        <is>
          <t>SKÅNE LÄN</t>
        </is>
      </c>
      <c r="E4445" t="inlineStr">
        <is>
          <t>BJUV</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18146-2022</t>
        </is>
      </c>
      <c r="B4446" s="1" t="n">
        <v>44684.59604166666</v>
      </c>
      <c r="C4446" s="1" t="n">
        <v>45914</v>
      </c>
      <c r="D4446" t="inlineStr">
        <is>
          <t>SKÅNE LÄN</t>
        </is>
      </c>
      <c r="E4446" t="inlineStr">
        <is>
          <t>KRISTIANSTAD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49228-2023</t>
        </is>
      </c>
      <c r="B4447" s="1" t="n">
        <v>45210</v>
      </c>
      <c r="C4447" s="1" t="n">
        <v>45914</v>
      </c>
      <c r="D4447" t="inlineStr">
        <is>
          <t>SKÅNE LÄN</t>
        </is>
      </c>
      <c r="E4447" t="inlineStr">
        <is>
          <t>ÖSTRA GÖINGE</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29287-2023</t>
        </is>
      </c>
      <c r="B4448" s="1" t="n">
        <v>45098</v>
      </c>
      <c r="C4448" s="1" t="n">
        <v>45914</v>
      </c>
      <c r="D4448" t="inlineStr">
        <is>
          <t>SKÅNE LÄN</t>
        </is>
      </c>
      <c r="E4448" t="inlineStr">
        <is>
          <t>HÄSSLEHOLM</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11067-2022</t>
        </is>
      </c>
      <c r="B4449" s="1" t="n">
        <v>44628</v>
      </c>
      <c r="C4449" s="1" t="n">
        <v>45914</v>
      </c>
      <c r="D4449" t="inlineStr">
        <is>
          <t>SKÅNE LÄN</t>
        </is>
      </c>
      <c r="E4449" t="inlineStr">
        <is>
          <t>KRISTIANSTAD</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14529-2021</t>
        </is>
      </c>
      <c r="B4450" s="1" t="n">
        <v>44279.65511574074</v>
      </c>
      <c r="C4450" s="1" t="n">
        <v>45914</v>
      </c>
      <c r="D4450" t="inlineStr">
        <is>
          <t>SKÅNE LÄN</t>
        </is>
      </c>
      <c r="E4450" t="inlineStr">
        <is>
          <t>ÖSTRA GÖINGE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36086-2025</t>
        </is>
      </c>
      <c r="B4451" s="1" t="n">
        <v>45866</v>
      </c>
      <c r="C4451" s="1" t="n">
        <v>45914</v>
      </c>
      <c r="D4451" t="inlineStr">
        <is>
          <t>SKÅNE LÄN</t>
        </is>
      </c>
      <c r="E4451" t="inlineStr">
        <is>
          <t>BROMÖLLA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56443-2023</t>
        </is>
      </c>
      <c r="B4452" s="1" t="n">
        <v>45243.47027777778</v>
      </c>
      <c r="C4452" s="1" t="n">
        <v>45914</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35552-2023</t>
        </is>
      </c>
      <c r="B4453" s="1" t="n">
        <v>45146</v>
      </c>
      <c r="C4453" s="1" t="n">
        <v>45914</v>
      </c>
      <c r="D4453" t="inlineStr">
        <is>
          <t>SKÅNE LÄN</t>
        </is>
      </c>
      <c r="E4453" t="inlineStr">
        <is>
          <t>ÖSTRA GÖINGE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50738-2023</t>
        </is>
      </c>
      <c r="B4454" s="1" t="n">
        <v>45217</v>
      </c>
      <c r="C4454" s="1" t="n">
        <v>45914</v>
      </c>
      <c r="D4454" t="inlineStr">
        <is>
          <t>SKÅNE LÄN</t>
        </is>
      </c>
      <c r="E4454" t="inlineStr">
        <is>
          <t>OSBY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50741-2023</t>
        </is>
      </c>
      <c r="B4455" s="1" t="n">
        <v>45217</v>
      </c>
      <c r="C4455" s="1" t="n">
        <v>45914</v>
      </c>
      <c r="D4455" t="inlineStr">
        <is>
          <t>SKÅNE LÄN</t>
        </is>
      </c>
      <c r="E4455" t="inlineStr">
        <is>
          <t>OSBY</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35547-2023</t>
        </is>
      </c>
      <c r="B4456" s="1" t="n">
        <v>45146</v>
      </c>
      <c r="C4456" s="1" t="n">
        <v>45914</v>
      </c>
      <c r="D4456" t="inlineStr">
        <is>
          <t>SKÅNE LÄN</t>
        </is>
      </c>
      <c r="E4456" t="inlineStr">
        <is>
          <t>ÖSTRA GÖINGE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36362-2025</t>
        </is>
      </c>
      <c r="B4457" s="1" t="n">
        <v>45868.5252662037</v>
      </c>
      <c r="C4457" s="1" t="n">
        <v>45914</v>
      </c>
      <c r="D4457" t="inlineStr">
        <is>
          <t>SKÅNE LÄN</t>
        </is>
      </c>
      <c r="E4457" t="inlineStr">
        <is>
          <t>HÖRBY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16429-2023</t>
        </is>
      </c>
      <c r="B4458" s="1" t="n">
        <v>45029</v>
      </c>
      <c r="C4458" s="1" t="n">
        <v>45914</v>
      </c>
      <c r="D4458" t="inlineStr">
        <is>
          <t>SKÅNE LÄN</t>
        </is>
      </c>
      <c r="E4458" t="inlineStr">
        <is>
          <t>SJÖBO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16441-2023</t>
        </is>
      </c>
      <c r="B4459" s="1" t="n">
        <v>45029</v>
      </c>
      <c r="C4459" s="1" t="n">
        <v>45914</v>
      </c>
      <c r="D4459" t="inlineStr">
        <is>
          <t>SKÅNE LÄN</t>
        </is>
      </c>
      <c r="E4459" t="inlineStr">
        <is>
          <t>ÖSTRA GÖINGE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24232-2023</t>
        </is>
      </c>
      <c r="B4460" s="1" t="n">
        <v>45079.60946759259</v>
      </c>
      <c r="C4460" s="1" t="n">
        <v>45914</v>
      </c>
      <c r="D4460" t="inlineStr">
        <is>
          <t>SKÅNE LÄN</t>
        </is>
      </c>
      <c r="E4460" t="inlineStr">
        <is>
          <t>OSBY</t>
        </is>
      </c>
      <c r="F4460" t="inlineStr">
        <is>
          <t>Kommuner</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43326-2025</t>
        </is>
      </c>
      <c r="B4461" s="1" t="n">
        <v>45910</v>
      </c>
      <c r="C4461" s="1" t="n">
        <v>45914</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42006-2025</t>
        </is>
      </c>
      <c r="B4462" s="1" t="n">
        <v>45903</v>
      </c>
      <c r="C4462" s="1" t="n">
        <v>45914</v>
      </c>
      <c r="D4462" t="inlineStr">
        <is>
          <t>SKÅNE LÄN</t>
        </is>
      </c>
      <c r="E4462" t="inlineStr">
        <is>
          <t>KLIPPAN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29030-2023</t>
        </is>
      </c>
      <c r="B4463" s="1" t="n">
        <v>45104</v>
      </c>
      <c r="C4463" s="1" t="n">
        <v>45914</v>
      </c>
      <c r="D4463" t="inlineStr">
        <is>
          <t>SKÅNE LÄN</t>
        </is>
      </c>
      <c r="E4463" t="inlineStr">
        <is>
          <t>SVEDALA</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36358-2025</t>
        </is>
      </c>
      <c r="B4464" s="1" t="n">
        <v>45867</v>
      </c>
      <c r="C4464" s="1" t="n">
        <v>45914</v>
      </c>
      <c r="D4464" t="inlineStr">
        <is>
          <t>SKÅNE LÄN</t>
        </is>
      </c>
      <c r="E4464" t="inlineStr">
        <is>
          <t>HÄSSLEHOLM</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65211-2021</t>
        </is>
      </c>
      <c r="B4465" s="1" t="n">
        <v>44515.50362268519</v>
      </c>
      <c r="C4465" s="1" t="n">
        <v>45914</v>
      </c>
      <c r="D4465" t="inlineStr">
        <is>
          <t>SKÅNE LÄN</t>
        </is>
      </c>
      <c r="E4465" t="inlineStr">
        <is>
          <t>ÖRKELLJUNGA</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36347-2025</t>
        </is>
      </c>
      <c r="B4466" s="1" t="n">
        <v>45868.47796296296</v>
      </c>
      <c r="C4466" s="1" t="n">
        <v>45914</v>
      </c>
      <c r="D4466" t="inlineStr">
        <is>
          <t>SKÅNE LÄN</t>
        </is>
      </c>
      <c r="E4466" t="inlineStr">
        <is>
          <t>SJÖBO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36359-2025</t>
        </is>
      </c>
      <c r="B4467" s="1" t="n">
        <v>45867</v>
      </c>
      <c r="C4467" s="1" t="n">
        <v>45914</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14308-2023</t>
        </is>
      </c>
      <c r="B4468" s="1" t="n">
        <v>45011.82695601852</v>
      </c>
      <c r="C4468" s="1" t="n">
        <v>45914</v>
      </c>
      <c r="D4468" t="inlineStr">
        <is>
          <t>SKÅNE LÄN</t>
        </is>
      </c>
      <c r="E4468" t="inlineStr">
        <is>
          <t>OSBY</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55416-2021</t>
        </is>
      </c>
      <c r="B4469" s="1" t="n">
        <v>44475</v>
      </c>
      <c r="C4469" s="1" t="n">
        <v>45914</v>
      </c>
      <c r="D4469" t="inlineStr">
        <is>
          <t>SKÅNE LÄN</t>
        </is>
      </c>
      <c r="E4469" t="inlineStr">
        <is>
          <t>HÄSSLEHOLM</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22120-2025</t>
        </is>
      </c>
      <c r="B4470" s="1" t="n">
        <v>45785.5165625</v>
      </c>
      <c r="C4470" s="1" t="n">
        <v>45914</v>
      </c>
      <c r="D4470" t="inlineStr">
        <is>
          <t>SKÅNE LÄN</t>
        </is>
      </c>
      <c r="E4470" t="inlineStr">
        <is>
          <t>KLIPPAN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52522-2021</t>
        </is>
      </c>
      <c r="B4471" s="1" t="n">
        <v>44466.4562962963</v>
      </c>
      <c r="C4471" s="1" t="n">
        <v>45914</v>
      </c>
      <c r="D4471" t="inlineStr">
        <is>
          <t>SKÅNE LÄN</t>
        </is>
      </c>
      <c r="E4471" t="inlineStr">
        <is>
          <t>ÖSTRA GÖINGE</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4232-2025</t>
        </is>
      </c>
      <c r="B4472" s="1" t="n">
        <v>45685.55271990741</v>
      </c>
      <c r="C4472" s="1" t="n">
        <v>45914</v>
      </c>
      <c r="D4472" t="inlineStr">
        <is>
          <t>SKÅNE LÄN</t>
        </is>
      </c>
      <c r="E4472" t="inlineStr">
        <is>
          <t>OSBY</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4247-2025</t>
        </is>
      </c>
      <c r="B4473" s="1" t="n">
        <v>45685</v>
      </c>
      <c r="C4473" s="1" t="n">
        <v>45914</v>
      </c>
      <c r="D4473" t="inlineStr">
        <is>
          <t>SKÅNE LÄN</t>
        </is>
      </c>
      <c r="E4473" t="inlineStr">
        <is>
          <t>HÖÖR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60506-2023</t>
        </is>
      </c>
      <c r="B4474" s="1" t="n">
        <v>45259</v>
      </c>
      <c r="C4474" s="1" t="n">
        <v>45914</v>
      </c>
      <c r="D4474" t="inlineStr">
        <is>
          <t>SKÅNE LÄN</t>
        </is>
      </c>
      <c r="E4474" t="inlineStr">
        <is>
          <t>PERSTORP</t>
        </is>
      </c>
      <c r="F4474" t="inlineStr">
        <is>
          <t>Övriga Aktiebolag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60509-2023</t>
        </is>
      </c>
      <c r="B4475" s="1" t="n">
        <v>45259</v>
      </c>
      <c r="C4475" s="1" t="n">
        <v>45914</v>
      </c>
      <c r="D4475" t="inlineStr">
        <is>
          <t>SKÅNE LÄN</t>
        </is>
      </c>
      <c r="E4475" t="inlineStr">
        <is>
          <t>HÄSSLEHOLM</t>
        </is>
      </c>
      <c r="F4475" t="inlineStr">
        <is>
          <t>Övriga Aktiebolag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43069-2025</t>
        </is>
      </c>
      <c r="B4476" s="1" t="n">
        <v>45909.59454861111</v>
      </c>
      <c r="C4476" s="1" t="n">
        <v>45914</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15152-2023</t>
        </is>
      </c>
      <c r="B4477" s="1" t="n">
        <v>45015</v>
      </c>
      <c r="C4477" s="1" t="n">
        <v>45914</v>
      </c>
      <c r="D4477" t="inlineStr">
        <is>
          <t>SKÅNE LÄN</t>
        </is>
      </c>
      <c r="E4477" t="inlineStr">
        <is>
          <t>OSBY</t>
        </is>
      </c>
      <c r="F4477" t="inlineStr">
        <is>
          <t>Naturvårdsverket</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43067-2025</t>
        </is>
      </c>
      <c r="B4478" s="1" t="n">
        <v>45909.59134259259</v>
      </c>
      <c r="C4478" s="1" t="n">
        <v>45914</v>
      </c>
      <c r="D4478" t="inlineStr">
        <is>
          <t>SKÅNE LÄN</t>
        </is>
      </c>
      <c r="E4478" t="inlineStr">
        <is>
          <t>OSBY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43061-2025</t>
        </is>
      </c>
      <c r="B4479" s="1" t="n">
        <v>45909.58018518519</v>
      </c>
      <c r="C4479" s="1" t="n">
        <v>45914</v>
      </c>
      <c r="D4479" t="inlineStr">
        <is>
          <t>SKÅNE LÄN</t>
        </is>
      </c>
      <c r="E4479" t="inlineStr">
        <is>
          <t>ÖSTRA GÖINGE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43062-2025</t>
        </is>
      </c>
      <c r="B4480" s="1" t="n">
        <v>45909.5822800926</v>
      </c>
      <c r="C4480" s="1" t="n">
        <v>45914</v>
      </c>
      <c r="D4480" t="inlineStr">
        <is>
          <t>SKÅNE LÄN</t>
        </is>
      </c>
      <c r="E4480" t="inlineStr">
        <is>
          <t>ÖSTRA GÖINGE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59949-2021</t>
        </is>
      </c>
      <c r="B4481" s="1" t="n">
        <v>44494.82990740741</v>
      </c>
      <c r="C4481" s="1" t="n">
        <v>45914</v>
      </c>
      <c r="D4481" t="inlineStr">
        <is>
          <t>SKÅNE LÄN</t>
        </is>
      </c>
      <c r="E4481" t="inlineStr">
        <is>
          <t>BROMÖLLA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42004-2025</t>
        </is>
      </c>
      <c r="B4482" s="1" t="n">
        <v>45903</v>
      </c>
      <c r="C4482" s="1" t="n">
        <v>45914</v>
      </c>
      <c r="D4482" t="inlineStr">
        <is>
          <t>SKÅNE LÄN</t>
        </is>
      </c>
      <c r="E4482" t="inlineStr">
        <is>
          <t>KLIPPAN</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55265-2023</t>
        </is>
      </c>
      <c r="B4483" s="1" t="n">
        <v>45237</v>
      </c>
      <c r="C4483" s="1" t="n">
        <v>45914</v>
      </c>
      <c r="D4483" t="inlineStr">
        <is>
          <t>SKÅNE LÄN</t>
        </is>
      </c>
      <c r="E4483" t="inlineStr">
        <is>
          <t>HÖRBY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55292-2023</t>
        </is>
      </c>
      <c r="B4484" s="1" t="n">
        <v>45237</v>
      </c>
      <c r="C4484" s="1" t="n">
        <v>45914</v>
      </c>
      <c r="D4484" t="inlineStr">
        <is>
          <t>SKÅNE LÄN</t>
        </is>
      </c>
      <c r="E4484" t="inlineStr">
        <is>
          <t>OSBY</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43000-2025</t>
        </is>
      </c>
      <c r="B4485" s="1" t="n">
        <v>45909</v>
      </c>
      <c r="C4485" s="1" t="n">
        <v>45914</v>
      </c>
      <c r="D4485" t="inlineStr">
        <is>
          <t>SKÅNE LÄN</t>
        </is>
      </c>
      <c r="E4485" t="inlineStr">
        <is>
          <t>SJÖBO</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36259-2025</t>
        </is>
      </c>
      <c r="B4486" s="1" t="n">
        <v>45867.59799768519</v>
      </c>
      <c r="C4486" s="1" t="n">
        <v>45914</v>
      </c>
      <c r="D4486" t="inlineStr">
        <is>
          <t>SKÅNE LÄN</t>
        </is>
      </c>
      <c r="E4486" t="inlineStr">
        <is>
          <t>HÄSSLEHOLM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37550-2024</t>
        </is>
      </c>
      <c r="B4487" s="1" t="n">
        <v>45541.43292824074</v>
      </c>
      <c r="C4487" s="1" t="n">
        <v>45914</v>
      </c>
      <c r="D4487" t="inlineStr">
        <is>
          <t>SKÅNE LÄN</t>
        </is>
      </c>
      <c r="E4487" t="inlineStr">
        <is>
          <t>ÖSTRA GÖINGE</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43072-2025</t>
        </is>
      </c>
      <c r="B4488" s="1" t="n">
        <v>45909.59811342593</v>
      </c>
      <c r="C4488" s="1" t="n">
        <v>45914</v>
      </c>
      <c r="D4488" t="inlineStr">
        <is>
          <t>SKÅNE LÄN</t>
        </is>
      </c>
      <c r="E4488" t="inlineStr">
        <is>
          <t>OSBY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36369-2025</t>
        </is>
      </c>
      <c r="B4489" s="1" t="n">
        <v>45868.54038194445</v>
      </c>
      <c r="C4489" s="1" t="n">
        <v>45914</v>
      </c>
      <c r="D4489" t="inlineStr">
        <is>
          <t>SKÅNE LÄN</t>
        </is>
      </c>
      <c r="E4489" t="inlineStr">
        <is>
          <t>HÖRBY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43294-2025</t>
        </is>
      </c>
      <c r="B4490" s="1" t="n">
        <v>45910</v>
      </c>
      <c r="C4490" s="1" t="n">
        <v>45914</v>
      </c>
      <c r="D4490" t="inlineStr">
        <is>
          <t>SKÅNE LÄN</t>
        </is>
      </c>
      <c r="E4490" t="inlineStr">
        <is>
          <t>SVALÖV</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21310-2022</t>
        </is>
      </c>
      <c r="B4491" s="1" t="n">
        <v>44705</v>
      </c>
      <c r="C4491" s="1" t="n">
        <v>45914</v>
      </c>
      <c r="D4491" t="inlineStr">
        <is>
          <t>SKÅNE LÄN</t>
        </is>
      </c>
      <c r="E4491" t="inlineStr">
        <is>
          <t>HÄSSLEHOLM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34340-2025</t>
        </is>
      </c>
      <c r="B4492" s="1" t="n">
        <v>45846</v>
      </c>
      <c r="C4492" s="1" t="n">
        <v>45914</v>
      </c>
      <c r="D4492" t="inlineStr">
        <is>
          <t>SKÅNE LÄN</t>
        </is>
      </c>
      <c r="E4492" t="inlineStr">
        <is>
          <t>ÖSTRA GÖINGE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17025-2025</t>
        </is>
      </c>
      <c r="B4493" s="1" t="n">
        <v>45755</v>
      </c>
      <c r="C4493" s="1" t="n">
        <v>45914</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43869-2025</t>
        </is>
      </c>
      <c r="B4494" s="1" t="n">
        <v>45912.66452546296</v>
      </c>
      <c r="C4494" s="1" t="n">
        <v>45914</v>
      </c>
      <c r="D4494" t="inlineStr">
        <is>
          <t>SKÅNE LÄN</t>
        </is>
      </c>
      <c r="E4494" t="inlineStr">
        <is>
          <t>HÄSSLEHOLM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42016-2022</t>
        </is>
      </c>
      <c r="B4495" s="1" t="n">
        <v>44827</v>
      </c>
      <c r="C4495" s="1" t="n">
        <v>45914</v>
      </c>
      <c r="D4495" t="inlineStr">
        <is>
          <t>SKÅNE LÄN</t>
        </is>
      </c>
      <c r="E4495" t="inlineStr">
        <is>
          <t>SIMRISHAMN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28918-2023</t>
        </is>
      </c>
      <c r="B4496" s="1" t="n">
        <v>45104</v>
      </c>
      <c r="C4496" s="1" t="n">
        <v>45914</v>
      </c>
      <c r="D4496" t="inlineStr">
        <is>
          <t>SKÅNE LÄN</t>
        </is>
      </c>
      <c r="E4496" t="inlineStr">
        <is>
          <t>HÖRBY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28919-2023</t>
        </is>
      </c>
      <c r="B4497" s="1" t="n">
        <v>45104</v>
      </c>
      <c r="C4497" s="1" t="n">
        <v>45914</v>
      </c>
      <c r="D4497" t="inlineStr">
        <is>
          <t>SKÅNE LÄN</t>
        </is>
      </c>
      <c r="E4497" t="inlineStr">
        <is>
          <t>SJÖBO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6229-2022</t>
        </is>
      </c>
      <c r="B4498" s="1" t="n">
        <v>44600</v>
      </c>
      <c r="C4498" s="1" t="n">
        <v>45914</v>
      </c>
      <c r="D4498" t="inlineStr">
        <is>
          <t>SKÅNE LÄN</t>
        </is>
      </c>
      <c r="E4498" t="inlineStr">
        <is>
          <t>SJÖBO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34147-2025</t>
        </is>
      </c>
      <c r="B4499" s="1" t="n">
        <v>45845</v>
      </c>
      <c r="C4499" s="1" t="n">
        <v>45914</v>
      </c>
      <c r="D4499" t="inlineStr">
        <is>
          <t>SKÅNE LÄN</t>
        </is>
      </c>
      <c r="E4499" t="inlineStr">
        <is>
          <t>HÖRBY</t>
        </is>
      </c>
      <c r="G4499" t="n">
        <v>18.7</v>
      </c>
      <c r="H4499" t="n">
        <v>0</v>
      </c>
      <c r="I4499" t="n">
        <v>0</v>
      </c>
      <c r="J4499" t="n">
        <v>0</v>
      </c>
      <c r="K4499" t="n">
        <v>0</v>
      </c>
      <c r="L4499" t="n">
        <v>0</v>
      </c>
      <c r="M4499" t="n">
        <v>0</v>
      </c>
      <c r="N4499" t="n">
        <v>0</v>
      </c>
      <c r="O4499" t="n">
        <v>0</v>
      </c>
      <c r="P4499" t="n">
        <v>0</v>
      </c>
      <c r="Q4499" t="n">
        <v>0</v>
      </c>
      <c r="R4499" s="2" t="inlineStr"/>
    </row>
    <row r="4500" ht="15" customHeight="1">
      <c r="A4500" t="inlineStr">
        <is>
          <t>A 43698-2025</t>
        </is>
      </c>
      <c r="B4500" s="1" t="n">
        <v>45912.39892361111</v>
      </c>
      <c r="C4500" s="1" t="n">
        <v>45914</v>
      </c>
      <c r="D4500" t="inlineStr">
        <is>
          <t>SKÅNE LÄN</t>
        </is>
      </c>
      <c r="E4500" t="inlineStr">
        <is>
          <t>KLIPPAN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43741-2025</t>
        </is>
      </c>
      <c r="B4501" s="1" t="n">
        <v>45912.45541666666</v>
      </c>
      <c r="C4501" s="1" t="n">
        <v>45914</v>
      </c>
      <c r="D4501" t="inlineStr">
        <is>
          <t>SKÅNE LÄN</t>
        </is>
      </c>
      <c r="E4501" t="inlineStr">
        <is>
          <t>HÄSSLEHOLM</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3239-2023</t>
        </is>
      </c>
      <c r="B4502" s="1" t="n">
        <v>44946.89586805556</v>
      </c>
      <c r="C4502" s="1" t="n">
        <v>45914</v>
      </c>
      <c r="D4502" t="inlineStr">
        <is>
          <t>SKÅNE LÄN</t>
        </is>
      </c>
      <c r="E4502" t="inlineStr">
        <is>
          <t>HÖRBY</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533-2025</t>
        </is>
      </c>
      <c r="B4503" s="1" t="n">
        <v>45664.5075</v>
      </c>
      <c r="C4503" s="1" t="n">
        <v>45914</v>
      </c>
      <c r="D4503" t="inlineStr">
        <is>
          <t>SKÅNE LÄN</t>
        </is>
      </c>
      <c r="E4503" t="inlineStr">
        <is>
          <t>KRISTIANSTAD</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43827-2025</t>
        </is>
      </c>
      <c r="B4504" s="1" t="n">
        <v>45912.62307870371</v>
      </c>
      <c r="C4504" s="1" t="n">
        <v>45914</v>
      </c>
      <c r="D4504" t="inlineStr">
        <is>
          <t>SKÅNE LÄN</t>
        </is>
      </c>
      <c r="E4504" t="inlineStr">
        <is>
          <t>OSBY</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43562-2025</t>
        </is>
      </c>
      <c r="B4505" s="1" t="n">
        <v>45911.62892361111</v>
      </c>
      <c r="C4505" s="1" t="n">
        <v>45914</v>
      </c>
      <c r="D4505" t="inlineStr">
        <is>
          <t>SKÅNE LÄN</t>
        </is>
      </c>
      <c r="E4505" t="inlineStr">
        <is>
          <t>OSBY</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43566-2025</t>
        </is>
      </c>
      <c r="B4506" s="1" t="n">
        <v>45911.63248842592</v>
      </c>
      <c r="C4506" s="1" t="n">
        <v>45914</v>
      </c>
      <c r="D4506" t="inlineStr">
        <is>
          <t>SKÅNE LÄN</t>
        </is>
      </c>
      <c r="E4506" t="inlineStr">
        <is>
          <t>PERSTORP</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43896-2025</t>
        </is>
      </c>
      <c r="B4507" s="1" t="n">
        <v>45912.84423611111</v>
      </c>
      <c r="C4507" s="1" t="n">
        <v>45914</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43516-2025</t>
        </is>
      </c>
      <c r="B4508" s="1" t="n">
        <v>45911</v>
      </c>
      <c r="C4508" s="1" t="n">
        <v>45914</v>
      </c>
      <c r="D4508" t="inlineStr">
        <is>
          <t>SKÅNE LÄN</t>
        </is>
      </c>
      <c r="E4508" t="inlineStr">
        <is>
          <t>HÄSSLEHOLM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2262-2025</t>
        </is>
      </c>
      <c r="B4509" s="1" t="n">
        <v>45673</v>
      </c>
      <c r="C4509" s="1" t="n">
        <v>45914</v>
      </c>
      <c r="D4509" t="inlineStr">
        <is>
          <t>SKÅNE LÄN</t>
        </is>
      </c>
      <c r="E4509" t="inlineStr">
        <is>
          <t>KLIPPAN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43639-2025</t>
        </is>
      </c>
      <c r="B4510" s="1" t="n">
        <v>45911.74438657407</v>
      </c>
      <c r="C4510" s="1" t="n">
        <v>45914</v>
      </c>
      <c r="D4510" t="inlineStr">
        <is>
          <t>SKÅNE LÄN</t>
        </is>
      </c>
      <c r="E4510" t="inlineStr">
        <is>
          <t>OSBY</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43641-2025</t>
        </is>
      </c>
      <c r="B4511" s="1" t="n">
        <v>45911.87390046296</v>
      </c>
      <c r="C4511" s="1" t="n">
        <v>45914</v>
      </c>
      <c r="D4511" t="inlineStr">
        <is>
          <t>SKÅNE LÄN</t>
        </is>
      </c>
      <c r="E4511" t="inlineStr">
        <is>
          <t>ÖRKELLJUNGA</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17908-2021</t>
        </is>
      </c>
      <c r="B4512" s="1" t="n">
        <v>44301</v>
      </c>
      <c r="C4512" s="1" t="n">
        <v>45914</v>
      </c>
      <c r="D4512" t="inlineStr">
        <is>
          <t>SKÅNE LÄN</t>
        </is>
      </c>
      <c r="E4512" t="inlineStr">
        <is>
          <t>SKURUP</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49297-2023</t>
        </is>
      </c>
      <c r="B4513" s="1" t="n">
        <v>45210</v>
      </c>
      <c r="C4513" s="1" t="n">
        <v>45914</v>
      </c>
      <c r="D4513" t="inlineStr">
        <is>
          <t>SKÅNE LÄN</t>
        </is>
      </c>
      <c r="E4513" t="inlineStr">
        <is>
          <t>LUND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49298-2023</t>
        </is>
      </c>
      <c r="B4514" s="1" t="n">
        <v>45210.86210648148</v>
      </c>
      <c r="C4514" s="1" t="n">
        <v>45914</v>
      </c>
      <c r="D4514" t="inlineStr">
        <is>
          <t>SKÅNE LÄN</t>
        </is>
      </c>
      <c r="E4514" t="inlineStr">
        <is>
          <t>SJÖBO</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43425-2025</t>
        </is>
      </c>
      <c r="B4515" s="1" t="n">
        <v>45911.4182175926</v>
      </c>
      <c r="C4515" s="1" t="n">
        <v>45914</v>
      </c>
      <c r="D4515" t="inlineStr">
        <is>
          <t>SKÅNE LÄN</t>
        </is>
      </c>
      <c r="E4515" t="inlineStr">
        <is>
          <t>SVALÖV</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30730-2025</t>
        </is>
      </c>
      <c r="B4516" s="1" t="n">
        <v>45831</v>
      </c>
      <c r="C4516" s="1" t="n">
        <v>45914</v>
      </c>
      <c r="D4516" t="inlineStr">
        <is>
          <t>SKÅNE LÄN</t>
        </is>
      </c>
      <c r="E4516" t="inlineStr">
        <is>
          <t>HÖÖR</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32524-2025</t>
        </is>
      </c>
      <c r="B4517" s="1" t="n">
        <v>45838</v>
      </c>
      <c r="C4517" s="1" t="n">
        <v>45914</v>
      </c>
      <c r="D4517" t="inlineStr">
        <is>
          <t>SKÅNE LÄN</t>
        </is>
      </c>
      <c r="E4517" t="inlineStr">
        <is>
          <t>HÖRBY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14632-2024</t>
        </is>
      </c>
      <c r="B4518" s="1" t="n">
        <v>45397.34383101852</v>
      </c>
      <c r="C4518" s="1" t="n">
        <v>45914</v>
      </c>
      <c r="D4518" t="inlineStr">
        <is>
          <t>SKÅNE LÄN</t>
        </is>
      </c>
      <c r="E4518" t="inlineStr">
        <is>
          <t>PERSTORP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43551-2025</t>
        </is>
      </c>
      <c r="B4519" s="1" t="n">
        <v>45911.61909722222</v>
      </c>
      <c r="C4519" s="1" t="n">
        <v>45914</v>
      </c>
      <c r="D4519" t="inlineStr">
        <is>
          <t>SKÅNE LÄN</t>
        </is>
      </c>
      <c r="E4519" t="inlineStr">
        <is>
          <t>OSBY</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43556-2025</t>
        </is>
      </c>
      <c r="B4520" s="1" t="n">
        <v>45911.62393518518</v>
      </c>
      <c r="C4520" s="1" t="n">
        <v>45914</v>
      </c>
      <c r="D4520" t="inlineStr">
        <is>
          <t>SKÅNE LÄN</t>
        </is>
      </c>
      <c r="E4520" t="inlineStr">
        <is>
          <t>OSBY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43559-2025</t>
        </is>
      </c>
      <c r="B4521" s="1" t="n">
        <v>45911.626875</v>
      </c>
      <c r="C4521" s="1" t="n">
        <v>45914</v>
      </c>
      <c r="D4521" t="inlineStr">
        <is>
          <t>SKÅNE LÄN</t>
        </is>
      </c>
      <c r="E4521" t="inlineStr">
        <is>
          <t>OSBY</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43881-2025</t>
        </is>
      </c>
      <c r="B4522" s="1" t="n">
        <v>45912</v>
      </c>
      <c r="C4522" s="1" t="n">
        <v>45914</v>
      </c>
      <c r="D4522" t="inlineStr">
        <is>
          <t>SKÅNE LÄN</t>
        </is>
      </c>
      <c r="E4522" t="inlineStr">
        <is>
          <t>BROMÖLLA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43306-2025</t>
        </is>
      </c>
      <c r="B4523" s="1" t="n">
        <v>45910</v>
      </c>
      <c r="C4523" s="1" t="n">
        <v>45914</v>
      </c>
      <c r="D4523" t="inlineStr">
        <is>
          <t>SKÅNE LÄN</t>
        </is>
      </c>
      <c r="E4523" t="inlineStr">
        <is>
          <t>TOMELILLA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26251-2025</t>
        </is>
      </c>
      <c r="B4524" s="1" t="n">
        <v>45805.57872685185</v>
      </c>
      <c r="C4524" s="1" t="n">
        <v>45914</v>
      </c>
      <c r="D4524" t="inlineStr">
        <is>
          <t>SKÅNE LÄN</t>
        </is>
      </c>
      <c r="E4524" t="inlineStr">
        <is>
          <t>HÖÖR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50357-2021</t>
        </is>
      </c>
      <c r="B4525" s="1" t="n">
        <v>44455</v>
      </c>
      <c r="C4525" s="1" t="n">
        <v>45914</v>
      </c>
      <c r="D4525" t="inlineStr">
        <is>
          <t>SKÅNE LÄN</t>
        </is>
      </c>
      <c r="E4525" t="inlineStr">
        <is>
          <t>KLIPPAN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8194-2025</t>
        </is>
      </c>
      <c r="B4526" s="1" t="n">
        <v>45708</v>
      </c>
      <c r="C4526" s="1" t="n">
        <v>45914</v>
      </c>
      <c r="D4526" t="inlineStr">
        <is>
          <t>SKÅNE LÄN</t>
        </is>
      </c>
      <c r="E4526" t="inlineStr">
        <is>
          <t>HELSINGBORG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43333-2025</t>
        </is>
      </c>
      <c r="B4527" s="1" t="n">
        <v>45910</v>
      </c>
      <c r="C4527" s="1" t="n">
        <v>45914</v>
      </c>
      <c r="D4527" t="inlineStr">
        <is>
          <t>SKÅNE LÄN</t>
        </is>
      </c>
      <c r="E4527" t="inlineStr">
        <is>
          <t>HÄSSLEHOLM</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43466-2025</t>
        </is>
      </c>
      <c r="B4528" s="1" t="n">
        <v>45911</v>
      </c>
      <c r="C4528" s="1" t="n">
        <v>45914</v>
      </c>
      <c r="D4528" t="inlineStr">
        <is>
          <t>SKÅNE LÄN</t>
        </is>
      </c>
      <c r="E4528" t="inlineStr">
        <is>
          <t>SVALÖV</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9484-2023</t>
        </is>
      </c>
      <c r="B4529" s="1" t="n">
        <v>44981</v>
      </c>
      <c r="C4529" s="1" t="n">
        <v>45914</v>
      </c>
      <c r="D4529" t="inlineStr">
        <is>
          <t>SKÅNE LÄN</t>
        </is>
      </c>
      <c r="E4529" t="inlineStr">
        <is>
          <t>ESLÖV</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9485-2023</t>
        </is>
      </c>
      <c r="B4530" s="1" t="n">
        <v>44981.60901620371</v>
      </c>
      <c r="C4530" s="1" t="n">
        <v>45914</v>
      </c>
      <c r="D4530" t="inlineStr">
        <is>
          <t>SKÅNE LÄN</t>
        </is>
      </c>
      <c r="E4530" t="inlineStr">
        <is>
          <t>HÄSSLEHOLM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9487-2023</t>
        </is>
      </c>
      <c r="B4531" s="1" t="n">
        <v>44981</v>
      </c>
      <c r="C4531" s="1" t="n">
        <v>45914</v>
      </c>
      <c r="D4531" t="inlineStr">
        <is>
          <t>SKÅNE LÄN</t>
        </is>
      </c>
      <c r="E4531" t="inlineStr">
        <is>
          <t>ESLÖV</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9502-2023</t>
        </is>
      </c>
      <c r="B4532" s="1" t="n">
        <v>44981.63278935185</v>
      </c>
      <c r="C4532" s="1" t="n">
        <v>45914</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40994-2025</t>
        </is>
      </c>
      <c r="B4533" s="1" t="n">
        <v>45898</v>
      </c>
      <c r="C4533" s="1" t="n">
        <v>45914</v>
      </c>
      <c r="D4533" t="inlineStr">
        <is>
          <t>SKÅNE LÄN</t>
        </is>
      </c>
      <c r="E4533" t="inlineStr">
        <is>
          <t>HÖRBY</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17824-2023</t>
        </is>
      </c>
      <c r="B4534" s="1" t="n">
        <v>45037.59636574074</v>
      </c>
      <c r="C4534" s="1" t="n">
        <v>45914</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16733-2023</t>
        </is>
      </c>
      <c r="B4535" s="1" t="n">
        <v>45030</v>
      </c>
      <c r="C4535" s="1" t="n">
        <v>45914</v>
      </c>
      <c r="D4535" t="inlineStr">
        <is>
          <t>SKÅNE LÄN</t>
        </is>
      </c>
      <c r="E4535" t="inlineStr">
        <is>
          <t>ESLÖV</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17904-2025</t>
        </is>
      </c>
      <c r="B4536" s="1" t="n">
        <v>45758.71329861111</v>
      </c>
      <c r="C4536" s="1" t="n">
        <v>45914</v>
      </c>
      <c r="D4536" t="inlineStr">
        <is>
          <t>SKÅNE LÄN</t>
        </is>
      </c>
      <c r="E4536" t="inlineStr">
        <is>
          <t>ÖSTRA GÖINGE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1068-2025</t>
        </is>
      </c>
      <c r="B4537" s="1" t="n">
        <v>45666.594375</v>
      </c>
      <c r="C4537" s="1" t="n">
        <v>45914</v>
      </c>
      <c r="D4537" t="inlineStr">
        <is>
          <t>SKÅNE LÄN</t>
        </is>
      </c>
      <c r="E4537" t="inlineStr">
        <is>
          <t>OSBY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1098-2025</t>
        </is>
      </c>
      <c r="B4538" s="1" t="n">
        <v>45666.64070601852</v>
      </c>
      <c r="C4538" s="1" t="n">
        <v>45914</v>
      </c>
      <c r="D4538" t="inlineStr">
        <is>
          <t>SKÅNE LÄN</t>
        </is>
      </c>
      <c r="E4538" t="inlineStr">
        <is>
          <t>SJÖBO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10928-2024</t>
        </is>
      </c>
      <c r="B4539" s="1" t="n">
        <v>45370</v>
      </c>
      <c r="C4539" s="1" t="n">
        <v>45914</v>
      </c>
      <c r="D4539" t="inlineStr">
        <is>
          <t>SKÅNE LÄN</t>
        </is>
      </c>
      <c r="E4539" t="inlineStr">
        <is>
          <t>HÄSSLEHOLM</t>
        </is>
      </c>
      <c r="F4539" t="inlineStr">
        <is>
          <t>Övriga Aktiebolag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5890-2023</t>
        </is>
      </c>
      <c r="B4540" s="1" t="n">
        <v>44963.64527777778</v>
      </c>
      <c r="C4540" s="1" t="n">
        <v>45914</v>
      </c>
      <c r="D4540" t="inlineStr">
        <is>
          <t>SKÅNE LÄN</t>
        </is>
      </c>
      <c r="E4540" t="inlineStr">
        <is>
          <t>HÄSSLEHOLM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5894-2023</t>
        </is>
      </c>
      <c r="B4541" s="1" t="n">
        <v>44963.65148148148</v>
      </c>
      <c r="C4541" s="1" t="n">
        <v>45914</v>
      </c>
      <c r="D4541" t="inlineStr">
        <is>
          <t>SKÅNE LÄN</t>
        </is>
      </c>
      <c r="E4541" t="inlineStr">
        <is>
          <t>HÄSSLEHOLM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36280-2025</t>
        </is>
      </c>
      <c r="B4542" s="1" t="n">
        <v>45867</v>
      </c>
      <c r="C4542" s="1" t="n">
        <v>45914</v>
      </c>
      <c r="D4542" t="inlineStr">
        <is>
          <t>SKÅNE LÄN</t>
        </is>
      </c>
      <c r="E4542" t="inlineStr">
        <is>
          <t>ÖRKELLJUNGA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56968-2024</t>
        </is>
      </c>
      <c r="B4543" s="1" t="n">
        <v>45628.66327546296</v>
      </c>
      <c r="C4543" s="1" t="n">
        <v>45914</v>
      </c>
      <c r="D4543" t="inlineStr">
        <is>
          <t>SKÅNE LÄN</t>
        </is>
      </c>
      <c r="E4543" t="inlineStr">
        <is>
          <t>TOMELILLA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12842-2023</t>
        </is>
      </c>
      <c r="B4544" s="1" t="n">
        <v>45001</v>
      </c>
      <c r="C4544" s="1" t="n">
        <v>45914</v>
      </c>
      <c r="D4544" t="inlineStr">
        <is>
          <t>SKÅNE LÄN</t>
        </is>
      </c>
      <c r="E4544" t="inlineStr">
        <is>
          <t>HÖÖR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12843-2023</t>
        </is>
      </c>
      <c r="B4545" s="1" t="n">
        <v>45001.48423611111</v>
      </c>
      <c r="C4545" s="1" t="n">
        <v>45914</v>
      </c>
      <c r="D4545" t="inlineStr">
        <is>
          <t>SKÅNE LÄN</t>
        </is>
      </c>
      <c r="E4545" t="inlineStr">
        <is>
          <t>HÄSSLEHOLM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25726-2025</t>
        </is>
      </c>
      <c r="B4546" s="1" t="n">
        <v>45803</v>
      </c>
      <c r="C4546" s="1" t="n">
        <v>45914</v>
      </c>
      <c r="D4546" t="inlineStr">
        <is>
          <t>SKÅNE LÄN</t>
        </is>
      </c>
      <c r="E4546" t="inlineStr">
        <is>
          <t>HÄSSLEHOLM</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43738-2025</t>
        </is>
      </c>
      <c r="B4547" s="1" t="n">
        <v>45912.45037037037</v>
      </c>
      <c r="C4547" s="1" t="n">
        <v>45914</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26033-2022</t>
        </is>
      </c>
      <c r="B4548" s="1" t="n">
        <v>44734</v>
      </c>
      <c r="C4548" s="1" t="n">
        <v>45914</v>
      </c>
      <c r="D4548" t="inlineStr">
        <is>
          <t>SKÅNE LÄN</t>
        </is>
      </c>
      <c r="E4548" t="inlineStr">
        <is>
          <t>HÖÖR</t>
        </is>
      </c>
      <c r="F4548" t="inlineStr">
        <is>
          <t>Övriga statliga verk och myndigheter</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10944-2024</t>
        </is>
      </c>
      <c r="B4549" s="1" t="n">
        <v>45370</v>
      </c>
      <c r="C4549" s="1" t="n">
        <v>45914</v>
      </c>
      <c r="D4549" t="inlineStr">
        <is>
          <t>SKÅNE LÄN</t>
        </is>
      </c>
      <c r="E4549" t="inlineStr">
        <is>
          <t>HÄSSLEHOLM</t>
        </is>
      </c>
      <c r="F4549" t="inlineStr">
        <is>
          <t>Övriga Aktiebolag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18973-2023</t>
        </is>
      </c>
      <c r="B4550" s="1" t="n">
        <v>45044</v>
      </c>
      <c r="C4550" s="1" t="n">
        <v>45914</v>
      </c>
      <c r="D4550" t="inlineStr">
        <is>
          <t>SKÅNE LÄN</t>
        </is>
      </c>
      <c r="E4550" t="inlineStr">
        <is>
          <t>SJÖBO</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13228-2024</t>
        </is>
      </c>
      <c r="B4551" s="1" t="n">
        <v>45386</v>
      </c>
      <c r="C4551" s="1" t="n">
        <v>45914</v>
      </c>
      <c r="D4551" t="inlineStr">
        <is>
          <t>SKÅNE LÄN</t>
        </is>
      </c>
      <c r="E4551" t="inlineStr">
        <is>
          <t>HÖRBY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4383-2024</t>
        </is>
      </c>
      <c r="B4552" s="1" t="n">
        <v>45327</v>
      </c>
      <c r="C4552" s="1" t="n">
        <v>45914</v>
      </c>
      <c r="D4552" t="inlineStr">
        <is>
          <t>SKÅNE LÄN</t>
        </is>
      </c>
      <c r="E4552" t="inlineStr">
        <is>
          <t>ÖSTRA GÖINGE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23233-2024</t>
        </is>
      </c>
      <c r="B4553" s="1" t="n">
        <v>45453</v>
      </c>
      <c r="C4553" s="1" t="n">
        <v>45914</v>
      </c>
      <c r="D4553" t="inlineStr">
        <is>
          <t>SKÅNE LÄN</t>
        </is>
      </c>
      <c r="E4553" t="inlineStr">
        <is>
          <t>OSBY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38486-2024</t>
        </is>
      </c>
      <c r="B4554" s="1" t="n">
        <v>45546.49244212963</v>
      </c>
      <c r="C4554" s="1" t="n">
        <v>45914</v>
      </c>
      <c r="D4554" t="inlineStr">
        <is>
          <t>SKÅNE LÄN</t>
        </is>
      </c>
      <c r="E4554" t="inlineStr">
        <is>
          <t>OSBY</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27758-2022</t>
        </is>
      </c>
      <c r="B4555" s="1" t="n">
        <v>44743</v>
      </c>
      <c r="C4555" s="1" t="n">
        <v>45914</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37589-2024</t>
        </is>
      </c>
      <c r="B4556" s="1" t="n">
        <v>45541.46791666667</v>
      </c>
      <c r="C4556" s="1" t="n">
        <v>45914</v>
      </c>
      <c r="D4556" t="inlineStr">
        <is>
          <t>SKÅNE LÄN</t>
        </is>
      </c>
      <c r="E4556" t="inlineStr">
        <is>
          <t>ÖSTRA GÖINGE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35526-2025</t>
        </is>
      </c>
      <c r="B4557" s="1" t="n">
        <v>45856</v>
      </c>
      <c r="C4557" s="1" t="n">
        <v>45914</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429-2023</t>
        </is>
      </c>
      <c r="B4558" s="1" t="n">
        <v>44923</v>
      </c>
      <c r="C4558" s="1" t="n">
        <v>45914</v>
      </c>
      <c r="D4558" t="inlineStr">
        <is>
          <t>SKÅNE LÄN</t>
        </is>
      </c>
      <c r="E4558" t="inlineStr">
        <is>
          <t>KRISTIANSTAD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33462-2025</t>
        </is>
      </c>
      <c r="B4559" s="1" t="n">
        <v>45841</v>
      </c>
      <c r="C4559" s="1" t="n">
        <v>45914</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497-2023</t>
        </is>
      </c>
      <c r="B4560" s="1" t="n">
        <v>44930.33540509259</v>
      </c>
      <c r="C4560" s="1" t="n">
        <v>45914</v>
      </c>
      <c r="D4560" t="inlineStr">
        <is>
          <t>SKÅNE LÄN</t>
        </is>
      </c>
      <c r="E4560" t="inlineStr">
        <is>
          <t>SVALÖV</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13309-2025</t>
        </is>
      </c>
      <c r="B4561" s="1" t="n">
        <v>45735.58512731481</v>
      </c>
      <c r="C4561" s="1" t="n">
        <v>45914</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13324-2025</t>
        </is>
      </c>
      <c r="B4562" s="1" t="n">
        <v>45735</v>
      </c>
      <c r="C4562" s="1" t="n">
        <v>45914</v>
      </c>
      <c r="D4562" t="inlineStr">
        <is>
          <t>SKÅNE LÄN</t>
        </is>
      </c>
      <c r="E4562" t="inlineStr">
        <is>
          <t>ÖSTRA GÖINGE</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5980-2024</t>
        </is>
      </c>
      <c r="B4563" s="1" t="n">
        <v>45335</v>
      </c>
      <c r="C4563" s="1" t="n">
        <v>45914</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43897-2025</t>
        </is>
      </c>
      <c r="B4564" s="1" t="n">
        <v>45912.84896990741</v>
      </c>
      <c r="C4564" s="1" t="n">
        <v>45914</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15993-2024</t>
        </is>
      </c>
      <c r="B4565" s="1" t="n">
        <v>45405</v>
      </c>
      <c r="C4565" s="1" t="n">
        <v>45914</v>
      </c>
      <c r="D4565" t="inlineStr">
        <is>
          <t>SKÅNE LÄN</t>
        </is>
      </c>
      <c r="E4565" t="inlineStr">
        <is>
          <t>ÖSTRA GÖINGE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42412-2025</t>
        </is>
      </c>
      <c r="B4566" s="1" t="n">
        <v>45905</v>
      </c>
      <c r="C4566" s="1" t="n">
        <v>45914</v>
      </c>
      <c r="D4566" t="inlineStr">
        <is>
          <t>SKÅNE LÄN</t>
        </is>
      </c>
      <c r="E4566" t="inlineStr">
        <is>
          <t>BÅSTAD</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26721-2022</t>
        </is>
      </c>
      <c r="B4567" s="1" t="n">
        <v>44739.92146990741</v>
      </c>
      <c r="C4567" s="1" t="n">
        <v>45914</v>
      </c>
      <c r="D4567" t="inlineStr">
        <is>
          <t>SKÅNE LÄN</t>
        </is>
      </c>
      <c r="E4567" t="inlineStr">
        <is>
          <t>ÖSTRA GÖINGE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3940-2024</t>
        </is>
      </c>
      <c r="B4568" s="1" t="n">
        <v>45322</v>
      </c>
      <c r="C4568" s="1" t="n">
        <v>45914</v>
      </c>
      <c r="D4568" t="inlineStr">
        <is>
          <t>SKÅNE LÄN</t>
        </is>
      </c>
      <c r="E4568" t="inlineStr">
        <is>
          <t>HÖÖR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4623-2024</t>
        </is>
      </c>
      <c r="B4569" s="1" t="n">
        <v>45328</v>
      </c>
      <c r="C4569" s="1" t="n">
        <v>45914</v>
      </c>
      <c r="D4569" t="inlineStr">
        <is>
          <t>SKÅNE LÄN</t>
        </is>
      </c>
      <c r="E4569" t="inlineStr">
        <is>
          <t>KLIPPAN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57543-2022</t>
        </is>
      </c>
      <c r="B4570" s="1" t="n">
        <v>44896.71260416666</v>
      </c>
      <c r="C4570" s="1" t="n">
        <v>45914</v>
      </c>
      <c r="D4570" t="inlineStr">
        <is>
          <t>SKÅNE LÄN</t>
        </is>
      </c>
      <c r="E4570" t="inlineStr">
        <is>
          <t>ÖSTRA GÖINGE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27426-2024</t>
        </is>
      </c>
      <c r="B4571" s="1" t="n">
        <v>45474.39143518519</v>
      </c>
      <c r="C4571" s="1" t="n">
        <v>45914</v>
      </c>
      <c r="D4571" t="inlineStr">
        <is>
          <t>SKÅNE LÄN</t>
        </is>
      </c>
      <c r="E4571" t="inlineStr">
        <is>
          <t>SIMRISHAMN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48427-2022</t>
        </is>
      </c>
      <c r="B4572" s="1" t="n">
        <v>44858</v>
      </c>
      <c r="C4572" s="1" t="n">
        <v>45914</v>
      </c>
      <c r="D4572" t="inlineStr">
        <is>
          <t>SKÅNE LÄN</t>
        </is>
      </c>
      <c r="E4572" t="inlineStr">
        <is>
          <t>HÖRBY</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38387-2024</t>
        </is>
      </c>
      <c r="B4573" s="1" t="n">
        <v>45546</v>
      </c>
      <c r="C4573" s="1" t="n">
        <v>45914</v>
      </c>
      <c r="D4573" t="inlineStr">
        <is>
          <t>SKÅNE LÄN</t>
        </is>
      </c>
      <c r="E4573" t="inlineStr">
        <is>
          <t>TOMELILLA</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45946-2022</t>
        </is>
      </c>
      <c r="B4574" s="1" t="n">
        <v>44845</v>
      </c>
      <c r="C4574" s="1" t="n">
        <v>45914</v>
      </c>
      <c r="D4574" t="inlineStr">
        <is>
          <t>SKÅNE LÄN</t>
        </is>
      </c>
      <c r="E4574" t="inlineStr">
        <is>
          <t>SIMRISHAMN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43447-2024</t>
        </is>
      </c>
      <c r="B4575" s="1" t="n">
        <v>45568.67050925926</v>
      </c>
      <c r="C4575" s="1" t="n">
        <v>45914</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42372-2024</t>
        </is>
      </c>
      <c r="B4576" s="1" t="n">
        <v>45564.5127199074</v>
      </c>
      <c r="C4576" s="1" t="n">
        <v>45914</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43857-2025</t>
        </is>
      </c>
      <c r="B4577" s="1" t="n">
        <v>45912.64872685185</v>
      </c>
      <c r="C4577" s="1" t="n">
        <v>45914</v>
      </c>
      <c r="D4577" t="inlineStr">
        <is>
          <t>SKÅNE LÄN</t>
        </is>
      </c>
      <c r="E4577" t="inlineStr">
        <is>
          <t>ÄNGELHOLM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2829-2023</t>
        </is>
      </c>
      <c r="B4578" s="1" t="n">
        <v>44945</v>
      </c>
      <c r="C4578" s="1" t="n">
        <v>45914</v>
      </c>
      <c r="D4578" t="inlineStr">
        <is>
          <t>SKÅNE LÄN</t>
        </is>
      </c>
      <c r="E4578" t="inlineStr">
        <is>
          <t>KRISTIANSTAD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8209-2025</t>
        </is>
      </c>
      <c r="B4579" s="1" t="n">
        <v>45708.44244212963</v>
      </c>
      <c r="C4579" s="1" t="n">
        <v>45914</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19500-2024</t>
        </is>
      </c>
      <c r="B4580" s="1" t="n">
        <v>45429</v>
      </c>
      <c r="C4580" s="1" t="n">
        <v>45914</v>
      </c>
      <c r="D4580" t="inlineStr">
        <is>
          <t>SKÅNE LÄN</t>
        </is>
      </c>
      <c r="E4580" t="inlineStr">
        <is>
          <t>TOMELILLA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11808-2024</t>
        </is>
      </c>
      <c r="B4581" s="1" t="n">
        <v>45375.84645833333</v>
      </c>
      <c r="C4581" s="1" t="n">
        <v>45914</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11633-2024</t>
        </is>
      </c>
      <c r="B4582" s="1" t="n">
        <v>45373.4740625</v>
      </c>
      <c r="C4582" s="1" t="n">
        <v>45914</v>
      </c>
      <c r="D4582" t="inlineStr">
        <is>
          <t>SKÅNE LÄN</t>
        </is>
      </c>
      <c r="E4582" t="inlineStr">
        <is>
          <t>SVALÖV</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63029-2023</t>
        </is>
      </c>
      <c r="B4583" s="1" t="n">
        <v>45272</v>
      </c>
      <c r="C4583" s="1" t="n">
        <v>45914</v>
      </c>
      <c r="D4583" t="inlineStr">
        <is>
          <t>SKÅNE LÄN</t>
        </is>
      </c>
      <c r="E4583" t="inlineStr">
        <is>
          <t>ÖRKELLJUNGA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2316-2024</t>
        </is>
      </c>
      <c r="B4584" s="1" t="n">
        <v>45310</v>
      </c>
      <c r="C4584" s="1" t="n">
        <v>45914</v>
      </c>
      <c r="D4584" t="inlineStr">
        <is>
          <t>SKÅNE LÄN</t>
        </is>
      </c>
      <c r="E4584" t="inlineStr">
        <is>
          <t>KRISTIANSTAD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54282-2023</t>
        </is>
      </c>
      <c r="B4585" s="1" t="n">
        <v>45232.69699074074</v>
      </c>
      <c r="C4585" s="1" t="n">
        <v>45914</v>
      </c>
      <c r="D4585" t="inlineStr">
        <is>
          <t>SKÅNE LÄN</t>
        </is>
      </c>
      <c r="E4585" t="inlineStr">
        <is>
          <t>SVEDALA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4487-2024</t>
        </is>
      </c>
      <c r="B4586" s="1" t="n">
        <v>45327</v>
      </c>
      <c r="C4586" s="1" t="n">
        <v>45914</v>
      </c>
      <c r="D4586" t="inlineStr">
        <is>
          <t>SKÅNE LÄN</t>
        </is>
      </c>
      <c r="E4586" t="inlineStr">
        <is>
          <t>BÅSTAD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17699-2024</t>
        </is>
      </c>
      <c r="B4587" s="1" t="n">
        <v>45418.46094907408</v>
      </c>
      <c r="C4587" s="1" t="n">
        <v>45914</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17702-2024</t>
        </is>
      </c>
      <c r="B4588" s="1" t="n">
        <v>45418.46534722222</v>
      </c>
      <c r="C4588" s="1" t="n">
        <v>45914</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59601-2023</t>
        </is>
      </c>
      <c r="B4589" s="1" t="n">
        <v>45254.62699074074</v>
      </c>
      <c r="C4589" s="1" t="n">
        <v>45914</v>
      </c>
      <c r="D4589" t="inlineStr">
        <is>
          <t>SKÅNE LÄN</t>
        </is>
      </c>
      <c r="E4589" t="inlineStr">
        <is>
          <t>ÖSTRA GÖINGE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20566-2023</t>
        </is>
      </c>
      <c r="B4590" s="1" t="n">
        <v>45057</v>
      </c>
      <c r="C4590" s="1" t="n">
        <v>45914</v>
      </c>
      <c r="D4590" t="inlineStr">
        <is>
          <t>SKÅNE LÄN</t>
        </is>
      </c>
      <c r="E4590" t="inlineStr">
        <is>
          <t>HÄSSLEHOLM</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59253-2022</t>
        </is>
      </c>
      <c r="B4591" s="1" t="n">
        <v>44904.57929398148</v>
      </c>
      <c r="C4591" s="1" t="n">
        <v>45914</v>
      </c>
      <c r="D4591" t="inlineStr">
        <is>
          <t>SKÅNE LÄN</t>
        </is>
      </c>
      <c r="E4591" t="inlineStr">
        <is>
          <t>OSBY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34704-2024</t>
        </is>
      </c>
      <c r="B4592" s="1" t="n">
        <v>45526</v>
      </c>
      <c r="C4592" s="1" t="n">
        <v>45914</v>
      </c>
      <c r="D4592" t="inlineStr">
        <is>
          <t>SKÅNE LÄN</t>
        </is>
      </c>
      <c r="E4592" t="inlineStr">
        <is>
          <t>HÖÖR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36523-2022</t>
        </is>
      </c>
      <c r="B4593" s="1" t="n">
        <v>44804</v>
      </c>
      <c r="C4593" s="1" t="n">
        <v>45914</v>
      </c>
      <c r="D4593" t="inlineStr">
        <is>
          <t>SKÅNE LÄN</t>
        </is>
      </c>
      <c r="E4593" t="inlineStr">
        <is>
          <t>VELLINGE</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10971-2023</t>
        </is>
      </c>
      <c r="B4594" s="1" t="n">
        <v>44991</v>
      </c>
      <c r="C4594" s="1" t="n">
        <v>45914</v>
      </c>
      <c r="D4594" t="inlineStr">
        <is>
          <t>SKÅNE LÄN</t>
        </is>
      </c>
      <c r="E4594" t="inlineStr">
        <is>
          <t>KRISTIANSTAD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32967-2023</t>
        </is>
      </c>
      <c r="B4595" s="1" t="n">
        <v>45125</v>
      </c>
      <c r="C4595" s="1" t="n">
        <v>45914</v>
      </c>
      <c r="D4595" t="inlineStr">
        <is>
          <t>SKÅNE LÄN</t>
        </is>
      </c>
      <c r="E4595" t="inlineStr">
        <is>
          <t>HÄSSLEHOLM</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32968-2023</t>
        </is>
      </c>
      <c r="B4596" s="1" t="n">
        <v>45125</v>
      </c>
      <c r="C4596" s="1" t="n">
        <v>45914</v>
      </c>
      <c r="D4596" t="inlineStr">
        <is>
          <t>SKÅNE LÄN</t>
        </is>
      </c>
      <c r="E4596" t="inlineStr">
        <is>
          <t>HÄSSLEHOLM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1557-2023</t>
        </is>
      </c>
      <c r="B4597" s="1" t="n">
        <v>44937</v>
      </c>
      <c r="C4597" s="1" t="n">
        <v>45914</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42231-2022</t>
        </is>
      </c>
      <c r="B4598" s="1" t="n">
        <v>44830.77003472222</v>
      </c>
      <c r="C4598" s="1" t="n">
        <v>45914</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1560-2023</t>
        </is>
      </c>
      <c r="B4599" s="1" t="n">
        <v>44937</v>
      </c>
      <c r="C4599" s="1" t="n">
        <v>45914</v>
      </c>
      <c r="D4599" t="inlineStr">
        <is>
          <t>SKÅNE LÄN</t>
        </is>
      </c>
      <c r="E4599" t="inlineStr">
        <is>
          <t>HÄSSLEHOLM</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13431-2022</t>
        </is>
      </c>
      <c r="B4600" s="1" t="n">
        <v>44645.58700231482</v>
      </c>
      <c r="C4600" s="1" t="n">
        <v>45914</v>
      </c>
      <c r="D4600" t="inlineStr">
        <is>
          <t>SKÅNE LÄN</t>
        </is>
      </c>
      <c r="E4600" t="inlineStr">
        <is>
          <t>KRISTIANSTAD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3198-2023</t>
        </is>
      </c>
      <c r="B4601" s="1" t="n">
        <v>44944</v>
      </c>
      <c r="C4601" s="1" t="n">
        <v>45914</v>
      </c>
      <c r="D4601" t="inlineStr">
        <is>
          <t>SKÅNE LÄN</t>
        </is>
      </c>
      <c r="E4601" t="inlineStr">
        <is>
          <t>KLIPPAN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17616-2023</t>
        </is>
      </c>
      <c r="B4602" s="1" t="n">
        <v>45036</v>
      </c>
      <c r="C4602" s="1" t="n">
        <v>45914</v>
      </c>
      <c r="D4602" t="inlineStr">
        <is>
          <t>SKÅNE LÄN</t>
        </is>
      </c>
      <c r="E4602" t="inlineStr">
        <is>
          <t>OSBY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11922-2023</t>
        </is>
      </c>
      <c r="B4603" s="1" t="n">
        <v>44993</v>
      </c>
      <c r="C4603" s="1" t="n">
        <v>45914</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14400-2023</t>
        </is>
      </c>
      <c r="B4604" s="1" t="n">
        <v>45012</v>
      </c>
      <c r="C4604" s="1" t="n">
        <v>45914</v>
      </c>
      <c r="D4604" t="inlineStr">
        <is>
          <t>SKÅNE LÄN</t>
        </is>
      </c>
      <c r="E4604" t="inlineStr">
        <is>
          <t>ÄNGELHOLM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14430-2023</t>
        </is>
      </c>
      <c r="B4605" s="1" t="n">
        <v>45012</v>
      </c>
      <c r="C4605" s="1" t="n">
        <v>45914</v>
      </c>
      <c r="D4605" t="inlineStr">
        <is>
          <t>SKÅNE LÄN</t>
        </is>
      </c>
      <c r="E4605" t="inlineStr">
        <is>
          <t>ÖRKELLJUNGA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4089-2024</t>
        </is>
      </c>
      <c r="B4606" s="1" t="n">
        <v>45323</v>
      </c>
      <c r="C4606" s="1" t="n">
        <v>45914</v>
      </c>
      <c r="D4606" t="inlineStr">
        <is>
          <t>SKÅNE LÄN</t>
        </is>
      </c>
      <c r="E4606" t="inlineStr">
        <is>
          <t>ÄNGELHOLM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33826-2021</t>
        </is>
      </c>
      <c r="B4607" s="1" t="n">
        <v>44378</v>
      </c>
      <c r="C4607" s="1" t="n">
        <v>45914</v>
      </c>
      <c r="D4607" t="inlineStr">
        <is>
          <t>SKÅNE LÄN</t>
        </is>
      </c>
      <c r="E4607" t="inlineStr">
        <is>
          <t>ÖSTRA GÖINGE</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8380-2023</t>
        </is>
      </c>
      <c r="B4608" s="1" t="n">
        <v>44977</v>
      </c>
      <c r="C4608" s="1" t="n">
        <v>45914</v>
      </c>
      <c r="D4608" t="inlineStr">
        <is>
          <t>SKÅNE LÄN</t>
        </is>
      </c>
      <c r="E4608" t="inlineStr">
        <is>
          <t>ÖSTRA GÖINGE</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54982-2024</t>
        </is>
      </c>
      <c r="B4609" s="1" t="n">
        <v>45620.7580787037</v>
      </c>
      <c r="C4609" s="1" t="n">
        <v>45914</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60213-2024</t>
        </is>
      </c>
      <c r="B4610" s="1" t="n">
        <v>45642</v>
      </c>
      <c r="C4610" s="1" t="n">
        <v>45914</v>
      </c>
      <c r="D4610" t="inlineStr">
        <is>
          <t>SKÅNE LÄN</t>
        </is>
      </c>
      <c r="E4610" t="inlineStr">
        <is>
          <t>BROMÖLLA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23234-2024</t>
        </is>
      </c>
      <c r="B4611" s="1" t="n">
        <v>45453</v>
      </c>
      <c r="C4611" s="1" t="n">
        <v>45914</v>
      </c>
      <c r="D4611" t="inlineStr">
        <is>
          <t>SKÅNE LÄN</t>
        </is>
      </c>
      <c r="E4611" t="inlineStr">
        <is>
          <t>OSBY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36952-2023</t>
        </is>
      </c>
      <c r="B4612" s="1" t="n">
        <v>45154</v>
      </c>
      <c r="C4612" s="1" t="n">
        <v>45914</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23235-2024</t>
        </is>
      </c>
      <c r="B4613" s="1" t="n">
        <v>45453</v>
      </c>
      <c r="C4613" s="1" t="n">
        <v>45914</v>
      </c>
      <c r="D4613" t="inlineStr">
        <is>
          <t>SKÅNE LÄN</t>
        </is>
      </c>
      <c r="E4613" t="inlineStr">
        <is>
          <t>OSBY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5262-2022</t>
        </is>
      </c>
      <c r="B4614" s="1" t="n">
        <v>44594.57376157407</v>
      </c>
      <c r="C4614" s="1" t="n">
        <v>45914</v>
      </c>
      <c r="D4614" t="inlineStr">
        <is>
          <t>SKÅNE LÄN</t>
        </is>
      </c>
      <c r="E4614" t="inlineStr">
        <is>
          <t>OSBY</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23681-2023</t>
        </is>
      </c>
      <c r="B4615" s="1" t="n">
        <v>45077</v>
      </c>
      <c r="C4615" s="1" t="n">
        <v>45914</v>
      </c>
      <c r="D4615" t="inlineStr">
        <is>
          <t>SKÅNE LÄN</t>
        </is>
      </c>
      <c r="E4615" t="inlineStr">
        <is>
          <t>KLIPPAN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23692-2023</t>
        </is>
      </c>
      <c r="B4616" s="1" t="n">
        <v>45077.60907407408</v>
      </c>
      <c r="C4616" s="1" t="n">
        <v>45914</v>
      </c>
      <c r="D4616" t="inlineStr">
        <is>
          <t>SKÅNE LÄN</t>
        </is>
      </c>
      <c r="E4616" t="inlineStr">
        <is>
          <t>ÖRKELLJUNGA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23739-2023</t>
        </is>
      </c>
      <c r="B4617" s="1" t="n">
        <v>45077.7675</v>
      </c>
      <c r="C4617" s="1" t="n">
        <v>45914</v>
      </c>
      <c r="D4617" t="inlineStr">
        <is>
          <t>SKÅNE LÄN</t>
        </is>
      </c>
      <c r="E4617" t="inlineStr">
        <is>
          <t>ÖRKELLJUNGA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23740-2023</t>
        </is>
      </c>
      <c r="B4618" s="1" t="n">
        <v>45077</v>
      </c>
      <c r="C4618" s="1" t="n">
        <v>45914</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32584-2022</t>
        </is>
      </c>
      <c r="B4619" s="1" t="n">
        <v>44783</v>
      </c>
      <c r="C4619" s="1" t="n">
        <v>45914</v>
      </c>
      <c r="D4619" t="inlineStr">
        <is>
          <t>SKÅNE LÄN</t>
        </is>
      </c>
      <c r="E4619" t="inlineStr">
        <is>
          <t>OSBY</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44429-2024</t>
        </is>
      </c>
      <c r="B4620" s="1" t="n">
        <v>45573.97304398148</v>
      </c>
      <c r="C4620" s="1" t="n">
        <v>45914</v>
      </c>
      <c r="D4620" t="inlineStr">
        <is>
          <t>SKÅNE LÄN</t>
        </is>
      </c>
      <c r="E4620" t="inlineStr">
        <is>
          <t>OSBY</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36795-2023</t>
        </is>
      </c>
      <c r="B4621" s="1" t="n">
        <v>45154.38245370371</v>
      </c>
      <c r="C4621" s="1" t="n">
        <v>45914</v>
      </c>
      <c r="D4621" t="inlineStr">
        <is>
          <t>SKÅNE LÄN</t>
        </is>
      </c>
      <c r="E4621" t="inlineStr">
        <is>
          <t>HÄSSLEHOLM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39407-2023</t>
        </is>
      </c>
      <c r="B4622" s="1" t="n">
        <v>45163</v>
      </c>
      <c r="C4622" s="1" t="n">
        <v>45914</v>
      </c>
      <c r="D4622" t="inlineStr">
        <is>
          <t>SKÅNE LÄN</t>
        </is>
      </c>
      <c r="E4622" t="inlineStr">
        <is>
          <t>SJÖBO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4159-2023</t>
        </is>
      </c>
      <c r="B4623" s="1" t="n">
        <v>44953</v>
      </c>
      <c r="C4623" s="1" t="n">
        <v>45914</v>
      </c>
      <c r="D4623" t="inlineStr">
        <is>
          <t>SKÅNE LÄN</t>
        </is>
      </c>
      <c r="E4623" t="inlineStr">
        <is>
          <t>ÅSTORP</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44496-2023</t>
        </is>
      </c>
      <c r="B4624" s="1" t="n">
        <v>45189</v>
      </c>
      <c r="C4624" s="1" t="n">
        <v>45914</v>
      </c>
      <c r="D4624" t="inlineStr">
        <is>
          <t>SKÅNE LÄN</t>
        </is>
      </c>
      <c r="E4624" t="inlineStr">
        <is>
          <t>ESLÖV</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15688-2023</t>
        </is>
      </c>
      <c r="B4625" s="1" t="n">
        <v>45021.46637731481</v>
      </c>
      <c r="C4625" s="1" t="n">
        <v>45914</v>
      </c>
      <c r="D4625" t="inlineStr">
        <is>
          <t>SKÅNE LÄN</t>
        </is>
      </c>
      <c r="E4625" t="inlineStr">
        <is>
          <t>ÖSTRA GÖINGE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15698-2023</t>
        </is>
      </c>
      <c r="B4626" s="1" t="n">
        <v>45021</v>
      </c>
      <c r="C4626" s="1" t="n">
        <v>45914</v>
      </c>
      <c r="D4626" t="inlineStr">
        <is>
          <t>SKÅNE LÄN</t>
        </is>
      </c>
      <c r="E4626" t="inlineStr">
        <is>
          <t>HÄSSLEHOLM</t>
        </is>
      </c>
      <c r="F4626" t="inlineStr">
        <is>
          <t>Kommuner</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4756-2025</t>
        </is>
      </c>
      <c r="B4627" s="1" t="n">
        <v>45688.4693287037</v>
      </c>
      <c r="C4627" s="1" t="n">
        <v>45914</v>
      </c>
      <c r="D4627" t="inlineStr">
        <is>
          <t>SKÅNE LÄN</t>
        </is>
      </c>
      <c r="E4627" t="inlineStr">
        <is>
          <t>HÖRBY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18333-2025</t>
        </is>
      </c>
      <c r="B4628" s="1" t="n">
        <v>45762.4968287037</v>
      </c>
      <c r="C4628" s="1" t="n">
        <v>45914</v>
      </c>
      <c r="D4628" t="inlineStr">
        <is>
          <t>SKÅNE LÄN</t>
        </is>
      </c>
      <c r="E4628" t="inlineStr">
        <is>
          <t>OSBY</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12584-2025</t>
        </is>
      </c>
      <c r="B4629" s="1" t="n">
        <v>45732</v>
      </c>
      <c r="C4629" s="1" t="n">
        <v>45914</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1872-2024</t>
        </is>
      </c>
      <c r="B4630" s="1" t="n">
        <v>45307</v>
      </c>
      <c r="C4630" s="1" t="n">
        <v>45914</v>
      </c>
      <c r="D4630" t="inlineStr">
        <is>
          <t>SKÅNE LÄN</t>
        </is>
      </c>
      <c r="E4630" t="inlineStr">
        <is>
          <t>KRISTIANSTAD</t>
        </is>
      </c>
      <c r="F4630" t="inlineStr">
        <is>
          <t>Övriga Aktiebolag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48132-2024</t>
        </is>
      </c>
      <c r="B4631" s="1" t="n">
        <v>45589.65177083333</v>
      </c>
      <c r="C4631" s="1" t="n">
        <v>45914</v>
      </c>
      <c r="D4631" t="inlineStr">
        <is>
          <t>SKÅNE LÄN</t>
        </is>
      </c>
      <c r="E4631" t="inlineStr">
        <is>
          <t>OSBY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48137-2024</t>
        </is>
      </c>
      <c r="B4632" s="1" t="n">
        <v>45589.65980324074</v>
      </c>
      <c r="C4632" s="1" t="n">
        <v>45914</v>
      </c>
      <c r="D4632" t="inlineStr">
        <is>
          <t>SKÅNE LÄN</t>
        </is>
      </c>
      <c r="E4632" t="inlineStr">
        <is>
          <t>OSBY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24947-2023</t>
        </is>
      </c>
      <c r="B4633" s="1" t="n">
        <v>45085</v>
      </c>
      <c r="C4633" s="1" t="n">
        <v>45914</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19532-2023</t>
        </is>
      </c>
      <c r="B4634" s="1" t="n">
        <v>45049</v>
      </c>
      <c r="C4634" s="1" t="n">
        <v>45914</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4188-2024</t>
        </is>
      </c>
      <c r="B4635" s="1" t="n">
        <v>45324</v>
      </c>
      <c r="C4635" s="1" t="n">
        <v>45914</v>
      </c>
      <c r="D4635" t="inlineStr">
        <is>
          <t>SKÅNE LÄN</t>
        </is>
      </c>
      <c r="E4635" t="inlineStr">
        <is>
          <t>TOMELILLA</t>
        </is>
      </c>
      <c r="F4635" t="inlineStr">
        <is>
          <t>Övriga Aktiebolag</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10967-2024</t>
        </is>
      </c>
      <c r="B4636" s="1" t="n">
        <v>45370.50613425926</v>
      </c>
      <c r="C4636" s="1" t="n">
        <v>45914</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11010-2024</t>
        </is>
      </c>
      <c r="B4637" s="1" t="n">
        <v>45370</v>
      </c>
      <c r="C4637" s="1" t="n">
        <v>45914</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11012-2024</t>
        </is>
      </c>
      <c r="B4638" s="1" t="n">
        <v>45370</v>
      </c>
      <c r="C4638" s="1" t="n">
        <v>45914</v>
      </c>
      <c r="D4638" t="inlineStr">
        <is>
          <t>SKÅNE LÄN</t>
        </is>
      </c>
      <c r="E4638" t="inlineStr">
        <is>
          <t>KRISTIANSTAD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23479-2024</t>
        </is>
      </c>
      <c r="B4639" s="1" t="n">
        <v>45453</v>
      </c>
      <c r="C4639" s="1" t="n">
        <v>45914</v>
      </c>
      <c r="D4639" t="inlineStr">
        <is>
          <t>SKÅNE LÄN</t>
        </is>
      </c>
      <c r="E4639" t="inlineStr">
        <is>
          <t>OSBY</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23480-2024</t>
        </is>
      </c>
      <c r="B4640" s="1" t="n">
        <v>45453</v>
      </c>
      <c r="C4640" s="1" t="n">
        <v>45914</v>
      </c>
      <c r="D4640" t="inlineStr">
        <is>
          <t>SKÅNE LÄN</t>
        </is>
      </c>
      <c r="E4640" t="inlineStr">
        <is>
          <t>OSBY</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33362-2023</t>
        </is>
      </c>
      <c r="B4641" s="1" t="n">
        <v>45128</v>
      </c>
      <c r="C4641" s="1" t="n">
        <v>45914</v>
      </c>
      <c r="D4641" t="inlineStr">
        <is>
          <t>SKÅNE LÄN</t>
        </is>
      </c>
      <c r="E4641" t="inlineStr">
        <is>
          <t>KRISTIANSTAD</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31998-2023</t>
        </is>
      </c>
      <c r="B4642" s="1" t="n">
        <v>45119</v>
      </c>
      <c r="C4642" s="1" t="n">
        <v>45914</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32001-2023</t>
        </is>
      </c>
      <c r="B4643" s="1" t="n">
        <v>45119</v>
      </c>
      <c r="C4643" s="1" t="n">
        <v>45914</v>
      </c>
      <c r="D4643" t="inlineStr">
        <is>
          <t>SKÅNE LÄN</t>
        </is>
      </c>
      <c r="E4643" t="inlineStr">
        <is>
          <t>OSBY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33358-2023</t>
        </is>
      </c>
      <c r="B4644" s="1" t="n">
        <v>45128</v>
      </c>
      <c r="C4644" s="1" t="n">
        <v>45914</v>
      </c>
      <c r="D4644" t="inlineStr">
        <is>
          <t>SKÅNE LÄN</t>
        </is>
      </c>
      <c r="E4644" t="inlineStr">
        <is>
          <t>HÖRBY</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14546-2024</t>
        </is>
      </c>
      <c r="B4645" s="1" t="n">
        <v>45394</v>
      </c>
      <c r="C4645" s="1" t="n">
        <v>45914</v>
      </c>
      <c r="D4645" t="inlineStr">
        <is>
          <t>SKÅNE LÄN</t>
        </is>
      </c>
      <c r="E4645" t="inlineStr">
        <is>
          <t>SVALÖV</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4140-2023</t>
        </is>
      </c>
      <c r="B4646" s="1" t="n">
        <v>44953</v>
      </c>
      <c r="C4646" s="1" t="n">
        <v>45914</v>
      </c>
      <c r="D4646" t="inlineStr">
        <is>
          <t>SKÅNE LÄN</t>
        </is>
      </c>
      <c r="E4646" t="inlineStr">
        <is>
          <t>HÄSSLEHOLM</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9006-2024</t>
        </is>
      </c>
      <c r="B4647" s="1" t="n">
        <v>45357</v>
      </c>
      <c r="C4647" s="1" t="n">
        <v>45914</v>
      </c>
      <c r="D4647" t="inlineStr">
        <is>
          <t>SKÅNE LÄN</t>
        </is>
      </c>
      <c r="E4647" t="inlineStr">
        <is>
          <t>BROMÖLLA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9020-2024</t>
        </is>
      </c>
      <c r="B4648" s="1" t="n">
        <v>45357.59486111111</v>
      </c>
      <c r="C4648" s="1" t="n">
        <v>45914</v>
      </c>
      <c r="D4648" t="inlineStr">
        <is>
          <t>SKÅNE LÄN</t>
        </is>
      </c>
      <c r="E4648" t="inlineStr">
        <is>
          <t>KRISTIANSTAD</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25077-2024</t>
        </is>
      </c>
      <c r="B4649" s="1" t="n">
        <v>45462</v>
      </c>
      <c r="C4649" s="1" t="n">
        <v>45914</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7492-2025</t>
        </is>
      </c>
      <c r="B4650" s="1" t="n">
        <v>45702</v>
      </c>
      <c r="C4650" s="1" t="n">
        <v>45914</v>
      </c>
      <c r="D4650" t="inlineStr">
        <is>
          <t>SKÅNE LÄN</t>
        </is>
      </c>
      <c r="E4650" t="inlineStr">
        <is>
          <t>PERSTORP</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35026-2023</t>
        </is>
      </c>
      <c r="B4651" s="1" t="n">
        <v>45144.5925</v>
      </c>
      <c r="C4651" s="1" t="n">
        <v>45914</v>
      </c>
      <c r="D4651" t="inlineStr">
        <is>
          <t>SKÅNE LÄN</t>
        </is>
      </c>
      <c r="E4651" t="inlineStr">
        <is>
          <t>KRISTIANSTAD</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33255-2023</t>
        </is>
      </c>
      <c r="B4652" s="1" t="n">
        <v>45127.5517824074</v>
      </c>
      <c r="C4652" s="1" t="n">
        <v>45914</v>
      </c>
      <c r="D4652" t="inlineStr">
        <is>
          <t>SKÅNE LÄN</t>
        </is>
      </c>
      <c r="E4652" t="inlineStr">
        <is>
          <t>BROMÖLLA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6440-2024</t>
        </is>
      </c>
      <c r="B4653" s="1" t="n">
        <v>45338.65138888889</v>
      </c>
      <c r="C4653" s="1" t="n">
        <v>45914</v>
      </c>
      <c r="D4653" t="inlineStr">
        <is>
          <t>SKÅNE LÄN</t>
        </is>
      </c>
      <c r="E4653" t="inlineStr">
        <is>
          <t>HÖÖR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23676-2024</t>
        </is>
      </c>
      <c r="B4654" s="1" t="n">
        <v>45454.61513888889</v>
      </c>
      <c r="C4654" s="1" t="n">
        <v>45914</v>
      </c>
      <c r="D4654" t="inlineStr">
        <is>
          <t>SKÅNE LÄN</t>
        </is>
      </c>
      <c r="E4654" t="inlineStr">
        <is>
          <t>ÄNGELHOLM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32620-2023</t>
        </is>
      </c>
      <c r="B4655" s="1" t="n">
        <v>45111</v>
      </c>
      <c r="C4655" s="1" t="n">
        <v>45914</v>
      </c>
      <c r="D4655" t="inlineStr">
        <is>
          <t>SKÅNE LÄN</t>
        </is>
      </c>
      <c r="E4655" t="inlineStr">
        <is>
          <t>SVALÖV</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67669-2021</t>
        </is>
      </c>
      <c r="B4656" s="1" t="n">
        <v>44524.90207175926</v>
      </c>
      <c r="C4656" s="1" t="n">
        <v>45914</v>
      </c>
      <c r="D4656" t="inlineStr">
        <is>
          <t>SKÅNE LÄN</t>
        </is>
      </c>
      <c r="E4656" t="inlineStr">
        <is>
          <t>PERSTORP</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46942-2024</t>
        </is>
      </c>
      <c r="B4657" s="1" t="n">
        <v>45585.6684375</v>
      </c>
      <c r="C4657" s="1" t="n">
        <v>45914</v>
      </c>
      <c r="D4657" t="inlineStr">
        <is>
          <t>SKÅNE LÄN</t>
        </is>
      </c>
      <c r="E4657" t="inlineStr">
        <is>
          <t>HÄSSLEHOLM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35693-2024</t>
        </is>
      </c>
      <c r="B4658" s="1" t="n">
        <v>45532</v>
      </c>
      <c r="C4658" s="1" t="n">
        <v>45914</v>
      </c>
      <c r="D4658" t="inlineStr">
        <is>
          <t>SKÅNE LÄN</t>
        </is>
      </c>
      <c r="E4658" t="inlineStr">
        <is>
          <t>KRISTIANSTAD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13122-2024</t>
        </is>
      </c>
      <c r="B4659" s="1" t="n">
        <v>45385</v>
      </c>
      <c r="C4659" s="1" t="n">
        <v>45914</v>
      </c>
      <c r="D4659" t="inlineStr">
        <is>
          <t>SKÅNE LÄN</t>
        </is>
      </c>
      <c r="E4659" t="inlineStr">
        <is>
          <t>KRISTIANSTAD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20426-2023</t>
        </is>
      </c>
      <c r="B4660" s="1" t="n">
        <v>45056</v>
      </c>
      <c r="C4660" s="1" t="n">
        <v>45914</v>
      </c>
      <c r="D4660" t="inlineStr">
        <is>
          <t>SKÅNE LÄN</t>
        </is>
      </c>
      <c r="E4660" t="inlineStr">
        <is>
          <t>BROMÖLLA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20512-2023</t>
        </is>
      </c>
      <c r="B4661" s="1" t="n">
        <v>45057</v>
      </c>
      <c r="C4661" s="1" t="n">
        <v>45914</v>
      </c>
      <c r="D4661" t="inlineStr">
        <is>
          <t>SKÅNE LÄN</t>
        </is>
      </c>
      <c r="E4661" t="inlineStr">
        <is>
          <t>HÖÖR</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37967-2024</t>
        </is>
      </c>
      <c r="B4662" s="1" t="n">
        <v>45544.55668981482</v>
      </c>
      <c r="C4662" s="1" t="n">
        <v>45914</v>
      </c>
      <c r="D4662" t="inlineStr">
        <is>
          <t>SKÅNE LÄN</t>
        </is>
      </c>
      <c r="E4662" t="inlineStr">
        <is>
          <t>KLIPPAN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39507-2024</t>
        </is>
      </c>
      <c r="B4663" s="1" t="n">
        <v>45551</v>
      </c>
      <c r="C4663" s="1" t="n">
        <v>45914</v>
      </c>
      <c r="D4663" t="inlineStr">
        <is>
          <t>SKÅNE LÄN</t>
        </is>
      </c>
      <c r="E4663" t="inlineStr">
        <is>
          <t>HÖRBY</t>
        </is>
      </c>
      <c r="F4663" t="inlineStr">
        <is>
          <t>Sveaskog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33752-2024</t>
        </is>
      </c>
      <c r="B4664" s="1" t="n">
        <v>45520.56605324074</v>
      </c>
      <c r="C4664" s="1" t="n">
        <v>45914</v>
      </c>
      <c r="D4664" t="inlineStr">
        <is>
          <t>SKÅNE LÄN</t>
        </is>
      </c>
      <c r="E4664" t="inlineStr">
        <is>
          <t>KRISTIANSTAD</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34051-2024</t>
        </is>
      </c>
      <c r="B4665" s="1" t="n">
        <v>45523</v>
      </c>
      <c r="C4665" s="1" t="n">
        <v>45914</v>
      </c>
      <c r="D4665" t="inlineStr">
        <is>
          <t>SKÅNE LÄN</t>
        </is>
      </c>
      <c r="E4665" t="inlineStr">
        <is>
          <t>KLIPPAN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5128-2023</t>
        </is>
      </c>
      <c r="B4666" s="1" t="n">
        <v>44958</v>
      </c>
      <c r="C4666" s="1" t="n">
        <v>45914</v>
      </c>
      <c r="D4666" t="inlineStr">
        <is>
          <t>SKÅNE LÄN</t>
        </is>
      </c>
      <c r="E4666" t="inlineStr">
        <is>
          <t>ÖSTRA GÖINGE</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5134-2023</t>
        </is>
      </c>
      <c r="B4667" s="1" t="n">
        <v>44958.76020833333</v>
      </c>
      <c r="C4667" s="1" t="n">
        <v>45914</v>
      </c>
      <c r="D4667" t="inlineStr">
        <is>
          <t>SKÅNE LÄN</t>
        </is>
      </c>
      <c r="E4667" t="inlineStr">
        <is>
          <t>ÖSTRA GÖINGE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33257-2024</t>
        </is>
      </c>
      <c r="B4668" s="1" t="n">
        <v>45518</v>
      </c>
      <c r="C4668" s="1" t="n">
        <v>45914</v>
      </c>
      <c r="D4668" t="inlineStr">
        <is>
          <t>SKÅNE LÄN</t>
        </is>
      </c>
      <c r="E4668" t="inlineStr">
        <is>
          <t>HÄSSLEHOLM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9878-2024</t>
        </is>
      </c>
      <c r="B4669" s="1" t="n">
        <v>45363</v>
      </c>
      <c r="C4669" s="1" t="n">
        <v>45914</v>
      </c>
      <c r="D4669" t="inlineStr">
        <is>
          <t>SKÅNE LÄN</t>
        </is>
      </c>
      <c r="E4669" t="inlineStr">
        <is>
          <t>KRISTIANSTAD</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2834-2023</t>
        </is>
      </c>
      <c r="B4670" s="1" t="n">
        <v>44945</v>
      </c>
      <c r="C4670" s="1" t="n">
        <v>45914</v>
      </c>
      <c r="D4670" t="inlineStr">
        <is>
          <t>SKÅNE LÄN</t>
        </is>
      </c>
      <c r="E4670" t="inlineStr">
        <is>
          <t>KRISTIANSTAD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23898-2023</t>
        </is>
      </c>
      <c r="B4671" s="1" t="n">
        <v>45078.54318287037</v>
      </c>
      <c r="C4671" s="1" t="n">
        <v>45914</v>
      </c>
      <c r="D4671" t="inlineStr">
        <is>
          <t>SKÅNE LÄN</t>
        </is>
      </c>
      <c r="E4671" t="inlineStr">
        <is>
          <t>ÖRKELLJUNGA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17492-2025</t>
        </is>
      </c>
      <c r="B4672" s="1" t="n">
        <v>45747</v>
      </c>
      <c r="C4672" s="1" t="n">
        <v>45914</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5939-2023</t>
        </is>
      </c>
      <c r="B4673" s="1" t="n">
        <v>44963.83846064815</v>
      </c>
      <c r="C4673" s="1" t="n">
        <v>45914</v>
      </c>
      <c r="D4673" t="inlineStr">
        <is>
          <t>SKÅNE LÄN</t>
        </is>
      </c>
      <c r="E4673" t="inlineStr">
        <is>
          <t>KRISTIANSTAD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34688-2024</t>
        </is>
      </c>
      <c r="B4674" s="1" t="n">
        <v>45526.54428240741</v>
      </c>
      <c r="C4674" s="1" t="n">
        <v>45914</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26459-2021</t>
        </is>
      </c>
      <c r="B4675" s="1" t="n">
        <v>44348</v>
      </c>
      <c r="C4675" s="1" t="n">
        <v>45914</v>
      </c>
      <c r="D4675" t="inlineStr">
        <is>
          <t>SKÅNE LÄN</t>
        </is>
      </c>
      <c r="E4675" t="inlineStr">
        <is>
          <t>SJÖBO</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19701-2025</t>
        </is>
      </c>
      <c r="B4676" s="1" t="n">
        <v>45771.32546296297</v>
      </c>
      <c r="C4676" s="1" t="n">
        <v>45914</v>
      </c>
      <c r="D4676" t="inlineStr">
        <is>
          <t>SKÅNE LÄN</t>
        </is>
      </c>
      <c r="E4676" t="inlineStr">
        <is>
          <t>ÖRKELLJUNGA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17517-2024</t>
        </is>
      </c>
      <c r="B4677" s="1" t="n">
        <v>45415.58579861111</v>
      </c>
      <c r="C4677" s="1" t="n">
        <v>45914</v>
      </c>
      <c r="D4677" t="inlineStr">
        <is>
          <t>SKÅNE LÄN</t>
        </is>
      </c>
      <c r="E4677" t="inlineStr">
        <is>
          <t>BROMÖLLA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41940-2022</t>
        </is>
      </c>
      <c r="B4678" s="1" t="n">
        <v>44833</v>
      </c>
      <c r="C4678" s="1" t="n">
        <v>45914</v>
      </c>
      <c r="D4678" t="inlineStr">
        <is>
          <t>SKÅNE LÄN</t>
        </is>
      </c>
      <c r="E4678" t="inlineStr">
        <is>
          <t>HÖRBY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42231-2023</t>
        </is>
      </c>
      <c r="B4679" s="1" t="n">
        <v>45180.31387731482</v>
      </c>
      <c r="C4679" s="1" t="n">
        <v>45914</v>
      </c>
      <c r="D4679" t="inlineStr">
        <is>
          <t>SKÅNE LÄN</t>
        </is>
      </c>
      <c r="E4679" t="inlineStr">
        <is>
          <t>SIMRISHAMN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43882-2023</t>
        </is>
      </c>
      <c r="B4680" s="1" t="n">
        <v>45187.65003472222</v>
      </c>
      <c r="C4680" s="1" t="n">
        <v>45914</v>
      </c>
      <c r="D4680" t="inlineStr">
        <is>
          <t>SKÅNE LÄN</t>
        </is>
      </c>
      <c r="E4680" t="inlineStr">
        <is>
          <t>HÖRBY</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12663-2022</t>
        </is>
      </c>
      <c r="B4681" s="1" t="n">
        <v>44641.53417824074</v>
      </c>
      <c r="C4681" s="1" t="n">
        <v>45914</v>
      </c>
      <c r="D4681" t="inlineStr">
        <is>
          <t>SKÅNE LÄN</t>
        </is>
      </c>
      <c r="E4681" t="inlineStr">
        <is>
          <t>TOMELILLA</t>
        </is>
      </c>
      <c r="F4681" t="inlineStr">
        <is>
          <t>Övriga Aktiebolag</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51618-2024</t>
        </is>
      </c>
      <c r="B4682" s="1" t="n">
        <v>45604.82615740741</v>
      </c>
      <c r="C4682" s="1" t="n">
        <v>45914</v>
      </c>
      <c r="D4682" t="inlineStr">
        <is>
          <t>SKÅNE LÄN</t>
        </is>
      </c>
      <c r="E4682" t="inlineStr">
        <is>
          <t>HÄSSLEHOLM</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10409-2024</t>
        </is>
      </c>
      <c r="B4683" s="1" t="n">
        <v>45365.6978125</v>
      </c>
      <c r="C4683" s="1" t="n">
        <v>45914</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17043-2024</t>
        </is>
      </c>
      <c r="B4684" s="1" t="n">
        <v>45412</v>
      </c>
      <c r="C4684" s="1" t="n">
        <v>45914</v>
      </c>
      <c r="D4684" t="inlineStr">
        <is>
          <t>SKÅNE LÄN</t>
        </is>
      </c>
      <c r="E4684" t="inlineStr">
        <is>
          <t>KRISTIANSTAD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3291-2025</t>
        </is>
      </c>
      <c r="B4685" s="1" t="n">
        <v>45679.63872685185</v>
      </c>
      <c r="C4685" s="1" t="n">
        <v>45914</v>
      </c>
      <c r="D4685" t="inlineStr">
        <is>
          <t>SKÅNE LÄN</t>
        </is>
      </c>
      <c r="E4685" t="inlineStr">
        <is>
          <t>TOMELILLA</t>
        </is>
      </c>
      <c r="F4685" t="inlineStr">
        <is>
          <t>Övriga Aktiebolag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31995-2023</t>
        </is>
      </c>
      <c r="B4686" s="1" t="n">
        <v>45107</v>
      </c>
      <c r="C4686" s="1" t="n">
        <v>45914</v>
      </c>
      <c r="D4686" t="inlineStr">
        <is>
          <t>SKÅNE LÄN</t>
        </is>
      </c>
      <c r="E4686" t="inlineStr">
        <is>
          <t>HÄSSLEHOLM</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57987-2023</t>
        </is>
      </c>
      <c r="B4687" s="1" t="n">
        <v>45247</v>
      </c>
      <c r="C4687" s="1" t="n">
        <v>45914</v>
      </c>
      <c r="D4687" t="inlineStr">
        <is>
          <t>SKÅNE LÄN</t>
        </is>
      </c>
      <c r="E4687" t="inlineStr">
        <is>
          <t>KRISTIANSTAD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58003-2023</t>
        </is>
      </c>
      <c r="B4688" s="1" t="n">
        <v>45247</v>
      </c>
      <c r="C4688" s="1" t="n">
        <v>45914</v>
      </c>
      <c r="D4688" t="inlineStr">
        <is>
          <t>SKÅNE LÄN</t>
        </is>
      </c>
      <c r="E4688" t="inlineStr">
        <is>
          <t>KRISTIANSTAD</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18327-2025</t>
        </is>
      </c>
      <c r="B4689" s="1" t="n">
        <v>45762</v>
      </c>
      <c r="C4689" s="1" t="n">
        <v>45914</v>
      </c>
      <c r="D4689" t="inlineStr">
        <is>
          <t>SKÅNE LÄN</t>
        </is>
      </c>
      <c r="E4689" t="inlineStr">
        <is>
          <t>BÅSTAD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2588-2025</t>
        </is>
      </c>
      <c r="B4690" s="1" t="n">
        <v>45674.69032407407</v>
      </c>
      <c r="C4690" s="1" t="n">
        <v>45914</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59257-2022</t>
        </is>
      </c>
      <c r="B4691" s="1" t="n">
        <v>44904.58114583333</v>
      </c>
      <c r="C4691" s="1" t="n">
        <v>45914</v>
      </c>
      <c r="D4691" t="inlineStr">
        <is>
          <t>SKÅNE LÄN</t>
        </is>
      </c>
      <c r="E4691" t="inlineStr">
        <is>
          <t>OSBY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3846-2025</t>
        </is>
      </c>
      <c r="B4692" s="1" t="n">
        <v>45683.73450231482</v>
      </c>
      <c r="C4692" s="1" t="n">
        <v>45914</v>
      </c>
      <c r="D4692" t="inlineStr">
        <is>
          <t>SKÅNE LÄN</t>
        </is>
      </c>
      <c r="E4692" t="inlineStr">
        <is>
          <t>OSBY</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4356-2024</t>
        </is>
      </c>
      <c r="B4693" s="1" t="n">
        <v>45325.36195601852</v>
      </c>
      <c r="C4693" s="1" t="n">
        <v>45914</v>
      </c>
      <c r="D4693" t="inlineStr">
        <is>
          <t>SKÅNE LÄN</t>
        </is>
      </c>
      <c r="E4693" t="inlineStr">
        <is>
          <t>HÄSSLEHOLM</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60-2024</t>
        </is>
      </c>
      <c r="B4694" s="1" t="n">
        <v>45293</v>
      </c>
      <c r="C4694" s="1" t="n">
        <v>45914</v>
      </c>
      <c r="D4694" t="inlineStr">
        <is>
          <t>SKÅNE LÄN</t>
        </is>
      </c>
      <c r="E4694" t="inlineStr">
        <is>
          <t>ÄNGELHOLM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47840-2023</t>
        </is>
      </c>
      <c r="B4695" s="1" t="n">
        <v>45204</v>
      </c>
      <c r="C4695" s="1" t="n">
        <v>45914</v>
      </c>
      <c r="D4695" t="inlineStr">
        <is>
          <t>SKÅNE LÄN</t>
        </is>
      </c>
      <c r="E4695" t="inlineStr">
        <is>
          <t>HÄSSLEHOLM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34934-2023</t>
        </is>
      </c>
      <c r="B4696" s="1" t="n">
        <v>45141</v>
      </c>
      <c r="C4696" s="1" t="n">
        <v>45914</v>
      </c>
      <c r="D4696" t="inlineStr">
        <is>
          <t>SKÅNE LÄN</t>
        </is>
      </c>
      <c r="E4696" t="inlineStr">
        <is>
          <t>OSBY</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29291-2023</t>
        </is>
      </c>
      <c r="B4697" s="1" t="n">
        <v>45105</v>
      </c>
      <c r="C4697" s="1" t="n">
        <v>45914</v>
      </c>
      <c r="D4697" t="inlineStr">
        <is>
          <t>SKÅNE LÄN</t>
        </is>
      </c>
      <c r="E4697" t="inlineStr">
        <is>
          <t>OSBY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34888-2023</t>
        </is>
      </c>
      <c r="B4698" s="1" t="n">
        <v>45142.388125</v>
      </c>
      <c r="C4698" s="1" t="n">
        <v>45914</v>
      </c>
      <c r="D4698" t="inlineStr">
        <is>
          <t>SKÅNE LÄN</t>
        </is>
      </c>
      <c r="E4698" t="inlineStr">
        <is>
          <t>HÄSSLEHOLM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20429-2021</t>
        </is>
      </c>
      <c r="B4699" s="1" t="n">
        <v>44315.57037037037</v>
      </c>
      <c r="C4699" s="1" t="n">
        <v>45914</v>
      </c>
      <c r="D4699" t="inlineStr">
        <is>
          <t>SKÅNE LÄN</t>
        </is>
      </c>
      <c r="E4699" t="inlineStr">
        <is>
          <t>ÖSTRA GÖINGE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20435-2021</t>
        </is>
      </c>
      <c r="B4700" s="1" t="n">
        <v>44315.5793287037</v>
      </c>
      <c r="C4700" s="1" t="n">
        <v>45914</v>
      </c>
      <c r="D4700" t="inlineStr">
        <is>
          <t>SKÅNE LÄN</t>
        </is>
      </c>
      <c r="E4700" t="inlineStr">
        <is>
          <t>HÄSSLEHOLM</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37303-2023</t>
        </is>
      </c>
      <c r="B4701" s="1" t="n">
        <v>45156.36318287037</v>
      </c>
      <c r="C4701" s="1" t="n">
        <v>45914</v>
      </c>
      <c r="D4701" t="inlineStr">
        <is>
          <t>SKÅNE LÄN</t>
        </is>
      </c>
      <c r="E4701" t="inlineStr">
        <is>
          <t>ÖSTRA GÖINGE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53875-2023</t>
        </is>
      </c>
      <c r="B4702" s="1" t="n">
        <v>45231</v>
      </c>
      <c r="C4702" s="1" t="n">
        <v>45914</v>
      </c>
      <c r="D4702" t="inlineStr">
        <is>
          <t>SKÅNE LÄN</t>
        </is>
      </c>
      <c r="E4702" t="inlineStr">
        <is>
          <t>PERSTORP</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60460-2023</t>
        </is>
      </c>
      <c r="B4703" s="1" t="n">
        <v>45258</v>
      </c>
      <c r="C4703" s="1" t="n">
        <v>45914</v>
      </c>
      <c r="D4703" t="inlineStr">
        <is>
          <t>SKÅNE LÄN</t>
        </is>
      </c>
      <c r="E4703" t="inlineStr">
        <is>
          <t>KRISTIANSTAD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325-2024</t>
        </is>
      </c>
      <c r="B4704" s="1" t="n">
        <v>45295</v>
      </c>
      <c r="C4704" s="1" t="n">
        <v>45914</v>
      </c>
      <c r="D4704" t="inlineStr">
        <is>
          <t>SKÅNE LÄN</t>
        </is>
      </c>
      <c r="E4704" t="inlineStr">
        <is>
          <t>BJUV</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2248-2025</t>
        </is>
      </c>
      <c r="B4705" s="1" t="n">
        <v>45673.49231481482</v>
      </c>
      <c r="C4705" s="1" t="n">
        <v>45914</v>
      </c>
      <c r="D4705" t="inlineStr">
        <is>
          <t>SKÅNE LÄN</t>
        </is>
      </c>
      <c r="E4705" t="inlineStr">
        <is>
          <t>LUND</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56460-2023</t>
        </is>
      </c>
      <c r="B4706" s="1" t="n">
        <v>45243</v>
      </c>
      <c r="C4706" s="1" t="n">
        <v>45914</v>
      </c>
      <c r="D4706" t="inlineStr">
        <is>
          <t>SKÅNE LÄN</t>
        </is>
      </c>
      <c r="E4706" t="inlineStr">
        <is>
          <t>ÖRKELLJUNGA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31525-2023</t>
        </is>
      </c>
      <c r="B4707" s="1" t="n">
        <v>45116</v>
      </c>
      <c r="C4707" s="1" t="n">
        <v>45914</v>
      </c>
      <c r="D4707" t="inlineStr">
        <is>
          <t>SKÅNE LÄN</t>
        </is>
      </c>
      <c r="E4707" t="inlineStr">
        <is>
          <t>KRISTIANSTAD</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53085-2022</t>
        </is>
      </c>
      <c r="B4708" s="1" t="n">
        <v>44873</v>
      </c>
      <c r="C4708" s="1" t="n">
        <v>45914</v>
      </c>
      <c r="D4708" t="inlineStr">
        <is>
          <t>SKÅNE LÄN</t>
        </is>
      </c>
      <c r="E4708" t="inlineStr">
        <is>
          <t>HÄSSLEHOLM</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28527-2023</t>
        </is>
      </c>
      <c r="B4709" s="1" t="n">
        <v>45103</v>
      </c>
      <c r="C4709" s="1" t="n">
        <v>45914</v>
      </c>
      <c r="D4709" t="inlineStr">
        <is>
          <t>SKÅNE LÄN</t>
        </is>
      </c>
      <c r="E4709" t="inlineStr">
        <is>
          <t>HÖRBY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5954-2025</t>
        </is>
      </c>
      <c r="B4710" s="1" t="n">
        <v>45695.4777662037</v>
      </c>
      <c r="C4710" s="1" t="n">
        <v>45914</v>
      </c>
      <c r="D4710" t="inlineStr">
        <is>
          <t>SKÅNE LÄN</t>
        </is>
      </c>
      <c r="E4710" t="inlineStr">
        <is>
          <t>ÖRKELLJUNGA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17519-2023</t>
        </is>
      </c>
      <c r="B4711" s="1" t="n">
        <v>45036</v>
      </c>
      <c r="C4711" s="1" t="n">
        <v>45914</v>
      </c>
      <c r="D4711" t="inlineStr">
        <is>
          <t>SKÅNE LÄN</t>
        </is>
      </c>
      <c r="E4711" t="inlineStr">
        <is>
          <t>LUND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16388-2025</t>
        </is>
      </c>
      <c r="B4712" s="1" t="n">
        <v>45751.42787037037</v>
      </c>
      <c r="C4712" s="1" t="n">
        <v>45914</v>
      </c>
      <c r="D4712" t="inlineStr">
        <is>
          <t>SKÅNE LÄN</t>
        </is>
      </c>
      <c r="E4712" t="inlineStr">
        <is>
          <t>HÄSSLEHOLM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8438-2024</t>
        </is>
      </c>
      <c r="B4713" s="1" t="n">
        <v>45353.85016203704</v>
      </c>
      <c r="C4713" s="1" t="n">
        <v>45914</v>
      </c>
      <c r="D4713" t="inlineStr">
        <is>
          <t>SKÅNE LÄN</t>
        </is>
      </c>
      <c r="E4713" t="inlineStr">
        <is>
          <t>OSBY</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16668-2025</t>
        </is>
      </c>
      <c r="B4714" s="1" t="n">
        <v>45754.43009259259</v>
      </c>
      <c r="C4714" s="1" t="n">
        <v>45914</v>
      </c>
      <c r="D4714" t="inlineStr">
        <is>
          <t>SKÅNE LÄN</t>
        </is>
      </c>
      <c r="E4714" t="inlineStr">
        <is>
          <t>HÄSSLEHOLM</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58150-2024</t>
        </is>
      </c>
      <c r="B4715" s="1" t="n">
        <v>45632.43736111111</v>
      </c>
      <c r="C4715" s="1" t="n">
        <v>45914</v>
      </c>
      <c r="D4715" t="inlineStr">
        <is>
          <t>SKÅNE LÄN</t>
        </is>
      </c>
      <c r="E4715" t="inlineStr">
        <is>
          <t>ÄNGELHOLM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9701-2023</t>
        </is>
      </c>
      <c r="B4716" s="1" t="n">
        <v>44984</v>
      </c>
      <c r="C4716" s="1" t="n">
        <v>45914</v>
      </c>
      <c r="D4716" t="inlineStr">
        <is>
          <t>SKÅNE LÄN</t>
        </is>
      </c>
      <c r="E4716" t="inlineStr">
        <is>
          <t>HÖÖR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9709-2023</t>
        </is>
      </c>
      <c r="B4717" s="1" t="n">
        <v>44984.48376157408</v>
      </c>
      <c r="C4717" s="1" t="n">
        <v>45914</v>
      </c>
      <c r="D4717" t="inlineStr">
        <is>
          <t>SKÅNE LÄN</t>
        </is>
      </c>
      <c r="E4717" t="inlineStr">
        <is>
          <t>HÄSSLEHOLM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2083-2025</t>
        </is>
      </c>
      <c r="B4718" s="1" t="n">
        <v>45672.58853009259</v>
      </c>
      <c r="C4718" s="1" t="n">
        <v>45914</v>
      </c>
      <c r="D4718" t="inlineStr">
        <is>
          <t>SKÅNE LÄN</t>
        </is>
      </c>
      <c r="E4718" t="inlineStr">
        <is>
          <t>KLIPPAN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57572-2024</t>
        </is>
      </c>
      <c r="B4719" s="1" t="n">
        <v>45630.46747685185</v>
      </c>
      <c r="C4719" s="1" t="n">
        <v>45914</v>
      </c>
      <c r="D4719" t="inlineStr">
        <is>
          <t>SKÅNE LÄN</t>
        </is>
      </c>
      <c r="E4719" t="inlineStr">
        <is>
          <t>HÖRBY</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4755-2024</t>
        </is>
      </c>
      <c r="B4720" s="1" t="n">
        <v>45328.66599537037</v>
      </c>
      <c r="C4720" s="1" t="n">
        <v>45914</v>
      </c>
      <c r="D4720" t="inlineStr">
        <is>
          <t>SKÅNE LÄN</t>
        </is>
      </c>
      <c r="E4720" t="inlineStr">
        <is>
          <t>ÄNGELHOLM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46095-2023</t>
        </is>
      </c>
      <c r="B4721" s="1" t="n">
        <v>45190</v>
      </c>
      <c r="C4721" s="1" t="n">
        <v>45914</v>
      </c>
      <c r="D4721" t="inlineStr">
        <is>
          <t>SKÅNE LÄN</t>
        </is>
      </c>
      <c r="E4721" t="inlineStr">
        <is>
          <t>KRISTIANSTAD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56647-2023</t>
        </is>
      </c>
      <c r="B4722" s="1" t="n">
        <v>45243</v>
      </c>
      <c r="C4722" s="1" t="n">
        <v>45914</v>
      </c>
      <c r="D4722" t="inlineStr">
        <is>
          <t>SKÅNE LÄN</t>
        </is>
      </c>
      <c r="E4722" t="inlineStr">
        <is>
          <t>ÖSTRA GÖINGE</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21881-2024</t>
        </is>
      </c>
      <c r="B4723" s="1" t="n">
        <v>45443.29864583333</v>
      </c>
      <c r="C4723" s="1" t="n">
        <v>45914</v>
      </c>
      <c r="D4723" t="inlineStr">
        <is>
          <t>SKÅNE LÄN</t>
        </is>
      </c>
      <c r="E4723" t="inlineStr">
        <is>
          <t>OSBY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19068-2025</t>
        </is>
      </c>
      <c r="B4724" s="1" t="n">
        <v>45765.43796296296</v>
      </c>
      <c r="C4724" s="1" t="n">
        <v>45914</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19116-2025</t>
        </is>
      </c>
      <c r="B4725" s="1" t="n">
        <v>45768.72400462963</v>
      </c>
      <c r="C4725" s="1" t="n">
        <v>45914</v>
      </c>
      <c r="D4725" t="inlineStr">
        <is>
          <t>SKÅNE LÄN</t>
        </is>
      </c>
      <c r="E4725" t="inlineStr">
        <is>
          <t>OSBY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19137-2025</t>
        </is>
      </c>
      <c r="B4726" s="1" t="n">
        <v>45769</v>
      </c>
      <c r="C4726" s="1" t="n">
        <v>45914</v>
      </c>
      <c r="D4726" t="inlineStr">
        <is>
          <t>SKÅNE LÄN</t>
        </is>
      </c>
      <c r="E4726" t="inlineStr">
        <is>
          <t>SIMRISHAMN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19141-2025</t>
        </is>
      </c>
      <c r="B4727" s="1" t="n">
        <v>45769</v>
      </c>
      <c r="C4727" s="1" t="n">
        <v>45914</v>
      </c>
      <c r="D4727" t="inlineStr">
        <is>
          <t>SKÅNE LÄN</t>
        </is>
      </c>
      <c r="E4727" t="inlineStr">
        <is>
          <t>SIMRISHAMN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52286-2023</t>
        </is>
      </c>
      <c r="B4728" s="1" t="n">
        <v>45224.58796296296</v>
      </c>
      <c r="C4728" s="1" t="n">
        <v>45914</v>
      </c>
      <c r="D4728" t="inlineStr">
        <is>
          <t>SKÅNE LÄN</t>
        </is>
      </c>
      <c r="E4728" t="inlineStr">
        <is>
          <t>KLIPPAN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22406-2022</t>
        </is>
      </c>
      <c r="B4729" s="1" t="n">
        <v>44713</v>
      </c>
      <c r="C4729" s="1" t="n">
        <v>45914</v>
      </c>
      <c r="D4729" t="inlineStr">
        <is>
          <t>SKÅNE LÄN</t>
        </is>
      </c>
      <c r="E4729" t="inlineStr">
        <is>
          <t>SJÖBO</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46709-2024</t>
        </is>
      </c>
      <c r="B4730" s="1" t="n">
        <v>45583</v>
      </c>
      <c r="C4730" s="1" t="n">
        <v>45914</v>
      </c>
      <c r="D4730" t="inlineStr">
        <is>
          <t>SKÅNE LÄN</t>
        </is>
      </c>
      <c r="E4730" t="inlineStr">
        <is>
          <t>ÖSTRA GÖINGE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13646-2024</t>
        </is>
      </c>
      <c r="B4731" s="1" t="n">
        <v>45387</v>
      </c>
      <c r="C4731" s="1" t="n">
        <v>45914</v>
      </c>
      <c r="D4731" t="inlineStr">
        <is>
          <t>SKÅNE LÄN</t>
        </is>
      </c>
      <c r="E4731" t="inlineStr">
        <is>
          <t>HÄSSLEHOLM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19420-2022</t>
        </is>
      </c>
      <c r="B4732" s="1" t="n">
        <v>44693</v>
      </c>
      <c r="C4732" s="1" t="n">
        <v>45914</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21867-2023</t>
        </is>
      </c>
      <c r="B4733" s="1" t="n">
        <v>45063</v>
      </c>
      <c r="C4733" s="1" t="n">
        <v>45914</v>
      </c>
      <c r="D4733" t="inlineStr">
        <is>
          <t>SKÅNE LÄN</t>
        </is>
      </c>
      <c r="E4733" t="inlineStr">
        <is>
          <t>HÄSSLEHOLM</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5444-2025</t>
        </is>
      </c>
      <c r="B4734" s="1" t="n">
        <v>45692</v>
      </c>
      <c r="C4734" s="1" t="n">
        <v>45914</v>
      </c>
      <c r="D4734" t="inlineStr">
        <is>
          <t>SKÅNE LÄN</t>
        </is>
      </c>
      <c r="E4734" t="inlineStr">
        <is>
          <t>SJÖBO</t>
        </is>
      </c>
      <c r="F4734" t="inlineStr">
        <is>
          <t>Övriga Aktiebolag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10748-2023</t>
        </is>
      </c>
      <c r="B4735" s="1" t="n">
        <v>44984</v>
      </c>
      <c r="C4735" s="1" t="n">
        <v>45914</v>
      </c>
      <c r="D4735" t="inlineStr">
        <is>
          <t>SKÅNE LÄN</t>
        </is>
      </c>
      <c r="E4735" t="inlineStr">
        <is>
          <t>KRISTIANSTAD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1604-2025</t>
        </is>
      </c>
      <c r="B4736" s="1" t="n">
        <v>45670</v>
      </c>
      <c r="C4736" s="1" t="n">
        <v>45914</v>
      </c>
      <c r="D4736" t="inlineStr">
        <is>
          <t>SKÅNE LÄN</t>
        </is>
      </c>
      <c r="E4736" t="inlineStr">
        <is>
          <t>ÖRKELLJUNGA</t>
        </is>
      </c>
      <c r="F4736" t="inlineStr">
        <is>
          <t>Kommuner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36180-2024</t>
        </is>
      </c>
      <c r="B4737" s="1" t="n">
        <v>45534</v>
      </c>
      <c r="C4737" s="1" t="n">
        <v>45914</v>
      </c>
      <c r="D4737" t="inlineStr">
        <is>
          <t>SKÅNE LÄN</t>
        </is>
      </c>
      <c r="E4737" t="inlineStr">
        <is>
          <t>TOMELILLA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34466-2023</t>
        </is>
      </c>
      <c r="B4738" s="1" t="n">
        <v>45139</v>
      </c>
      <c r="C4738" s="1" t="n">
        <v>45914</v>
      </c>
      <c r="D4738" t="inlineStr">
        <is>
          <t>SKÅNE LÄN</t>
        </is>
      </c>
      <c r="E4738" t="inlineStr">
        <is>
          <t>ESLÖV</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23786-2023</t>
        </is>
      </c>
      <c r="B4739" s="1" t="n">
        <v>45078.30322916667</v>
      </c>
      <c r="C4739" s="1" t="n">
        <v>45914</v>
      </c>
      <c r="D4739" t="inlineStr">
        <is>
          <t>SKÅNE LÄN</t>
        </is>
      </c>
      <c r="E4739" t="inlineStr">
        <is>
          <t>PERSTORP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13087-2023</t>
        </is>
      </c>
      <c r="B4740" s="1" t="n">
        <v>45001</v>
      </c>
      <c r="C4740" s="1" t="n">
        <v>45914</v>
      </c>
      <c r="D4740" t="inlineStr">
        <is>
          <t>SKÅNE LÄN</t>
        </is>
      </c>
      <c r="E4740" t="inlineStr">
        <is>
          <t>HÄSSLEHOLM</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11631-2024</t>
        </is>
      </c>
      <c r="B4741" s="1" t="n">
        <v>45373.46407407407</v>
      </c>
      <c r="C4741" s="1" t="n">
        <v>45914</v>
      </c>
      <c r="D4741" t="inlineStr">
        <is>
          <t>SKÅNE LÄN</t>
        </is>
      </c>
      <c r="E4741" t="inlineStr">
        <is>
          <t>ÖSTRA GÖINGE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12685-2024</t>
        </is>
      </c>
      <c r="B4742" s="1" t="n">
        <v>45384</v>
      </c>
      <c r="C4742" s="1" t="n">
        <v>45914</v>
      </c>
      <c r="D4742" t="inlineStr">
        <is>
          <t>SKÅNE LÄN</t>
        </is>
      </c>
      <c r="E4742" t="inlineStr">
        <is>
          <t>BROMÖLLA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52968-2022</t>
        </is>
      </c>
      <c r="B4743" s="1" t="n">
        <v>44875</v>
      </c>
      <c r="C4743" s="1" t="n">
        <v>45914</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45914</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32714-2023</t>
        </is>
      </c>
      <c r="B4745" s="1" t="n">
        <v>45121</v>
      </c>
      <c r="C4745" s="1" t="n">
        <v>45914</v>
      </c>
      <c r="D4745" t="inlineStr">
        <is>
          <t>SKÅNE LÄN</t>
        </is>
      </c>
      <c r="E4745" t="inlineStr">
        <is>
          <t>KRISTIANSTAD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31619-2024</t>
        </is>
      </c>
      <c r="B4746" s="1" t="n">
        <v>45506</v>
      </c>
      <c r="C4746" s="1" t="n">
        <v>45914</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62167-2022</t>
        </is>
      </c>
      <c r="B4747" s="1" t="n">
        <v>44915</v>
      </c>
      <c r="C4747" s="1" t="n">
        <v>45914</v>
      </c>
      <c r="D4747" t="inlineStr">
        <is>
          <t>SKÅNE LÄN</t>
        </is>
      </c>
      <c r="E4747" t="inlineStr">
        <is>
          <t>HÄSSLEHOLM</t>
        </is>
      </c>
      <c r="F4747" t="inlineStr">
        <is>
          <t>Kyrkan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62234-2022</t>
        </is>
      </c>
      <c r="B4748" s="1" t="n">
        <v>44922</v>
      </c>
      <c r="C4748" s="1" t="n">
        <v>45914</v>
      </c>
      <c r="D4748" t="inlineStr">
        <is>
          <t>SKÅNE LÄN</t>
        </is>
      </c>
      <c r="E4748" t="inlineStr">
        <is>
          <t>HÄSSLEHOLM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44741-2023</t>
        </is>
      </c>
      <c r="B4749" s="1" t="n">
        <v>45190.38804398148</v>
      </c>
      <c r="C4749" s="1" t="n">
        <v>45914</v>
      </c>
      <c r="D4749" t="inlineStr">
        <is>
          <t>SKÅNE LÄN</t>
        </is>
      </c>
      <c r="E4749" t="inlineStr">
        <is>
          <t>HÄSSLEHOLM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35801-2024</t>
        </is>
      </c>
      <c r="B4750" s="1" t="n">
        <v>45532</v>
      </c>
      <c r="C4750" s="1" t="n">
        <v>45914</v>
      </c>
      <c r="D4750" t="inlineStr">
        <is>
          <t>SKÅNE LÄN</t>
        </is>
      </c>
      <c r="E4750" t="inlineStr">
        <is>
          <t>HÖÖR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36571-2024</t>
        </is>
      </c>
      <c r="B4751" s="1" t="n">
        <v>45537.49109953704</v>
      </c>
      <c r="C4751" s="1" t="n">
        <v>45914</v>
      </c>
      <c r="D4751" t="inlineStr">
        <is>
          <t>SKÅNE LÄN</t>
        </is>
      </c>
      <c r="E4751" t="inlineStr">
        <is>
          <t>OSBY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47870-2022</t>
        </is>
      </c>
      <c r="B4752" s="1" t="n">
        <v>44855.43302083333</v>
      </c>
      <c r="C4752" s="1" t="n">
        <v>45914</v>
      </c>
      <c r="D4752" t="inlineStr">
        <is>
          <t>SKÅNE LÄN</t>
        </is>
      </c>
      <c r="E4752" t="inlineStr">
        <is>
          <t>KLIPPAN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2111-2024</t>
        </is>
      </c>
      <c r="B4753" s="1" t="n">
        <v>45309</v>
      </c>
      <c r="C4753" s="1" t="n">
        <v>45914</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5426-2024</t>
        </is>
      </c>
      <c r="B4754" s="1" t="n">
        <v>45331.81311342592</v>
      </c>
      <c r="C4754" s="1" t="n">
        <v>45914</v>
      </c>
      <c r="D4754" t="inlineStr">
        <is>
          <t>SKÅNE LÄN</t>
        </is>
      </c>
      <c r="E4754" t="inlineStr">
        <is>
          <t>ÖSTRA GÖINGE</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9397-2025</t>
        </is>
      </c>
      <c r="B4755" s="1" t="n">
        <v>45715.37361111111</v>
      </c>
      <c r="C4755" s="1" t="n">
        <v>45914</v>
      </c>
      <c r="D4755" t="inlineStr">
        <is>
          <t>SKÅNE LÄN</t>
        </is>
      </c>
      <c r="E4755" t="inlineStr">
        <is>
          <t>HÄSSLEHOLM</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10402-2024</t>
        </is>
      </c>
      <c r="B4756" s="1" t="n">
        <v>45365.68638888889</v>
      </c>
      <c r="C4756" s="1" t="n">
        <v>45914</v>
      </c>
      <c r="D4756" t="inlineStr">
        <is>
          <t>SKÅNE LÄN</t>
        </is>
      </c>
      <c r="E4756" t="inlineStr">
        <is>
          <t>OSBY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27322-2022</t>
        </is>
      </c>
      <c r="B4757" s="1" t="n">
        <v>44742</v>
      </c>
      <c r="C4757" s="1" t="n">
        <v>45914</v>
      </c>
      <c r="D4757" t="inlineStr">
        <is>
          <t>SKÅNE LÄN</t>
        </is>
      </c>
      <c r="E4757" t="inlineStr">
        <is>
          <t>ÖSTRA GÖINGE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12903-2024</t>
        </is>
      </c>
      <c r="B4758" s="1" t="n">
        <v>45385</v>
      </c>
      <c r="C4758" s="1" t="n">
        <v>45914</v>
      </c>
      <c r="D4758" t="inlineStr">
        <is>
          <t>SKÅNE LÄN</t>
        </is>
      </c>
      <c r="E4758" t="inlineStr">
        <is>
          <t>TOMELILLA</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6574-2021</t>
        </is>
      </c>
      <c r="B4759" s="1" t="n">
        <v>44236</v>
      </c>
      <c r="C4759" s="1" t="n">
        <v>45914</v>
      </c>
      <c r="D4759" t="inlineStr">
        <is>
          <t>SKÅNE LÄN</t>
        </is>
      </c>
      <c r="E4759" t="inlineStr">
        <is>
          <t>ÄNGELHOLM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6583-2021</t>
        </is>
      </c>
      <c r="B4760" s="1" t="n">
        <v>44236</v>
      </c>
      <c r="C4760" s="1" t="n">
        <v>45914</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15070-2024</t>
        </is>
      </c>
      <c r="B4761" s="1" t="n">
        <v>45399.59040509259</v>
      </c>
      <c r="C4761" s="1" t="n">
        <v>45914</v>
      </c>
      <c r="D4761" t="inlineStr">
        <is>
          <t>SKÅNE LÄN</t>
        </is>
      </c>
      <c r="E4761" t="inlineStr">
        <is>
          <t>KLIPPAN</t>
        </is>
      </c>
      <c r="F4761" t="inlineStr">
        <is>
          <t>Övriga Aktiebolag</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15075-2024</t>
        </is>
      </c>
      <c r="B4762" s="1" t="n">
        <v>45399</v>
      </c>
      <c r="C4762" s="1" t="n">
        <v>45914</v>
      </c>
      <c r="D4762" t="inlineStr">
        <is>
          <t>SKÅNE LÄN</t>
        </is>
      </c>
      <c r="E4762" t="inlineStr">
        <is>
          <t>TOMELILLA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50897-2024</t>
        </is>
      </c>
      <c r="B4763" s="1" t="n">
        <v>45602.68267361111</v>
      </c>
      <c r="C4763" s="1" t="n">
        <v>45914</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50899-2024</t>
        </is>
      </c>
      <c r="B4764" s="1" t="n">
        <v>45602.68584490741</v>
      </c>
      <c r="C4764" s="1" t="n">
        <v>45914</v>
      </c>
      <c r="D4764" t="inlineStr">
        <is>
          <t>SKÅNE LÄN</t>
        </is>
      </c>
      <c r="E4764" t="inlineStr">
        <is>
          <t>HÄSSLEHOLM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12047-2025</t>
        </is>
      </c>
      <c r="B4765" s="1" t="n">
        <v>45728.66428240741</v>
      </c>
      <c r="C4765" s="1" t="n">
        <v>45914</v>
      </c>
      <c r="D4765" t="inlineStr">
        <is>
          <t>SKÅNE LÄN</t>
        </is>
      </c>
      <c r="E4765" t="inlineStr">
        <is>
          <t>ÖSTRA GÖINGE</t>
        </is>
      </c>
      <c r="F4765" t="inlineStr">
        <is>
          <t>Sveaskog</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45981-2023</t>
        </is>
      </c>
      <c r="B4766" s="1" t="n">
        <v>45189</v>
      </c>
      <c r="C4766" s="1" t="n">
        <v>45914</v>
      </c>
      <c r="D4766" t="inlineStr">
        <is>
          <t>SKÅNE LÄN</t>
        </is>
      </c>
      <c r="E4766" t="inlineStr">
        <is>
          <t>SJÖBO</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48624-2021</t>
        </is>
      </c>
      <c r="B4767" s="1" t="n">
        <v>44452</v>
      </c>
      <c r="C4767" s="1" t="n">
        <v>45914</v>
      </c>
      <c r="D4767" t="inlineStr">
        <is>
          <t>SKÅNE LÄN</t>
        </is>
      </c>
      <c r="E4767" t="inlineStr">
        <is>
          <t>HÄSSLEHOLM</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14103-2024</t>
        </is>
      </c>
      <c r="B4768" s="1" t="n">
        <v>45392</v>
      </c>
      <c r="C4768" s="1" t="n">
        <v>45914</v>
      </c>
      <c r="D4768" t="inlineStr">
        <is>
          <t>SKÅNE LÄN</t>
        </is>
      </c>
      <c r="E4768" t="inlineStr">
        <is>
          <t>SIMRISHAMN</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33865-2024</t>
        </is>
      </c>
      <c r="B4769" s="1" t="n">
        <v>45520</v>
      </c>
      <c r="C4769" s="1" t="n">
        <v>45914</v>
      </c>
      <c r="D4769" t="inlineStr">
        <is>
          <t>SKÅNE LÄN</t>
        </is>
      </c>
      <c r="E4769" t="inlineStr">
        <is>
          <t>ESLÖV</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1592-2024</t>
        </is>
      </c>
      <c r="B4770" s="1" t="n">
        <v>45306.58594907408</v>
      </c>
      <c r="C4770" s="1" t="n">
        <v>45914</v>
      </c>
      <c r="D4770" t="inlineStr">
        <is>
          <t>SKÅNE LÄN</t>
        </is>
      </c>
      <c r="E4770" t="inlineStr">
        <is>
          <t>SVALÖV</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16418-2025</t>
        </is>
      </c>
      <c r="B4771" s="1" t="n">
        <v>45751.46372685185</v>
      </c>
      <c r="C4771" s="1" t="n">
        <v>45914</v>
      </c>
      <c r="D4771" t="inlineStr">
        <is>
          <t>SKÅNE LÄN</t>
        </is>
      </c>
      <c r="E4771" t="inlineStr">
        <is>
          <t>KLIPPAN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21524-2023</t>
        </is>
      </c>
      <c r="B4772" s="1" t="n">
        <v>45063</v>
      </c>
      <c r="C4772" s="1" t="n">
        <v>45914</v>
      </c>
      <c r="D4772" t="inlineStr">
        <is>
          <t>SKÅNE LÄN</t>
        </is>
      </c>
      <c r="E4772" t="inlineStr">
        <is>
          <t>OSBY</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8741-2024</t>
        </is>
      </c>
      <c r="B4773" s="1" t="n">
        <v>45356.48212962963</v>
      </c>
      <c r="C4773" s="1" t="n">
        <v>45914</v>
      </c>
      <c r="D4773" t="inlineStr">
        <is>
          <t>SKÅNE LÄN</t>
        </is>
      </c>
      <c r="E4773" t="inlineStr">
        <is>
          <t>PERSTORP</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10742-2024</t>
        </is>
      </c>
      <c r="B4774" s="1" t="n">
        <v>45369.51898148148</v>
      </c>
      <c r="C4774" s="1" t="n">
        <v>45914</v>
      </c>
      <c r="D4774" t="inlineStr">
        <is>
          <t>SKÅNE LÄN</t>
        </is>
      </c>
      <c r="E4774" t="inlineStr">
        <is>
          <t>PERSTORP</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10802-2024</t>
        </is>
      </c>
      <c r="B4775" s="1" t="n">
        <v>45369</v>
      </c>
      <c r="C4775" s="1" t="n">
        <v>45914</v>
      </c>
      <c r="D4775" t="inlineStr">
        <is>
          <t>SKÅNE LÄN</t>
        </is>
      </c>
      <c r="E4775" t="inlineStr">
        <is>
          <t>HÄSSLEHOLM</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1668-2024</t>
        </is>
      </c>
      <c r="B4776" s="1" t="n">
        <v>45306</v>
      </c>
      <c r="C4776" s="1" t="n">
        <v>45914</v>
      </c>
      <c r="D4776" t="inlineStr">
        <is>
          <t>SKÅNE LÄN</t>
        </is>
      </c>
      <c r="E4776" t="inlineStr">
        <is>
          <t>KRISTIANSTAD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3805-2024</t>
        </is>
      </c>
      <c r="B4777" s="1" t="n">
        <v>45321.6490625</v>
      </c>
      <c r="C4777" s="1" t="n">
        <v>45914</v>
      </c>
      <c r="D4777" t="inlineStr">
        <is>
          <t>SKÅNE LÄN</t>
        </is>
      </c>
      <c r="E4777" t="inlineStr">
        <is>
          <t>ÖSTRA GÖINGE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45182.48615740741</v>
      </c>
      <c r="C4778" s="1" t="n">
        <v>45914</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860-2025</t>
        </is>
      </c>
      <c r="B4779" s="1" t="n">
        <v>45665.61358796297</v>
      </c>
      <c r="C4779" s="1" t="n">
        <v>45914</v>
      </c>
      <c r="D4779" t="inlineStr">
        <is>
          <t>SKÅNE LÄN</t>
        </is>
      </c>
      <c r="E4779" t="inlineStr">
        <is>
          <t>OSBY</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871-2025</t>
        </is>
      </c>
      <c r="B4780" s="1" t="n">
        <v>45665.62650462963</v>
      </c>
      <c r="C4780" s="1" t="n">
        <v>45914</v>
      </c>
      <c r="D4780" t="inlineStr">
        <is>
          <t>SKÅNE LÄN</t>
        </is>
      </c>
      <c r="E4780" t="inlineStr">
        <is>
          <t>OSBY</t>
        </is>
      </c>
      <c r="F4780" t="inlineStr">
        <is>
          <t>Sveaskog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32430-2023</t>
        </is>
      </c>
      <c r="B4781" s="1" t="n">
        <v>45120</v>
      </c>
      <c r="C4781" s="1" t="n">
        <v>45914</v>
      </c>
      <c r="D4781" t="inlineStr">
        <is>
          <t>SKÅNE LÄN</t>
        </is>
      </c>
      <c r="E4781" t="inlineStr">
        <is>
          <t>ÄNGELHOLM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48738-2023</t>
        </is>
      </c>
      <c r="B4782" s="1" t="n">
        <v>45208.81071759259</v>
      </c>
      <c r="C4782" s="1" t="n">
        <v>45914</v>
      </c>
      <c r="D4782" t="inlineStr">
        <is>
          <t>SKÅNE LÄN</t>
        </is>
      </c>
      <c r="E4782" t="inlineStr">
        <is>
          <t>BROMÖLLA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42724-2023</t>
        </is>
      </c>
      <c r="B4783" s="1" t="n">
        <v>45176</v>
      </c>
      <c r="C4783" s="1" t="n">
        <v>45914</v>
      </c>
      <c r="D4783" t="inlineStr">
        <is>
          <t>SKÅNE LÄN</t>
        </is>
      </c>
      <c r="E4783" t="inlineStr">
        <is>
          <t>HÖRBY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29874-2023</t>
        </is>
      </c>
      <c r="B4784" s="1" t="n">
        <v>45107</v>
      </c>
      <c r="C4784" s="1" t="n">
        <v>45914</v>
      </c>
      <c r="D4784" t="inlineStr">
        <is>
          <t>SKÅNE LÄN</t>
        </is>
      </c>
      <c r="E4784" t="inlineStr">
        <is>
          <t>PERSTORP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28496-2023</t>
        </is>
      </c>
      <c r="B4785" s="1" t="n">
        <v>45103.45262731481</v>
      </c>
      <c r="C4785" s="1" t="n">
        <v>45914</v>
      </c>
      <c r="D4785" t="inlineStr">
        <is>
          <t>SKÅNE LÄN</t>
        </is>
      </c>
      <c r="E4785" t="inlineStr">
        <is>
          <t>ÄNGELHOLM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38214-2023</t>
        </is>
      </c>
      <c r="B4786" s="1" t="n">
        <v>45161</v>
      </c>
      <c r="C4786" s="1" t="n">
        <v>45914</v>
      </c>
      <c r="D4786" t="inlineStr">
        <is>
          <t>SKÅNE LÄN</t>
        </is>
      </c>
      <c r="E4786" t="inlineStr">
        <is>
          <t>ÖRKELLJUNGA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22194-2023</t>
        </is>
      </c>
      <c r="B4787" s="1" t="n">
        <v>45069</v>
      </c>
      <c r="C4787" s="1" t="n">
        <v>45914</v>
      </c>
      <c r="D4787" t="inlineStr">
        <is>
          <t>SKÅNE LÄN</t>
        </is>
      </c>
      <c r="E4787" t="inlineStr">
        <is>
          <t>SIMRISHAMN</t>
        </is>
      </c>
      <c r="F4787" t="inlineStr">
        <is>
          <t>Övriga Aktiebolag</t>
        </is>
      </c>
      <c r="G4787" t="n">
        <v>11.4</v>
      </c>
      <c r="H4787" t="n">
        <v>0</v>
      </c>
      <c r="I4787" t="n">
        <v>0</v>
      </c>
      <c r="J4787" t="n">
        <v>0</v>
      </c>
      <c r="K4787" t="n">
        <v>0</v>
      </c>
      <c r="L4787" t="n">
        <v>0</v>
      </c>
      <c r="M4787" t="n">
        <v>0</v>
      </c>
      <c r="N4787" t="n">
        <v>0</v>
      </c>
      <c r="O4787" t="n">
        <v>0</v>
      </c>
      <c r="P4787" t="n">
        <v>0</v>
      </c>
      <c r="Q4787" t="n">
        <v>0</v>
      </c>
      <c r="R4787" s="2" t="inlineStr"/>
    </row>
    <row r="4788" ht="15" customHeight="1">
      <c r="A4788" t="inlineStr">
        <is>
          <t>A 22195-2023</t>
        </is>
      </c>
      <c r="B4788" s="1" t="n">
        <v>45069.74605324074</v>
      </c>
      <c r="C4788" s="1" t="n">
        <v>45914</v>
      </c>
      <c r="D4788" t="inlineStr">
        <is>
          <t>SKÅNE LÄN</t>
        </is>
      </c>
      <c r="E4788" t="inlineStr">
        <is>
          <t>YSTAD</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4149-2022</t>
        </is>
      </c>
      <c r="B4789" s="1" t="n">
        <v>44588</v>
      </c>
      <c r="C4789" s="1" t="n">
        <v>45914</v>
      </c>
      <c r="D4789" t="inlineStr">
        <is>
          <t>SKÅNE LÄN</t>
        </is>
      </c>
      <c r="E4789" t="inlineStr">
        <is>
          <t>SVALÖV</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63268-2023</t>
        </is>
      </c>
      <c r="B4790" s="1" t="n">
        <v>45273.75299768519</v>
      </c>
      <c r="C4790" s="1" t="n">
        <v>45914</v>
      </c>
      <c r="D4790" t="inlineStr">
        <is>
          <t>SKÅNE LÄN</t>
        </is>
      </c>
      <c r="E4790" t="inlineStr">
        <is>
          <t>HÖÖR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63297-2023</t>
        </is>
      </c>
      <c r="B4791" s="1" t="n">
        <v>45273.96774305555</v>
      </c>
      <c r="C4791" s="1" t="n">
        <v>45914</v>
      </c>
      <c r="D4791" t="inlineStr">
        <is>
          <t>SKÅNE LÄN</t>
        </is>
      </c>
      <c r="E4791" t="inlineStr">
        <is>
          <t>OSBY</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15322-2023</t>
        </is>
      </c>
      <c r="B4792" s="1" t="n">
        <v>45019.48450231482</v>
      </c>
      <c r="C4792" s="1" t="n">
        <v>45914</v>
      </c>
      <c r="D4792" t="inlineStr">
        <is>
          <t>SKÅNE LÄN</t>
        </is>
      </c>
      <c r="E4792" t="inlineStr">
        <is>
          <t>KRISTIANSTAD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48046-2023</t>
        </is>
      </c>
      <c r="B4793" s="1" t="n">
        <v>45204.85201388889</v>
      </c>
      <c r="C4793" s="1" t="n">
        <v>45914</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11607-2025</t>
        </is>
      </c>
      <c r="B4794" s="1" t="n">
        <v>45727</v>
      </c>
      <c r="C4794" s="1" t="n">
        <v>45914</v>
      </c>
      <c r="D4794" t="inlineStr">
        <is>
          <t>SKÅNE LÄN</t>
        </is>
      </c>
      <c r="E4794" t="inlineStr">
        <is>
          <t>HÄSSLEHOLM</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11609-2025</t>
        </is>
      </c>
      <c r="B4795" s="1" t="n">
        <v>45727.44237268518</v>
      </c>
      <c r="C4795" s="1" t="n">
        <v>45914</v>
      </c>
      <c r="D4795" t="inlineStr">
        <is>
          <t>SKÅNE LÄN</t>
        </is>
      </c>
      <c r="E4795" t="inlineStr">
        <is>
          <t>HÄSSLEHOLM</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13995-2025</t>
        </is>
      </c>
      <c r="B4796" s="1" t="n">
        <v>45739.74271990741</v>
      </c>
      <c r="C4796" s="1" t="n">
        <v>45914</v>
      </c>
      <c r="D4796" t="inlineStr">
        <is>
          <t>SKÅNE LÄN</t>
        </is>
      </c>
      <c r="E4796" t="inlineStr">
        <is>
          <t>KLIPPAN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50330-2023</t>
        </is>
      </c>
      <c r="B4797" s="1" t="n">
        <v>45216</v>
      </c>
      <c r="C4797" s="1" t="n">
        <v>45914</v>
      </c>
      <c r="D4797" t="inlineStr">
        <is>
          <t>SKÅNE LÄN</t>
        </is>
      </c>
      <c r="E4797" t="inlineStr">
        <is>
          <t>HÖÖR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50332-2023</t>
        </is>
      </c>
      <c r="B4798" s="1" t="n">
        <v>45216.56113425926</v>
      </c>
      <c r="C4798" s="1" t="n">
        <v>45914</v>
      </c>
      <c r="D4798" t="inlineStr">
        <is>
          <t>SKÅNE LÄN</t>
        </is>
      </c>
      <c r="E4798" t="inlineStr">
        <is>
          <t>HÖÖR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13808-2021</t>
        </is>
      </c>
      <c r="B4799" s="1" t="n">
        <v>44276</v>
      </c>
      <c r="C4799" s="1" t="n">
        <v>45914</v>
      </c>
      <c r="D4799" t="inlineStr">
        <is>
          <t>SKÅNE LÄN</t>
        </is>
      </c>
      <c r="E4799" t="inlineStr">
        <is>
          <t>HÄSSLEHOLM</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49106-2023</t>
        </is>
      </c>
      <c r="B4800" s="1" t="n">
        <v>45210</v>
      </c>
      <c r="C4800" s="1" t="n">
        <v>45914</v>
      </c>
      <c r="D4800" t="inlineStr">
        <is>
          <t>SKÅNE LÄN</t>
        </is>
      </c>
      <c r="E4800" t="inlineStr">
        <is>
          <t>HÄSSLEHOLM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58815-2023</t>
        </is>
      </c>
      <c r="B4801" s="1" t="n">
        <v>45247</v>
      </c>
      <c r="C4801" s="1" t="n">
        <v>45914</v>
      </c>
      <c r="D4801" t="inlineStr">
        <is>
          <t>SKÅNE LÄN</t>
        </is>
      </c>
      <c r="E4801" t="inlineStr">
        <is>
          <t>HÄSSLEHOLM</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11887-2024</t>
        </is>
      </c>
      <c r="B4802" s="1" t="n">
        <v>45376.50527777777</v>
      </c>
      <c r="C4802" s="1" t="n">
        <v>45914</v>
      </c>
      <c r="D4802" t="inlineStr">
        <is>
          <t>SKÅNE LÄN</t>
        </is>
      </c>
      <c r="E4802" t="inlineStr">
        <is>
          <t>TOMELILLA</t>
        </is>
      </c>
      <c r="F4802" t="inlineStr">
        <is>
          <t>Övriga Aktiebolag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11379-2024</t>
        </is>
      </c>
      <c r="B4803" s="1" t="n">
        <v>45372.43756944445</v>
      </c>
      <c r="C4803" s="1" t="n">
        <v>45914</v>
      </c>
      <c r="D4803" t="inlineStr">
        <is>
          <t>SKÅNE LÄN</t>
        </is>
      </c>
      <c r="E4803" t="inlineStr">
        <is>
          <t>HÖÖR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15487-2025</t>
        </is>
      </c>
      <c r="B4804" s="1" t="n">
        <v>45747</v>
      </c>
      <c r="C4804" s="1" t="n">
        <v>45914</v>
      </c>
      <c r="D4804" t="inlineStr">
        <is>
          <t>SKÅNE LÄN</t>
        </is>
      </c>
      <c r="E4804" t="inlineStr">
        <is>
          <t>SVALÖV</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11497-2023</t>
        </is>
      </c>
      <c r="B4805" s="1" t="n">
        <v>44991</v>
      </c>
      <c r="C4805" s="1" t="n">
        <v>45914</v>
      </c>
      <c r="D4805" t="inlineStr">
        <is>
          <t>SKÅNE LÄN</t>
        </is>
      </c>
      <c r="E4805" t="inlineStr">
        <is>
          <t>KLIPPAN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27540-2024</t>
        </is>
      </c>
      <c r="B4806" s="1" t="n">
        <v>45474</v>
      </c>
      <c r="C4806" s="1" t="n">
        <v>45914</v>
      </c>
      <c r="D4806" t="inlineStr">
        <is>
          <t>SKÅNE LÄN</t>
        </is>
      </c>
      <c r="E4806" t="inlineStr">
        <is>
          <t>ÖRKELLJUNGA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11720-2024</t>
        </is>
      </c>
      <c r="B4807" s="1" t="n">
        <v>45373.64611111111</v>
      </c>
      <c r="C4807" s="1" t="n">
        <v>45914</v>
      </c>
      <c r="D4807" t="inlineStr">
        <is>
          <t>SKÅNE LÄN</t>
        </is>
      </c>
      <c r="E4807" t="inlineStr">
        <is>
          <t>PERSTORP</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9695-2023</t>
        </is>
      </c>
      <c r="B4808" s="1" t="n">
        <v>44984</v>
      </c>
      <c r="C4808" s="1" t="n">
        <v>45914</v>
      </c>
      <c r="D4808" t="inlineStr">
        <is>
          <t>SKÅNE LÄN</t>
        </is>
      </c>
      <c r="E4808" t="inlineStr">
        <is>
          <t>ÖRKELLJUNGA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9697-2023</t>
        </is>
      </c>
      <c r="B4809" s="1" t="n">
        <v>44984</v>
      </c>
      <c r="C4809" s="1" t="n">
        <v>45914</v>
      </c>
      <c r="D4809" t="inlineStr">
        <is>
          <t>SKÅNE LÄN</t>
        </is>
      </c>
      <c r="E4809" t="inlineStr">
        <is>
          <t>HÄSSLEHOLM</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27478-2023</t>
        </is>
      </c>
      <c r="B4810" s="1" t="n">
        <v>45092</v>
      </c>
      <c r="C4810" s="1" t="n">
        <v>45914</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1170-2025</t>
        </is>
      </c>
      <c r="B4811" s="1" t="n">
        <v>45667.29226851852</v>
      </c>
      <c r="C4811" s="1" t="n">
        <v>45914</v>
      </c>
      <c r="D4811" t="inlineStr">
        <is>
          <t>SKÅNE LÄN</t>
        </is>
      </c>
      <c r="E4811" t="inlineStr">
        <is>
          <t>HÄSSLEHOLM</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45596-2024</t>
        </is>
      </c>
      <c r="B4812" s="1" t="n">
        <v>45579</v>
      </c>
      <c r="C4812" s="1" t="n">
        <v>45914</v>
      </c>
      <c r="D4812" t="inlineStr">
        <is>
          <t>SKÅNE LÄN</t>
        </is>
      </c>
      <c r="E4812" t="inlineStr">
        <is>
          <t>KLIPPAN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57749-2023</t>
        </is>
      </c>
      <c r="B4813" s="1" t="n">
        <v>45246</v>
      </c>
      <c r="C4813" s="1" t="n">
        <v>45914</v>
      </c>
      <c r="D4813" t="inlineStr">
        <is>
          <t>SKÅNE LÄN</t>
        </is>
      </c>
      <c r="E4813" t="inlineStr">
        <is>
          <t>HÄSSLEHOLM</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48408-2023</t>
        </is>
      </c>
      <c r="B4814" s="1" t="n">
        <v>45205</v>
      </c>
      <c r="C4814" s="1" t="n">
        <v>45914</v>
      </c>
      <c r="D4814" t="inlineStr">
        <is>
          <t>SKÅNE LÄN</t>
        </is>
      </c>
      <c r="E4814" t="inlineStr">
        <is>
          <t>ÖSTRA GÖINGE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42909-2024</t>
        </is>
      </c>
      <c r="B4815" s="1" t="n">
        <v>45566</v>
      </c>
      <c r="C4815" s="1" t="n">
        <v>45914</v>
      </c>
      <c r="D4815" t="inlineStr">
        <is>
          <t>SKÅNE LÄN</t>
        </is>
      </c>
      <c r="E4815" t="inlineStr">
        <is>
          <t>BROMÖLLA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44940-2023</t>
        </is>
      </c>
      <c r="B4816" s="1" t="n">
        <v>45190.68653935185</v>
      </c>
      <c r="C4816" s="1" t="n">
        <v>45914</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4605-2025</t>
        </is>
      </c>
      <c r="B4817" s="1" t="n">
        <v>45687.56328703704</v>
      </c>
      <c r="C4817" s="1" t="n">
        <v>45914</v>
      </c>
      <c r="D4817" t="inlineStr">
        <is>
          <t>SKÅNE LÄN</t>
        </is>
      </c>
      <c r="E4817" t="inlineStr">
        <is>
          <t>ÄNGELHOLM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11272-2023</t>
        </is>
      </c>
      <c r="B4818" s="1" t="n">
        <v>44992.69829861111</v>
      </c>
      <c r="C4818" s="1" t="n">
        <v>45914</v>
      </c>
      <c r="D4818" t="inlineStr">
        <is>
          <t>SKÅNE LÄN</t>
        </is>
      </c>
      <c r="E4818" t="inlineStr">
        <is>
          <t>KRISTIANSTAD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18800-2023</t>
        </is>
      </c>
      <c r="B4819" s="1" t="n">
        <v>45044</v>
      </c>
      <c r="C4819" s="1" t="n">
        <v>45914</v>
      </c>
      <c r="D4819" t="inlineStr">
        <is>
          <t>SKÅNE LÄN</t>
        </is>
      </c>
      <c r="E4819" t="inlineStr">
        <is>
          <t>HÄSSLEHOLM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25206-2023</t>
        </is>
      </c>
      <c r="B4820" s="1" t="n">
        <v>45086.59318287037</v>
      </c>
      <c r="C4820" s="1" t="n">
        <v>45914</v>
      </c>
      <c r="D4820" t="inlineStr">
        <is>
          <t>SKÅNE LÄN</t>
        </is>
      </c>
      <c r="E4820" t="inlineStr">
        <is>
          <t>HÄSSLEHOLM</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5116-2023</t>
        </is>
      </c>
      <c r="B4821" s="1" t="n">
        <v>44958.67546296296</v>
      </c>
      <c r="C4821" s="1" t="n">
        <v>45914</v>
      </c>
      <c r="D4821" t="inlineStr">
        <is>
          <t>SKÅNE LÄN</t>
        </is>
      </c>
      <c r="E4821" t="inlineStr">
        <is>
          <t>HÄSSLEHOLM</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941-2023</t>
        </is>
      </c>
      <c r="B4822" s="1" t="n">
        <v>44933</v>
      </c>
      <c r="C4822" s="1" t="n">
        <v>45914</v>
      </c>
      <c r="D4822" t="inlineStr">
        <is>
          <t>SKÅNE LÄN</t>
        </is>
      </c>
      <c r="E4822" t="inlineStr">
        <is>
          <t>KRISTIANSTAD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9277-2025</t>
        </is>
      </c>
      <c r="B4823" s="1" t="n">
        <v>45714.63053240741</v>
      </c>
      <c r="C4823" s="1" t="n">
        <v>45914</v>
      </c>
      <c r="D4823" t="inlineStr">
        <is>
          <t>SKÅNE LÄN</t>
        </is>
      </c>
      <c r="E4823" t="inlineStr">
        <is>
          <t>SVEDALA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7509-2025</t>
        </is>
      </c>
      <c r="B4824" s="1" t="n">
        <v>45702</v>
      </c>
      <c r="C4824" s="1" t="n">
        <v>45914</v>
      </c>
      <c r="D4824" t="inlineStr">
        <is>
          <t>SKÅNE LÄN</t>
        </is>
      </c>
      <c r="E4824" t="inlineStr">
        <is>
          <t>PERSTORP</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46523-2023</t>
        </is>
      </c>
      <c r="B4825" s="1" t="n">
        <v>45197.76050925926</v>
      </c>
      <c r="C4825" s="1" t="n">
        <v>45914</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25962-2023</t>
        </is>
      </c>
      <c r="B4826" s="1" t="n">
        <v>45090.77961805555</v>
      </c>
      <c r="C4826" s="1" t="n">
        <v>45914</v>
      </c>
      <c r="D4826" t="inlineStr">
        <is>
          <t>SKÅNE LÄN</t>
        </is>
      </c>
      <c r="E4826" t="inlineStr">
        <is>
          <t>ÖRKELLJUNGA</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22558-2021</t>
        </is>
      </c>
      <c r="B4827" s="1" t="n">
        <v>44326</v>
      </c>
      <c r="C4827" s="1" t="n">
        <v>45914</v>
      </c>
      <c r="D4827" t="inlineStr">
        <is>
          <t>SKÅNE LÄN</t>
        </is>
      </c>
      <c r="E4827" t="inlineStr">
        <is>
          <t>ÖSTRA GÖINGE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981-2023</t>
        </is>
      </c>
      <c r="B4828" s="1" t="n">
        <v>44935.35828703704</v>
      </c>
      <c r="C4828" s="1" t="n">
        <v>45914</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10220-2023</t>
        </is>
      </c>
      <c r="B4829" s="1" t="n">
        <v>44986.60916666667</v>
      </c>
      <c r="C4829" s="1" t="n">
        <v>45914</v>
      </c>
      <c r="D4829" t="inlineStr">
        <is>
          <t>SKÅNE LÄN</t>
        </is>
      </c>
      <c r="E4829" t="inlineStr">
        <is>
          <t>HÄSSLEHOLM</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5096-2022</t>
        </is>
      </c>
      <c r="B4830" s="1" t="n">
        <v>44593</v>
      </c>
      <c r="C4830" s="1" t="n">
        <v>45914</v>
      </c>
      <c r="D4830" t="inlineStr">
        <is>
          <t>SKÅNE LÄN</t>
        </is>
      </c>
      <c r="E4830" t="inlineStr">
        <is>
          <t>ÖSTRA GÖINGE</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21488-2023</t>
        </is>
      </c>
      <c r="B4831" s="1" t="n">
        <v>45061</v>
      </c>
      <c r="C4831" s="1" t="n">
        <v>45914</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5812-2022</t>
        </is>
      </c>
      <c r="B4832" s="1" t="n">
        <v>44596</v>
      </c>
      <c r="C4832" s="1" t="n">
        <v>45914</v>
      </c>
      <c r="D4832" t="inlineStr">
        <is>
          <t>SKÅNE LÄN</t>
        </is>
      </c>
      <c r="E4832" t="inlineStr">
        <is>
          <t>ESLÖV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56998-2024</t>
        </is>
      </c>
      <c r="B4833" s="1" t="n">
        <v>45628.72</v>
      </c>
      <c r="C4833" s="1" t="n">
        <v>45914</v>
      </c>
      <c r="D4833" t="inlineStr">
        <is>
          <t>SKÅNE LÄN</t>
        </is>
      </c>
      <c r="E4833" t="inlineStr">
        <is>
          <t>OSBY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45914</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36160-2023</t>
        </is>
      </c>
      <c r="B4835" s="1" t="n">
        <v>45149</v>
      </c>
      <c r="C4835" s="1" t="n">
        <v>45914</v>
      </c>
      <c r="D4835" t="inlineStr">
        <is>
          <t>SKÅNE LÄN</t>
        </is>
      </c>
      <c r="E4835" t="inlineStr">
        <is>
          <t>KRISTIANSTAD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13211-2023</t>
        </is>
      </c>
      <c r="B4836" s="1" t="n">
        <v>45002.67038194444</v>
      </c>
      <c r="C4836" s="1" t="n">
        <v>45914</v>
      </c>
      <c r="D4836" t="inlineStr">
        <is>
          <t>SKÅNE LÄN</t>
        </is>
      </c>
      <c r="E4836" t="inlineStr">
        <is>
          <t>KRISTIANSTAD</t>
        </is>
      </c>
      <c r="F4836" t="inlineStr">
        <is>
          <t>Kyrkan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58279-2024</t>
        </is>
      </c>
      <c r="B4837" s="1" t="n">
        <v>45632.57564814815</v>
      </c>
      <c r="C4837" s="1" t="n">
        <v>45914</v>
      </c>
      <c r="D4837" t="inlineStr">
        <is>
          <t>SKÅNE LÄN</t>
        </is>
      </c>
      <c r="E4837" t="inlineStr">
        <is>
          <t>ÖSTRA GÖINGE</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19877-2024</t>
        </is>
      </c>
      <c r="B4838" s="1" t="n">
        <v>45433</v>
      </c>
      <c r="C4838" s="1" t="n">
        <v>45914</v>
      </c>
      <c r="D4838" t="inlineStr">
        <is>
          <t>SKÅNE LÄN</t>
        </is>
      </c>
      <c r="E4838" t="inlineStr">
        <is>
          <t>SJÖBO</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61701-2024</t>
        </is>
      </c>
      <c r="B4839" s="1" t="n">
        <v>45648.28662037037</v>
      </c>
      <c r="C4839" s="1" t="n">
        <v>45914</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61711-2024</t>
        </is>
      </c>
      <c r="B4840" s="1" t="n">
        <v>45648.67697916667</v>
      </c>
      <c r="C4840" s="1" t="n">
        <v>45914</v>
      </c>
      <c r="D4840" t="inlineStr">
        <is>
          <t>SKÅNE LÄN</t>
        </is>
      </c>
      <c r="E4840" t="inlineStr">
        <is>
          <t>OSBY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22095-2024</t>
        </is>
      </c>
      <c r="B4841" s="1" t="n">
        <v>45443.76803240741</v>
      </c>
      <c r="C4841" s="1" t="n">
        <v>45914</v>
      </c>
      <c r="D4841" t="inlineStr">
        <is>
          <t>SKÅNE LÄN</t>
        </is>
      </c>
      <c r="E4841" t="inlineStr">
        <is>
          <t>ÖSTRA GÖINGE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1833-2024</t>
        </is>
      </c>
      <c r="B4842" s="1" t="n">
        <v>45307</v>
      </c>
      <c r="C4842" s="1" t="n">
        <v>45914</v>
      </c>
      <c r="D4842" t="inlineStr">
        <is>
          <t>SKÅNE LÄN</t>
        </is>
      </c>
      <c r="E4842" t="inlineStr">
        <is>
          <t>KRISTIANSTAD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1837-2024</t>
        </is>
      </c>
      <c r="B4843" s="1" t="n">
        <v>45307</v>
      </c>
      <c r="C4843" s="1" t="n">
        <v>45914</v>
      </c>
      <c r="D4843" t="inlineStr">
        <is>
          <t>SKÅNE LÄN</t>
        </is>
      </c>
      <c r="E4843" t="inlineStr">
        <is>
          <t>ÖSTRA GÖINGE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25803-2024</t>
        </is>
      </c>
      <c r="B4844" s="1" t="n">
        <v>45467.36152777778</v>
      </c>
      <c r="C4844" s="1" t="n">
        <v>45914</v>
      </c>
      <c r="D4844" t="inlineStr">
        <is>
          <t>SKÅNE LÄN</t>
        </is>
      </c>
      <c r="E4844" t="inlineStr">
        <is>
          <t>KRISTIANSTAD</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44853-2024</t>
        </is>
      </c>
      <c r="B4845" s="1" t="n">
        <v>45574</v>
      </c>
      <c r="C4845" s="1" t="n">
        <v>45914</v>
      </c>
      <c r="D4845" t="inlineStr">
        <is>
          <t>SKÅNE LÄN</t>
        </is>
      </c>
      <c r="E4845" t="inlineStr">
        <is>
          <t>ÖSTRA GÖINGE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8565-2023</t>
        </is>
      </c>
      <c r="B4846" s="1" t="n">
        <v>44977</v>
      </c>
      <c r="C4846" s="1" t="n">
        <v>45914</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8568-2023</t>
        </is>
      </c>
      <c r="B4847" s="1" t="n">
        <v>44977</v>
      </c>
      <c r="C4847" s="1" t="n">
        <v>45914</v>
      </c>
      <c r="D4847" t="inlineStr">
        <is>
          <t>SKÅNE LÄN</t>
        </is>
      </c>
      <c r="E4847" t="inlineStr">
        <is>
          <t>SJÖBO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25611-2024</t>
        </is>
      </c>
      <c r="B4848" s="1" t="n">
        <v>45463</v>
      </c>
      <c r="C4848" s="1" t="n">
        <v>45914</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1031-2025</t>
        </is>
      </c>
      <c r="B4849" s="1" t="n">
        <v>45666.5195949074</v>
      </c>
      <c r="C4849" s="1" t="n">
        <v>45914</v>
      </c>
      <c r="D4849" t="inlineStr">
        <is>
          <t>SKÅNE LÄN</t>
        </is>
      </c>
      <c r="E4849" t="inlineStr">
        <is>
          <t>SJÖBO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3406-2025</t>
        </is>
      </c>
      <c r="B4850" s="1" t="n">
        <v>45680</v>
      </c>
      <c r="C4850" s="1" t="n">
        <v>45914</v>
      </c>
      <c r="D4850" t="inlineStr">
        <is>
          <t>SKÅNE LÄN</t>
        </is>
      </c>
      <c r="E4850" t="inlineStr">
        <is>
          <t>ÖSTRA GÖINGE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16838-2023</t>
        </is>
      </c>
      <c r="B4851" s="1" t="n">
        <v>45033.43649305555</v>
      </c>
      <c r="C4851" s="1" t="n">
        <v>45914</v>
      </c>
      <c r="D4851" t="inlineStr">
        <is>
          <t>SKÅNE LÄN</t>
        </is>
      </c>
      <c r="E4851" t="inlineStr">
        <is>
          <t>OSBY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37890-2024</t>
        </is>
      </c>
      <c r="B4852" s="1" t="n">
        <v>45544.45065972222</v>
      </c>
      <c r="C4852" s="1" t="n">
        <v>45914</v>
      </c>
      <c r="D4852" t="inlineStr">
        <is>
          <t>SKÅNE LÄN</t>
        </is>
      </c>
      <c r="E4852" t="inlineStr">
        <is>
          <t>PERSTORP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31374-2022</t>
        </is>
      </c>
      <c r="B4853" s="1" t="n">
        <v>44774</v>
      </c>
      <c r="C4853" s="1" t="n">
        <v>45914</v>
      </c>
      <c r="D4853" t="inlineStr">
        <is>
          <t>SKÅNE LÄN</t>
        </is>
      </c>
      <c r="E4853" t="inlineStr">
        <is>
          <t>KRISTIANSTAD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26536-2022</t>
        </is>
      </c>
      <c r="B4854" s="1" t="n">
        <v>44739.45496527778</v>
      </c>
      <c r="C4854" s="1" t="n">
        <v>45914</v>
      </c>
      <c r="D4854" t="inlineStr">
        <is>
          <t>SKÅNE LÄN</t>
        </is>
      </c>
      <c r="E4854" t="inlineStr">
        <is>
          <t>HÄSSLEHOLM</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16334-2024</t>
        </is>
      </c>
      <c r="B4855" s="1" t="n">
        <v>45407.54856481482</v>
      </c>
      <c r="C4855" s="1" t="n">
        <v>45914</v>
      </c>
      <c r="D4855" t="inlineStr">
        <is>
          <t>SKÅNE LÄN</t>
        </is>
      </c>
      <c r="E4855" t="inlineStr">
        <is>
          <t>HÄSSLEHOLM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16340-2024</t>
        </is>
      </c>
      <c r="B4856" s="1" t="n">
        <v>45407.56114583334</v>
      </c>
      <c r="C4856" s="1" t="n">
        <v>45914</v>
      </c>
      <c r="D4856" t="inlineStr">
        <is>
          <t>SKÅNE LÄN</t>
        </is>
      </c>
      <c r="E4856" t="inlineStr">
        <is>
          <t>SJÖBO</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16373-2024</t>
        </is>
      </c>
      <c r="B4857" s="1" t="n">
        <v>45407.60150462963</v>
      </c>
      <c r="C4857" s="1" t="n">
        <v>45914</v>
      </c>
      <c r="D4857" t="inlineStr">
        <is>
          <t>SKÅNE LÄN</t>
        </is>
      </c>
      <c r="E4857" t="inlineStr">
        <is>
          <t>SJÖBO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50516-2022</t>
        </is>
      </c>
      <c r="B4858" s="1" t="n">
        <v>44866.5670949074</v>
      </c>
      <c r="C4858" s="1" t="n">
        <v>45914</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5565-2024</t>
        </is>
      </c>
      <c r="B4859" s="1" t="n">
        <v>45334</v>
      </c>
      <c r="C4859" s="1" t="n">
        <v>45914</v>
      </c>
      <c r="D4859" t="inlineStr">
        <is>
          <t>SKÅNE LÄN</t>
        </is>
      </c>
      <c r="E4859" t="inlineStr">
        <is>
          <t>TOMELILLA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5623-2024</t>
        </is>
      </c>
      <c r="B4860" s="1" t="n">
        <v>45334</v>
      </c>
      <c r="C4860" s="1" t="n">
        <v>45914</v>
      </c>
      <c r="D4860" t="inlineStr">
        <is>
          <t>SKÅNE LÄN</t>
        </is>
      </c>
      <c r="E4860" t="inlineStr">
        <is>
          <t>KRISTIANSTAD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25610-2024</t>
        </is>
      </c>
      <c r="B4861" s="1" t="n">
        <v>45463</v>
      </c>
      <c r="C4861" s="1" t="n">
        <v>45914</v>
      </c>
      <c r="D4861" t="inlineStr">
        <is>
          <t>SKÅNE LÄN</t>
        </is>
      </c>
      <c r="E4861" t="inlineStr">
        <is>
          <t>TRELLEBORG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7811-2023</t>
        </is>
      </c>
      <c r="B4862" s="1" t="n">
        <v>44973</v>
      </c>
      <c r="C4862" s="1" t="n">
        <v>45914</v>
      </c>
      <c r="D4862" t="inlineStr">
        <is>
          <t>SKÅNE LÄN</t>
        </is>
      </c>
      <c r="E4862" t="inlineStr">
        <is>
          <t>ÄNGELHOLM</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29750-2021</t>
        </is>
      </c>
      <c r="B4863" s="1" t="n">
        <v>44362</v>
      </c>
      <c r="C4863" s="1" t="n">
        <v>45914</v>
      </c>
      <c r="D4863" t="inlineStr">
        <is>
          <t>SKÅNE LÄN</t>
        </is>
      </c>
      <c r="E4863" t="inlineStr">
        <is>
          <t>PERSTORP</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52871-2024</t>
        </is>
      </c>
      <c r="B4864" s="1" t="n">
        <v>45610</v>
      </c>
      <c r="C4864" s="1" t="n">
        <v>45914</v>
      </c>
      <c r="D4864" t="inlineStr">
        <is>
          <t>SKÅNE LÄN</t>
        </is>
      </c>
      <c r="E4864" t="inlineStr">
        <is>
          <t>KLIPPAN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38173-2023</t>
        </is>
      </c>
      <c r="B4865" s="1" t="n">
        <v>45161.44363425926</v>
      </c>
      <c r="C4865" s="1" t="n">
        <v>45914</v>
      </c>
      <c r="D4865" t="inlineStr">
        <is>
          <t>SKÅNE LÄN</t>
        </is>
      </c>
      <c r="E4865" t="inlineStr">
        <is>
          <t>ESLÖV</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1904-2023</t>
        </is>
      </c>
      <c r="B4866" s="1" t="n">
        <v>44939</v>
      </c>
      <c r="C4866" s="1" t="n">
        <v>45914</v>
      </c>
      <c r="D4866" t="inlineStr">
        <is>
          <t>SKÅNE LÄN</t>
        </is>
      </c>
      <c r="E4866" t="inlineStr">
        <is>
          <t>ÖRKELLJUNGA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41873-2023</t>
        </is>
      </c>
      <c r="B4867" s="1" t="n">
        <v>45176</v>
      </c>
      <c r="C4867" s="1" t="n">
        <v>45914</v>
      </c>
      <c r="D4867" t="inlineStr">
        <is>
          <t>SKÅNE LÄN</t>
        </is>
      </c>
      <c r="E4867" t="inlineStr">
        <is>
          <t>HÄSSLEHOLM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42592-2021</t>
        </is>
      </c>
      <c r="B4868" s="1" t="n">
        <v>44428</v>
      </c>
      <c r="C4868" s="1" t="n">
        <v>45914</v>
      </c>
      <c r="D4868" t="inlineStr">
        <is>
          <t>SKÅNE LÄN</t>
        </is>
      </c>
      <c r="E4868" t="inlineStr">
        <is>
          <t>ÖSTRA GÖINGE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54009-2023</t>
        </is>
      </c>
      <c r="B4869" s="1" t="n">
        <v>45231.74186342592</v>
      </c>
      <c r="C4869" s="1" t="n">
        <v>45914</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60973-2024</t>
        </is>
      </c>
      <c r="B4870" s="1" t="n">
        <v>45644</v>
      </c>
      <c r="C4870" s="1" t="n">
        <v>45914</v>
      </c>
      <c r="D4870" t="inlineStr">
        <is>
          <t>SKÅNE LÄN</t>
        </is>
      </c>
      <c r="E4870" t="inlineStr">
        <is>
          <t>HÄSSLEHOLM</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51577-2023</t>
        </is>
      </c>
      <c r="B4871" s="1" t="n">
        <v>45222.45756944444</v>
      </c>
      <c r="C4871" s="1" t="n">
        <v>45914</v>
      </c>
      <c r="D4871" t="inlineStr">
        <is>
          <t>SKÅNE LÄN</t>
        </is>
      </c>
      <c r="E4871" t="inlineStr">
        <is>
          <t>ÖRKELLJUNGA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557-2023</t>
        </is>
      </c>
      <c r="B4872" s="1" t="n">
        <v>44930.48086805556</v>
      </c>
      <c r="C4872" s="1" t="n">
        <v>45914</v>
      </c>
      <c r="D4872" t="inlineStr">
        <is>
          <t>SKÅNE LÄN</t>
        </is>
      </c>
      <c r="E4872" t="inlineStr">
        <is>
          <t>ÖSTRA GÖINGE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36951-2023</t>
        </is>
      </c>
      <c r="B4873" s="1" t="n">
        <v>45154.89658564814</v>
      </c>
      <c r="C4873" s="1" t="n">
        <v>45914</v>
      </c>
      <c r="D4873" t="inlineStr">
        <is>
          <t>SKÅNE LÄN</t>
        </is>
      </c>
      <c r="E4873" t="inlineStr">
        <is>
          <t>OSBY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3830-2022</t>
        </is>
      </c>
      <c r="B4874" s="1" t="n">
        <v>44587.35361111111</v>
      </c>
      <c r="C4874" s="1" t="n">
        <v>45914</v>
      </c>
      <c r="D4874" t="inlineStr">
        <is>
          <t>SKÅNE LÄN</t>
        </is>
      </c>
      <c r="E4874" t="inlineStr">
        <is>
          <t>ÖRKELLJUNGA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38228-2021</t>
        </is>
      </c>
      <c r="B4875" s="1" t="n">
        <v>44405</v>
      </c>
      <c r="C4875" s="1" t="n">
        <v>45914</v>
      </c>
      <c r="D4875" t="inlineStr">
        <is>
          <t>SKÅNE LÄN</t>
        </is>
      </c>
      <c r="E4875" t="inlineStr">
        <is>
          <t>HÄSSLEHOLM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23476-2024</t>
        </is>
      </c>
      <c r="B4876" s="1" t="n">
        <v>45453</v>
      </c>
      <c r="C4876" s="1" t="n">
        <v>45914</v>
      </c>
      <c r="D4876" t="inlineStr">
        <is>
          <t>SKÅNE LÄN</t>
        </is>
      </c>
      <c r="E4876" t="inlineStr">
        <is>
          <t>OSBY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14655-2025</t>
        </is>
      </c>
      <c r="B4877" s="1" t="n">
        <v>45742.5072337963</v>
      </c>
      <c r="C4877" s="1" t="n">
        <v>45914</v>
      </c>
      <c r="D4877" t="inlineStr">
        <is>
          <t>SKÅNE LÄN</t>
        </is>
      </c>
      <c r="E4877" t="inlineStr">
        <is>
          <t>HÄSSLEHOLM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4248-2025</t>
        </is>
      </c>
      <c r="B4878" s="1" t="n">
        <v>45685.59568287037</v>
      </c>
      <c r="C4878" s="1" t="n">
        <v>45914</v>
      </c>
      <c r="D4878" t="inlineStr">
        <is>
          <t>SKÅNE LÄN</t>
        </is>
      </c>
      <c r="E4878" t="inlineStr">
        <is>
          <t>KRISTIANSTAD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13954-2025</t>
        </is>
      </c>
      <c r="B4879" s="1" t="n">
        <v>45737</v>
      </c>
      <c r="C4879" s="1" t="n">
        <v>45914</v>
      </c>
      <c r="D4879" t="inlineStr">
        <is>
          <t>SKÅNE LÄN</t>
        </is>
      </c>
      <c r="E4879" t="inlineStr">
        <is>
          <t>KRISTIANSTAD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28442-2024</t>
        </is>
      </c>
      <c r="B4880" s="1" t="n">
        <v>45477</v>
      </c>
      <c r="C4880" s="1" t="n">
        <v>45914</v>
      </c>
      <c r="D4880" t="inlineStr">
        <is>
          <t>SKÅNE LÄN</t>
        </is>
      </c>
      <c r="E4880" t="inlineStr">
        <is>
          <t>KRISTIANSTAD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58761-2022</t>
        </is>
      </c>
      <c r="B4881" s="1" t="n">
        <v>44903.36738425926</v>
      </c>
      <c r="C4881" s="1" t="n">
        <v>45914</v>
      </c>
      <c r="D4881" t="inlineStr">
        <is>
          <t>SKÅNE LÄN</t>
        </is>
      </c>
      <c r="E4881" t="inlineStr">
        <is>
          <t>OSBY</t>
        </is>
      </c>
      <c r="F4881" t="inlineStr">
        <is>
          <t>Kommuner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59763-2022</t>
        </is>
      </c>
      <c r="B4882" s="1" t="n">
        <v>44900</v>
      </c>
      <c r="C4882" s="1" t="n">
        <v>45914</v>
      </c>
      <c r="D4882" t="inlineStr">
        <is>
          <t>SKÅNE LÄN</t>
        </is>
      </c>
      <c r="E4882" t="inlineStr">
        <is>
          <t>HÄSSLEHOLM</t>
        </is>
      </c>
      <c r="F4882" t="inlineStr">
        <is>
          <t>Övriga Aktiebolag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4767-2023</t>
        </is>
      </c>
      <c r="B4883" s="1" t="n">
        <v>44957</v>
      </c>
      <c r="C4883" s="1" t="n">
        <v>45914</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16258-2024</t>
        </is>
      </c>
      <c r="B4884" s="1" t="n">
        <v>45407</v>
      </c>
      <c r="C4884" s="1" t="n">
        <v>45914</v>
      </c>
      <c r="D4884" t="inlineStr">
        <is>
          <t>SKÅNE LÄN</t>
        </is>
      </c>
      <c r="E4884" t="inlineStr">
        <is>
          <t>SIMRISHAMN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45914</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13952-2025</t>
        </is>
      </c>
      <c r="B4886" s="1" t="n">
        <v>45737</v>
      </c>
      <c r="C4886" s="1" t="n">
        <v>45914</v>
      </c>
      <c r="D4886" t="inlineStr">
        <is>
          <t>SKÅNE LÄN</t>
        </is>
      </c>
      <c r="E4886" t="inlineStr">
        <is>
          <t>KRISTIANSTAD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45914</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18246-2023</t>
        </is>
      </c>
      <c r="B4888" s="1" t="n">
        <v>45041</v>
      </c>
      <c r="C4888" s="1" t="n">
        <v>45914</v>
      </c>
      <c r="D4888" t="inlineStr">
        <is>
          <t>SKÅNE LÄN</t>
        </is>
      </c>
      <c r="E4888" t="inlineStr">
        <is>
          <t>HÖÖR</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43061-2024</t>
        </is>
      </c>
      <c r="B4889" s="1" t="n">
        <v>45567</v>
      </c>
      <c r="C4889" s="1" t="n">
        <v>45914</v>
      </c>
      <c r="D4889" t="inlineStr">
        <is>
          <t>SKÅNE LÄN</t>
        </is>
      </c>
      <c r="E4889" t="inlineStr">
        <is>
          <t>HÄSSLEHOLM</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21328-2023</t>
        </is>
      </c>
      <c r="B4890" s="1" t="n">
        <v>45062</v>
      </c>
      <c r="C4890" s="1" t="n">
        <v>45914</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3258-2023</t>
        </is>
      </c>
      <c r="B4891" s="1" t="n">
        <v>44948</v>
      </c>
      <c r="C4891" s="1" t="n">
        <v>45914</v>
      </c>
      <c r="D4891" t="inlineStr">
        <is>
          <t>SKÅNE LÄN</t>
        </is>
      </c>
      <c r="E4891" t="inlineStr">
        <is>
          <t>SJÖBO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22330-2024</t>
        </is>
      </c>
      <c r="B4892" s="1" t="n">
        <v>45446</v>
      </c>
      <c r="C4892" s="1" t="n">
        <v>45914</v>
      </c>
      <c r="D4892" t="inlineStr">
        <is>
          <t>SKÅNE LÄN</t>
        </is>
      </c>
      <c r="E4892" t="inlineStr">
        <is>
          <t>SJÖBO</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15812-2024</t>
        </is>
      </c>
      <c r="B4893" s="1" t="n">
        <v>45404.6669212963</v>
      </c>
      <c r="C4893" s="1" t="n">
        <v>45914</v>
      </c>
      <c r="D4893" t="inlineStr">
        <is>
          <t>SKÅNE LÄN</t>
        </is>
      </c>
      <c r="E4893" t="inlineStr">
        <is>
          <t>KLIPPAN</t>
        </is>
      </c>
      <c r="F4893" t="inlineStr">
        <is>
          <t>Sveaskog</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21222-2023</t>
        </is>
      </c>
      <c r="B4894" s="1" t="n">
        <v>45062</v>
      </c>
      <c r="C4894" s="1" t="n">
        <v>45914</v>
      </c>
      <c r="D4894" t="inlineStr">
        <is>
          <t>SKÅNE LÄN</t>
        </is>
      </c>
      <c r="E4894" t="inlineStr">
        <is>
          <t>OSBY</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10277-2023</t>
        </is>
      </c>
      <c r="B4895" s="1" t="n">
        <v>44986</v>
      </c>
      <c r="C4895" s="1" t="n">
        <v>45914</v>
      </c>
      <c r="D4895" t="inlineStr">
        <is>
          <t>SKÅNE LÄN</t>
        </is>
      </c>
      <c r="E4895" t="inlineStr">
        <is>
          <t>HÄSSLEHOLM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10290-2023</t>
        </is>
      </c>
      <c r="B4896" s="1" t="n">
        <v>44986</v>
      </c>
      <c r="C4896" s="1" t="n">
        <v>45914</v>
      </c>
      <c r="D4896" t="inlineStr">
        <is>
          <t>SKÅNE LÄN</t>
        </is>
      </c>
      <c r="E4896" t="inlineStr">
        <is>
          <t>HÄSSLEHOLM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47591-2023</t>
        </is>
      </c>
      <c r="B4897" s="1" t="n">
        <v>45203.44438657408</v>
      </c>
      <c r="C4897" s="1" t="n">
        <v>45914</v>
      </c>
      <c r="D4897" t="inlineStr">
        <is>
          <t>SKÅNE LÄN</t>
        </is>
      </c>
      <c r="E4897" t="inlineStr">
        <is>
          <t>ÖSTRA GÖINGE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40184-2022</t>
        </is>
      </c>
      <c r="B4898" s="1" t="n">
        <v>44820.58752314815</v>
      </c>
      <c r="C4898" s="1" t="n">
        <v>45914</v>
      </c>
      <c r="D4898" t="inlineStr">
        <is>
          <t>SKÅNE LÄN</t>
        </is>
      </c>
      <c r="E4898" t="inlineStr">
        <is>
          <t>ÖRKELLJUNGA</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48513-2023</t>
        </is>
      </c>
      <c r="B4899" s="1" t="n">
        <v>45208.30586805556</v>
      </c>
      <c r="C4899" s="1" t="n">
        <v>45914</v>
      </c>
      <c r="D4899" t="inlineStr">
        <is>
          <t>SKÅNE LÄN</t>
        </is>
      </c>
      <c r="E4899" t="inlineStr">
        <is>
          <t>OSBY</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6619-2024</t>
        </is>
      </c>
      <c r="B4900" s="1" t="n">
        <v>45341.6021412037</v>
      </c>
      <c r="C4900" s="1" t="n">
        <v>45914</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4011-2024</t>
        </is>
      </c>
      <c r="B4901" s="1" t="n">
        <v>45323</v>
      </c>
      <c r="C4901" s="1" t="n">
        <v>45914</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20666-2023</t>
        </is>
      </c>
      <c r="B4902" s="1" t="n">
        <v>45058.35664351852</v>
      </c>
      <c r="C4902" s="1" t="n">
        <v>45914</v>
      </c>
      <c r="D4902" t="inlineStr">
        <is>
          <t>SKÅNE LÄN</t>
        </is>
      </c>
      <c r="E4902" t="inlineStr">
        <is>
          <t>HÄSSLEHOLM</t>
        </is>
      </c>
      <c r="F4902" t="inlineStr">
        <is>
          <t>Kyrkan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12615-2023</t>
        </is>
      </c>
      <c r="B4903" s="1" t="n">
        <v>45000.46664351852</v>
      </c>
      <c r="C4903" s="1" t="n">
        <v>45914</v>
      </c>
      <c r="D4903" t="inlineStr">
        <is>
          <t>SKÅNE LÄN</t>
        </is>
      </c>
      <c r="E4903" t="inlineStr">
        <is>
          <t>KRISTIANSTAD</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15357-2023</t>
        </is>
      </c>
      <c r="B4904" s="1" t="n">
        <v>45019</v>
      </c>
      <c r="C4904" s="1" t="n">
        <v>45914</v>
      </c>
      <c r="D4904" t="inlineStr">
        <is>
          <t>SKÅNE LÄN</t>
        </is>
      </c>
      <c r="E4904" t="inlineStr">
        <is>
          <t>ESLÖV</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45914</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50138-2024</t>
        </is>
      </c>
      <c r="B4906" s="1" t="n">
        <v>45600.44368055555</v>
      </c>
      <c r="C4906" s="1" t="n">
        <v>45914</v>
      </c>
      <c r="D4906" t="inlineStr">
        <is>
          <t>SKÅNE LÄN</t>
        </is>
      </c>
      <c r="E4906" t="inlineStr">
        <is>
          <t>SIMRISHAMN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28870-2023</t>
        </is>
      </c>
      <c r="B4907" s="1" t="n">
        <v>45104.46216435185</v>
      </c>
      <c r="C4907" s="1" t="n">
        <v>45914</v>
      </c>
      <c r="D4907" t="inlineStr">
        <is>
          <t>SKÅNE LÄN</t>
        </is>
      </c>
      <c r="E4907" t="inlineStr">
        <is>
          <t>BROMÖLLA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16395-2023</t>
        </is>
      </c>
      <c r="B4908" s="1" t="n">
        <v>45029.36196759259</v>
      </c>
      <c r="C4908" s="1" t="n">
        <v>45914</v>
      </c>
      <c r="D4908" t="inlineStr">
        <is>
          <t>SKÅNE LÄN</t>
        </is>
      </c>
      <c r="E4908" t="inlineStr">
        <is>
          <t>PERSTORP</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7494-2023</t>
        </is>
      </c>
      <c r="B4909" s="1" t="n">
        <v>44971.70835648148</v>
      </c>
      <c r="C4909" s="1" t="n">
        <v>45914</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11101-2023</t>
        </is>
      </c>
      <c r="B4910" s="1" t="n">
        <v>44986</v>
      </c>
      <c r="C4910" s="1" t="n">
        <v>45914</v>
      </c>
      <c r="D4910" t="inlineStr">
        <is>
          <t>SKÅNE LÄN</t>
        </is>
      </c>
      <c r="E4910" t="inlineStr">
        <is>
          <t>SVALÖV</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814-2024</t>
        </is>
      </c>
      <c r="B4911" s="1" t="n">
        <v>45300</v>
      </c>
      <c r="C4911" s="1" t="n">
        <v>45914</v>
      </c>
      <c r="D4911" t="inlineStr">
        <is>
          <t>SKÅNE LÄN</t>
        </is>
      </c>
      <c r="E4911" t="inlineStr">
        <is>
          <t>BROMÖLLA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5184-2024</t>
        </is>
      </c>
      <c r="B4912" s="1" t="n">
        <v>45330</v>
      </c>
      <c r="C4912" s="1" t="n">
        <v>45914</v>
      </c>
      <c r="D4912" t="inlineStr">
        <is>
          <t>SKÅNE LÄN</t>
        </is>
      </c>
      <c r="E4912" t="inlineStr">
        <is>
          <t>SVALÖV</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6087-2025</t>
        </is>
      </c>
      <c r="B4913" s="1" t="n">
        <v>45697.69782407407</v>
      </c>
      <c r="C4913" s="1" t="n">
        <v>45914</v>
      </c>
      <c r="D4913" t="inlineStr">
        <is>
          <t>SKÅNE LÄN</t>
        </is>
      </c>
      <c r="E4913" t="inlineStr">
        <is>
          <t>HÄSSLEHOLM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32272-2024</t>
        </is>
      </c>
      <c r="B4914" s="1" t="n">
        <v>45512.35908564815</v>
      </c>
      <c r="C4914" s="1" t="n">
        <v>45914</v>
      </c>
      <c r="D4914" t="inlineStr">
        <is>
          <t>SKÅNE LÄN</t>
        </is>
      </c>
      <c r="E4914" t="inlineStr">
        <is>
          <t>BROMÖLLA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60963-2023</t>
        </is>
      </c>
      <c r="B4915" s="1" t="n">
        <v>45261.46871527778</v>
      </c>
      <c r="C4915" s="1" t="n">
        <v>45914</v>
      </c>
      <c r="D4915" t="inlineStr">
        <is>
          <t>SKÅNE LÄN</t>
        </is>
      </c>
      <c r="E4915" t="inlineStr">
        <is>
          <t>HÖRBY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9290-2025</t>
        </is>
      </c>
      <c r="B4916" s="1" t="n">
        <v>45714</v>
      </c>
      <c r="C4916" s="1" t="n">
        <v>45914</v>
      </c>
      <c r="D4916" t="inlineStr">
        <is>
          <t>SKÅNE LÄN</t>
        </is>
      </c>
      <c r="E4916" t="inlineStr">
        <is>
          <t>KRISTIANSTAD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50571-2023</t>
        </is>
      </c>
      <c r="B4917" s="1" t="n">
        <v>45217.38359953704</v>
      </c>
      <c r="C4917" s="1" t="n">
        <v>45914</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50675-2023</t>
        </is>
      </c>
      <c r="B4918" s="1" t="n">
        <v>45217</v>
      </c>
      <c r="C4918" s="1" t="n">
        <v>45914</v>
      </c>
      <c r="D4918" t="inlineStr">
        <is>
          <t>SKÅNE LÄN</t>
        </is>
      </c>
      <c r="E4918" t="inlineStr">
        <is>
          <t>OSBY</t>
        </is>
      </c>
      <c r="F4918" t="inlineStr">
        <is>
          <t>Kommuner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24936-2024</t>
        </is>
      </c>
      <c r="B4919" s="1" t="n">
        <v>45461.61817129629</v>
      </c>
      <c r="C4919" s="1" t="n">
        <v>45914</v>
      </c>
      <c r="D4919" t="inlineStr">
        <is>
          <t>SKÅNE LÄN</t>
        </is>
      </c>
      <c r="E4919" t="inlineStr">
        <is>
          <t>TOMELILLA</t>
        </is>
      </c>
      <c r="F4919" t="inlineStr">
        <is>
          <t>Sveaskog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60997-2024</t>
        </is>
      </c>
      <c r="B4920" s="1" t="n">
        <v>45644</v>
      </c>
      <c r="C4920" s="1" t="n">
        <v>45914</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40145-2024</t>
        </is>
      </c>
      <c r="B4921" s="1" t="n">
        <v>45554</v>
      </c>
      <c r="C4921" s="1" t="n">
        <v>45914</v>
      </c>
      <c r="D4921" t="inlineStr">
        <is>
          <t>SKÅNE LÄN</t>
        </is>
      </c>
      <c r="E4921" t="inlineStr">
        <is>
          <t>KRISTIANSTAD</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59328-2023</t>
        </is>
      </c>
      <c r="B4922" s="1" t="n">
        <v>45252</v>
      </c>
      <c r="C4922" s="1" t="n">
        <v>45914</v>
      </c>
      <c r="D4922" t="inlineStr">
        <is>
          <t>SKÅNE LÄN</t>
        </is>
      </c>
      <c r="E4922" t="inlineStr">
        <is>
          <t>ÖSTRA GÖINGE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9801-2024</t>
        </is>
      </c>
      <c r="B4923" s="1" t="n">
        <v>45362.83111111111</v>
      </c>
      <c r="C4923" s="1" t="n">
        <v>45914</v>
      </c>
      <c r="D4923" t="inlineStr">
        <is>
          <t>SKÅNE LÄN</t>
        </is>
      </c>
      <c r="E4923" t="inlineStr">
        <is>
          <t>OSBY</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7018-2024</t>
        </is>
      </c>
      <c r="B4924" s="1" t="n">
        <v>45343</v>
      </c>
      <c r="C4924" s="1" t="n">
        <v>45914</v>
      </c>
      <c r="D4924" t="inlineStr">
        <is>
          <t>SKÅNE LÄN</t>
        </is>
      </c>
      <c r="E4924" t="inlineStr">
        <is>
          <t>KRISTIANSTAD</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16549-2025</t>
        </is>
      </c>
      <c r="B4925" s="1" t="n">
        <v>45751.68946759259</v>
      </c>
      <c r="C4925" s="1" t="n">
        <v>45914</v>
      </c>
      <c r="D4925" t="inlineStr">
        <is>
          <t>SKÅNE LÄN</t>
        </is>
      </c>
      <c r="E4925" t="inlineStr">
        <is>
          <t>KRISTIANSTAD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11638-2025</t>
        </is>
      </c>
      <c r="B4926" s="1" t="n">
        <v>45727.46866898148</v>
      </c>
      <c r="C4926" s="1" t="n">
        <v>45914</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11693-2025</t>
        </is>
      </c>
      <c r="B4927" s="1" t="n">
        <v>45727</v>
      </c>
      <c r="C4927" s="1" t="n">
        <v>45914</v>
      </c>
      <c r="D4927" t="inlineStr">
        <is>
          <t>SKÅNE LÄN</t>
        </is>
      </c>
      <c r="E4927" t="inlineStr">
        <is>
          <t>KRISTIANSTAD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37358-2024</t>
        </is>
      </c>
      <c r="B4928" s="1" t="n">
        <v>45540.5496875</v>
      </c>
      <c r="C4928" s="1" t="n">
        <v>45914</v>
      </c>
      <c r="D4928" t="inlineStr">
        <is>
          <t>SKÅNE LÄN</t>
        </is>
      </c>
      <c r="E4928" t="inlineStr">
        <is>
          <t>OSBY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25069-2023</t>
        </is>
      </c>
      <c r="B4929" s="1" t="n">
        <v>45086</v>
      </c>
      <c r="C4929" s="1" t="n">
        <v>45914</v>
      </c>
      <c r="D4929" t="inlineStr">
        <is>
          <t>SKÅNE LÄN</t>
        </is>
      </c>
      <c r="E4929" t="inlineStr">
        <is>
          <t>KLIPPAN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18041-2023</t>
        </is>
      </c>
      <c r="B4930" s="1" t="n">
        <v>45040</v>
      </c>
      <c r="C4930" s="1" t="n">
        <v>45914</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30220-2024</t>
        </is>
      </c>
      <c r="B4931" s="1" t="n">
        <v>45490</v>
      </c>
      <c r="C4931" s="1" t="n">
        <v>45914</v>
      </c>
      <c r="D4931" t="inlineStr">
        <is>
          <t>SKÅNE LÄN</t>
        </is>
      </c>
      <c r="E4931" t="inlineStr">
        <is>
          <t>KRISTIANSTAD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16950-2025</t>
        </is>
      </c>
      <c r="B4932" s="1" t="n">
        <v>45755</v>
      </c>
      <c r="C4932" s="1" t="n">
        <v>45914</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40300-2024</t>
        </is>
      </c>
      <c r="B4933" s="1" t="n">
        <v>45554</v>
      </c>
      <c r="C4933" s="1" t="n">
        <v>45914</v>
      </c>
      <c r="D4933" t="inlineStr">
        <is>
          <t>SKÅNE LÄN</t>
        </is>
      </c>
      <c r="E4933" t="inlineStr">
        <is>
          <t>KRISTIANSTAD</t>
        </is>
      </c>
      <c r="G4933" t="n">
        <v>12.6</v>
      </c>
      <c r="H4933" t="n">
        <v>0</v>
      </c>
      <c r="I4933" t="n">
        <v>0</v>
      </c>
      <c r="J4933" t="n">
        <v>0</v>
      </c>
      <c r="K4933" t="n">
        <v>0</v>
      </c>
      <c r="L4933" t="n">
        <v>0</v>
      </c>
      <c r="M4933" t="n">
        <v>0</v>
      </c>
      <c r="N4933" t="n">
        <v>0</v>
      </c>
      <c r="O4933" t="n">
        <v>0</v>
      </c>
      <c r="P4933" t="n">
        <v>0</v>
      </c>
      <c r="Q4933" t="n">
        <v>0</v>
      </c>
      <c r="R4933" s="2" t="inlineStr"/>
    </row>
    <row r="4934" ht="15" customHeight="1">
      <c r="A4934" t="inlineStr">
        <is>
          <t>A 58618-2024</t>
        </is>
      </c>
      <c r="B4934" s="1" t="n">
        <v>45635.56150462963</v>
      </c>
      <c r="C4934" s="1" t="n">
        <v>45914</v>
      </c>
      <c r="D4934" t="inlineStr">
        <is>
          <t>SKÅNE LÄN</t>
        </is>
      </c>
      <c r="E4934" t="inlineStr">
        <is>
          <t>HÄSSLEHOLM</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10478-2025</t>
        </is>
      </c>
      <c r="B4935" s="1" t="n">
        <v>45721.30579861111</v>
      </c>
      <c r="C4935" s="1" t="n">
        <v>45914</v>
      </c>
      <c r="D4935" t="inlineStr">
        <is>
          <t>SKÅNE LÄN</t>
        </is>
      </c>
      <c r="E4935" t="inlineStr">
        <is>
          <t>KRISTIANSTAD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42313-2024</t>
        </is>
      </c>
      <c r="B4936" s="1" t="n">
        <v>45562.64256944445</v>
      </c>
      <c r="C4936" s="1" t="n">
        <v>45914</v>
      </c>
      <c r="D4936" t="inlineStr">
        <is>
          <t>SKÅNE LÄN</t>
        </is>
      </c>
      <c r="E4936" t="inlineStr">
        <is>
          <t>ÖSTRA GÖINGE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2449-2023</t>
        </is>
      </c>
      <c r="B4937" s="1" t="n">
        <v>44943.43438657407</v>
      </c>
      <c r="C4937" s="1" t="n">
        <v>45914</v>
      </c>
      <c r="D4937" t="inlineStr">
        <is>
          <t>SKÅNE LÄN</t>
        </is>
      </c>
      <c r="E4937" t="inlineStr">
        <is>
          <t>SJÖBO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45914</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52337-2023</t>
        </is>
      </c>
      <c r="B4939" s="1" t="n">
        <v>45224.66359953704</v>
      </c>
      <c r="C4939" s="1" t="n">
        <v>45914</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530-2025</t>
        </is>
      </c>
      <c r="B4940" s="1" t="n">
        <v>45664.50134259259</v>
      </c>
      <c r="C4940" s="1" t="n">
        <v>45914</v>
      </c>
      <c r="D4940" t="inlineStr">
        <is>
          <t>SKÅNE LÄN</t>
        </is>
      </c>
      <c r="E4940" t="inlineStr">
        <is>
          <t>HÖÖR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13263-2024</t>
        </is>
      </c>
      <c r="B4941" s="1" t="n">
        <v>45386.59263888889</v>
      </c>
      <c r="C4941" s="1" t="n">
        <v>45914</v>
      </c>
      <c r="D4941" t="inlineStr">
        <is>
          <t>SKÅNE LÄN</t>
        </is>
      </c>
      <c r="E4941" t="inlineStr">
        <is>
          <t>KRISTIANSTAD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13273-2024</t>
        </is>
      </c>
      <c r="B4942" s="1" t="n">
        <v>45386</v>
      </c>
      <c r="C4942" s="1" t="n">
        <v>45914</v>
      </c>
      <c r="D4942" t="inlineStr">
        <is>
          <t>SKÅNE LÄN</t>
        </is>
      </c>
      <c r="E4942" t="inlineStr">
        <is>
          <t>SVALÖV</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59471-2024</t>
        </is>
      </c>
      <c r="B4943" s="1" t="n">
        <v>45638</v>
      </c>
      <c r="C4943" s="1" t="n">
        <v>45914</v>
      </c>
      <c r="D4943" t="inlineStr">
        <is>
          <t>SKÅNE LÄN</t>
        </is>
      </c>
      <c r="E4943" t="inlineStr">
        <is>
          <t>BJUV</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4501-2024</t>
        </is>
      </c>
      <c r="B4944" s="1" t="n">
        <v>45327.61340277778</v>
      </c>
      <c r="C4944" s="1" t="n">
        <v>45914</v>
      </c>
      <c r="D4944" t="inlineStr">
        <is>
          <t>SKÅNE LÄN</t>
        </is>
      </c>
      <c r="E4944" t="inlineStr">
        <is>
          <t>HÖÖR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33988-2023</t>
        </is>
      </c>
      <c r="B4945" s="1" t="n">
        <v>45134.8561574074</v>
      </c>
      <c r="C4945" s="1" t="n">
        <v>45914</v>
      </c>
      <c r="D4945" t="inlineStr">
        <is>
          <t>SKÅNE LÄN</t>
        </is>
      </c>
      <c r="E4945" t="inlineStr">
        <is>
          <t>KRISTIANSTAD</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32156-2023</t>
        </is>
      </c>
      <c r="B4946" s="1" t="n">
        <v>45106</v>
      </c>
      <c r="C4946" s="1" t="n">
        <v>45914</v>
      </c>
      <c r="D4946" t="inlineStr">
        <is>
          <t>SKÅNE LÄN</t>
        </is>
      </c>
      <c r="E4946" t="inlineStr">
        <is>
          <t>KRISTIANSTAD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51250-2024</t>
        </is>
      </c>
      <c r="B4947" s="1" t="n">
        <v>45602</v>
      </c>
      <c r="C4947" s="1" t="n">
        <v>45914</v>
      </c>
      <c r="D4947" t="inlineStr">
        <is>
          <t>SKÅNE LÄN</t>
        </is>
      </c>
      <c r="E4947" t="inlineStr">
        <is>
          <t>PERSTORP</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16314-2024</t>
        </is>
      </c>
      <c r="B4948" s="1" t="n">
        <v>45407</v>
      </c>
      <c r="C4948" s="1" t="n">
        <v>45914</v>
      </c>
      <c r="D4948" t="inlineStr">
        <is>
          <t>SKÅNE LÄN</t>
        </is>
      </c>
      <c r="E4948" t="inlineStr">
        <is>
          <t>ÄNGELHOLM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1574-2024</t>
        </is>
      </c>
      <c r="B4949" s="1" t="n">
        <v>45306</v>
      </c>
      <c r="C4949" s="1" t="n">
        <v>45914</v>
      </c>
      <c r="D4949" t="inlineStr">
        <is>
          <t>SKÅNE LÄN</t>
        </is>
      </c>
      <c r="E4949" t="inlineStr">
        <is>
          <t>ESLÖV</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26757-2023</t>
        </is>
      </c>
      <c r="B4950" s="1" t="n">
        <v>45093</v>
      </c>
      <c r="C4950" s="1" t="n">
        <v>45914</v>
      </c>
      <c r="D4950" t="inlineStr">
        <is>
          <t>SKÅNE LÄN</t>
        </is>
      </c>
      <c r="E4950" t="inlineStr">
        <is>
          <t>HÖÖR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26780-2023</t>
        </is>
      </c>
      <c r="B4951" s="1" t="n">
        <v>45093.48739583333</v>
      </c>
      <c r="C4951" s="1" t="n">
        <v>45914</v>
      </c>
      <c r="D4951" t="inlineStr">
        <is>
          <t>SKÅNE LÄN</t>
        </is>
      </c>
      <c r="E4951" t="inlineStr">
        <is>
          <t>OSBY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26730-2023</t>
        </is>
      </c>
      <c r="B4952" s="1" t="n">
        <v>45090</v>
      </c>
      <c r="C4952" s="1" t="n">
        <v>45914</v>
      </c>
      <c r="D4952" t="inlineStr">
        <is>
          <t>SKÅNE LÄN</t>
        </is>
      </c>
      <c r="E4952" t="inlineStr">
        <is>
          <t>SJÖBO</t>
        </is>
      </c>
      <c r="F4952" t="inlineStr">
        <is>
          <t>Sveaskog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13084-2025</t>
        </is>
      </c>
      <c r="B4953" s="1" t="n">
        <v>45734</v>
      </c>
      <c r="C4953" s="1" t="n">
        <v>45914</v>
      </c>
      <c r="D4953" t="inlineStr">
        <is>
          <t>SKÅNE LÄN</t>
        </is>
      </c>
      <c r="E4953" t="inlineStr">
        <is>
          <t>HÄSSLEHOLM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41777-2023</t>
        </is>
      </c>
      <c r="B4954" s="1" t="n">
        <v>45176.46850694445</v>
      </c>
      <c r="C4954" s="1" t="n">
        <v>45914</v>
      </c>
      <c r="D4954" t="inlineStr">
        <is>
          <t>SKÅNE LÄN</t>
        </is>
      </c>
      <c r="E4954" t="inlineStr">
        <is>
          <t>ÖSTRA GÖINGE</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58518-2024</t>
        </is>
      </c>
      <c r="B4955" s="1" t="n">
        <v>45635.43335648148</v>
      </c>
      <c r="C4955" s="1" t="n">
        <v>45914</v>
      </c>
      <c r="D4955" t="inlineStr">
        <is>
          <t>SKÅNE LÄN</t>
        </is>
      </c>
      <c r="E4955" t="inlineStr">
        <is>
          <t>ÖSTRA GÖINGE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49370-2023</t>
        </is>
      </c>
      <c r="B4956" s="1" t="n">
        <v>45211</v>
      </c>
      <c r="C4956" s="1" t="n">
        <v>45914</v>
      </c>
      <c r="D4956" t="inlineStr">
        <is>
          <t>SKÅNE LÄN</t>
        </is>
      </c>
      <c r="E4956" t="inlineStr">
        <is>
          <t>KLIPPAN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12601-2025</t>
        </is>
      </c>
      <c r="B4957" s="1" t="n">
        <v>45733</v>
      </c>
      <c r="C4957" s="1" t="n">
        <v>45914</v>
      </c>
      <c r="D4957" t="inlineStr">
        <is>
          <t>SKÅNE LÄN</t>
        </is>
      </c>
      <c r="E4957" t="inlineStr">
        <is>
          <t>OSBY</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52014-2024</t>
        </is>
      </c>
      <c r="B4958" s="1" t="n">
        <v>45607.78885416667</v>
      </c>
      <c r="C4958" s="1" t="n">
        <v>45914</v>
      </c>
      <c r="D4958" t="inlineStr">
        <is>
          <t>SKÅNE LÄN</t>
        </is>
      </c>
      <c r="E4958" t="inlineStr">
        <is>
          <t>KRISTIANSTAD</t>
        </is>
      </c>
      <c r="F4958" t="inlineStr">
        <is>
          <t>Övriga Aktiebolag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15706-2025</t>
        </is>
      </c>
      <c r="B4959" s="1" t="n">
        <v>45748</v>
      </c>
      <c r="C4959" s="1" t="n">
        <v>45914</v>
      </c>
      <c r="D4959" t="inlineStr">
        <is>
          <t>SKÅNE LÄN</t>
        </is>
      </c>
      <c r="E4959" t="inlineStr">
        <is>
          <t>KRISTIANSTAD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15712-2025</t>
        </is>
      </c>
      <c r="B4960" s="1" t="n">
        <v>45748</v>
      </c>
      <c r="C4960" s="1" t="n">
        <v>45914</v>
      </c>
      <c r="D4960" t="inlineStr">
        <is>
          <t>SKÅNE LÄN</t>
        </is>
      </c>
      <c r="E4960" t="inlineStr">
        <is>
          <t>KRISTIANSTAD</t>
        </is>
      </c>
      <c r="G4960" t="n">
        <v>1</v>
      </c>
      <c r="H4960" t="n">
        <v>0</v>
      </c>
      <c r="I4960" t="n">
        <v>0</v>
      </c>
      <c r="J4960" t="n">
        <v>0</v>
      </c>
      <c r="K4960" t="n">
        <v>0</v>
      </c>
      <c r="L4960" t="n">
        <v>0</v>
      </c>
      <c r="M4960" t="n">
        <v>0</v>
      </c>
      <c r="N4960" t="n">
        <v>0</v>
      </c>
      <c r="O4960" t="n">
        <v>0</v>
      </c>
      <c r="P4960" t="n">
        <v>0</v>
      </c>
      <c r="Q4960" t="n">
        <v>0</v>
      </c>
      <c r="R4960" s="2" t="inlineStr"/>
    </row>
    <row r="4961">
      <c r="A4961" t="inlineStr">
        <is>
          <t>A 52851-2024</t>
        </is>
      </c>
      <c r="B4961" s="1" t="n">
        <v>45610</v>
      </c>
      <c r="C4961" s="1" t="n">
        <v>45914</v>
      </c>
      <c r="D4961" t="inlineStr">
        <is>
          <t>SKÅNE LÄN</t>
        </is>
      </c>
      <c r="E4961" t="inlineStr">
        <is>
          <t>KLIPPAN</t>
        </is>
      </c>
      <c r="G4961" t="n">
        <v>2.4</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2025-09-14T13:24:23Z</dcterms:created>
  <dcterms:modified xmlns:dcterms="http://purl.org/dc/terms/" xmlns:xsi="http://www.w3.org/2001/XMLSchema-instance" xsi:type="dcterms:W3CDTF">2025-09-14T13:24:27Z</dcterms:modified>
</cp:coreProperties>
</file>